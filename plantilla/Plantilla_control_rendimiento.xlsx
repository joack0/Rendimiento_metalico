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Registro" sheetId="2" state="visible" r:id="rId4"/>
    <sheet name="Resumen mensual" sheetId="3" state="visible" r:id="rId5"/>
    <sheet name="Carta semanal" sheetId="4" state="visible" r:id="rId6"/>
    <sheet name="Pareto" sheetId="5" state="visible" r:id="rId7"/>
    <sheet name="Plan de acción" sheetId="6" state="visible" r:id="rId8"/>
    <sheet name="Guía de control" sheetId="7" state="visible" r:id="rId9"/>
    <sheet name="Parámetros" sheetId="8" state="visible" r:id="rId10"/>
  </sheets>
  <definedNames>
    <definedName function="false" hidden="true" localSheetId="5" name="_xlnm._FilterDatabase" vbProcedure="false">'Plan de acción'!$A$4:$R$204</definedName>
    <definedName function="false" hidden="true" localSheetId="1" name="_xlnm._FilterDatabase" vbProcedure="false">Registro!$A$5:$AO$1005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Ejemplo tomado de 'Rend. metálico Noviembre 2010'. N° palanquillas, horas y kg de cobles son supuestos para mostrar el formato. Borre o sobrescriba esta fila.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" authorId="0">
      <text>
        <r>
          <rPr>
            <sz val="10"/>
            <rFont val="Arial"/>
            <family val="2"/>
          </rPr>
          <t xml:space="preserve">Ejemplo basado en la orden 1008027 (noviembre 2010). Rend. después es un supuesto para mostrar el formato.</t>
        </r>
      </text>
    </comment>
  </commentList>
</comments>
</file>

<file path=xl/sharedStrings.xml><?xml version="1.0" encoding="utf-8"?>
<sst xmlns="http://schemas.openxmlformats.org/spreadsheetml/2006/main" count="343" uniqueCount="244">
  <si>
    <t xml:space="preserve">Control de rendimiento metálico — plantilla</t>
  </si>
  <si>
    <t xml:space="preserve">Indicadores del año (Parámetros!B4)</t>
  </si>
  <si>
    <t xml:space="preserve">Rendimiento metálico</t>
  </si>
  <si>
    <t xml:space="preserve">Meta ponderada</t>
  </si>
  <si>
    <t xml:space="preserve">Brecha</t>
  </si>
  <si>
    <t xml:space="preserve">Kg faltantes vs meta</t>
  </si>
  <si>
    <t xml:space="preserve">Pérdidas SAP (kg)</t>
  </si>
  <si>
    <t xml:space="preserve">Delta no explicado (kg)</t>
  </si>
  <si>
    <t xml:space="preserve">Delta / consumo</t>
  </si>
  <si>
    <t xml:space="preserve">Órdenes registradas</t>
  </si>
  <si>
    <t xml:space="preserve">Órdenes bajo meta</t>
  </si>
  <si>
    <t xml:space="preserve">Órdenes con error o balance a revisar</t>
  </si>
  <si>
    <t xml:space="preserve">Acciones abiertas con atraso</t>
  </si>
  <si>
    <t xml:space="preserve">Cómo usar</t>
  </si>
  <si>
    <t xml:space="preserve">1. Parámetros: fije el año, la meta general, las metas por grupo, el % de oxidación y la tolerancia del delta.</t>
  </si>
  <si>
    <t xml:space="preserve">2. Registro: ingrese una fila por orden al cierre de cada turno o campaña (celdas amarillas). La fila 6 es un ejemplo: reemplácela.</t>
  </si>
  <si>
    <t xml:space="preserve">3. Revise la columna Estado: 'Error', 'Revisar balance' y 'Falta registrar pérdidas' son problemas de dato; 'Bajo meta' es un problema de proceso y debe llevar Hecho, Causa y Acción.</t>
  </si>
  <si>
    <t xml:space="preserve">4. Resumen mensual, Carta semanal y Pareto se actualizan solos.</t>
  </si>
  <si>
    <t xml:space="preserve">5. Semanalmente: lea la carta, tome los ítems 'Prioridad (80 %)' del Pareto y abra acciones en Plan de acción.</t>
  </si>
  <si>
    <t xml:space="preserve">6. Cierre cada acción comparando el rendimiento antes/después del mismo producto (columna Mejora).</t>
  </si>
  <si>
    <t xml:space="preserve">Leyenda</t>
  </si>
  <si>
    <t xml:space="preserve">Ejemplo</t>
  </si>
  <si>
    <t xml:space="preserve">Dato a ingresar (texto azul, fondo amarillo)</t>
  </si>
  <si>
    <t xml:space="preserve">Encabezado de columna calculada: no escribir</t>
  </si>
  <si>
    <t xml:space="preserve">Texto verde: valor traído de otra hoja</t>
  </si>
  <si>
    <t xml:space="preserve">Bajo meta / fuera de control / atrasada</t>
  </si>
  <si>
    <t xml:space="preserve">Dato a revisar (balance, tendencia)</t>
  </si>
  <si>
    <t xml:space="preserve">Cumple</t>
  </si>
  <si>
    <t xml:space="preserve">Hojas</t>
  </si>
  <si>
    <t xml:space="preserve">Registro</t>
  </si>
  <si>
    <t xml:space="preserve">Base por orden: producción, consumo, pérdidas por etapa, balance y análisis.</t>
  </si>
  <si>
    <t xml:space="preserve">Resumen mensual</t>
  </si>
  <si>
    <t xml:space="preserve">Rendimiento, meta, kg faltantes y pérdidas por tipo por mes; rendimiento grupo × mes.</t>
  </si>
  <si>
    <t xml:space="preserve">Carta semanal</t>
  </si>
  <si>
    <t xml:space="preserve">Carta I-MR con LC, LSC, LIC, meta y señales de fuera de control o tendencia.</t>
  </si>
  <si>
    <t xml:space="preserve">Pareto</t>
  </si>
  <si>
    <t xml:space="preserve">Pérdidas por tipo, kg faltantes por causa y por grupo, con el 80 % prioritario.</t>
  </si>
  <si>
    <t xml:space="preserve">Plan de acción</t>
  </si>
  <si>
    <t xml:space="preserve">Seguimiento de acciones, atraso y verificación de eficacia.</t>
  </si>
  <si>
    <t xml:space="preserve">Guía de control</t>
  </si>
  <si>
    <t xml:space="preserve">Qué medir, cómo leer los indicadores y rutina de control.</t>
  </si>
  <si>
    <t xml:space="preserve">Parámetros</t>
  </si>
  <si>
    <t xml:space="preserve">Metas, supuestos y listas desplegables.</t>
  </si>
  <si>
    <t xml:space="preserve">Registro de rendimiento metálico por orden</t>
  </si>
  <si>
    <t xml:space="preserve">Una fila por orden de laminación. Amarillo = dato a ingresar; gris = fórmula (no editar). Pérdidas en kg. La fila 6 es un ejemplo (orden 1008027, noviembre 2010): reemplácela.</t>
  </si>
  <si>
    <t xml:space="preserve">Balance: Pérdidas SAP = Consumo − Producción.  Delta = Pérdidas SAP − Pérdidas medidas (T1…Cobles + Oxidación).  Un delta grande indica pérdidas que no se están pesando o registrando.</t>
  </si>
  <si>
    <t xml:space="preserve">IDENTIFICACIÓN</t>
  </si>
  <si>
    <t xml:space="preserve">PRODUCCIÓN</t>
  </si>
  <si>
    <t xml:space="preserve">PÉRDIDAS MEDIDAS (kg)</t>
  </si>
  <si>
    <t xml:space="preserve">BALANCE</t>
  </si>
  <si>
    <t xml:space="preserve">ANÁLISIS DE LA DESVIACIÓN</t>
  </si>
  <si>
    <t xml:space="preserve">Fecha</t>
  </si>
  <si>
    <t xml:space="preserve">Año ISO</t>
  </si>
  <si>
    <t xml:space="preserve">Semana ISO</t>
  </si>
  <si>
    <t xml:space="preserve">Mes</t>
  </si>
  <si>
    <t xml:space="preserve">Turno</t>
  </si>
  <si>
    <t xml:space="preserve">Orden</t>
  </si>
  <si>
    <t xml:space="preserve">Código</t>
  </si>
  <si>
    <t xml:space="preserve">Material</t>
  </si>
  <si>
    <t xml:space="preserve">Grupo</t>
  </si>
  <si>
    <t xml:space="preserve">Largo palanquilla (m)</t>
  </si>
  <si>
    <t xml:space="preserve">N° palanquillas</t>
  </si>
  <si>
    <t xml:space="preserve">Horas</t>
  </si>
  <si>
    <t xml:space="preserve">Consumo (kg)</t>
  </si>
  <si>
    <t xml:space="preserve">Producción (kg)</t>
  </si>
  <si>
    <t xml:space="preserve">Rend. metálico</t>
  </si>
  <si>
    <t xml:space="preserve">Meta</t>
  </si>
  <si>
    <t xml:space="preserve">Brecha vs meta</t>
  </si>
  <si>
    <t xml:space="preserve">Productividad (t/h)</t>
  </si>
  <si>
    <t xml:space="preserve">T1 (kg)</t>
  </si>
  <si>
    <t xml:space="preserve">T2 (kg)</t>
  </si>
  <si>
    <t xml:space="preserve">T3 (kg)</t>
  </si>
  <si>
    <t xml:space="preserve">T4 (kg)</t>
  </si>
  <si>
    <t xml:space="preserve">Fuera de medida (kg)</t>
  </si>
  <si>
    <t xml:space="preserve">Corto T4 (kg)</t>
  </si>
  <si>
    <t xml:space="preserve">Cobles / barras perdidas (kg)</t>
  </si>
  <si>
    <t xml:space="preserve">N° barras perdidas</t>
  </si>
  <si>
    <t xml:space="preserve">Oxidación medida (kg)</t>
  </si>
  <si>
    <t xml:space="preserve">Oxidación usada (kg)</t>
  </si>
  <si>
    <t xml:space="preserve">Pérdidas medidas (kg)</t>
  </si>
  <si>
    <t xml:space="preserve">Pérdidas (kg/t prod.)</t>
  </si>
  <si>
    <t xml:space="preserve">aux: consumo × meta</t>
  </si>
  <si>
    <t xml:space="preserve">Estado</t>
  </si>
  <si>
    <t xml:space="preserve">Hecho (qué pasó)</t>
  </si>
  <si>
    <t xml:space="preserve">Causa (categoría)</t>
  </si>
  <si>
    <t xml:space="preserve">Causa (detalle)</t>
  </si>
  <si>
    <t xml:space="preserve">Acción</t>
  </si>
  <si>
    <t xml:space="preserve">Responsable</t>
  </si>
  <si>
    <t xml:space="preserve">A</t>
  </si>
  <si>
    <t xml:space="preserve">Plana 50x06 mm 6 m Comercial (N)</t>
  </si>
  <si>
    <t xml:space="preserve">Plana</t>
  </si>
  <si>
    <t xml:space="preserve">Cobles (trozo de coble y barra de sacrificio)</t>
  </si>
  <si>
    <t xml:space="preserve">Eléctrico / instrumentación</t>
  </si>
  <si>
    <t xml:space="preserve">HMD A5-A6 pierde señal</t>
  </si>
  <si>
    <t xml:space="preserve">Chequear señales de fotoceldas y HMD, graficar en IBA</t>
  </si>
  <si>
    <t xml:space="preserve">Jefe de turno</t>
  </si>
  <si>
    <t xml:space="preserve">Rendimiento ponderado = Σ producción / Σ consumo. Año en Parámetros!B4.</t>
  </si>
  <si>
    <t xml:space="preserve">Año</t>
  </si>
  <si>
    <t xml:space="preserve">N° órdenes</t>
  </si>
  <si>
    <t xml:space="preserve">Oxidación (kg)</t>
  </si>
  <si>
    <t xml:space="preserve">Pérdidas (kg/t)</t>
  </si>
  <si>
    <t xml:space="preserve">Rendimiento por grupo y mes</t>
  </si>
  <si>
    <t xml:space="preserve">Rosado = bajo la meta del grupo; verde = cumple.</t>
  </si>
  <si>
    <t xml:space="preserve">Carta de control I-MR semanal</t>
  </si>
  <si>
    <t xml:space="preserve">LC = rendimiento ponderado del año; σ = MR̄ / d2; LSC / LIC = LC ± 3σ. Semanas ISO (lunes a domingo).</t>
  </si>
  <si>
    <t xml:space="preserve">LC (rend. ponderado del año)</t>
  </si>
  <si>
    <t xml:space="preserve">MR̄ (rango móvil promedio)</t>
  </si>
  <si>
    <t xml:space="preserve">σ</t>
  </si>
  <si>
    <t xml:space="preserve">LSC = LC + 3σ</t>
  </si>
  <si>
    <t xml:space="preserve">LIC = LC − 3σ</t>
  </si>
  <si>
    <t xml:space="preserve">Meta ponderada del año</t>
  </si>
  <si>
    <t xml:space="preserve">Semana</t>
  </si>
  <si>
    <t xml:space="preserve">Etiqueta</t>
  </si>
  <si>
    <t xml:space="preserve">Rend. semanal</t>
  </si>
  <si>
    <t xml:space="preserve">Rango móvil (MR)</t>
  </si>
  <si>
    <t xml:space="preserve">LC</t>
  </si>
  <si>
    <t xml:space="preserve">LSC</t>
  </si>
  <si>
    <t xml:space="preserve">LIC</t>
  </si>
  <si>
    <t xml:space="preserve">Semanas seguidas bajo LC</t>
  </si>
  <si>
    <t xml:space="preserve">Señal</t>
  </si>
  <si>
    <t xml:space="preserve">Eje vertical de 88 % a 100 %: las semanas sin datos no muestran barra. MR solo se calcula entre semanas consecutivas con datos. Reglas: un punto fuera de LSC/LIC o 8 semanas seguidas bajo LC indican una causa especial que hay que investigar.</t>
  </si>
  <si>
    <t xml:space="preserve">Pareto de pérdidas y de causas</t>
  </si>
  <si>
    <t xml:space="preserve">Elija el mes en C4 (1 a 12) o deje 0 para el año completo (Parámetros!B4).</t>
  </si>
  <si>
    <t xml:space="preserve">Desde</t>
  </si>
  <si>
    <t xml:space="preserve">Hasta</t>
  </si>
  <si>
    <t xml:space="preserve">Pérdidas por tipo (kg)</t>
  </si>
  <si>
    <t xml:space="preserve">Qué etapa del proceso concentra los kg perdidos. Un delta alto = pérdidas sin registrar.</t>
  </si>
  <si>
    <t xml:space="preserve">#</t>
  </si>
  <si>
    <t xml:space="preserve">Ítem</t>
  </si>
  <si>
    <t xml:space="preserve">kg</t>
  </si>
  <si>
    <t xml:space="preserve">% del total</t>
  </si>
  <si>
    <t xml:space="preserve">% acumulado</t>
  </si>
  <si>
    <t xml:space="preserve">Prioridad</t>
  </si>
  <si>
    <t xml:space="preserve">Base de cálculo (sin ordenar)</t>
  </si>
  <si>
    <t xml:space="preserve">T1</t>
  </si>
  <si>
    <t xml:space="preserve">T2</t>
  </si>
  <si>
    <t xml:space="preserve">T3</t>
  </si>
  <si>
    <t xml:space="preserve">T4</t>
  </si>
  <si>
    <t xml:space="preserve">Fuera de medida</t>
  </si>
  <si>
    <t xml:space="preserve">Corto T4</t>
  </si>
  <si>
    <t xml:space="preserve">Cobles / barras perdidas</t>
  </si>
  <si>
    <t xml:space="preserve">Oxidación</t>
  </si>
  <si>
    <t xml:space="preserve">Delta no explicado</t>
  </si>
  <si>
    <t xml:space="preserve">Kg faltantes vs meta por causa</t>
  </si>
  <si>
    <t xml:space="preserve">Kg faltantes = consumo × (meta − rendimiento) de las órdenes bajo meta, asignados a la causa registrada en la hoja Registro.</t>
  </si>
  <si>
    <t xml:space="preserve">Palanquilla (defecto / largo)</t>
  </si>
  <si>
    <t xml:space="preserve">Horno (oxidación / temperatura)</t>
  </si>
  <si>
    <t xml:space="preserve">Cizallas (despunte)</t>
  </si>
  <si>
    <t xml:space="preserve">Largo de corte / padrón</t>
  </si>
  <si>
    <t xml:space="preserve">Mecánico / guías / cilindros</t>
  </si>
  <si>
    <t xml:space="preserve">Cambio de medida / campaña corta</t>
  </si>
  <si>
    <t xml:space="preserve">Operacional / práctica</t>
  </si>
  <si>
    <t xml:space="preserve">Registro / información</t>
  </si>
  <si>
    <t xml:space="preserve">Sin causa asignada</t>
  </si>
  <si>
    <t xml:space="preserve">Kg faltantes vs meta por grupo de producto</t>
  </si>
  <si>
    <t xml:space="preserve">B Hormigón</t>
  </si>
  <si>
    <t xml:space="preserve">Redondo liso</t>
  </si>
  <si>
    <t xml:space="preserve">Ángulo</t>
  </si>
  <si>
    <t xml:space="preserve">Cuadrado</t>
  </si>
  <si>
    <t xml:space="preserve">Estrella</t>
  </si>
  <si>
    <t xml:space="preserve">Saferock</t>
  </si>
  <si>
    <t xml:space="preserve">Hexágono</t>
  </si>
  <si>
    <t xml:space="preserve">Plan de acción y verificación de eficacia</t>
  </si>
  <si>
    <t xml:space="preserve">Una fila por problema. Cierre la acción solo cuando el rendimiento 'después' confirme la mejora.</t>
  </si>
  <si>
    <t xml:space="preserve">N°</t>
  </si>
  <si>
    <t xml:space="preserve">Fecha detección</t>
  </si>
  <si>
    <t xml:space="preserve">Orden / semana</t>
  </si>
  <si>
    <t xml:space="preserve">Grupo / producto</t>
  </si>
  <si>
    <t xml:space="preserve">Hecho (problema observado)</t>
  </si>
  <si>
    <t xml:space="preserve">Tipo de pérdida</t>
  </si>
  <si>
    <t xml:space="preserve">Causa raíz (5 porqués)</t>
  </si>
  <si>
    <t xml:space="preserve">Tipo de acción</t>
  </si>
  <si>
    <t xml:space="preserve">Fecha compromiso</t>
  </si>
  <si>
    <t xml:space="preserve">Fecha cierre</t>
  </si>
  <si>
    <t xml:space="preserve">Rend. antes</t>
  </si>
  <si>
    <t xml:space="preserve">Rend. después</t>
  </si>
  <si>
    <t xml:space="preserve">Mejora</t>
  </si>
  <si>
    <t xml:space="preserve">Días de atraso</t>
  </si>
  <si>
    <t xml:space="preserve">1008027</t>
  </si>
  <si>
    <t xml:space="preserve">Plana 50x06</t>
  </si>
  <si>
    <t xml:space="preserve">HMD A5-A6 pierde señal: flanco de bajada al pasar la barra (visto en IBA)</t>
  </si>
  <si>
    <t xml:space="preserve">Revisar y reemplazar HMD A5-A6; verificar señal en IBA durante 1 semana</t>
  </si>
  <si>
    <t xml:space="preserve">Correctiva</t>
  </si>
  <si>
    <t xml:space="preserve">Eléctrico</t>
  </si>
  <si>
    <t xml:space="preserve">Cerrada</t>
  </si>
  <si>
    <t xml:space="preserve">Guía para controlar el rendimiento metálico</t>
  </si>
  <si>
    <t xml:space="preserve">1. Qué es y cómo se calcula</t>
  </si>
  <si>
    <t xml:space="preserve">Rendimiento metálico = kg producidos (barras buenas) / kg consumidos (palanquilla cargada). Es el indicador de cuánto acero se convierte en producto vendible.</t>
  </si>
  <si>
    <t xml:space="preserve">Se calcula siempre ponderado: Σ producción / Σ consumo. No promedie porcentajes de órdenes: una orden chica pesaría igual que una grande.</t>
  </si>
  <si>
    <t xml:space="preserve">Cada punto de rendimiento vale mucho: en 1.000 t consumidas, 1 pp = 10 t de acero que vuelven como chatarra o se pierden como laminilla.</t>
  </si>
  <si>
    <t xml:space="preserve">2. Dónde se pierde el metal (balance de masa)</t>
  </si>
  <si>
    <t xml:space="preserve">Consumo − Producción = Pérdidas SAP. Esa diferencia se reparte en:</t>
  </si>
  <si>
    <t xml:space="preserve">• Oxidación / laminilla (horno y descascarillado): típicamente 1–2,5 % del consumo. Depende de temperatura, tiempo de residencia en el horno y atmósfera. Si se pesa la laminilla, ingrésela en 'Oxidación medida'.</t>
  </si>
  <si>
    <t xml:space="preserve">• Despuntes de cizallas T1, T2, T3: cortes de cabeza y cola. Crecen con palanquillas con defectos de extremo, cabezas frías o despunte mal calibrado.</t>
  </si>
  <si>
    <t xml:space="preserve">• T4 / corte a largo comercial: sobrantes de la barra madre respecto del múltiplo del largo comercial. Dependen de que el largo y el peso de la palanquilla estén optimizados para el producto (padrón).</t>
  </si>
  <si>
    <t xml:space="preserve">• Corto T4 y fuera de medida: barras cortas o con dimensión fuera de tolerancia (desgaste de cilindros, guías, ajuste).</t>
  </si>
  <si>
    <t xml:space="preserve">• Cobles / barras perdidas: atascos o salidas de línea. Cada coble puede costar cientos de kg.</t>
  </si>
  <si>
    <t xml:space="preserve">• Delta no explicado: la parte de las pérdidas SAP que nadie pesó. Si es grande, el problema es de medición/registro, o de la balanza (consumo o producción mal pesados).</t>
  </si>
  <si>
    <t xml:space="preserve">3. Qué controlar y con qué frecuencia</t>
  </si>
  <si>
    <t xml:space="preserve">Por orden / turno: rendimiento vs meta, pérdidas por etapa, n° de cobles, estado del balance (hoja Registro).</t>
  </si>
  <si>
    <t xml:space="preserve">Semanal: carta de control I-MR y Pareto; reunión corta para asignar acciones a los ítems del 80 %.</t>
  </si>
  <si>
    <t xml:space="preserve">Mensual: tendencia por grupo de producto, kg/t de pérdidas, eficacia de acciones cerradas.</t>
  </si>
  <si>
    <t xml:space="preserve">Calidad del dato: órdenes con rendimiento &gt; 100 % o con delta fuera de tolerancia se corrigen antes de analizar.</t>
  </si>
  <si>
    <t xml:space="preserve">4. Cómo leer la carta de control</t>
  </si>
  <si>
    <t xml:space="preserve">LC es el nivel actual del proceso; LSC y LIC (± 3σ) es la variación normal. La meta es lo que se quiere lograr.</t>
  </si>
  <si>
    <t xml:space="preserve">Punto bajo LIC: algo pasó esa semana (causa especial): buscar en el Registro qué órdenes lo bajaron.</t>
  </si>
  <si>
    <t xml:space="preserve">8 semanas seguidas bajo LC: el proceso cambió de nivel (desgaste, cambio de proveedor de palanquilla, práctica).</t>
  </si>
  <si>
    <t xml:space="preserve">Si LC está bajo la meta pero no hay señales, el proceso es estable pero incapaz: hay que cambiarlo (proyecto de mejora), no reaccionar a cada semana.</t>
  </si>
  <si>
    <t xml:space="preserve">Recalcule los límites cuando una mejora se consolide (fije el año nuevo o una fecha de corte).</t>
  </si>
  <si>
    <t xml:space="preserve">5. Palancas típicas de mejora</t>
  </si>
  <si>
    <t xml:space="preserve">Palanquilla: largo y peso optimizados por producto para minimizar el sobrante en T4 (padrón); controlar defectos (hojas, rechupes, romboidad) en la recepción; usar el largo estandarizado (el archivo 2010 muestra pérdidas por usar 3,1 m en vez de 3,2 m).</t>
  </si>
  <si>
    <t xml:space="preserve">Horno: controlar temperatura y tiempo de residencia para reducir laminilla; evitar esperas largas con material caliente.</t>
  </si>
  <si>
    <t xml:space="preserve">Cizallas: calibrar el largo de despunte con fotoceldas / HMD; revisar señales (IBA) cuando el despunte varía.</t>
  </si>
  <si>
    <t xml:space="preserve">Laminación: cambio de cilindros y guías según tonelaje, pruebas de primera barra, estandarizar la puesta a punto para reducir fuera de medida y cobles en cambios de medida y campañas cortas.</t>
  </si>
  <si>
    <t xml:space="preserve">Planificación: campañas más largas y secuencia de medidas que reduzca los cambios.</t>
  </si>
  <si>
    <t xml:space="preserve">Registro: pesar y anotar todas las pérdidas en el turno; el delta debe tender a cero.</t>
  </si>
  <si>
    <t xml:space="preserve">6. Cómo analizar una desviación</t>
  </si>
  <si>
    <t xml:space="preserve">Hecho: qué se observó (dato, no opinión). Ej.: 'Mayor pérdida en T1 y T2, 2 barras perdidas'.</t>
  </si>
  <si>
    <t xml:space="preserve">Causa: preguntar ¿por qué? hasta llegar a algo que se pueda corregir (5 porqués). Clasificarla en la categoría de la lista.</t>
  </si>
  <si>
    <t xml:space="preserve">Acción: contención (hoy), correctiva (elimina la causa) y preventiva (evita que se repita en otros productos).</t>
  </si>
  <si>
    <t xml:space="preserve">Eficacia: comparar el rendimiento del mismo producto antes y después. Si no mejora, marcar 'Cerrada - no eficaz' y volver a analizar.</t>
  </si>
  <si>
    <t xml:space="preserve">Celdas amarillas editables. Todas las hojas leen estos valores.</t>
  </si>
  <si>
    <t xml:space="preserve">Año a analizar</t>
  </si>
  <si>
    <t xml:space="preserve">Año de los resúmenes, la carta semanal y el Pareto.</t>
  </si>
  <si>
    <t xml:space="preserve">Meta general de rendimiento</t>
  </si>
  <si>
    <t xml:space="preserve">Se usa cuando el grupo no tiene meta propia. Valor por defecto: meta ponderada 2026 del CSV.</t>
  </si>
  <si>
    <t xml:space="preserve">Oxidación estimada (% del consumo)</t>
  </si>
  <si>
    <t xml:space="preserve">Se aplica cuando no se ingresa la oxidación medida. Archivo 2010: 2 %.</t>
  </si>
  <si>
    <t xml:space="preserve">Tolerancia del delta (% del consumo)</t>
  </si>
  <si>
    <t xml:space="preserve">Si |Delta| / Consumo supera este valor, la orden queda como 'Revisar balance'. Supuesto: 1 %.</t>
  </si>
  <si>
    <t xml:space="preserve">Constante d2 (carta I-MR, n = 2)</t>
  </si>
  <si>
    <t xml:space="preserve">σ = MR̄ / d2. Constante estadística; no cambiar.</t>
  </si>
  <si>
    <t xml:space="preserve">Listas y metas por grupo</t>
  </si>
  <si>
    <t xml:space="preserve">Estado de acción</t>
  </si>
  <si>
    <t xml:space="preserve">Abierta</t>
  </si>
  <si>
    <t xml:space="preserve">Contención</t>
  </si>
  <si>
    <t xml:space="preserve">B</t>
  </si>
  <si>
    <t xml:space="preserve">En curso</t>
  </si>
  <si>
    <t xml:space="preserve">C</t>
  </si>
  <si>
    <t xml:space="preserve">Preventiva</t>
  </si>
  <si>
    <t xml:space="preserve">D</t>
  </si>
  <si>
    <t xml:space="preserve">Cerrada - no eficaz</t>
  </si>
  <si>
    <t xml:space="preserve">Metas por grupo: Rend_Met del CSV de consumo 2026, ponderado por kg consumidos. Estrella no tiene órdenes en el CSV: queda en blanco y usa la meta general.</t>
  </si>
  <si>
    <t xml:space="preserve">Puede agregar valores en las filas vacías de cada lista (Grupo hasta la fila 21, Causa hasta la 23).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</si>
</sst>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\+0.00&quot; pp&quot;;\-0.00&quot; pp&quot;;0.00&quot; pp&quot;"/>
    <numFmt numFmtId="167" formatCode="#,##0;\-#,##0;\-"/>
    <numFmt numFmtId="168" formatCode="0"/>
    <numFmt numFmtId="169" formatCode="dd\-mm\-yyyy"/>
    <numFmt numFmtId="170" formatCode="mmm\-yy"/>
    <numFmt numFmtId="171" formatCode="0.00"/>
    <numFmt numFmtId="172" formatCode="0.0"/>
    <numFmt numFmtId="173" formatCode="mmm"/>
    <numFmt numFmtId="174" formatCode="0.0%"/>
    <numFmt numFmtId="175" formatCode="0%"/>
    <numFmt numFmtId="176" formatCode="0.000%"/>
    <numFmt numFmtId="177" formatCode="0.000000"/>
    <numFmt numFmtId="178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B2B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F6E6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F5E5A"/>
        <bgColor rgb="FF6F6E69"/>
      </patternFill>
    </fill>
    <fill>
      <patternFill patternType="solid">
        <fgColor rgb="FFF8D7DA"/>
        <bgColor rgb="FFFCE5D8"/>
      </patternFill>
    </fill>
    <fill>
      <patternFill patternType="solid">
        <fgColor rgb="FFFCE5D8"/>
        <bgColor rgb="FFF8D7DA"/>
      </patternFill>
    </fill>
    <fill>
      <patternFill patternType="solid">
        <fgColor rgb="FFDDEFE0"/>
        <bgColor rgb="FFF0EFEC"/>
      </patternFill>
    </fill>
    <fill>
      <patternFill patternType="solid">
        <fgColor rgb="FFF0EFEC"/>
        <bgColor rgb="FFDDEFE0"/>
      </patternFill>
    </fill>
    <fill>
      <patternFill patternType="solid">
        <fgColor rgb="FFC8102E"/>
        <bgColor rgb="FFA3121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1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C8102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F5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ont>
        <name val="Arial"/>
        <charset val="1"/>
        <family val="0"/>
        <b val="1"/>
        <color rgb="FFA3121F"/>
      </font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FCE5D8"/>
        </patternFill>
      </fill>
    </dxf>
    <dxf>
      <fill>
        <patternFill>
          <bgColor rgb="FFDDEFE0"/>
        </patternFill>
      </fill>
    </dxf>
    <dxf>
      <font>
        <name val="Arial"/>
        <charset val="1"/>
        <family val="0"/>
        <b val="1"/>
        <color rgb="FFC8102E"/>
      </font>
    </dxf>
    <dxf>
      <font>
        <name val="Arial"/>
        <charset val="1"/>
        <family val="0"/>
        <b val="1"/>
      </font>
      <fill>
        <patternFill>
          <bgColor rgb="FFF8D7DA"/>
        </patternFill>
      </fill>
    </dxf>
    <dxf>
      <fill>
        <patternFill patternType="solid">
          <fgColor rgb="FFDDEFE0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A3121F"/>
      <rgbColor rgb="FF008000"/>
      <rgbColor rgb="FF000080"/>
      <rgbColor rgb="FF6F6E69"/>
      <rgbColor rgb="FF800080"/>
      <rgbColor rgb="FF008080"/>
      <rgbColor rgb="FFC0C0C0"/>
      <rgbColor rgb="FF878787"/>
      <rgbColor rgb="FF93A9CE"/>
      <rgbColor rgb="FFAB4744"/>
      <rgbColor rgb="FFF0EFEC"/>
      <rgbColor rgb="FFE1E0D9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FE0"/>
      <rgbColor rgb="FFFCE5D8"/>
      <rgbColor rgb="FF99CCFF"/>
      <rgbColor rgb="FFD09493"/>
      <rgbColor rgb="FFCC99FF"/>
      <rgbColor rgb="FFF8D7DA"/>
      <rgbColor rgb="FF2A78D6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5F5E5A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Rendimiento mensual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mensual'!E5</c:f>
              <c:strCache>
                <c:ptCount val="1"/>
                <c:pt idx="0">
                  <c:v>Rend. metálico</c:v>
                </c:pt>
              </c:strCache>
            </c:strRef>
          </c:tx>
          <c:spPr>
            <a:solidFill>
              <a:srgbClr val="5f5e5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mensual'!$E$6:$E$17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'Resumen mensual'!F5</c:f>
              <c:strCache>
                <c:ptCount val="1"/>
                <c:pt idx="0">
                  <c:v>Meta ponderada</c:v>
                </c:pt>
              </c:strCache>
            </c:strRef>
          </c:tx>
          <c:spPr>
            <a:solidFill>
              <a:srgbClr val="c810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mensual'!$F$6:$F$17</c:f>
              <c:numCache>
                <c:formatCode>General</c:formatCode>
                <c:ptCount val="12"/>
              </c:numCache>
            </c:numRef>
          </c:val>
        </c:ser>
        <c:gapWidth val="60"/>
        <c:overlap val="0"/>
        <c:axId val="99432371"/>
        <c:axId val="88510391"/>
      </c:barChart>
      <c:catAx>
        <c:axId val="99432371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10391"/>
        <c:crosses val="autoZero"/>
        <c:auto val="1"/>
        <c:lblAlgn val="ctr"/>
        <c:lblOffset val="100"/>
        <c:noMultiLvlLbl val="0"/>
      </c:catAx>
      <c:valAx>
        <c:axId val="88510391"/>
        <c:scaling>
          <c:orientation val="minMax"/>
          <c:max val="1"/>
          <c:min val="0.8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323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Pérdidas por tipo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'Resumen mensual'!J5</c:f>
              <c:strCache>
                <c:ptCount val="1"/>
                <c:pt idx="0">
                  <c:v>T1 (kg)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mensual'!$J$6:$J$17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'Resumen mensual'!K5</c:f>
              <c:strCache>
                <c:ptCount val="1"/>
                <c:pt idx="0">
                  <c:v>T2 (kg)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mensual'!$K$6:$K$17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'Resumen mensual'!L5</c:f>
              <c:strCache>
                <c:ptCount val="1"/>
                <c:pt idx="0">
                  <c:v>T3 (kg)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mensual'!$L$6:$L$17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'Resumen mensual'!M5</c:f>
              <c:strCache>
                <c:ptCount val="1"/>
                <c:pt idx="0">
                  <c:v>T4 (kg)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mensual'!$M$6:$M$17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'Resumen mensual'!N5</c:f>
              <c:strCache>
                <c:ptCount val="1"/>
                <c:pt idx="0">
                  <c:v>Fuera de medida (kg)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mensual'!$N$6:$N$17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'Resumen mensual'!O5</c:f>
              <c:strCache>
                <c:ptCount val="1"/>
                <c:pt idx="0">
                  <c:v>Corto T4 (kg)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mensual'!$O$6:$O$17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'Resumen mensual'!P5</c:f>
              <c:strCache>
                <c:ptCount val="1"/>
                <c:pt idx="0">
                  <c:v>Cobles / barras perdidas (kg)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mensual'!$P$6:$P$17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strRef>
              <c:f>'Resumen mensual'!Q5</c:f>
              <c:strCache>
                <c:ptCount val="1"/>
                <c:pt idx="0">
                  <c:v>Oxidación (kg)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'Resumen mensual'!$Q$6:$Q$17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42304860"/>
        <c:axId val="6384447"/>
      </c:barChart>
      <c:catAx>
        <c:axId val="42304860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4447"/>
        <c:crosses val="autoZero"/>
        <c:auto val="1"/>
        <c:lblAlgn val="ctr"/>
        <c:lblOffset val="100"/>
        <c:noMultiLvlLbl val="0"/>
      </c:catAx>
      <c:valAx>
        <c:axId val="63844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048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Carta de control semanal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'Carta semanal'!E11</c:f>
              <c:strCache>
                <c:ptCount val="1"/>
                <c:pt idx="0">
                  <c:v>Rend. semanal</c:v>
                </c:pt>
              </c:strCache>
            </c:strRef>
          </c:tx>
          <c:spPr>
            <a:solidFill>
              <a:srgbClr val="5f5e5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'Carta semanal'!$B$12:$B$64</c:f>
              <c:strCache>
                <c:ptCount val="5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  <c:pt idx="52">
                  <c:v>S53</c:v>
                </c:pt>
              </c:strCache>
            </c:strRef>
          </c:cat>
          <c:val>
            <c:numRef>
              <c:f>'Carta semanal'!$E$12:$E$64</c:f>
              <c:numCache>
                <c:formatCode>General</c:formatCode>
                <c:ptCount val="53"/>
              </c:numCache>
            </c:numRef>
          </c:val>
        </c:ser>
        <c:gapWidth val="40"/>
        <c:overlap val="0"/>
        <c:axId val="96028213"/>
        <c:axId val="57981541"/>
      </c:barChart>
      <c:lineChart>
        <c:grouping val="standard"/>
        <c:varyColors val="0"/>
        <c:ser>
          <c:idx val="1"/>
          <c:order val="1"/>
          <c:tx>
            <c:strRef>
              <c:f>'Carta semanal'!G11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2b2b2b"/>
            </a:solidFill>
            <a:ln w="19080">
              <a:solidFill>
                <a:srgbClr val="2b2b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'Carta semanal'!$B$12:$B$64</c:f>
              <c:strCache>
                <c:ptCount val="5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  <c:pt idx="52">
                  <c:v>S53</c:v>
                </c:pt>
              </c:strCache>
            </c:strRef>
          </c:cat>
          <c:val>
            <c:numRef>
              <c:f>'Carta semanal'!$G$12:$G$64</c:f>
              <c:numCache>
                <c:formatCode>General</c:formatCode>
                <c:ptCount val="53"/>
              </c:numCache>
            </c:numRef>
          </c:val>
          <c:smooth val="0"/>
        </c:ser>
        <c:ser>
          <c:idx val="2"/>
          <c:order val="2"/>
          <c:tx>
            <c:strRef>
              <c:f>'Carta semanal'!H11</c:f>
              <c:strCache>
                <c:ptCount val="1"/>
                <c:pt idx="0">
                  <c:v>LSC</c:v>
                </c:pt>
              </c:strCache>
            </c:strRef>
          </c:tx>
          <c:spPr>
            <a:solidFill>
              <a:srgbClr val="c8102e"/>
            </a:solidFill>
            <a:ln w="19080">
              <a:solidFill>
                <a:srgbClr val="c8102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'Carta semanal'!$B$12:$B$64</c:f>
              <c:strCache>
                <c:ptCount val="5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  <c:pt idx="52">
                  <c:v>S53</c:v>
                </c:pt>
              </c:strCache>
            </c:strRef>
          </c:cat>
          <c:val>
            <c:numRef>
              <c:f>'Carta semanal'!$H$12:$H$64</c:f>
              <c:numCache>
                <c:formatCode>General</c:formatCode>
                <c:ptCount val="53"/>
              </c:numCache>
            </c:numRef>
          </c:val>
          <c:smooth val="0"/>
        </c:ser>
        <c:ser>
          <c:idx val="3"/>
          <c:order val="3"/>
          <c:tx>
            <c:strRef>
              <c:f>'Carta semanal'!I11</c:f>
              <c:strCache>
                <c:ptCount val="1"/>
                <c:pt idx="0">
                  <c:v>LIC</c:v>
                </c:pt>
              </c:strCache>
            </c:strRef>
          </c:tx>
          <c:spPr>
            <a:solidFill>
              <a:srgbClr val="c8102e"/>
            </a:solidFill>
            <a:ln w="19080">
              <a:solidFill>
                <a:srgbClr val="c8102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'Carta semanal'!$B$12:$B$64</c:f>
              <c:strCache>
                <c:ptCount val="5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  <c:pt idx="52">
                  <c:v>S53</c:v>
                </c:pt>
              </c:strCache>
            </c:strRef>
          </c:cat>
          <c:val>
            <c:numRef>
              <c:f>'Carta semanal'!$I$12:$I$64</c:f>
              <c:numCache>
                <c:formatCode>General</c:formatCode>
                <c:ptCount val="53"/>
              </c:numCache>
            </c:numRef>
          </c:val>
          <c:smooth val="0"/>
        </c:ser>
        <c:ser>
          <c:idx val="4"/>
          <c:order val="4"/>
          <c:tx>
            <c:strRef>
              <c:f>'Carta semanal'!J11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'Carta semanal'!$B$12:$B$64</c:f>
              <c:strCache>
                <c:ptCount val="5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  <c:pt idx="52">
                  <c:v>S53</c:v>
                </c:pt>
              </c:strCache>
            </c:strRef>
          </c:cat>
          <c:val>
            <c:numRef>
              <c:f>'Carta semanal'!$J$12:$J$64</c:f>
              <c:numCache>
                <c:formatCode>General</c:formatCode>
                <c:ptCount val="5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028213"/>
        <c:axId val="57981541"/>
      </c:lineChart>
      <c:catAx>
        <c:axId val="960282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81541"/>
        <c:crosses val="autoZero"/>
        <c:auto val="1"/>
        <c:lblAlgn val="ctr"/>
        <c:lblOffset val="100"/>
        <c:noMultiLvlLbl val="0"/>
      </c:catAx>
      <c:valAx>
        <c:axId val="57981541"/>
        <c:scaling>
          <c:orientation val="minMax"/>
          <c:max val="1"/>
          <c:min val="0.88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282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Pérdidas por tipo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Pareto!C10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c810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Pareto!$B$11:$B$19</c:f>
              <c:strCache>
                <c:ptCount val="9"/>
                <c:pt idx="0">
                  <c:v>Delta no explicado</c:v>
                </c:pt>
                <c:pt idx="1">
                  <c:v>Oxidación</c:v>
                </c:pt>
                <c:pt idx="2">
                  <c:v>Cobles / barras perdidas</c:v>
                </c:pt>
                <c:pt idx="3">
                  <c:v>Corto T4</c:v>
                </c:pt>
                <c:pt idx="4">
                  <c:v>Fuera de medida</c:v>
                </c:pt>
                <c:pt idx="5">
                  <c:v>T4</c:v>
                </c:pt>
                <c:pt idx="6">
                  <c:v>T3</c:v>
                </c:pt>
                <c:pt idx="7">
                  <c:v>T2</c:v>
                </c:pt>
                <c:pt idx="8">
                  <c:v>T1</c:v>
                </c:pt>
              </c:strCache>
            </c:strRef>
          </c:cat>
          <c:val>
            <c:numRef>
              <c:f>Pareto!$C$11:$C$19</c:f>
              <c:numCache>
                <c:formatCode>#,##0;\-#,##0;\-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19719492"/>
        <c:axId val="47044345"/>
      </c:barChart>
      <c:lineChart>
        <c:grouping val="standard"/>
        <c:varyColors val="0"/>
        <c:ser>
          <c:idx val="1"/>
          <c:order val="1"/>
          <c:tx>
            <c:strRef>
              <c:f>Pareto!E10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2b2b2b"/>
            </a:solidFill>
            <a:ln w="28440">
              <a:solidFill>
                <a:srgbClr val="2b2b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Pareto!$B$11:$B$19</c:f>
              <c:strCache>
                <c:ptCount val="9"/>
                <c:pt idx="0">
                  <c:v>Delta no explicado</c:v>
                </c:pt>
                <c:pt idx="1">
                  <c:v>Oxidación</c:v>
                </c:pt>
                <c:pt idx="2">
                  <c:v>Cobles / barras perdidas</c:v>
                </c:pt>
                <c:pt idx="3">
                  <c:v>Corto T4</c:v>
                </c:pt>
                <c:pt idx="4">
                  <c:v>Fuera de medida</c:v>
                </c:pt>
                <c:pt idx="5">
                  <c:v>T4</c:v>
                </c:pt>
                <c:pt idx="6">
                  <c:v>T3</c:v>
                </c:pt>
                <c:pt idx="7">
                  <c:v>T2</c:v>
                </c:pt>
                <c:pt idx="8">
                  <c:v>T1</c:v>
                </c:pt>
              </c:strCache>
            </c:strRef>
          </c:cat>
          <c:val>
            <c:numRef>
              <c:f>Pareto!$E$11:$E$19</c:f>
              <c:numCache>
                <c:formatCode>General</c:formatCode>
                <c:ptCount val="9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052381"/>
        <c:axId val="52466885"/>
      </c:lineChart>
      <c:catAx>
        <c:axId val="197194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44345"/>
        <c:crosses val="autoZero"/>
        <c:auto val="1"/>
        <c:lblAlgn val="ctr"/>
        <c:lblOffset val="100"/>
        <c:noMultiLvlLbl val="0"/>
      </c:catAx>
      <c:valAx>
        <c:axId val="470443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19492"/>
        <c:crosses val="autoZero"/>
        <c:crossBetween val="between"/>
      </c:valAx>
      <c:catAx>
        <c:axId val="8405238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66885"/>
        <c:crosses val="autoZero"/>
        <c:auto val="1"/>
        <c:lblAlgn val="ctr"/>
        <c:lblOffset val="100"/>
        <c:noMultiLvlLbl val="0"/>
      </c:catAx>
      <c:valAx>
        <c:axId val="52466885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5238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Kg faltantes vs meta por causa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Pareto!C37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c810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Pareto!$B$38:$B$48</c:f>
              <c:strCache>
                <c:ptCount val="11"/>
                <c:pt idx="0">
                  <c:v>Sin causa asignada</c:v>
                </c:pt>
                <c:pt idx="1">
                  <c:v>Registro / información</c:v>
                </c:pt>
                <c:pt idx="2">
                  <c:v>Operacional / práctica</c:v>
                </c:pt>
                <c:pt idx="3">
                  <c:v>Cambio de medida / campaña corta</c:v>
                </c:pt>
                <c:pt idx="4">
                  <c:v>Mecánico / guías / cilindros</c:v>
                </c:pt>
                <c:pt idx="5">
                  <c:v>Eléctrico / instrumentación</c:v>
                </c:pt>
                <c:pt idx="6">
                  <c:v>Largo de corte / padrón</c:v>
                </c:pt>
                <c:pt idx="7">
                  <c:v>Cobles / barras perdidas</c:v>
                </c:pt>
                <c:pt idx="8">
                  <c:v>Cizallas (despunte)</c:v>
                </c:pt>
                <c:pt idx="9">
                  <c:v>Horno (oxidación / temperatura)</c:v>
                </c:pt>
                <c:pt idx="10">
                  <c:v>Palanquilla (defecto / largo)</c:v>
                </c:pt>
              </c:strCache>
            </c:strRef>
          </c:cat>
          <c:val>
            <c:numRef>
              <c:f>Pareto!$C$38:$C$48</c:f>
              <c:numCache>
                <c:formatCode>#,##0;\-#,##0;\-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79873572"/>
        <c:axId val="45537781"/>
      </c:barChart>
      <c:lineChart>
        <c:grouping val="standard"/>
        <c:varyColors val="0"/>
        <c:ser>
          <c:idx val="1"/>
          <c:order val="1"/>
          <c:tx>
            <c:strRef>
              <c:f>Pareto!E37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2b2b2b"/>
            </a:solidFill>
            <a:ln w="28440">
              <a:solidFill>
                <a:srgbClr val="2b2b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Pareto!$B$38:$B$48</c:f>
              <c:strCache>
                <c:ptCount val="11"/>
                <c:pt idx="0">
                  <c:v>Sin causa asignada</c:v>
                </c:pt>
                <c:pt idx="1">
                  <c:v>Registro / información</c:v>
                </c:pt>
                <c:pt idx="2">
                  <c:v>Operacional / práctica</c:v>
                </c:pt>
                <c:pt idx="3">
                  <c:v>Cambio de medida / campaña corta</c:v>
                </c:pt>
                <c:pt idx="4">
                  <c:v>Mecánico / guías / cilindros</c:v>
                </c:pt>
                <c:pt idx="5">
                  <c:v>Eléctrico / instrumentación</c:v>
                </c:pt>
                <c:pt idx="6">
                  <c:v>Largo de corte / padrón</c:v>
                </c:pt>
                <c:pt idx="7">
                  <c:v>Cobles / barras perdidas</c:v>
                </c:pt>
                <c:pt idx="8">
                  <c:v>Cizallas (despunte)</c:v>
                </c:pt>
                <c:pt idx="9">
                  <c:v>Horno (oxidación / temperatura)</c:v>
                </c:pt>
                <c:pt idx="10">
                  <c:v>Palanquilla (defecto / largo)</c:v>
                </c:pt>
              </c:strCache>
            </c:strRef>
          </c:cat>
          <c:val>
            <c:numRef>
              <c:f>Pareto!$E$38:$E$48</c:f>
              <c:numCache>
                <c:formatCode>General</c:formatCode>
                <c:ptCount val="1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90287"/>
        <c:axId val="51657138"/>
      </c:lineChart>
      <c:catAx>
        <c:axId val="79873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37781"/>
        <c:crosses val="autoZero"/>
        <c:auto val="1"/>
        <c:lblAlgn val="ctr"/>
        <c:lblOffset val="100"/>
        <c:noMultiLvlLbl val="0"/>
      </c:catAx>
      <c:valAx>
        <c:axId val="45537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73572"/>
        <c:crosses val="autoZero"/>
        <c:crossBetween val="between"/>
      </c:valAx>
      <c:catAx>
        <c:axId val="119028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57138"/>
        <c:crosses val="autoZero"/>
        <c:auto val="1"/>
        <c:lblAlgn val="ctr"/>
        <c:lblOffset val="100"/>
        <c:noMultiLvlLbl val="0"/>
      </c:catAx>
      <c:valAx>
        <c:axId val="51657138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028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Kg faltantes vs meta por grupo de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Pareto!C68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c810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Pareto!$B$69:$B$76</c:f>
              <c:strCache>
                <c:ptCount val="8"/>
                <c:pt idx="0">
                  <c:v>Hexágono</c:v>
                </c:pt>
                <c:pt idx="1">
                  <c:v>Saferock</c:v>
                </c:pt>
                <c:pt idx="2">
                  <c:v>Estrella</c:v>
                </c:pt>
                <c:pt idx="3">
                  <c:v>Cuadrado</c:v>
                </c:pt>
                <c:pt idx="4">
                  <c:v>Ángulo</c:v>
                </c:pt>
                <c:pt idx="5">
                  <c:v>Plana</c:v>
                </c:pt>
                <c:pt idx="6">
                  <c:v>Redondo liso</c:v>
                </c:pt>
                <c:pt idx="7">
                  <c:v>B Hormigón</c:v>
                </c:pt>
              </c:strCache>
            </c:strRef>
          </c:cat>
          <c:val>
            <c:numRef>
              <c:f>Pareto!$C$69:$C$76</c:f>
              <c:numCache>
                <c:formatCode>#,##0;\-#,##0;\-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4245008"/>
        <c:axId val="71808437"/>
      </c:barChart>
      <c:lineChart>
        <c:grouping val="standard"/>
        <c:varyColors val="0"/>
        <c:ser>
          <c:idx val="1"/>
          <c:order val="1"/>
          <c:tx>
            <c:strRef>
              <c:f>Pareto!E68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2b2b2b"/>
            </a:solidFill>
            <a:ln w="28440">
              <a:solidFill>
                <a:srgbClr val="2b2b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Pareto!$B$69:$B$76</c:f>
              <c:strCache>
                <c:ptCount val="8"/>
                <c:pt idx="0">
                  <c:v>Hexágono</c:v>
                </c:pt>
                <c:pt idx="1">
                  <c:v>Saferock</c:v>
                </c:pt>
                <c:pt idx="2">
                  <c:v>Estrella</c:v>
                </c:pt>
                <c:pt idx="3">
                  <c:v>Cuadrado</c:v>
                </c:pt>
                <c:pt idx="4">
                  <c:v>Ángulo</c:v>
                </c:pt>
                <c:pt idx="5">
                  <c:v>Plana</c:v>
                </c:pt>
                <c:pt idx="6">
                  <c:v>Redondo liso</c:v>
                </c:pt>
                <c:pt idx="7">
                  <c:v>B Hormigón</c:v>
                </c:pt>
              </c:strCache>
            </c:strRef>
          </c:cat>
          <c:val>
            <c:numRef>
              <c:f>Pareto!$E$69:$E$76</c:f>
              <c:numCache>
                <c:formatCode>General</c:formatCode>
                <c:ptCount val="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520148"/>
        <c:axId val="5403381"/>
      </c:lineChart>
      <c:catAx>
        <c:axId val="9424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08437"/>
        <c:crosses val="autoZero"/>
        <c:auto val="1"/>
        <c:lblAlgn val="ctr"/>
        <c:lblOffset val="100"/>
        <c:noMultiLvlLbl val="0"/>
      </c:catAx>
      <c:valAx>
        <c:axId val="71808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45008"/>
        <c:crosses val="autoZero"/>
        <c:crossBetween val="between"/>
      </c:valAx>
      <c:catAx>
        <c:axId val="7452014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3381"/>
        <c:crosses val="autoZero"/>
        <c:auto val="1"/>
        <c:lblAlgn val="ctr"/>
        <c:lblOffset val="100"/>
        <c:noMultiLvlLbl val="0"/>
      </c:catAx>
      <c:valAx>
        <c:axId val="5403381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2014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160560</xdr:rowOff>
    </xdr:from>
    <xdr:to>
      <xdr:col>6</xdr:col>
      <xdr:colOff>341280</xdr:colOff>
      <xdr:row>46</xdr:row>
      <xdr:rowOff>2520</xdr:rowOff>
    </xdr:to>
    <xdr:graphicFrame>
      <xdr:nvGraphicFramePr>
        <xdr:cNvPr id="0" name="Chart 1"/>
        <xdr:cNvGraphicFramePr/>
      </xdr:nvGraphicFramePr>
      <xdr:xfrm>
        <a:off x="0" y="6781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31</xdr:row>
      <xdr:rowOff>160560</xdr:rowOff>
    </xdr:from>
    <xdr:to>
      <xdr:col>15</xdr:col>
      <xdr:colOff>785520</xdr:colOff>
      <xdr:row>46</xdr:row>
      <xdr:rowOff>2520</xdr:rowOff>
    </xdr:to>
    <xdr:graphicFrame>
      <xdr:nvGraphicFramePr>
        <xdr:cNvPr id="1" name="Chart 2"/>
        <xdr:cNvGraphicFramePr/>
      </xdr:nvGraphicFramePr>
      <xdr:xfrm>
        <a:off x="8267760" y="6781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25</xdr:col>
      <xdr:colOff>253800</xdr:colOff>
      <xdr:row>18</xdr:row>
      <xdr:rowOff>9720</xdr:rowOff>
    </xdr:to>
    <xdr:graphicFrame>
      <xdr:nvGraphicFramePr>
        <xdr:cNvPr id="2" name="Chart 1"/>
        <xdr:cNvGraphicFramePr/>
      </xdr:nvGraphicFramePr>
      <xdr:xfrm>
        <a:off x="15160680" y="5716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160560</xdr:rowOff>
    </xdr:from>
    <xdr:to>
      <xdr:col>15</xdr:col>
      <xdr:colOff>408960</xdr:colOff>
      <xdr:row>22</xdr:row>
      <xdr:rowOff>9360</xdr:rowOff>
    </xdr:to>
    <xdr:graphicFrame>
      <xdr:nvGraphicFramePr>
        <xdr:cNvPr id="3" name="Chart 1"/>
        <xdr:cNvGraphicFramePr/>
      </xdr:nvGraphicFramePr>
      <xdr:xfrm>
        <a:off x="8493120" y="1333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160560</xdr:rowOff>
    </xdr:from>
    <xdr:to>
      <xdr:col>15</xdr:col>
      <xdr:colOff>408960</xdr:colOff>
      <xdr:row>49</xdr:row>
      <xdr:rowOff>9360</xdr:rowOff>
    </xdr:to>
    <xdr:graphicFrame>
      <xdr:nvGraphicFramePr>
        <xdr:cNvPr id="4" name="Chart 2"/>
        <xdr:cNvGraphicFramePr/>
      </xdr:nvGraphicFramePr>
      <xdr:xfrm>
        <a:off x="8493120" y="68198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64</xdr:row>
      <xdr:rowOff>160560</xdr:rowOff>
    </xdr:from>
    <xdr:to>
      <xdr:col>15</xdr:col>
      <xdr:colOff>408960</xdr:colOff>
      <xdr:row>80</xdr:row>
      <xdr:rowOff>9360</xdr:rowOff>
    </xdr:to>
    <xdr:graphicFrame>
      <xdr:nvGraphicFramePr>
        <xdr:cNvPr id="5" name="Chart 3"/>
        <xdr:cNvGraphicFramePr/>
      </xdr:nvGraphicFramePr>
      <xdr:xfrm>
        <a:off x="8493120" y="13068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5" t="str">
        <f aca="false">'Resumen mensual'!E18</f>
        <v/>
      </c>
      <c r="C4" s="2"/>
      <c r="D4" s="2"/>
      <c r="E4" s="2"/>
      <c r="F4" s="2"/>
    </row>
    <row r="5" customFormat="false" ht="15" hidden="false" customHeight="false" outlineLevel="0" collapsed="false">
      <c r="A5" s="4" t="s">
        <v>3</v>
      </c>
      <c r="B5" s="5" t="str">
        <f aca="false">'Resumen mensual'!F18</f>
        <v/>
      </c>
      <c r="C5" s="2"/>
      <c r="D5" s="2"/>
      <c r="E5" s="2"/>
      <c r="F5" s="2"/>
    </row>
    <row r="6" customFormat="false" ht="15" hidden="false" customHeight="false" outlineLevel="0" collapsed="false">
      <c r="A6" s="4" t="s">
        <v>4</v>
      </c>
      <c r="B6" s="6" t="str">
        <f aca="false">'Resumen mensual'!G18</f>
        <v/>
      </c>
      <c r="C6" s="2"/>
      <c r="D6" s="2"/>
      <c r="E6" s="2"/>
      <c r="F6" s="2"/>
    </row>
    <row r="7" customFormat="false" ht="15" hidden="false" customHeight="false" outlineLevel="0" collapsed="false">
      <c r="A7" s="4" t="s">
        <v>5</v>
      </c>
      <c r="B7" s="7" t="n">
        <f aca="false">'Resumen mensual'!H18</f>
        <v>0</v>
      </c>
      <c r="C7" s="2"/>
      <c r="D7" s="2"/>
      <c r="E7" s="2"/>
      <c r="F7" s="2"/>
    </row>
    <row r="8" customFormat="false" ht="15" hidden="false" customHeight="false" outlineLevel="0" collapsed="false">
      <c r="A8" s="4" t="s">
        <v>6</v>
      </c>
      <c r="B8" s="7" t="n">
        <f aca="false">'Resumen mensual'!S18</f>
        <v>0</v>
      </c>
      <c r="C8" s="2"/>
      <c r="D8" s="2"/>
      <c r="E8" s="2"/>
      <c r="F8" s="2"/>
    </row>
    <row r="9" customFormat="false" ht="15" hidden="false" customHeight="false" outlineLevel="0" collapsed="false">
      <c r="A9" s="4" t="s">
        <v>7</v>
      </c>
      <c r="B9" s="7" t="n">
        <f aca="false">'Resumen mensual'!T18</f>
        <v>0</v>
      </c>
      <c r="C9" s="2"/>
      <c r="D9" s="2"/>
      <c r="E9" s="2"/>
      <c r="F9" s="2"/>
    </row>
    <row r="10" customFormat="false" ht="15" hidden="false" customHeight="false" outlineLevel="0" collapsed="false">
      <c r="A10" s="4" t="s">
        <v>8</v>
      </c>
      <c r="B10" s="5" t="str">
        <f aca="false">'Resumen mensual'!U18</f>
        <v/>
      </c>
      <c r="C10" s="2"/>
      <c r="D10" s="2"/>
      <c r="E10" s="2"/>
      <c r="F10" s="2"/>
    </row>
    <row r="11" customFormat="false" ht="15" hidden="false" customHeight="false" outlineLevel="0" collapsed="false">
      <c r="A11" s="4" t="s">
        <v>9</v>
      </c>
      <c r="B11" s="8" t="n">
        <f aca="false">'Resumen mensual'!B18</f>
        <v>0</v>
      </c>
      <c r="C11" s="2"/>
      <c r="D11" s="2"/>
      <c r="E11" s="2"/>
      <c r="F11" s="2"/>
    </row>
    <row r="12" customFormat="false" ht="15" hidden="false" customHeight="false" outlineLevel="0" collapsed="false">
      <c r="A12" s="4" t="s">
        <v>10</v>
      </c>
      <c r="B12" s="8" t="n">
        <f aca="false">'Resumen mensual'!I18</f>
        <v>0</v>
      </c>
      <c r="C12" s="2"/>
      <c r="D12" s="2"/>
      <c r="E12" s="2"/>
      <c r="F12" s="2"/>
    </row>
    <row r="13" customFormat="false" ht="15" hidden="false" customHeight="false" outlineLevel="0" collapsed="false">
      <c r="A13" s="4" t="s">
        <v>11</v>
      </c>
      <c r="B13" s="8" t="n">
        <f aca="false">COUNTIF(Registro!$AJ$6:$AJ$1005,"Error*")+COUNTIF(Registro!$AJ$6:$AJ$1005,"Revisar balance")</f>
        <v>0</v>
      </c>
      <c r="C13" s="2"/>
      <c r="D13" s="2"/>
      <c r="E13" s="2"/>
      <c r="F13" s="2"/>
    </row>
    <row r="14" customFormat="false" ht="15" hidden="false" customHeight="false" outlineLevel="0" collapsed="false">
      <c r="A14" s="4" t="s">
        <v>12</v>
      </c>
      <c r="B14" s="8" t="n">
        <f aca="false">COUNTIF('Plan de acción'!R5:R204,"&gt;0")</f>
        <v>0</v>
      </c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3" t="s">
        <v>13</v>
      </c>
      <c r="B17" s="2"/>
      <c r="C17" s="2"/>
      <c r="D17" s="2"/>
      <c r="E17" s="2"/>
      <c r="F17" s="2"/>
    </row>
    <row r="18" customFormat="false" ht="27.75" hidden="false" customHeight="true" outlineLevel="0" collapsed="false">
      <c r="A18" s="9" t="s">
        <v>14</v>
      </c>
      <c r="B18" s="9"/>
      <c r="C18" s="9"/>
      <c r="D18" s="9"/>
      <c r="E18" s="9"/>
      <c r="F18" s="9"/>
    </row>
    <row r="19" customFormat="false" ht="27.75" hidden="false" customHeight="true" outlineLevel="0" collapsed="false">
      <c r="A19" s="9" t="s">
        <v>15</v>
      </c>
      <c r="B19" s="9"/>
      <c r="C19" s="9"/>
      <c r="D19" s="9"/>
      <c r="E19" s="9"/>
      <c r="F19" s="9"/>
    </row>
    <row r="20" customFormat="false" ht="27.75" hidden="false" customHeight="true" outlineLevel="0" collapsed="false">
      <c r="A20" s="9" t="s">
        <v>16</v>
      </c>
      <c r="B20" s="9"/>
      <c r="C20" s="9"/>
      <c r="D20" s="9"/>
      <c r="E20" s="9"/>
      <c r="F20" s="9"/>
    </row>
    <row r="21" customFormat="false" ht="27.75" hidden="false" customHeight="true" outlineLevel="0" collapsed="false">
      <c r="A21" s="9" t="s">
        <v>17</v>
      </c>
      <c r="B21" s="9"/>
      <c r="C21" s="9"/>
      <c r="D21" s="9"/>
      <c r="E21" s="9"/>
      <c r="F21" s="9"/>
    </row>
    <row r="22" customFormat="false" ht="27.75" hidden="false" customHeight="true" outlineLevel="0" collapsed="false">
      <c r="A22" s="9" t="s">
        <v>18</v>
      </c>
      <c r="B22" s="9"/>
      <c r="C22" s="9"/>
      <c r="D22" s="9"/>
      <c r="E22" s="9"/>
      <c r="F22" s="9"/>
    </row>
    <row r="23" customFormat="false" ht="27.75" hidden="false" customHeight="true" outlineLevel="0" collapsed="false">
      <c r="A23" s="9" t="s">
        <v>19</v>
      </c>
      <c r="B23" s="9"/>
      <c r="C23" s="9"/>
      <c r="D23" s="9"/>
      <c r="E23" s="9"/>
      <c r="F23" s="9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3" t="s">
        <v>20</v>
      </c>
      <c r="B25" s="2"/>
      <c r="C25" s="2"/>
      <c r="D25" s="2"/>
      <c r="E25" s="2"/>
      <c r="F25" s="2"/>
    </row>
    <row r="26" customFormat="false" ht="15" hidden="false" customHeight="false" outlineLevel="0" collapsed="false">
      <c r="A26" s="10" t="s">
        <v>21</v>
      </c>
      <c r="B26" s="11" t="s">
        <v>22</v>
      </c>
      <c r="C26" s="2"/>
      <c r="D26" s="2"/>
      <c r="E26" s="2"/>
      <c r="F26" s="2"/>
    </row>
    <row r="27" customFormat="false" ht="15" hidden="false" customHeight="false" outlineLevel="0" collapsed="false">
      <c r="A27" s="12" t="s">
        <v>21</v>
      </c>
      <c r="B27" s="11" t="s">
        <v>23</v>
      </c>
      <c r="C27" s="2"/>
      <c r="D27" s="2"/>
      <c r="E27" s="2"/>
      <c r="F27" s="2"/>
    </row>
    <row r="28" customFormat="false" ht="15" hidden="false" customHeight="false" outlineLevel="0" collapsed="false">
      <c r="A28" s="13" t="s">
        <v>21</v>
      </c>
      <c r="B28" s="11" t="s">
        <v>24</v>
      </c>
      <c r="C28" s="2"/>
      <c r="D28" s="2"/>
      <c r="E28" s="2"/>
      <c r="F28" s="2"/>
    </row>
    <row r="29" customFormat="false" ht="15" hidden="false" customHeight="false" outlineLevel="0" collapsed="false">
      <c r="A29" s="14" t="s">
        <v>21</v>
      </c>
      <c r="B29" s="11" t="s">
        <v>25</v>
      </c>
      <c r="C29" s="2"/>
      <c r="D29" s="2"/>
      <c r="E29" s="2"/>
      <c r="F29" s="2"/>
    </row>
    <row r="30" customFormat="false" ht="15" hidden="false" customHeight="false" outlineLevel="0" collapsed="false">
      <c r="A30" s="15" t="s">
        <v>21</v>
      </c>
      <c r="B30" s="11" t="s">
        <v>26</v>
      </c>
      <c r="C30" s="2"/>
      <c r="D30" s="2"/>
      <c r="E30" s="2"/>
      <c r="F30" s="2"/>
    </row>
    <row r="31" customFormat="false" ht="15" hidden="false" customHeight="false" outlineLevel="0" collapsed="false">
      <c r="A31" s="16" t="s">
        <v>21</v>
      </c>
      <c r="B31" s="11" t="s">
        <v>27</v>
      </c>
      <c r="C31" s="2"/>
      <c r="D31" s="2"/>
      <c r="E31" s="2"/>
      <c r="F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</row>
    <row r="33" customFormat="false" ht="15" hidden="false" customHeight="false" outlineLevel="0" collapsed="false">
      <c r="A33" s="3" t="s">
        <v>28</v>
      </c>
      <c r="B33" s="2"/>
      <c r="C33" s="2"/>
      <c r="D33" s="2"/>
      <c r="E33" s="2"/>
      <c r="F33" s="2"/>
    </row>
    <row r="34" customFormat="false" ht="15" hidden="false" customHeight="false" outlineLevel="0" collapsed="false">
      <c r="A34" s="17" t="s">
        <v>29</v>
      </c>
      <c r="B34" s="11" t="s">
        <v>30</v>
      </c>
      <c r="C34" s="2"/>
      <c r="D34" s="2"/>
      <c r="E34" s="2"/>
      <c r="F34" s="2"/>
    </row>
    <row r="35" customFormat="false" ht="15" hidden="false" customHeight="false" outlineLevel="0" collapsed="false">
      <c r="A35" s="17" t="s">
        <v>31</v>
      </c>
      <c r="B35" s="11" t="s">
        <v>32</v>
      </c>
      <c r="C35" s="2"/>
      <c r="D35" s="2"/>
      <c r="E35" s="2"/>
      <c r="F35" s="2"/>
    </row>
    <row r="36" customFormat="false" ht="15" hidden="false" customHeight="false" outlineLevel="0" collapsed="false">
      <c r="A36" s="17" t="s">
        <v>33</v>
      </c>
      <c r="B36" s="11" t="s">
        <v>34</v>
      </c>
      <c r="C36" s="2"/>
      <c r="D36" s="2"/>
      <c r="E36" s="2"/>
      <c r="F36" s="2"/>
    </row>
    <row r="37" customFormat="false" ht="15" hidden="false" customHeight="false" outlineLevel="0" collapsed="false">
      <c r="A37" s="17" t="s">
        <v>35</v>
      </c>
      <c r="B37" s="11" t="s">
        <v>36</v>
      </c>
      <c r="C37" s="2"/>
      <c r="D37" s="2"/>
      <c r="E37" s="2"/>
      <c r="F37" s="2"/>
    </row>
    <row r="38" customFormat="false" ht="15" hidden="false" customHeight="false" outlineLevel="0" collapsed="false">
      <c r="A38" s="17" t="s">
        <v>37</v>
      </c>
      <c r="B38" s="11" t="s">
        <v>38</v>
      </c>
      <c r="C38" s="2"/>
      <c r="D38" s="2"/>
      <c r="E38" s="2"/>
      <c r="F38" s="2"/>
    </row>
    <row r="39" customFormat="false" ht="15" hidden="false" customHeight="false" outlineLevel="0" collapsed="false">
      <c r="A39" s="17" t="s">
        <v>39</v>
      </c>
      <c r="B39" s="11" t="s">
        <v>40</v>
      </c>
      <c r="C39" s="2"/>
      <c r="D39" s="2"/>
      <c r="E39" s="2"/>
      <c r="F39" s="2"/>
    </row>
    <row r="40" customFormat="false" ht="15" hidden="false" customHeight="false" outlineLevel="0" collapsed="false">
      <c r="A40" s="17" t="s">
        <v>41</v>
      </c>
      <c r="B40" s="11" t="s">
        <v>42</v>
      </c>
      <c r="C40" s="2"/>
      <c r="D40" s="2"/>
      <c r="E40" s="2"/>
      <c r="F40" s="2"/>
    </row>
  </sheetData>
  <mergeCells count="6">
    <mergeCell ref="A18:F18"/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O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7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7"/>
    <col collapsed="false" customWidth="true" hidden="false" outlineLevel="0" max="14" min="13" style="0" width="11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9" min="18" style="0" width="10"/>
    <col collapsed="false" customWidth="true" hidden="false" outlineLevel="0" max="23" min="20" style="0" width="8"/>
    <col collapsed="false" customWidth="true" hidden="false" outlineLevel="0" max="24" min="24" style="0" width="9"/>
    <col collapsed="false" customWidth="true" hidden="false" outlineLevel="0" max="25" min="25" style="0" width="8"/>
    <col collapsed="false" customWidth="true" hidden="false" outlineLevel="0" max="26" min="26" style="0" width="10"/>
    <col collapsed="false" customWidth="true" hidden="false" outlineLevel="0" max="27" min="27" style="0" width="8"/>
    <col collapsed="false" customWidth="true" hidden="false" outlineLevel="0" max="32" min="28" style="0" width="10"/>
    <col collapsed="false" customWidth="true" hidden="false" outlineLevel="0" max="33" min="33" style="0" width="8"/>
    <col collapsed="false" customWidth="true" hidden="false" outlineLevel="0" max="34" min="34" style="0" width="9"/>
    <col collapsed="false" customWidth="true" hidden="true" outlineLevel="0" max="35" min="35" style="0" width="11"/>
    <col collapsed="false" customWidth="true" hidden="false" outlineLevel="0" max="36" min="36" style="0" width="15"/>
    <col collapsed="false" customWidth="true" hidden="false" outlineLevel="0" max="37" min="37" style="0" width="30"/>
    <col collapsed="false" customWidth="true" hidden="false" outlineLevel="0" max="38" min="38" style="0" width="24"/>
    <col collapsed="false" customWidth="true" hidden="false" outlineLevel="0" max="40" min="39" style="0" width="30"/>
    <col collapsed="false" customWidth="true" hidden="false" outlineLevel="0" max="41" min="41" style="0" width="13"/>
  </cols>
  <sheetData>
    <row r="1" customFormat="false" ht="17.35" hidden="false" customHeight="false" outlineLevel="0" collapsed="false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15" hidden="false" customHeight="false" outlineLevel="0" collapsed="false">
      <c r="A2" s="18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5" hidden="false" customHeight="false" outlineLevel="0" collapsed="false">
      <c r="A3" s="18" t="s">
        <v>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5" hidden="false" customHeight="false" outlineLevel="0" collapsed="false">
      <c r="A4" s="19" t="s">
        <v>46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 t="s">
        <v>47</v>
      </c>
      <c r="M4" s="19"/>
      <c r="N4" s="19"/>
      <c r="O4" s="19"/>
      <c r="P4" s="19"/>
      <c r="Q4" s="19"/>
      <c r="R4" s="19"/>
      <c r="S4" s="19"/>
      <c r="T4" s="19" t="s">
        <v>48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 t="s">
        <v>49</v>
      </c>
      <c r="AF4" s="19"/>
      <c r="AG4" s="19"/>
      <c r="AH4" s="19"/>
      <c r="AI4" s="19"/>
      <c r="AJ4" s="19"/>
      <c r="AK4" s="19" t="s">
        <v>50</v>
      </c>
      <c r="AL4" s="19"/>
      <c r="AM4" s="19"/>
      <c r="AN4" s="19"/>
      <c r="AO4" s="19"/>
    </row>
    <row r="5" customFormat="false" ht="42" hidden="false" customHeight="true" outlineLevel="0" collapsed="false">
      <c r="A5" s="20" t="s">
        <v>51</v>
      </c>
      <c r="B5" s="21" t="s">
        <v>52</v>
      </c>
      <c r="C5" s="21" t="s">
        <v>53</v>
      </c>
      <c r="D5" s="21" t="s">
        <v>54</v>
      </c>
      <c r="E5" s="20" t="s">
        <v>55</v>
      </c>
      <c r="F5" s="20" t="s">
        <v>56</v>
      </c>
      <c r="G5" s="20" t="s">
        <v>57</v>
      </c>
      <c r="H5" s="20" t="s">
        <v>58</v>
      </c>
      <c r="I5" s="20" t="s">
        <v>59</v>
      </c>
      <c r="J5" s="20" t="s">
        <v>60</v>
      </c>
      <c r="K5" s="20" t="s">
        <v>61</v>
      </c>
      <c r="L5" s="20" t="s">
        <v>62</v>
      </c>
      <c r="M5" s="20" t="s">
        <v>63</v>
      </c>
      <c r="N5" s="20" t="s">
        <v>64</v>
      </c>
      <c r="O5" s="21" t="s">
        <v>65</v>
      </c>
      <c r="P5" s="21" t="s">
        <v>66</v>
      </c>
      <c r="Q5" s="21" t="s">
        <v>67</v>
      </c>
      <c r="R5" s="21" t="s">
        <v>5</v>
      </c>
      <c r="S5" s="21" t="s">
        <v>68</v>
      </c>
      <c r="T5" s="20" t="s">
        <v>69</v>
      </c>
      <c r="U5" s="20" t="s">
        <v>70</v>
      </c>
      <c r="V5" s="20" t="s">
        <v>71</v>
      </c>
      <c r="W5" s="20" t="s">
        <v>72</v>
      </c>
      <c r="X5" s="20" t="s">
        <v>73</v>
      </c>
      <c r="Y5" s="20" t="s">
        <v>74</v>
      </c>
      <c r="Z5" s="20" t="s">
        <v>75</v>
      </c>
      <c r="AA5" s="20" t="s">
        <v>76</v>
      </c>
      <c r="AB5" s="20" t="s">
        <v>77</v>
      </c>
      <c r="AC5" s="21" t="s">
        <v>78</v>
      </c>
      <c r="AD5" s="21" t="s">
        <v>79</v>
      </c>
      <c r="AE5" s="21" t="s">
        <v>6</v>
      </c>
      <c r="AF5" s="21" t="s">
        <v>7</v>
      </c>
      <c r="AG5" s="21" t="s">
        <v>8</v>
      </c>
      <c r="AH5" s="21" t="s">
        <v>80</v>
      </c>
      <c r="AI5" s="21" t="s">
        <v>81</v>
      </c>
      <c r="AJ5" s="21" t="s">
        <v>82</v>
      </c>
      <c r="AK5" s="20" t="s">
        <v>83</v>
      </c>
      <c r="AL5" s="20" t="s">
        <v>84</v>
      </c>
      <c r="AM5" s="20" t="s">
        <v>85</v>
      </c>
      <c r="AN5" s="20" t="s">
        <v>86</v>
      </c>
      <c r="AO5" s="20" t="s">
        <v>87</v>
      </c>
    </row>
    <row r="6" customFormat="false" ht="15" hidden="false" customHeight="false" outlineLevel="0" collapsed="false">
      <c r="A6" s="22" t="n">
        <v>40484</v>
      </c>
      <c r="B6" s="23" t="n">
        <f aca="false">IF(A6="","",YEAR(A6-WEEKDAY(A6,2)+4))</f>
        <v>2010</v>
      </c>
      <c r="C6" s="23" t="n">
        <f aca="false">IF(A6="","",WEEKNUM(A6,21))</f>
        <v>44</v>
      </c>
      <c r="D6" s="24" t="n">
        <f aca="false">IF(A6="","",DATE(YEAR(A6),MONTH(A6),1))</f>
        <v>40483</v>
      </c>
      <c r="E6" s="10" t="s">
        <v>88</v>
      </c>
      <c r="F6" s="25" t="n">
        <v>1008027</v>
      </c>
      <c r="G6" s="25" t="n">
        <v>3027</v>
      </c>
      <c r="H6" s="10" t="s">
        <v>89</v>
      </c>
      <c r="I6" s="10" t="s">
        <v>90</v>
      </c>
      <c r="J6" s="26" t="n">
        <v>3.2</v>
      </c>
      <c r="K6" s="25" t="n">
        <v>356</v>
      </c>
      <c r="L6" s="26" t="n">
        <v>8.23</v>
      </c>
      <c r="M6" s="27" t="n">
        <v>139814</v>
      </c>
      <c r="N6" s="27" t="n">
        <v>131826</v>
      </c>
      <c r="O6" s="28" t="n">
        <f aca="false">IF(OR(M6="",M6=0,N6=""),"",N6/M6)</f>
        <v>0.942866951807401</v>
      </c>
      <c r="P6" s="28" t="n">
        <f aca="false">IF(M6="","",IFERROR(IF(INDEX(Parámetros!$B$14:$B$21,MATCH(I6,Parámetros!$A$14:$A$21,0))="",Parámetros!$B$5,INDEX(Parámetros!$B$14:$B$21,MATCH(I6,Parámetros!$A$14:$A$21,0))),Parámetros!$B$5))</f>
        <v>0.9609</v>
      </c>
      <c r="Q6" s="29" t="n">
        <f aca="false">IF(O6="","",(O6-P6)*100)</f>
        <v>-1.80330481925988</v>
      </c>
      <c r="R6" s="30" t="n">
        <f aca="false">IF(O6="","",MAX(0,M6*(P6-O6)))</f>
        <v>2521.2726</v>
      </c>
      <c r="S6" s="31" t="n">
        <f aca="false">IF(OR(L6="",L6=0,N6=""),"",N6/1000/L6)</f>
        <v>16.0177399756987</v>
      </c>
      <c r="T6" s="27" t="n">
        <v>2000</v>
      </c>
      <c r="U6" s="27" t="n">
        <v>395</v>
      </c>
      <c r="V6" s="27" t="n">
        <v>0</v>
      </c>
      <c r="W6" s="27" t="n">
        <v>1140</v>
      </c>
      <c r="X6" s="27" t="n">
        <v>0</v>
      </c>
      <c r="Y6" s="27" t="n">
        <v>1730</v>
      </c>
      <c r="Z6" s="27" t="n">
        <v>390</v>
      </c>
      <c r="AA6" s="25" t="n">
        <v>1</v>
      </c>
      <c r="AB6" s="27"/>
      <c r="AC6" s="30" t="n">
        <f aca="false">IF(M6="","",IF(AB6="",M6*Parámetros!$B$6,AB6))</f>
        <v>2796.28</v>
      </c>
      <c r="AD6" s="30" t="n">
        <f aca="false">IF(M6="","",SUM(T6:Z6)+AC6)</f>
        <v>8451.28</v>
      </c>
      <c r="AE6" s="30" t="n">
        <f aca="false">IF(OR(M6="",N6=""),"",M6-N6)</f>
        <v>7988</v>
      </c>
      <c r="AF6" s="30" t="n">
        <f aca="false">IF(AE6="","",AE6-AD6)</f>
        <v>-463.280000000001</v>
      </c>
      <c r="AG6" s="28" t="n">
        <f aca="false">IF(OR(AF6="",M6=0),"",AF6/M6)</f>
        <v>-0.00331354513854121</v>
      </c>
      <c r="AH6" s="32" t="n">
        <f aca="false">IF(OR(AE6="",N6=0),"",AE6/(N6/1000))</f>
        <v>60.5950267777222</v>
      </c>
      <c r="AI6" s="30" t="n">
        <f aca="false">IF(O6="","",M6*P6)</f>
        <v>134347.2726</v>
      </c>
      <c r="AJ6" s="11" t="str">
        <f aca="false">IF(O6="","",IF(O6&gt;1,"Error: rend &gt; 100 %",IF(SUM(T6:Z6)=0,"Falta registrar pérdidas",IF(ABS(AG6)&gt;Parámetros!$B$7,"Revisar balance",IF(O6&lt;P6,"Bajo meta","OK")))))</f>
        <v>Bajo meta</v>
      </c>
      <c r="AK6" s="33" t="s">
        <v>91</v>
      </c>
      <c r="AL6" s="10" t="s">
        <v>92</v>
      </c>
      <c r="AM6" s="33" t="s">
        <v>93</v>
      </c>
      <c r="AN6" s="33" t="s">
        <v>94</v>
      </c>
      <c r="AO6" s="10" t="s">
        <v>95</v>
      </c>
    </row>
    <row r="7" customFormat="false" ht="15" hidden="false" customHeight="false" outlineLevel="0" collapsed="false">
      <c r="A7" s="22"/>
      <c r="B7" s="23" t="str">
        <f aca="false">IF(A7="","",YEAR(A7-WEEKDAY(A7,2)+4))</f>
        <v/>
      </c>
      <c r="C7" s="23" t="str">
        <f aca="false">IF(A7="","",WEEKNUM(A7,21))</f>
        <v/>
      </c>
      <c r="D7" s="24" t="str">
        <f aca="false">IF(A7="","",DATE(YEAR(A7),MONTH(A7),1))</f>
        <v/>
      </c>
      <c r="E7" s="10"/>
      <c r="F7" s="25"/>
      <c r="G7" s="25"/>
      <c r="H7" s="10"/>
      <c r="I7" s="10"/>
      <c r="J7" s="26"/>
      <c r="K7" s="25"/>
      <c r="L7" s="26"/>
      <c r="M7" s="27"/>
      <c r="N7" s="27"/>
      <c r="O7" s="28" t="str">
        <f aca="false">IF(OR(M7="",M7=0,N7=""),"",N7/M7)</f>
        <v/>
      </c>
      <c r="P7" s="28" t="str">
        <f aca="false">IF(M7="","",IFERROR(IF(INDEX(Parámetros!$B$14:$B$21,MATCH(I7,Parámetros!$A$14:$A$21,0))="",Parámetros!$B$5,INDEX(Parámetros!$B$14:$B$21,MATCH(I7,Parámetros!$A$14:$A$21,0))),Parámetros!$B$5))</f>
        <v/>
      </c>
      <c r="Q7" s="29" t="str">
        <f aca="false">IF(O7="","",(O7-P7)*100)</f>
        <v/>
      </c>
      <c r="R7" s="30" t="str">
        <f aca="false">IF(O7="","",MAX(0,M7*(P7-O7)))</f>
        <v/>
      </c>
      <c r="S7" s="31" t="str">
        <f aca="false">IF(OR(L7="",L7=0,N7=""),"",N7/1000/L7)</f>
        <v/>
      </c>
      <c r="T7" s="27"/>
      <c r="U7" s="27"/>
      <c r="V7" s="27"/>
      <c r="W7" s="27"/>
      <c r="X7" s="27"/>
      <c r="Y7" s="27"/>
      <c r="Z7" s="27"/>
      <c r="AA7" s="25"/>
      <c r="AB7" s="27"/>
      <c r="AC7" s="30" t="str">
        <f aca="false">IF(M7="","",IF(AB7="",M7*Parámetros!$B$6,AB7))</f>
        <v/>
      </c>
      <c r="AD7" s="30" t="str">
        <f aca="false">IF(M7="","",SUM(T7:Z7)+AC7)</f>
        <v/>
      </c>
      <c r="AE7" s="30" t="str">
        <f aca="false">IF(OR(M7="",N7=""),"",M7-N7)</f>
        <v/>
      </c>
      <c r="AF7" s="30" t="str">
        <f aca="false">IF(AE7="","",AE7-AD7)</f>
        <v/>
      </c>
      <c r="AG7" s="28" t="str">
        <f aca="false">IF(OR(AF7="",M7=0),"",AF7/M7)</f>
        <v/>
      </c>
      <c r="AH7" s="32" t="str">
        <f aca="false">IF(OR(AE7="",N7=0),"",AE7/(N7/1000))</f>
        <v/>
      </c>
      <c r="AI7" s="30" t="str">
        <f aca="false">IF(O7="","",M7*P7)</f>
        <v/>
      </c>
      <c r="AJ7" s="11" t="str">
        <f aca="false">IF(O7="","",IF(O7&gt;1,"Error: rend &gt; 100 %",IF(SUM(T7:Z7)=0,"Falta registrar pérdidas",IF(ABS(AG7)&gt;Parámetros!$B$7,"Revisar balance",IF(O7&lt;P7,"Bajo meta","OK")))))</f>
        <v/>
      </c>
      <c r="AK7" s="33"/>
      <c r="AL7" s="10"/>
      <c r="AM7" s="33"/>
      <c r="AN7" s="33"/>
      <c r="AO7" s="10"/>
    </row>
    <row r="8" customFormat="false" ht="15" hidden="false" customHeight="false" outlineLevel="0" collapsed="false">
      <c r="A8" s="22"/>
      <c r="B8" s="23" t="str">
        <f aca="false">IF(A8="","",YEAR(A8-WEEKDAY(A8,2)+4))</f>
        <v/>
      </c>
      <c r="C8" s="23" t="str">
        <f aca="false">IF(A8="","",WEEKNUM(A8,21))</f>
        <v/>
      </c>
      <c r="D8" s="24" t="str">
        <f aca="false">IF(A8="","",DATE(YEAR(A8),MONTH(A8),1))</f>
        <v/>
      </c>
      <c r="E8" s="10"/>
      <c r="F8" s="25"/>
      <c r="G8" s="25"/>
      <c r="H8" s="10"/>
      <c r="I8" s="10"/>
      <c r="J8" s="26"/>
      <c r="K8" s="25"/>
      <c r="L8" s="26"/>
      <c r="M8" s="27"/>
      <c r="N8" s="27"/>
      <c r="O8" s="28" t="str">
        <f aca="false">IF(OR(M8="",M8=0,N8=""),"",N8/M8)</f>
        <v/>
      </c>
      <c r="P8" s="28" t="str">
        <f aca="false">IF(M8="","",IFERROR(IF(INDEX(Parámetros!$B$14:$B$21,MATCH(I8,Parámetros!$A$14:$A$21,0))="",Parámetros!$B$5,INDEX(Parámetros!$B$14:$B$21,MATCH(I8,Parámetros!$A$14:$A$21,0))),Parámetros!$B$5))</f>
        <v/>
      </c>
      <c r="Q8" s="29" t="str">
        <f aca="false">IF(O8="","",(O8-P8)*100)</f>
        <v/>
      </c>
      <c r="R8" s="30" t="str">
        <f aca="false">IF(O8="","",MAX(0,M8*(P8-O8)))</f>
        <v/>
      </c>
      <c r="S8" s="31" t="str">
        <f aca="false">IF(OR(L8="",L8=0,N8=""),"",N8/1000/L8)</f>
        <v/>
      </c>
      <c r="T8" s="27"/>
      <c r="U8" s="27"/>
      <c r="V8" s="27"/>
      <c r="W8" s="27"/>
      <c r="X8" s="27"/>
      <c r="Y8" s="27"/>
      <c r="Z8" s="27"/>
      <c r="AA8" s="25"/>
      <c r="AB8" s="27"/>
      <c r="AC8" s="30" t="str">
        <f aca="false">IF(M8="","",IF(AB8="",M8*Parámetros!$B$6,AB8))</f>
        <v/>
      </c>
      <c r="AD8" s="30" t="str">
        <f aca="false">IF(M8="","",SUM(T8:Z8)+AC8)</f>
        <v/>
      </c>
      <c r="AE8" s="30" t="str">
        <f aca="false">IF(OR(M8="",N8=""),"",M8-N8)</f>
        <v/>
      </c>
      <c r="AF8" s="30" t="str">
        <f aca="false">IF(AE8="","",AE8-AD8)</f>
        <v/>
      </c>
      <c r="AG8" s="28" t="str">
        <f aca="false">IF(OR(AF8="",M8=0),"",AF8/M8)</f>
        <v/>
      </c>
      <c r="AH8" s="32" t="str">
        <f aca="false">IF(OR(AE8="",N8=0),"",AE8/(N8/1000))</f>
        <v/>
      </c>
      <c r="AI8" s="30" t="str">
        <f aca="false">IF(O8="","",M8*P8)</f>
        <v/>
      </c>
      <c r="AJ8" s="11" t="str">
        <f aca="false">IF(O8="","",IF(O8&gt;1,"Error: rend &gt; 100 %",IF(SUM(T8:Z8)=0,"Falta registrar pérdidas",IF(ABS(AG8)&gt;Parámetros!$B$7,"Revisar balance",IF(O8&lt;P8,"Bajo meta","OK")))))</f>
        <v/>
      </c>
      <c r="AK8" s="33"/>
      <c r="AL8" s="10"/>
      <c r="AM8" s="33"/>
      <c r="AN8" s="33"/>
      <c r="AO8" s="10"/>
    </row>
    <row r="9" customFormat="false" ht="15" hidden="false" customHeight="false" outlineLevel="0" collapsed="false">
      <c r="A9" s="22"/>
      <c r="B9" s="23" t="str">
        <f aca="false">IF(A9="","",YEAR(A9-WEEKDAY(A9,2)+4))</f>
        <v/>
      </c>
      <c r="C9" s="23" t="str">
        <f aca="false">IF(A9="","",WEEKNUM(A9,21))</f>
        <v/>
      </c>
      <c r="D9" s="24" t="str">
        <f aca="false">IF(A9="","",DATE(YEAR(A9),MONTH(A9),1))</f>
        <v/>
      </c>
      <c r="E9" s="10"/>
      <c r="F9" s="25"/>
      <c r="G9" s="25"/>
      <c r="H9" s="10"/>
      <c r="I9" s="10"/>
      <c r="J9" s="26"/>
      <c r="K9" s="25"/>
      <c r="L9" s="26"/>
      <c r="M9" s="27"/>
      <c r="N9" s="27"/>
      <c r="O9" s="28" t="str">
        <f aca="false">IF(OR(M9="",M9=0,N9=""),"",N9/M9)</f>
        <v/>
      </c>
      <c r="P9" s="28" t="str">
        <f aca="false">IF(M9="","",IFERROR(IF(INDEX(Parámetros!$B$14:$B$21,MATCH(I9,Parámetros!$A$14:$A$21,0))="",Parámetros!$B$5,INDEX(Parámetros!$B$14:$B$21,MATCH(I9,Parámetros!$A$14:$A$21,0))),Parámetros!$B$5))</f>
        <v/>
      </c>
      <c r="Q9" s="29" t="str">
        <f aca="false">IF(O9="","",(O9-P9)*100)</f>
        <v/>
      </c>
      <c r="R9" s="30" t="str">
        <f aca="false">IF(O9="","",MAX(0,M9*(P9-O9)))</f>
        <v/>
      </c>
      <c r="S9" s="31" t="str">
        <f aca="false">IF(OR(L9="",L9=0,N9=""),"",N9/1000/L9)</f>
        <v/>
      </c>
      <c r="T9" s="27"/>
      <c r="U9" s="27"/>
      <c r="V9" s="27"/>
      <c r="W9" s="27"/>
      <c r="X9" s="27"/>
      <c r="Y9" s="27"/>
      <c r="Z9" s="27"/>
      <c r="AA9" s="25"/>
      <c r="AB9" s="27"/>
      <c r="AC9" s="30" t="str">
        <f aca="false">IF(M9="","",IF(AB9="",M9*Parámetros!$B$6,AB9))</f>
        <v/>
      </c>
      <c r="AD9" s="30" t="str">
        <f aca="false">IF(M9="","",SUM(T9:Z9)+AC9)</f>
        <v/>
      </c>
      <c r="AE9" s="30" t="str">
        <f aca="false">IF(OR(M9="",N9=""),"",M9-N9)</f>
        <v/>
      </c>
      <c r="AF9" s="30" t="str">
        <f aca="false">IF(AE9="","",AE9-AD9)</f>
        <v/>
      </c>
      <c r="AG9" s="28" t="str">
        <f aca="false">IF(OR(AF9="",M9=0),"",AF9/M9)</f>
        <v/>
      </c>
      <c r="AH9" s="32" t="str">
        <f aca="false">IF(OR(AE9="",N9=0),"",AE9/(N9/1000))</f>
        <v/>
      </c>
      <c r="AI9" s="30" t="str">
        <f aca="false">IF(O9="","",M9*P9)</f>
        <v/>
      </c>
      <c r="AJ9" s="11" t="str">
        <f aca="false">IF(O9="","",IF(O9&gt;1,"Error: rend &gt; 100 %",IF(SUM(T9:Z9)=0,"Falta registrar pérdidas",IF(ABS(AG9)&gt;Parámetros!$B$7,"Revisar balance",IF(O9&lt;P9,"Bajo meta","OK")))))</f>
        <v/>
      </c>
      <c r="AK9" s="33"/>
      <c r="AL9" s="10"/>
      <c r="AM9" s="33"/>
      <c r="AN9" s="33"/>
      <c r="AO9" s="10"/>
    </row>
    <row r="10" customFormat="false" ht="15" hidden="false" customHeight="false" outlineLevel="0" collapsed="false">
      <c r="A10" s="22"/>
      <c r="B10" s="23" t="str">
        <f aca="false">IF(A10="","",YEAR(A10-WEEKDAY(A10,2)+4))</f>
        <v/>
      </c>
      <c r="C10" s="23" t="str">
        <f aca="false">IF(A10="","",WEEKNUM(A10,21))</f>
        <v/>
      </c>
      <c r="D10" s="24" t="str">
        <f aca="false">IF(A10="","",DATE(YEAR(A10),MONTH(A10),1))</f>
        <v/>
      </c>
      <c r="E10" s="10"/>
      <c r="F10" s="25"/>
      <c r="G10" s="25"/>
      <c r="H10" s="10"/>
      <c r="I10" s="10"/>
      <c r="J10" s="26"/>
      <c r="K10" s="25"/>
      <c r="L10" s="26"/>
      <c r="M10" s="27"/>
      <c r="N10" s="27"/>
      <c r="O10" s="28" t="str">
        <f aca="false">IF(OR(M10="",M10=0,N10=""),"",N10/M10)</f>
        <v/>
      </c>
      <c r="P10" s="28" t="str">
        <f aca="false">IF(M10="","",IFERROR(IF(INDEX(Parámetros!$B$14:$B$21,MATCH(I10,Parámetros!$A$14:$A$21,0))="",Parámetros!$B$5,INDEX(Parámetros!$B$14:$B$21,MATCH(I10,Parámetros!$A$14:$A$21,0))),Parámetros!$B$5))</f>
        <v/>
      </c>
      <c r="Q10" s="29" t="str">
        <f aca="false">IF(O10="","",(O10-P10)*100)</f>
        <v/>
      </c>
      <c r="R10" s="30" t="str">
        <f aca="false">IF(O10="","",MAX(0,M10*(P10-O10)))</f>
        <v/>
      </c>
      <c r="S10" s="31" t="str">
        <f aca="false">IF(OR(L10="",L10=0,N10=""),"",N10/1000/L10)</f>
        <v/>
      </c>
      <c r="T10" s="27"/>
      <c r="U10" s="27"/>
      <c r="V10" s="27"/>
      <c r="W10" s="27"/>
      <c r="X10" s="27"/>
      <c r="Y10" s="27"/>
      <c r="Z10" s="27"/>
      <c r="AA10" s="25"/>
      <c r="AB10" s="27"/>
      <c r="AC10" s="30" t="str">
        <f aca="false">IF(M10="","",IF(AB10="",M10*Parámetros!$B$6,AB10))</f>
        <v/>
      </c>
      <c r="AD10" s="30" t="str">
        <f aca="false">IF(M10="","",SUM(T10:Z10)+AC10)</f>
        <v/>
      </c>
      <c r="AE10" s="30" t="str">
        <f aca="false">IF(OR(M10="",N10=""),"",M10-N10)</f>
        <v/>
      </c>
      <c r="AF10" s="30" t="str">
        <f aca="false">IF(AE10="","",AE10-AD10)</f>
        <v/>
      </c>
      <c r="AG10" s="28" t="str">
        <f aca="false">IF(OR(AF10="",M10=0),"",AF10/M10)</f>
        <v/>
      </c>
      <c r="AH10" s="32" t="str">
        <f aca="false">IF(OR(AE10="",N10=0),"",AE10/(N10/1000))</f>
        <v/>
      </c>
      <c r="AI10" s="30" t="str">
        <f aca="false">IF(O10="","",M10*P10)</f>
        <v/>
      </c>
      <c r="AJ10" s="11" t="str">
        <f aca="false">IF(O10="","",IF(O10&gt;1,"Error: rend &gt; 100 %",IF(SUM(T10:Z10)=0,"Falta registrar pérdidas",IF(ABS(AG10)&gt;Parámetros!$B$7,"Revisar balance",IF(O10&lt;P10,"Bajo meta","OK")))))</f>
        <v/>
      </c>
      <c r="AK10" s="33"/>
      <c r="AL10" s="10"/>
      <c r="AM10" s="33"/>
      <c r="AN10" s="33"/>
      <c r="AO10" s="10"/>
    </row>
    <row r="11" customFormat="false" ht="15" hidden="false" customHeight="false" outlineLevel="0" collapsed="false">
      <c r="A11" s="22"/>
      <c r="B11" s="23" t="str">
        <f aca="false">IF(A11="","",YEAR(A11-WEEKDAY(A11,2)+4))</f>
        <v/>
      </c>
      <c r="C11" s="23" t="str">
        <f aca="false">IF(A11="","",WEEKNUM(A11,21))</f>
        <v/>
      </c>
      <c r="D11" s="24" t="str">
        <f aca="false">IF(A11="","",DATE(YEAR(A11),MONTH(A11),1))</f>
        <v/>
      </c>
      <c r="E11" s="10"/>
      <c r="F11" s="25"/>
      <c r="G11" s="25"/>
      <c r="H11" s="10"/>
      <c r="I11" s="10"/>
      <c r="J11" s="26"/>
      <c r="K11" s="25"/>
      <c r="L11" s="26"/>
      <c r="M11" s="27"/>
      <c r="N11" s="27"/>
      <c r="O11" s="28" t="str">
        <f aca="false">IF(OR(M11="",M11=0,N11=""),"",N11/M11)</f>
        <v/>
      </c>
      <c r="P11" s="28" t="str">
        <f aca="false">IF(M11="","",IFERROR(IF(INDEX(Parámetros!$B$14:$B$21,MATCH(I11,Parámetros!$A$14:$A$21,0))="",Parámetros!$B$5,INDEX(Parámetros!$B$14:$B$21,MATCH(I11,Parámetros!$A$14:$A$21,0))),Parámetros!$B$5))</f>
        <v/>
      </c>
      <c r="Q11" s="29" t="str">
        <f aca="false">IF(O11="","",(O11-P11)*100)</f>
        <v/>
      </c>
      <c r="R11" s="30" t="str">
        <f aca="false">IF(O11="","",MAX(0,M11*(P11-O11)))</f>
        <v/>
      </c>
      <c r="S11" s="31" t="str">
        <f aca="false">IF(OR(L11="",L11=0,N11=""),"",N11/1000/L11)</f>
        <v/>
      </c>
      <c r="T11" s="27"/>
      <c r="U11" s="27"/>
      <c r="V11" s="27"/>
      <c r="W11" s="27"/>
      <c r="X11" s="27"/>
      <c r="Y11" s="27"/>
      <c r="Z11" s="27"/>
      <c r="AA11" s="25"/>
      <c r="AB11" s="27"/>
      <c r="AC11" s="30" t="str">
        <f aca="false">IF(M11="","",IF(AB11="",M11*Parámetros!$B$6,AB11))</f>
        <v/>
      </c>
      <c r="AD11" s="30" t="str">
        <f aca="false">IF(M11="","",SUM(T11:Z11)+AC11)</f>
        <v/>
      </c>
      <c r="AE11" s="30" t="str">
        <f aca="false">IF(OR(M11="",N11=""),"",M11-N11)</f>
        <v/>
      </c>
      <c r="AF11" s="30" t="str">
        <f aca="false">IF(AE11="","",AE11-AD11)</f>
        <v/>
      </c>
      <c r="AG11" s="28" t="str">
        <f aca="false">IF(OR(AF11="",M11=0),"",AF11/M11)</f>
        <v/>
      </c>
      <c r="AH11" s="32" t="str">
        <f aca="false">IF(OR(AE11="",N11=0),"",AE11/(N11/1000))</f>
        <v/>
      </c>
      <c r="AI11" s="30" t="str">
        <f aca="false">IF(O11="","",M11*P11)</f>
        <v/>
      </c>
      <c r="AJ11" s="11" t="str">
        <f aca="false">IF(O11="","",IF(O11&gt;1,"Error: rend &gt; 100 %",IF(SUM(T11:Z11)=0,"Falta registrar pérdidas",IF(ABS(AG11)&gt;Parámetros!$B$7,"Revisar balance",IF(O11&lt;P11,"Bajo meta","OK")))))</f>
        <v/>
      </c>
      <c r="AK11" s="33"/>
      <c r="AL11" s="10"/>
      <c r="AM11" s="33"/>
      <c r="AN11" s="33"/>
      <c r="AO11" s="10"/>
    </row>
    <row r="12" customFormat="false" ht="15" hidden="false" customHeight="false" outlineLevel="0" collapsed="false">
      <c r="A12" s="22"/>
      <c r="B12" s="23" t="str">
        <f aca="false">IF(A12="","",YEAR(A12-WEEKDAY(A12,2)+4))</f>
        <v/>
      </c>
      <c r="C12" s="23" t="str">
        <f aca="false">IF(A12="","",WEEKNUM(A12,21))</f>
        <v/>
      </c>
      <c r="D12" s="24" t="str">
        <f aca="false">IF(A12="","",DATE(YEAR(A12),MONTH(A12),1))</f>
        <v/>
      </c>
      <c r="E12" s="10"/>
      <c r="F12" s="25"/>
      <c r="G12" s="25"/>
      <c r="H12" s="10"/>
      <c r="I12" s="10"/>
      <c r="J12" s="26"/>
      <c r="K12" s="25"/>
      <c r="L12" s="26"/>
      <c r="M12" s="27"/>
      <c r="N12" s="27"/>
      <c r="O12" s="28" t="str">
        <f aca="false">IF(OR(M12="",M12=0,N12=""),"",N12/M12)</f>
        <v/>
      </c>
      <c r="P12" s="28" t="str">
        <f aca="false">IF(M12="","",IFERROR(IF(INDEX(Parámetros!$B$14:$B$21,MATCH(I12,Parámetros!$A$14:$A$21,0))="",Parámetros!$B$5,INDEX(Parámetros!$B$14:$B$21,MATCH(I12,Parámetros!$A$14:$A$21,0))),Parámetros!$B$5))</f>
        <v/>
      </c>
      <c r="Q12" s="29" t="str">
        <f aca="false">IF(O12="","",(O12-P12)*100)</f>
        <v/>
      </c>
      <c r="R12" s="30" t="str">
        <f aca="false">IF(O12="","",MAX(0,M12*(P12-O12)))</f>
        <v/>
      </c>
      <c r="S12" s="31" t="str">
        <f aca="false">IF(OR(L12="",L12=0,N12=""),"",N12/1000/L12)</f>
        <v/>
      </c>
      <c r="T12" s="27"/>
      <c r="U12" s="27"/>
      <c r="V12" s="27"/>
      <c r="W12" s="27"/>
      <c r="X12" s="27"/>
      <c r="Y12" s="27"/>
      <c r="Z12" s="27"/>
      <c r="AA12" s="25"/>
      <c r="AB12" s="27"/>
      <c r="AC12" s="30" t="str">
        <f aca="false">IF(M12="","",IF(AB12="",M12*Parámetros!$B$6,AB12))</f>
        <v/>
      </c>
      <c r="AD12" s="30" t="str">
        <f aca="false">IF(M12="","",SUM(T12:Z12)+AC12)</f>
        <v/>
      </c>
      <c r="AE12" s="30" t="str">
        <f aca="false">IF(OR(M12="",N12=""),"",M12-N12)</f>
        <v/>
      </c>
      <c r="AF12" s="30" t="str">
        <f aca="false">IF(AE12="","",AE12-AD12)</f>
        <v/>
      </c>
      <c r="AG12" s="28" t="str">
        <f aca="false">IF(OR(AF12="",M12=0),"",AF12/M12)</f>
        <v/>
      </c>
      <c r="AH12" s="32" t="str">
        <f aca="false">IF(OR(AE12="",N12=0),"",AE12/(N12/1000))</f>
        <v/>
      </c>
      <c r="AI12" s="30" t="str">
        <f aca="false">IF(O12="","",M12*P12)</f>
        <v/>
      </c>
      <c r="AJ12" s="11" t="str">
        <f aca="false">IF(O12="","",IF(O12&gt;1,"Error: rend &gt; 100 %",IF(SUM(T12:Z12)=0,"Falta registrar pérdidas",IF(ABS(AG12)&gt;Parámetros!$B$7,"Revisar balance",IF(O12&lt;P12,"Bajo meta","OK")))))</f>
        <v/>
      </c>
      <c r="AK12" s="33"/>
      <c r="AL12" s="10"/>
      <c r="AM12" s="33"/>
      <c r="AN12" s="33"/>
      <c r="AO12" s="10"/>
    </row>
    <row r="13" customFormat="false" ht="15" hidden="false" customHeight="false" outlineLevel="0" collapsed="false">
      <c r="A13" s="22"/>
      <c r="B13" s="23" t="str">
        <f aca="false">IF(A13="","",YEAR(A13-WEEKDAY(A13,2)+4))</f>
        <v/>
      </c>
      <c r="C13" s="23" t="str">
        <f aca="false">IF(A13="","",WEEKNUM(A13,21))</f>
        <v/>
      </c>
      <c r="D13" s="24" t="str">
        <f aca="false">IF(A13="","",DATE(YEAR(A13),MONTH(A13),1))</f>
        <v/>
      </c>
      <c r="E13" s="10"/>
      <c r="F13" s="25"/>
      <c r="G13" s="25"/>
      <c r="H13" s="10"/>
      <c r="I13" s="10"/>
      <c r="J13" s="26"/>
      <c r="K13" s="25"/>
      <c r="L13" s="26"/>
      <c r="M13" s="27"/>
      <c r="N13" s="27"/>
      <c r="O13" s="28" t="str">
        <f aca="false">IF(OR(M13="",M13=0,N13=""),"",N13/M13)</f>
        <v/>
      </c>
      <c r="P13" s="28" t="str">
        <f aca="false">IF(M13="","",IFERROR(IF(INDEX(Parámetros!$B$14:$B$21,MATCH(I13,Parámetros!$A$14:$A$21,0))="",Parámetros!$B$5,INDEX(Parámetros!$B$14:$B$21,MATCH(I13,Parámetros!$A$14:$A$21,0))),Parámetros!$B$5))</f>
        <v/>
      </c>
      <c r="Q13" s="29" t="str">
        <f aca="false">IF(O13="","",(O13-P13)*100)</f>
        <v/>
      </c>
      <c r="R13" s="30" t="str">
        <f aca="false">IF(O13="","",MAX(0,M13*(P13-O13)))</f>
        <v/>
      </c>
      <c r="S13" s="31" t="str">
        <f aca="false">IF(OR(L13="",L13=0,N13=""),"",N13/1000/L13)</f>
        <v/>
      </c>
      <c r="T13" s="27"/>
      <c r="U13" s="27"/>
      <c r="V13" s="27"/>
      <c r="W13" s="27"/>
      <c r="X13" s="27"/>
      <c r="Y13" s="27"/>
      <c r="Z13" s="27"/>
      <c r="AA13" s="25"/>
      <c r="AB13" s="27"/>
      <c r="AC13" s="30" t="str">
        <f aca="false">IF(M13="","",IF(AB13="",M13*Parámetros!$B$6,AB13))</f>
        <v/>
      </c>
      <c r="AD13" s="30" t="str">
        <f aca="false">IF(M13="","",SUM(T13:Z13)+AC13)</f>
        <v/>
      </c>
      <c r="AE13" s="30" t="str">
        <f aca="false">IF(OR(M13="",N13=""),"",M13-N13)</f>
        <v/>
      </c>
      <c r="AF13" s="30" t="str">
        <f aca="false">IF(AE13="","",AE13-AD13)</f>
        <v/>
      </c>
      <c r="AG13" s="28" t="str">
        <f aca="false">IF(OR(AF13="",M13=0),"",AF13/M13)</f>
        <v/>
      </c>
      <c r="AH13" s="32" t="str">
        <f aca="false">IF(OR(AE13="",N13=0),"",AE13/(N13/1000))</f>
        <v/>
      </c>
      <c r="AI13" s="30" t="str">
        <f aca="false">IF(O13="","",M13*P13)</f>
        <v/>
      </c>
      <c r="AJ13" s="11" t="str">
        <f aca="false">IF(O13="","",IF(O13&gt;1,"Error: rend &gt; 100 %",IF(SUM(T13:Z13)=0,"Falta registrar pérdidas",IF(ABS(AG13)&gt;Parámetros!$B$7,"Revisar balance",IF(O13&lt;P13,"Bajo meta","OK")))))</f>
        <v/>
      </c>
      <c r="AK13" s="33"/>
      <c r="AL13" s="10"/>
      <c r="AM13" s="33"/>
      <c r="AN13" s="33"/>
      <c r="AO13" s="10"/>
    </row>
    <row r="14" customFormat="false" ht="15" hidden="false" customHeight="false" outlineLevel="0" collapsed="false">
      <c r="A14" s="22"/>
      <c r="B14" s="23" t="str">
        <f aca="false">IF(A14="","",YEAR(A14-WEEKDAY(A14,2)+4))</f>
        <v/>
      </c>
      <c r="C14" s="23" t="str">
        <f aca="false">IF(A14="","",WEEKNUM(A14,21))</f>
        <v/>
      </c>
      <c r="D14" s="24" t="str">
        <f aca="false">IF(A14="","",DATE(YEAR(A14),MONTH(A14),1))</f>
        <v/>
      </c>
      <c r="E14" s="10"/>
      <c r="F14" s="25"/>
      <c r="G14" s="25"/>
      <c r="H14" s="10"/>
      <c r="I14" s="10"/>
      <c r="J14" s="26"/>
      <c r="K14" s="25"/>
      <c r="L14" s="26"/>
      <c r="M14" s="27"/>
      <c r="N14" s="27"/>
      <c r="O14" s="28" t="str">
        <f aca="false">IF(OR(M14="",M14=0,N14=""),"",N14/M14)</f>
        <v/>
      </c>
      <c r="P14" s="28" t="str">
        <f aca="false">IF(M14="","",IFERROR(IF(INDEX(Parámetros!$B$14:$B$21,MATCH(I14,Parámetros!$A$14:$A$21,0))="",Parámetros!$B$5,INDEX(Parámetros!$B$14:$B$21,MATCH(I14,Parámetros!$A$14:$A$21,0))),Parámetros!$B$5))</f>
        <v/>
      </c>
      <c r="Q14" s="29" t="str">
        <f aca="false">IF(O14="","",(O14-P14)*100)</f>
        <v/>
      </c>
      <c r="R14" s="30" t="str">
        <f aca="false">IF(O14="","",MAX(0,M14*(P14-O14)))</f>
        <v/>
      </c>
      <c r="S14" s="31" t="str">
        <f aca="false">IF(OR(L14="",L14=0,N14=""),"",N14/1000/L14)</f>
        <v/>
      </c>
      <c r="T14" s="27"/>
      <c r="U14" s="27"/>
      <c r="V14" s="27"/>
      <c r="W14" s="27"/>
      <c r="X14" s="27"/>
      <c r="Y14" s="27"/>
      <c r="Z14" s="27"/>
      <c r="AA14" s="25"/>
      <c r="AB14" s="27"/>
      <c r="AC14" s="30" t="str">
        <f aca="false">IF(M14="","",IF(AB14="",M14*Parámetros!$B$6,AB14))</f>
        <v/>
      </c>
      <c r="AD14" s="30" t="str">
        <f aca="false">IF(M14="","",SUM(T14:Z14)+AC14)</f>
        <v/>
      </c>
      <c r="AE14" s="30" t="str">
        <f aca="false">IF(OR(M14="",N14=""),"",M14-N14)</f>
        <v/>
      </c>
      <c r="AF14" s="30" t="str">
        <f aca="false">IF(AE14="","",AE14-AD14)</f>
        <v/>
      </c>
      <c r="AG14" s="28" t="str">
        <f aca="false">IF(OR(AF14="",M14=0),"",AF14/M14)</f>
        <v/>
      </c>
      <c r="AH14" s="32" t="str">
        <f aca="false">IF(OR(AE14="",N14=0),"",AE14/(N14/1000))</f>
        <v/>
      </c>
      <c r="AI14" s="30" t="str">
        <f aca="false">IF(O14="","",M14*P14)</f>
        <v/>
      </c>
      <c r="AJ14" s="11" t="str">
        <f aca="false">IF(O14="","",IF(O14&gt;1,"Error: rend &gt; 100 %",IF(SUM(T14:Z14)=0,"Falta registrar pérdidas",IF(ABS(AG14)&gt;Parámetros!$B$7,"Revisar balance",IF(O14&lt;P14,"Bajo meta","OK")))))</f>
        <v/>
      </c>
      <c r="AK14" s="33"/>
      <c r="AL14" s="10"/>
      <c r="AM14" s="33"/>
      <c r="AN14" s="33"/>
      <c r="AO14" s="10"/>
    </row>
    <row r="15" customFormat="false" ht="15" hidden="false" customHeight="false" outlineLevel="0" collapsed="false">
      <c r="A15" s="22"/>
      <c r="B15" s="23" t="str">
        <f aca="false">IF(A15="","",YEAR(A15-WEEKDAY(A15,2)+4))</f>
        <v/>
      </c>
      <c r="C15" s="23" t="str">
        <f aca="false">IF(A15="","",WEEKNUM(A15,21))</f>
        <v/>
      </c>
      <c r="D15" s="24" t="str">
        <f aca="false">IF(A15="","",DATE(YEAR(A15),MONTH(A15),1))</f>
        <v/>
      </c>
      <c r="E15" s="10"/>
      <c r="F15" s="25"/>
      <c r="G15" s="25"/>
      <c r="H15" s="10"/>
      <c r="I15" s="10"/>
      <c r="J15" s="26"/>
      <c r="K15" s="25"/>
      <c r="L15" s="26"/>
      <c r="M15" s="27"/>
      <c r="N15" s="27"/>
      <c r="O15" s="28" t="str">
        <f aca="false">IF(OR(M15="",M15=0,N15=""),"",N15/M15)</f>
        <v/>
      </c>
      <c r="P15" s="28" t="str">
        <f aca="false">IF(M15="","",IFERROR(IF(INDEX(Parámetros!$B$14:$B$21,MATCH(I15,Parámetros!$A$14:$A$21,0))="",Parámetros!$B$5,INDEX(Parámetros!$B$14:$B$21,MATCH(I15,Parámetros!$A$14:$A$21,0))),Parámetros!$B$5))</f>
        <v/>
      </c>
      <c r="Q15" s="29" t="str">
        <f aca="false">IF(O15="","",(O15-P15)*100)</f>
        <v/>
      </c>
      <c r="R15" s="30" t="str">
        <f aca="false">IF(O15="","",MAX(0,M15*(P15-O15)))</f>
        <v/>
      </c>
      <c r="S15" s="31" t="str">
        <f aca="false">IF(OR(L15="",L15=0,N15=""),"",N15/1000/L15)</f>
        <v/>
      </c>
      <c r="T15" s="27"/>
      <c r="U15" s="27"/>
      <c r="V15" s="27"/>
      <c r="W15" s="27"/>
      <c r="X15" s="27"/>
      <c r="Y15" s="27"/>
      <c r="Z15" s="27"/>
      <c r="AA15" s="25"/>
      <c r="AB15" s="27"/>
      <c r="AC15" s="30" t="str">
        <f aca="false">IF(M15="","",IF(AB15="",M15*Parámetros!$B$6,AB15))</f>
        <v/>
      </c>
      <c r="AD15" s="30" t="str">
        <f aca="false">IF(M15="","",SUM(T15:Z15)+AC15)</f>
        <v/>
      </c>
      <c r="AE15" s="30" t="str">
        <f aca="false">IF(OR(M15="",N15=""),"",M15-N15)</f>
        <v/>
      </c>
      <c r="AF15" s="30" t="str">
        <f aca="false">IF(AE15="","",AE15-AD15)</f>
        <v/>
      </c>
      <c r="AG15" s="28" t="str">
        <f aca="false">IF(OR(AF15="",M15=0),"",AF15/M15)</f>
        <v/>
      </c>
      <c r="AH15" s="32" t="str">
        <f aca="false">IF(OR(AE15="",N15=0),"",AE15/(N15/1000))</f>
        <v/>
      </c>
      <c r="AI15" s="30" t="str">
        <f aca="false">IF(O15="","",M15*P15)</f>
        <v/>
      </c>
      <c r="AJ15" s="11" t="str">
        <f aca="false">IF(O15="","",IF(O15&gt;1,"Error: rend &gt; 100 %",IF(SUM(T15:Z15)=0,"Falta registrar pérdidas",IF(ABS(AG15)&gt;Parámetros!$B$7,"Revisar balance",IF(O15&lt;P15,"Bajo meta","OK")))))</f>
        <v/>
      </c>
      <c r="AK15" s="33"/>
      <c r="AL15" s="10"/>
      <c r="AM15" s="33"/>
      <c r="AN15" s="33"/>
      <c r="AO15" s="10"/>
    </row>
    <row r="16" customFormat="false" ht="15" hidden="false" customHeight="false" outlineLevel="0" collapsed="false">
      <c r="A16" s="22"/>
      <c r="B16" s="23" t="str">
        <f aca="false">IF(A16="","",YEAR(A16-WEEKDAY(A16,2)+4))</f>
        <v/>
      </c>
      <c r="C16" s="23" t="str">
        <f aca="false">IF(A16="","",WEEKNUM(A16,21))</f>
        <v/>
      </c>
      <c r="D16" s="24" t="str">
        <f aca="false">IF(A16="","",DATE(YEAR(A16),MONTH(A16),1))</f>
        <v/>
      </c>
      <c r="E16" s="10"/>
      <c r="F16" s="25"/>
      <c r="G16" s="25"/>
      <c r="H16" s="10"/>
      <c r="I16" s="10"/>
      <c r="J16" s="26"/>
      <c r="K16" s="25"/>
      <c r="L16" s="26"/>
      <c r="M16" s="27"/>
      <c r="N16" s="27"/>
      <c r="O16" s="28" t="str">
        <f aca="false">IF(OR(M16="",M16=0,N16=""),"",N16/M16)</f>
        <v/>
      </c>
      <c r="P16" s="28" t="str">
        <f aca="false">IF(M16="","",IFERROR(IF(INDEX(Parámetros!$B$14:$B$21,MATCH(I16,Parámetros!$A$14:$A$21,0))="",Parámetros!$B$5,INDEX(Parámetros!$B$14:$B$21,MATCH(I16,Parámetros!$A$14:$A$21,0))),Parámetros!$B$5))</f>
        <v/>
      </c>
      <c r="Q16" s="29" t="str">
        <f aca="false">IF(O16="","",(O16-P16)*100)</f>
        <v/>
      </c>
      <c r="R16" s="30" t="str">
        <f aca="false">IF(O16="","",MAX(0,M16*(P16-O16)))</f>
        <v/>
      </c>
      <c r="S16" s="31" t="str">
        <f aca="false">IF(OR(L16="",L16=0,N16=""),"",N16/1000/L16)</f>
        <v/>
      </c>
      <c r="T16" s="27"/>
      <c r="U16" s="27"/>
      <c r="V16" s="27"/>
      <c r="W16" s="27"/>
      <c r="X16" s="27"/>
      <c r="Y16" s="27"/>
      <c r="Z16" s="27"/>
      <c r="AA16" s="25"/>
      <c r="AB16" s="27"/>
      <c r="AC16" s="30" t="str">
        <f aca="false">IF(M16="","",IF(AB16="",M16*Parámetros!$B$6,AB16))</f>
        <v/>
      </c>
      <c r="AD16" s="30" t="str">
        <f aca="false">IF(M16="","",SUM(T16:Z16)+AC16)</f>
        <v/>
      </c>
      <c r="AE16" s="30" t="str">
        <f aca="false">IF(OR(M16="",N16=""),"",M16-N16)</f>
        <v/>
      </c>
      <c r="AF16" s="30" t="str">
        <f aca="false">IF(AE16="","",AE16-AD16)</f>
        <v/>
      </c>
      <c r="AG16" s="28" t="str">
        <f aca="false">IF(OR(AF16="",M16=0),"",AF16/M16)</f>
        <v/>
      </c>
      <c r="AH16" s="32" t="str">
        <f aca="false">IF(OR(AE16="",N16=0),"",AE16/(N16/1000))</f>
        <v/>
      </c>
      <c r="AI16" s="30" t="str">
        <f aca="false">IF(O16="","",M16*P16)</f>
        <v/>
      </c>
      <c r="AJ16" s="11" t="str">
        <f aca="false">IF(O16="","",IF(O16&gt;1,"Error: rend &gt; 100 %",IF(SUM(T16:Z16)=0,"Falta registrar pérdidas",IF(ABS(AG16)&gt;Parámetros!$B$7,"Revisar balance",IF(O16&lt;P16,"Bajo meta","OK")))))</f>
        <v/>
      </c>
      <c r="AK16" s="33"/>
      <c r="AL16" s="10"/>
      <c r="AM16" s="33"/>
      <c r="AN16" s="33"/>
      <c r="AO16" s="10"/>
    </row>
    <row r="17" customFormat="false" ht="15" hidden="false" customHeight="false" outlineLevel="0" collapsed="false">
      <c r="A17" s="22"/>
      <c r="B17" s="23" t="str">
        <f aca="false">IF(A17="","",YEAR(A17-WEEKDAY(A17,2)+4))</f>
        <v/>
      </c>
      <c r="C17" s="23" t="str">
        <f aca="false">IF(A17="","",WEEKNUM(A17,21))</f>
        <v/>
      </c>
      <c r="D17" s="24" t="str">
        <f aca="false">IF(A17="","",DATE(YEAR(A17),MONTH(A17),1))</f>
        <v/>
      </c>
      <c r="E17" s="10"/>
      <c r="F17" s="25"/>
      <c r="G17" s="25"/>
      <c r="H17" s="10"/>
      <c r="I17" s="10"/>
      <c r="J17" s="26"/>
      <c r="K17" s="25"/>
      <c r="L17" s="26"/>
      <c r="M17" s="27"/>
      <c r="N17" s="27"/>
      <c r="O17" s="28" t="str">
        <f aca="false">IF(OR(M17="",M17=0,N17=""),"",N17/M17)</f>
        <v/>
      </c>
      <c r="P17" s="28" t="str">
        <f aca="false">IF(M17="","",IFERROR(IF(INDEX(Parámetros!$B$14:$B$21,MATCH(I17,Parámetros!$A$14:$A$21,0))="",Parámetros!$B$5,INDEX(Parámetros!$B$14:$B$21,MATCH(I17,Parámetros!$A$14:$A$21,0))),Parámetros!$B$5))</f>
        <v/>
      </c>
      <c r="Q17" s="29" t="str">
        <f aca="false">IF(O17="","",(O17-P17)*100)</f>
        <v/>
      </c>
      <c r="R17" s="30" t="str">
        <f aca="false">IF(O17="","",MAX(0,M17*(P17-O17)))</f>
        <v/>
      </c>
      <c r="S17" s="31" t="str">
        <f aca="false">IF(OR(L17="",L17=0,N17=""),"",N17/1000/L17)</f>
        <v/>
      </c>
      <c r="T17" s="27"/>
      <c r="U17" s="27"/>
      <c r="V17" s="27"/>
      <c r="W17" s="27"/>
      <c r="X17" s="27"/>
      <c r="Y17" s="27"/>
      <c r="Z17" s="27"/>
      <c r="AA17" s="25"/>
      <c r="AB17" s="27"/>
      <c r="AC17" s="30" t="str">
        <f aca="false">IF(M17="","",IF(AB17="",M17*Parámetros!$B$6,AB17))</f>
        <v/>
      </c>
      <c r="AD17" s="30" t="str">
        <f aca="false">IF(M17="","",SUM(T17:Z17)+AC17)</f>
        <v/>
      </c>
      <c r="AE17" s="30" t="str">
        <f aca="false">IF(OR(M17="",N17=""),"",M17-N17)</f>
        <v/>
      </c>
      <c r="AF17" s="30" t="str">
        <f aca="false">IF(AE17="","",AE17-AD17)</f>
        <v/>
      </c>
      <c r="AG17" s="28" t="str">
        <f aca="false">IF(OR(AF17="",M17=0),"",AF17/M17)</f>
        <v/>
      </c>
      <c r="AH17" s="32" t="str">
        <f aca="false">IF(OR(AE17="",N17=0),"",AE17/(N17/1000))</f>
        <v/>
      </c>
      <c r="AI17" s="30" t="str">
        <f aca="false">IF(O17="","",M17*P17)</f>
        <v/>
      </c>
      <c r="AJ17" s="11" t="str">
        <f aca="false">IF(O17="","",IF(O17&gt;1,"Error: rend &gt; 100 %",IF(SUM(T17:Z17)=0,"Falta registrar pérdidas",IF(ABS(AG17)&gt;Parámetros!$B$7,"Revisar balance",IF(O17&lt;P17,"Bajo meta","OK")))))</f>
        <v/>
      </c>
      <c r="AK17" s="33"/>
      <c r="AL17" s="10"/>
      <c r="AM17" s="33"/>
      <c r="AN17" s="33"/>
      <c r="AO17" s="10"/>
    </row>
    <row r="18" customFormat="false" ht="15" hidden="false" customHeight="false" outlineLevel="0" collapsed="false">
      <c r="A18" s="22"/>
      <c r="B18" s="23" t="str">
        <f aca="false">IF(A18="","",YEAR(A18-WEEKDAY(A18,2)+4))</f>
        <v/>
      </c>
      <c r="C18" s="23" t="str">
        <f aca="false">IF(A18="","",WEEKNUM(A18,21))</f>
        <v/>
      </c>
      <c r="D18" s="24" t="str">
        <f aca="false">IF(A18="","",DATE(YEAR(A18),MONTH(A18),1))</f>
        <v/>
      </c>
      <c r="E18" s="10"/>
      <c r="F18" s="25"/>
      <c r="G18" s="25"/>
      <c r="H18" s="10"/>
      <c r="I18" s="10"/>
      <c r="J18" s="26"/>
      <c r="K18" s="25"/>
      <c r="L18" s="26"/>
      <c r="M18" s="27"/>
      <c r="N18" s="27"/>
      <c r="O18" s="28" t="str">
        <f aca="false">IF(OR(M18="",M18=0,N18=""),"",N18/M18)</f>
        <v/>
      </c>
      <c r="P18" s="28" t="str">
        <f aca="false">IF(M18="","",IFERROR(IF(INDEX(Parámetros!$B$14:$B$21,MATCH(I18,Parámetros!$A$14:$A$21,0))="",Parámetros!$B$5,INDEX(Parámetros!$B$14:$B$21,MATCH(I18,Parámetros!$A$14:$A$21,0))),Parámetros!$B$5))</f>
        <v/>
      </c>
      <c r="Q18" s="29" t="str">
        <f aca="false">IF(O18="","",(O18-P18)*100)</f>
        <v/>
      </c>
      <c r="R18" s="30" t="str">
        <f aca="false">IF(O18="","",MAX(0,M18*(P18-O18)))</f>
        <v/>
      </c>
      <c r="S18" s="31" t="str">
        <f aca="false">IF(OR(L18="",L18=0,N18=""),"",N18/1000/L18)</f>
        <v/>
      </c>
      <c r="T18" s="27"/>
      <c r="U18" s="27"/>
      <c r="V18" s="27"/>
      <c r="W18" s="27"/>
      <c r="X18" s="27"/>
      <c r="Y18" s="27"/>
      <c r="Z18" s="27"/>
      <c r="AA18" s="25"/>
      <c r="AB18" s="27"/>
      <c r="AC18" s="30" t="str">
        <f aca="false">IF(M18="","",IF(AB18="",M18*Parámetros!$B$6,AB18))</f>
        <v/>
      </c>
      <c r="AD18" s="30" t="str">
        <f aca="false">IF(M18="","",SUM(T18:Z18)+AC18)</f>
        <v/>
      </c>
      <c r="AE18" s="30" t="str">
        <f aca="false">IF(OR(M18="",N18=""),"",M18-N18)</f>
        <v/>
      </c>
      <c r="AF18" s="30" t="str">
        <f aca="false">IF(AE18="","",AE18-AD18)</f>
        <v/>
      </c>
      <c r="AG18" s="28" t="str">
        <f aca="false">IF(OR(AF18="",M18=0),"",AF18/M18)</f>
        <v/>
      </c>
      <c r="AH18" s="32" t="str">
        <f aca="false">IF(OR(AE18="",N18=0),"",AE18/(N18/1000))</f>
        <v/>
      </c>
      <c r="AI18" s="30" t="str">
        <f aca="false">IF(O18="","",M18*P18)</f>
        <v/>
      </c>
      <c r="AJ18" s="11" t="str">
        <f aca="false">IF(O18="","",IF(O18&gt;1,"Error: rend &gt; 100 %",IF(SUM(T18:Z18)=0,"Falta registrar pérdidas",IF(ABS(AG18)&gt;Parámetros!$B$7,"Revisar balance",IF(O18&lt;P18,"Bajo meta","OK")))))</f>
        <v/>
      </c>
      <c r="AK18" s="33"/>
      <c r="AL18" s="10"/>
      <c r="AM18" s="33"/>
      <c r="AN18" s="33"/>
      <c r="AO18" s="10"/>
    </row>
    <row r="19" customFormat="false" ht="15" hidden="false" customHeight="false" outlineLevel="0" collapsed="false">
      <c r="A19" s="22"/>
      <c r="B19" s="23" t="str">
        <f aca="false">IF(A19="","",YEAR(A19-WEEKDAY(A19,2)+4))</f>
        <v/>
      </c>
      <c r="C19" s="23" t="str">
        <f aca="false">IF(A19="","",WEEKNUM(A19,21))</f>
        <v/>
      </c>
      <c r="D19" s="24" t="str">
        <f aca="false">IF(A19="","",DATE(YEAR(A19),MONTH(A19),1))</f>
        <v/>
      </c>
      <c r="E19" s="10"/>
      <c r="F19" s="25"/>
      <c r="G19" s="25"/>
      <c r="H19" s="10"/>
      <c r="I19" s="10"/>
      <c r="J19" s="26"/>
      <c r="K19" s="25"/>
      <c r="L19" s="26"/>
      <c r="M19" s="27"/>
      <c r="N19" s="27"/>
      <c r="O19" s="28" t="str">
        <f aca="false">IF(OR(M19="",M19=0,N19=""),"",N19/M19)</f>
        <v/>
      </c>
      <c r="P19" s="28" t="str">
        <f aca="false">IF(M19="","",IFERROR(IF(INDEX(Parámetros!$B$14:$B$21,MATCH(I19,Parámetros!$A$14:$A$21,0))="",Parámetros!$B$5,INDEX(Parámetros!$B$14:$B$21,MATCH(I19,Parámetros!$A$14:$A$21,0))),Parámetros!$B$5))</f>
        <v/>
      </c>
      <c r="Q19" s="29" t="str">
        <f aca="false">IF(O19="","",(O19-P19)*100)</f>
        <v/>
      </c>
      <c r="R19" s="30" t="str">
        <f aca="false">IF(O19="","",MAX(0,M19*(P19-O19)))</f>
        <v/>
      </c>
      <c r="S19" s="31" t="str">
        <f aca="false">IF(OR(L19="",L19=0,N19=""),"",N19/1000/L19)</f>
        <v/>
      </c>
      <c r="T19" s="27"/>
      <c r="U19" s="27"/>
      <c r="V19" s="27"/>
      <c r="W19" s="27"/>
      <c r="X19" s="27"/>
      <c r="Y19" s="27"/>
      <c r="Z19" s="27"/>
      <c r="AA19" s="25"/>
      <c r="AB19" s="27"/>
      <c r="AC19" s="30" t="str">
        <f aca="false">IF(M19="","",IF(AB19="",M19*Parámetros!$B$6,AB19))</f>
        <v/>
      </c>
      <c r="AD19" s="30" t="str">
        <f aca="false">IF(M19="","",SUM(T19:Z19)+AC19)</f>
        <v/>
      </c>
      <c r="AE19" s="30" t="str">
        <f aca="false">IF(OR(M19="",N19=""),"",M19-N19)</f>
        <v/>
      </c>
      <c r="AF19" s="30" t="str">
        <f aca="false">IF(AE19="","",AE19-AD19)</f>
        <v/>
      </c>
      <c r="AG19" s="28" t="str">
        <f aca="false">IF(OR(AF19="",M19=0),"",AF19/M19)</f>
        <v/>
      </c>
      <c r="AH19" s="32" t="str">
        <f aca="false">IF(OR(AE19="",N19=0),"",AE19/(N19/1000))</f>
        <v/>
      </c>
      <c r="AI19" s="30" t="str">
        <f aca="false">IF(O19="","",M19*P19)</f>
        <v/>
      </c>
      <c r="AJ19" s="11" t="str">
        <f aca="false">IF(O19="","",IF(O19&gt;1,"Error: rend &gt; 100 %",IF(SUM(T19:Z19)=0,"Falta registrar pérdidas",IF(ABS(AG19)&gt;Parámetros!$B$7,"Revisar balance",IF(O19&lt;P19,"Bajo meta","OK")))))</f>
        <v/>
      </c>
      <c r="AK19" s="33"/>
      <c r="AL19" s="10"/>
      <c r="AM19" s="33"/>
      <c r="AN19" s="33"/>
      <c r="AO19" s="10"/>
    </row>
    <row r="20" customFormat="false" ht="15" hidden="false" customHeight="false" outlineLevel="0" collapsed="false">
      <c r="A20" s="22"/>
      <c r="B20" s="23" t="str">
        <f aca="false">IF(A20="","",YEAR(A20-WEEKDAY(A20,2)+4))</f>
        <v/>
      </c>
      <c r="C20" s="23" t="str">
        <f aca="false">IF(A20="","",WEEKNUM(A20,21))</f>
        <v/>
      </c>
      <c r="D20" s="24" t="str">
        <f aca="false">IF(A20="","",DATE(YEAR(A20),MONTH(A20),1))</f>
        <v/>
      </c>
      <c r="E20" s="10"/>
      <c r="F20" s="25"/>
      <c r="G20" s="25"/>
      <c r="H20" s="10"/>
      <c r="I20" s="10"/>
      <c r="J20" s="26"/>
      <c r="K20" s="25"/>
      <c r="L20" s="26"/>
      <c r="M20" s="27"/>
      <c r="N20" s="27"/>
      <c r="O20" s="28" t="str">
        <f aca="false">IF(OR(M20="",M20=0,N20=""),"",N20/M20)</f>
        <v/>
      </c>
      <c r="P20" s="28" t="str">
        <f aca="false">IF(M20="","",IFERROR(IF(INDEX(Parámetros!$B$14:$B$21,MATCH(I20,Parámetros!$A$14:$A$21,0))="",Parámetros!$B$5,INDEX(Parámetros!$B$14:$B$21,MATCH(I20,Parámetros!$A$14:$A$21,0))),Parámetros!$B$5))</f>
        <v/>
      </c>
      <c r="Q20" s="29" t="str">
        <f aca="false">IF(O20="","",(O20-P20)*100)</f>
        <v/>
      </c>
      <c r="R20" s="30" t="str">
        <f aca="false">IF(O20="","",MAX(0,M20*(P20-O20)))</f>
        <v/>
      </c>
      <c r="S20" s="31" t="str">
        <f aca="false">IF(OR(L20="",L20=0,N20=""),"",N20/1000/L20)</f>
        <v/>
      </c>
      <c r="T20" s="27"/>
      <c r="U20" s="27"/>
      <c r="V20" s="27"/>
      <c r="W20" s="27"/>
      <c r="X20" s="27"/>
      <c r="Y20" s="27"/>
      <c r="Z20" s="27"/>
      <c r="AA20" s="25"/>
      <c r="AB20" s="27"/>
      <c r="AC20" s="30" t="str">
        <f aca="false">IF(M20="","",IF(AB20="",M20*Parámetros!$B$6,AB20))</f>
        <v/>
      </c>
      <c r="AD20" s="30" t="str">
        <f aca="false">IF(M20="","",SUM(T20:Z20)+AC20)</f>
        <v/>
      </c>
      <c r="AE20" s="30" t="str">
        <f aca="false">IF(OR(M20="",N20=""),"",M20-N20)</f>
        <v/>
      </c>
      <c r="AF20" s="30" t="str">
        <f aca="false">IF(AE20="","",AE20-AD20)</f>
        <v/>
      </c>
      <c r="AG20" s="28" t="str">
        <f aca="false">IF(OR(AF20="",M20=0),"",AF20/M20)</f>
        <v/>
      </c>
      <c r="AH20" s="32" t="str">
        <f aca="false">IF(OR(AE20="",N20=0),"",AE20/(N20/1000))</f>
        <v/>
      </c>
      <c r="AI20" s="30" t="str">
        <f aca="false">IF(O20="","",M20*P20)</f>
        <v/>
      </c>
      <c r="AJ20" s="11" t="str">
        <f aca="false">IF(O20="","",IF(O20&gt;1,"Error: rend &gt; 100 %",IF(SUM(T20:Z20)=0,"Falta registrar pérdidas",IF(ABS(AG20)&gt;Parámetros!$B$7,"Revisar balance",IF(O20&lt;P20,"Bajo meta","OK")))))</f>
        <v/>
      </c>
      <c r="AK20" s="33"/>
      <c r="AL20" s="10"/>
      <c r="AM20" s="33"/>
      <c r="AN20" s="33"/>
      <c r="AO20" s="10"/>
    </row>
    <row r="21" customFormat="false" ht="15" hidden="false" customHeight="false" outlineLevel="0" collapsed="false">
      <c r="A21" s="22"/>
      <c r="B21" s="23" t="str">
        <f aca="false">IF(A21="","",YEAR(A21-WEEKDAY(A21,2)+4))</f>
        <v/>
      </c>
      <c r="C21" s="23" t="str">
        <f aca="false">IF(A21="","",WEEKNUM(A21,21))</f>
        <v/>
      </c>
      <c r="D21" s="24" t="str">
        <f aca="false">IF(A21="","",DATE(YEAR(A21),MONTH(A21),1))</f>
        <v/>
      </c>
      <c r="E21" s="10"/>
      <c r="F21" s="25"/>
      <c r="G21" s="25"/>
      <c r="H21" s="10"/>
      <c r="I21" s="10"/>
      <c r="J21" s="26"/>
      <c r="K21" s="25"/>
      <c r="L21" s="26"/>
      <c r="M21" s="27"/>
      <c r="N21" s="27"/>
      <c r="O21" s="28" t="str">
        <f aca="false">IF(OR(M21="",M21=0,N21=""),"",N21/M21)</f>
        <v/>
      </c>
      <c r="P21" s="28" t="str">
        <f aca="false">IF(M21="","",IFERROR(IF(INDEX(Parámetros!$B$14:$B$21,MATCH(I21,Parámetros!$A$14:$A$21,0))="",Parámetros!$B$5,INDEX(Parámetros!$B$14:$B$21,MATCH(I21,Parámetros!$A$14:$A$21,0))),Parámetros!$B$5))</f>
        <v/>
      </c>
      <c r="Q21" s="29" t="str">
        <f aca="false">IF(O21="","",(O21-P21)*100)</f>
        <v/>
      </c>
      <c r="R21" s="30" t="str">
        <f aca="false">IF(O21="","",MAX(0,M21*(P21-O21)))</f>
        <v/>
      </c>
      <c r="S21" s="31" t="str">
        <f aca="false">IF(OR(L21="",L21=0,N21=""),"",N21/1000/L21)</f>
        <v/>
      </c>
      <c r="T21" s="27"/>
      <c r="U21" s="27"/>
      <c r="V21" s="27"/>
      <c r="W21" s="27"/>
      <c r="X21" s="27"/>
      <c r="Y21" s="27"/>
      <c r="Z21" s="27"/>
      <c r="AA21" s="25"/>
      <c r="AB21" s="27"/>
      <c r="AC21" s="30" t="str">
        <f aca="false">IF(M21="","",IF(AB21="",M21*Parámetros!$B$6,AB21))</f>
        <v/>
      </c>
      <c r="AD21" s="30" t="str">
        <f aca="false">IF(M21="","",SUM(T21:Z21)+AC21)</f>
        <v/>
      </c>
      <c r="AE21" s="30" t="str">
        <f aca="false">IF(OR(M21="",N21=""),"",M21-N21)</f>
        <v/>
      </c>
      <c r="AF21" s="30" t="str">
        <f aca="false">IF(AE21="","",AE21-AD21)</f>
        <v/>
      </c>
      <c r="AG21" s="28" t="str">
        <f aca="false">IF(OR(AF21="",M21=0),"",AF21/M21)</f>
        <v/>
      </c>
      <c r="AH21" s="32" t="str">
        <f aca="false">IF(OR(AE21="",N21=0),"",AE21/(N21/1000))</f>
        <v/>
      </c>
      <c r="AI21" s="30" t="str">
        <f aca="false">IF(O21="","",M21*P21)</f>
        <v/>
      </c>
      <c r="AJ21" s="11" t="str">
        <f aca="false">IF(O21="","",IF(O21&gt;1,"Error: rend &gt; 100 %",IF(SUM(T21:Z21)=0,"Falta registrar pérdidas",IF(ABS(AG21)&gt;Parámetros!$B$7,"Revisar balance",IF(O21&lt;P21,"Bajo meta","OK")))))</f>
        <v/>
      </c>
      <c r="AK21" s="33"/>
      <c r="AL21" s="10"/>
      <c r="AM21" s="33"/>
      <c r="AN21" s="33"/>
      <c r="AO21" s="10"/>
    </row>
    <row r="22" customFormat="false" ht="15" hidden="false" customHeight="false" outlineLevel="0" collapsed="false">
      <c r="A22" s="22"/>
      <c r="B22" s="23" t="str">
        <f aca="false">IF(A22="","",YEAR(A22-WEEKDAY(A22,2)+4))</f>
        <v/>
      </c>
      <c r="C22" s="23" t="str">
        <f aca="false">IF(A22="","",WEEKNUM(A22,21))</f>
        <v/>
      </c>
      <c r="D22" s="24" t="str">
        <f aca="false">IF(A22="","",DATE(YEAR(A22),MONTH(A22),1))</f>
        <v/>
      </c>
      <c r="E22" s="10"/>
      <c r="F22" s="25"/>
      <c r="G22" s="25"/>
      <c r="H22" s="10"/>
      <c r="I22" s="10"/>
      <c r="J22" s="26"/>
      <c r="K22" s="25"/>
      <c r="L22" s="26"/>
      <c r="M22" s="27"/>
      <c r="N22" s="27"/>
      <c r="O22" s="28" t="str">
        <f aca="false">IF(OR(M22="",M22=0,N22=""),"",N22/M22)</f>
        <v/>
      </c>
      <c r="P22" s="28" t="str">
        <f aca="false">IF(M22="","",IFERROR(IF(INDEX(Parámetros!$B$14:$B$21,MATCH(I22,Parámetros!$A$14:$A$21,0))="",Parámetros!$B$5,INDEX(Parámetros!$B$14:$B$21,MATCH(I22,Parámetros!$A$14:$A$21,0))),Parámetros!$B$5))</f>
        <v/>
      </c>
      <c r="Q22" s="29" t="str">
        <f aca="false">IF(O22="","",(O22-P22)*100)</f>
        <v/>
      </c>
      <c r="R22" s="30" t="str">
        <f aca="false">IF(O22="","",MAX(0,M22*(P22-O22)))</f>
        <v/>
      </c>
      <c r="S22" s="31" t="str">
        <f aca="false">IF(OR(L22="",L22=0,N22=""),"",N22/1000/L22)</f>
        <v/>
      </c>
      <c r="T22" s="27"/>
      <c r="U22" s="27"/>
      <c r="V22" s="27"/>
      <c r="W22" s="27"/>
      <c r="X22" s="27"/>
      <c r="Y22" s="27"/>
      <c r="Z22" s="27"/>
      <c r="AA22" s="25"/>
      <c r="AB22" s="27"/>
      <c r="AC22" s="30" t="str">
        <f aca="false">IF(M22="","",IF(AB22="",M22*Parámetros!$B$6,AB22))</f>
        <v/>
      </c>
      <c r="AD22" s="30" t="str">
        <f aca="false">IF(M22="","",SUM(T22:Z22)+AC22)</f>
        <v/>
      </c>
      <c r="AE22" s="30" t="str">
        <f aca="false">IF(OR(M22="",N22=""),"",M22-N22)</f>
        <v/>
      </c>
      <c r="AF22" s="30" t="str">
        <f aca="false">IF(AE22="","",AE22-AD22)</f>
        <v/>
      </c>
      <c r="AG22" s="28" t="str">
        <f aca="false">IF(OR(AF22="",M22=0),"",AF22/M22)</f>
        <v/>
      </c>
      <c r="AH22" s="32" t="str">
        <f aca="false">IF(OR(AE22="",N22=0),"",AE22/(N22/1000))</f>
        <v/>
      </c>
      <c r="AI22" s="30" t="str">
        <f aca="false">IF(O22="","",M22*P22)</f>
        <v/>
      </c>
      <c r="AJ22" s="11" t="str">
        <f aca="false">IF(O22="","",IF(O22&gt;1,"Error: rend &gt; 100 %",IF(SUM(T22:Z22)=0,"Falta registrar pérdidas",IF(ABS(AG22)&gt;Parámetros!$B$7,"Revisar balance",IF(O22&lt;P22,"Bajo meta","OK")))))</f>
        <v/>
      </c>
      <c r="AK22" s="33"/>
      <c r="AL22" s="10"/>
      <c r="AM22" s="33"/>
      <c r="AN22" s="33"/>
      <c r="AO22" s="10"/>
    </row>
    <row r="23" customFormat="false" ht="15" hidden="false" customHeight="false" outlineLevel="0" collapsed="false">
      <c r="A23" s="22"/>
      <c r="B23" s="23" t="str">
        <f aca="false">IF(A23="","",YEAR(A23-WEEKDAY(A23,2)+4))</f>
        <v/>
      </c>
      <c r="C23" s="23" t="str">
        <f aca="false">IF(A23="","",WEEKNUM(A23,21))</f>
        <v/>
      </c>
      <c r="D23" s="24" t="str">
        <f aca="false">IF(A23="","",DATE(YEAR(A23),MONTH(A23),1))</f>
        <v/>
      </c>
      <c r="E23" s="10"/>
      <c r="F23" s="25"/>
      <c r="G23" s="25"/>
      <c r="H23" s="10"/>
      <c r="I23" s="10"/>
      <c r="J23" s="26"/>
      <c r="K23" s="25"/>
      <c r="L23" s="26"/>
      <c r="M23" s="27"/>
      <c r="N23" s="27"/>
      <c r="O23" s="28" t="str">
        <f aca="false">IF(OR(M23="",M23=0,N23=""),"",N23/M23)</f>
        <v/>
      </c>
      <c r="P23" s="28" t="str">
        <f aca="false">IF(M23="","",IFERROR(IF(INDEX(Parámetros!$B$14:$B$21,MATCH(I23,Parámetros!$A$14:$A$21,0))="",Parámetros!$B$5,INDEX(Parámetros!$B$14:$B$21,MATCH(I23,Parámetros!$A$14:$A$21,0))),Parámetros!$B$5))</f>
        <v/>
      </c>
      <c r="Q23" s="29" t="str">
        <f aca="false">IF(O23="","",(O23-P23)*100)</f>
        <v/>
      </c>
      <c r="R23" s="30" t="str">
        <f aca="false">IF(O23="","",MAX(0,M23*(P23-O23)))</f>
        <v/>
      </c>
      <c r="S23" s="31" t="str">
        <f aca="false">IF(OR(L23="",L23=0,N23=""),"",N23/1000/L23)</f>
        <v/>
      </c>
      <c r="T23" s="27"/>
      <c r="U23" s="27"/>
      <c r="V23" s="27"/>
      <c r="W23" s="27"/>
      <c r="X23" s="27"/>
      <c r="Y23" s="27"/>
      <c r="Z23" s="27"/>
      <c r="AA23" s="25"/>
      <c r="AB23" s="27"/>
      <c r="AC23" s="30" t="str">
        <f aca="false">IF(M23="","",IF(AB23="",M23*Parámetros!$B$6,AB23))</f>
        <v/>
      </c>
      <c r="AD23" s="30" t="str">
        <f aca="false">IF(M23="","",SUM(T23:Z23)+AC23)</f>
        <v/>
      </c>
      <c r="AE23" s="30" t="str">
        <f aca="false">IF(OR(M23="",N23=""),"",M23-N23)</f>
        <v/>
      </c>
      <c r="AF23" s="30" t="str">
        <f aca="false">IF(AE23="","",AE23-AD23)</f>
        <v/>
      </c>
      <c r="AG23" s="28" t="str">
        <f aca="false">IF(OR(AF23="",M23=0),"",AF23/M23)</f>
        <v/>
      </c>
      <c r="AH23" s="32" t="str">
        <f aca="false">IF(OR(AE23="",N23=0),"",AE23/(N23/1000))</f>
        <v/>
      </c>
      <c r="AI23" s="30" t="str">
        <f aca="false">IF(O23="","",M23*P23)</f>
        <v/>
      </c>
      <c r="AJ23" s="11" t="str">
        <f aca="false">IF(O23="","",IF(O23&gt;1,"Error: rend &gt; 100 %",IF(SUM(T23:Z23)=0,"Falta registrar pérdidas",IF(ABS(AG23)&gt;Parámetros!$B$7,"Revisar balance",IF(O23&lt;P23,"Bajo meta","OK")))))</f>
        <v/>
      </c>
      <c r="AK23" s="33"/>
      <c r="AL23" s="10"/>
      <c r="AM23" s="33"/>
      <c r="AN23" s="33"/>
      <c r="AO23" s="10"/>
    </row>
    <row r="24" customFormat="false" ht="15" hidden="false" customHeight="false" outlineLevel="0" collapsed="false">
      <c r="A24" s="22"/>
      <c r="B24" s="23" t="str">
        <f aca="false">IF(A24="","",YEAR(A24-WEEKDAY(A24,2)+4))</f>
        <v/>
      </c>
      <c r="C24" s="23" t="str">
        <f aca="false">IF(A24="","",WEEKNUM(A24,21))</f>
        <v/>
      </c>
      <c r="D24" s="24" t="str">
        <f aca="false">IF(A24="","",DATE(YEAR(A24),MONTH(A24),1))</f>
        <v/>
      </c>
      <c r="E24" s="10"/>
      <c r="F24" s="25"/>
      <c r="G24" s="25"/>
      <c r="H24" s="10"/>
      <c r="I24" s="10"/>
      <c r="J24" s="26"/>
      <c r="K24" s="25"/>
      <c r="L24" s="26"/>
      <c r="M24" s="27"/>
      <c r="N24" s="27"/>
      <c r="O24" s="28" t="str">
        <f aca="false">IF(OR(M24="",M24=0,N24=""),"",N24/M24)</f>
        <v/>
      </c>
      <c r="P24" s="28" t="str">
        <f aca="false">IF(M24="","",IFERROR(IF(INDEX(Parámetros!$B$14:$B$21,MATCH(I24,Parámetros!$A$14:$A$21,0))="",Parámetros!$B$5,INDEX(Parámetros!$B$14:$B$21,MATCH(I24,Parámetros!$A$14:$A$21,0))),Parámetros!$B$5))</f>
        <v/>
      </c>
      <c r="Q24" s="29" t="str">
        <f aca="false">IF(O24="","",(O24-P24)*100)</f>
        <v/>
      </c>
      <c r="R24" s="30" t="str">
        <f aca="false">IF(O24="","",MAX(0,M24*(P24-O24)))</f>
        <v/>
      </c>
      <c r="S24" s="31" t="str">
        <f aca="false">IF(OR(L24="",L24=0,N24=""),"",N24/1000/L24)</f>
        <v/>
      </c>
      <c r="T24" s="27"/>
      <c r="U24" s="27"/>
      <c r="V24" s="27"/>
      <c r="W24" s="27"/>
      <c r="X24" s="27"/>
      <c r="Y24" s="27"/>
      <c r="Z24" s="27"/>
      <c r="AA24" s="25"/>
      <c r="AB24" s="27"/>
      <c r="AC24" s="30" t="str">
        <f aca="false">IF(M24="","",IF(AB24="",M24*Parámetros!$B$6,AB24))</f>
        <v/>
      </c>
      <c r="AD24" s="30" t="str">
        <f aca="false">IF(M24="","",SUM(T24:Z24)+AC24)</f>
        <v/>
      </c>
      <c r="AE24" s="30" t="str">
        <f aca="false">IF(OR(M24="",N24=""),"",M24-N24)</f>
        <v/>
      </c>
      <c r="AF24" s="30" t="str">
        <f aca="false">IF(AE24="","",AE24-AD24)</f>
        <v/>
      </c>
      <c r="AG24" s="28" t="str">
        <f aca="false">IF(OR(AF24="",M24=0),"",AF24/M24)</f>
        <v/>
      </c>
      <c r="AH24" s="32" t="str">
        <f aca="false">IF(OR(AE24="",N24=0),"",AE24/(N24/1000))</f>
        <v/>
      </c>
      <c r="AI24" s="30" t="str">
        <f aca="false">IF(O24="","",M24*P24)</f>
        <v/>
      </c>
      <c r="AJ24" s="11" t="str">
        <f aca="false">IF(O24="","",IF(O24&gt;1,"Error: rend &gt; 100 %",IF(SUM(T24:Z24)=0,"Falta registrar pérdidas",IF(ABS(AG24)&gt;Parámetros!$B$7,"Revisar balance",IF(O24&lt;P24,"Bajo meta","OK")))))</f>
        <v/>
      </c>
      <c r="AK24" s="33"/>
      <c r="AL24" s="10"/>
      <c r="AM24" s="33"/>
      <c r="AN24" s="33"/>
      <c r="AO24" s="10"/>
    </row>
    <row r="25" customFormat="false" ht="15" hidden="false" customHeight="false" outlineLevel="0" collapsed="false">
      <c r="A25" s="22"/>
      <c r="B25" s="23" t="str">
        <f aca="false">IF(A25="","",YEAR(A25-WEEKDAY(A25,2)+4))</f>
        <v/>
      </c>
      <c r="C25" s="23" t="str">
        <f aca="false">IF(A25="","",WEEKNUM(A25,21))</f>
        <v/>
      </c>
      <c r="D25" s="24" t="str">
        <f aca="false">IF(A25="","",DATE(YEAR(A25),MONTH(A25),1))</f>
        <v/>
      </c>
      <c r="E25" s="10"/>
      <c r="F25" s="25"/>
      <c r="G25" s="25"/>
      <c r="H25" s="10"/>
      <c r="I25" s="10"/>
      <c r="J25" s="26"/>
      <c r="K25" s="25"/>
      <c r="L25" s="26"/>
      <c r="M25" s="27"/>
      <c r="N25" s="27"/>
      <c r="O25" s="28" t="str">
        <f aca="false">IF(OR(M25="",M25=0,N25=""),"",N25/M25)</f>
        <v/>
      </c>
      <c r="P25" s="28" t="str">
        <f aca="false">IF(M25="","",IFERROR(IF(INDEX(Parámetros!$B$14:$B$21,MATCH(I25,Parámetros!$A$14:$A$21,0))="",Parámetros!$B$5,INDEX(Parámetros!$B$14:$B$21,MATCH(I25,Parámetros!$A$14:$A$21,0))),Parámetros!$B$5))</f>
        <v/>
      </c>
      <c r="Q25" s="29" t="str">
        <f aca="false">IF(O25="","",(O25-P25)*100)</f>
        <v/>
      </c>
      <c r="R25" s="30" t="str">
        <f aca="false">IF(O25="","",MAX(0,M25*(P25-O25)))</f>
        <v/>
      </c>
      <c r="S25" s="31" t="str">
        <f aca="false">IF(OR(L25="",L25=0,N25=""),"",N25/1000/L25)</f>
        <v/>
      </c>
      <c r="T25" s="27"/>
      <c r="U25" s="27"/>
      <c r="V25" s="27"/>
      <c r="W25" s="27"/>
      <c r="X25" s="27"/>
      <c r="Y25" s="27"/>
      <c r="Z25" s="27"/>
      <c r="AA25" s="25"/>
      <c r="AB25" s="27"/>
      <c r="AC25" s="30" t="str">
        <f aca="false">IF(M25="","",IF(AB25="",M25*Parámetros!$B$6,AB25))</f>
        <v/>
      </c>
      <c r="AD25" s="30" t="str">
        <f aca="false">IF(M25="","",SUM(T25:Z25)+AC25)</f>
        <v/>
      </c>
      <c r="AE25" s="30" t="str">
        <f aca="false">IF(OR(M25="",N25=""),"",M25-N25)</f>
        <v/>
      </c>
      <c r="AF25" s="30" t="str">
        <f aca="false">IF(AE25="","",AE25-AD25)</f>
        <v/>
      </c>
      <c r="AG25" s="28" t="str">
        <f aca="false">IF(OR(AF25="",M25=0),"",AF25/M25)</f>
        <v/>
      </c>
      <c r="AH25" s="32" t="str">
        <f aca="false">IF(OR(AE25="",N25=0),"",AE25/(N25/1000))</f>
        <v/>
      </c>
      <c r="AI25" s="30" t="str">
        <f aca="false">IF(O25="","",M25*P25)</f>
        <v/>
      </c>
      <c r="AJ25" s="11" t="str">
        <f aca="false">IF(O25="","",IF(O25&gt;1,"Error: rend &gt; 100 %",IF(SUM(T25:Z25)=0,"Falta registrar pérdidas",IF(ABS(AG25)&gt;Parámetros!$B$7,"Revisar balance",IF(O25&lt;P25,"Bajo meta","OK")))))</f>
        <v/>
      </c>
      <c r="AK25" s="33"/>
      <c r="AL25" s="10"/>
      <c r="AM25" s="33"/>
      <c r="AN25" s="33"/>
      <c r="AO25" s="10"/>
    </row>
    <row r="26" customFormat="false" ht="15" hidden="false" customHeight="false" outlineLevel="0" collapsed="false">
      <c r="A26" s="22"/>
      <c r="B26" s="23" t="str">
        <f aca="false">IF(A26="","",YEAR(A26-WEEKDAY(A26,2)+4))</f>
        <v/>
      </c>
      <c r="C26" s="23" t="str">
        <f aca="false">IF(A26="","",WEEKNUM(A26,21))</f>
        <v/>
      </c>
      <c r="D26" s="24" t="str">
        <f aca="false">IF(A26="","",DATE(YEAR(A26),MONTH(A26),1))</f>
        <v/>
      </c>
      <c r="E26" s="10"/>
      <c r="F26" s="25"/>
      <c r="G26" s="25"/>
      <c r="H26" s="10"/>
      <c r="I26" s="10"/>
      <c r="J26" s="26"/>
      <c r="K26" s="25"/>
      <c r="L26" s="26"/>
      <c r="M26" s="27"/>
      <c r="N26" s="27"/>
      <c r="O26" s="28" t="str">
        <f aca="false">IF(OR(M26="",M26=0,N26=""),"",N26/M26)</f>
        <v/>
      </c>
      <c r="P26" s="28" t="str">
        <f aca="false">IF(M26="","",IFERROR(IF(INDEX(Parámetros!$B$14:$B$21,MATCH(I26,Parámetros!$A$14:$A$21,0))="",Parámetros!$B$5,INDEX(Parámetros!$B$14:$B$21,MATCH(I26,Parámetros!$A$14:$A$21,0))),Parámetros!$B$5))</f>
        <v/>
      </c>
      <c r="Q26" s="29" t="str">
        <f aca="false">IF(O26="","",(O26-P26)*100)</f>
        <v/>
      </c>
      <c r="R26" s="30" t="str">
        <f aca="false">IF(O26="","",MAX(0,M26*(P26-O26)))</f>
        <v/>
      </c>
      <c r="S26" s="31" t="str">
        <f aca="false">IF(OR(L26="",L26=0,N26=""),"",N26/1000/L26)</f>
        <v/>
      </c>
      <c r="T26" s="27"/>
      <c r="U26" s="27"/>
      <c r="V26" s="27"/>
      <c r="W26" s="27"/>
      <c r="X26" s="27"/>
      <c r="Y26" s="27"/>
      <c r="Z26" s="27"/>
      <c r="AA26" s="25"/>
      <c r="AB26" s="27"/>
      <c r="AC26" s="30" t="str">
        <f aca="false">IF(M26="","",IF(AB26="",M26*Parámetros!$B$6,AB26))</f>
        <v/>
      </c>
      <c r="AD26" s="30" t="str">
        <f aca="false">IF(M26="","",SUM(T26:Z26)+AC26)</f>
        <v/>
      </c>
      <c r="AE26" s="30" t="str">
        <f aca="false">IF(OR(M26="",N26=""),"",M26-N26)</f>
        <v/>
      </c>
      <c r="AF26" s="30" t="str">
        <f aca="false">IF(AE26="","",AE26-AD26)</f>
        <v/>
      </c>
      <c r="AG26" s="28" t="str">
        <f aca="false">IF(OR(AF26="",M26=0),"",AF26/M26)</f>
        <v/>
      </c>
      <c r="AH26" s="32" t="str">
        <f aca="false">IF(OR(AE26="",N26=0),"",AE26/(N26/1000))</f>
        <v/>
      </c>
      <c r="AI26" s="30" t="str">
        <f aca="false">IF(O26="","",M26*P26)</f>
        <v/>
      </c>
      <c r="AJ26" s="11" t="str">
        <f aca="false">IF(O26="","",IF(O26&gt;1,"Error: rend &gt; 100 %",IF(SUM(T26:Z26)=0,"Falta registrar pérdidas",IF(ABS(AG26)&gt;Parámetros!$B$7,"Revisar balance",IF(O26&lt;P26,"Bajo meta","OK")))))</f>
        <v/>
      </c>
      <c r="AK26" s="33"/>
      <c r="AL26" s="10"/>
      <c r="AM26" s="33"/>
      <c r="AN26" s="33"/>
      <c r="AO26" s="10"/>
    </row>
    <row r="27" customFormat="false" ht="15" hidden="false" customHeight="false" outlineLevel="0" collapsed="false">
      <c r="A27" s="22"/>
      <c r="B27" s="23" t="str">
        <f aca="false">IF(A27="","",YEAR(A27-WEEKDAY(A27,2)+4))</f>
        <v/>
      </c>
      <c r="C27" s="23" t="str">
        <f aca="false">IF(A27="","",WEEKNUM(A27,21))</f>
        <v/>
      </c>
      <c r="D27" s="24" t="str">
        <f aca="false">IF(A27="","",DATE(YEAR(A27),MONTH(A27),1))</f>
        <v/>
      </c>
      <c r="E27" s="10"/>
      <c r="F27" s="25"/>
      <c r="G27" s="25"/>
      <c r="H27" s="10"/>
      <c r="I27" s="10"/>
      <c r="J27" s="26"/>
      <c r="K27" s="25"/>
      <c r="L27" s="26"/>
      <c r="M27" s="27"/>
      <c r="N27" s="27"/>
      <c r="O27" s="28" t="str">
        <f aca="false">IF(OR(M27="",M27=0,N27=""),"",N27/M27)</f>
        <v/>
      </c>
      <c r="P27" s="28" t="str">
        <f aca="false">IF(M27="","",IFERROR(IF(INDEX(Parámetros!$B$14:$B$21,MATCH(I27,Parámetros!$A$14:$A$21,0))="",Parámetros!$B$5,INDEX(Parámetros!$B$14:$B$21,MATCH(I27,Parámetros!$A$14:$A$21,0))),Parámetros!$B$5))</f>
        <v/>
      </c>
      <c r="Q27" s="29" t="str">
        <f aca="false">IF(O27="","",(O27-P27)*100)</f>
        <v/>
      </c>
      <c r="R27" s="30" t="str">
        <f aca="false">IF(O27="","",MAX(0,M27*(P27-O27)))</f>
        <v/>
      </c>
      <c r="S27" s="31" t="str">
        <f aca="false">IF(OR(L27="",L27=0,N27=""),"",N27/1000/L27)</f>
        <v/>
      </c>
      <c r="T27" s="27"/>
      <c r="U27" s="27"/>
      <c r="V27" s="27"/>
      <c r="W27" s="27"/>
      <c r="X27" s="27"/>
      <c r="Y27" s="27"/>
      <c r="Z27" s="27"/>
      <c r="AA27" s="25"/>
      <c r="AB27" s="27"/>
      <c r="AC27" s="30" t="str">
        <f aca="false">IF(M27="","",IF(AB27="",M27*Parámetros!$B$6,AB27))</f>
        <v/>
      </c>
      <c r="AD27" s="30" t="str">
        <f aca="false">IF(M27="","",SUM(T27:Z27)+AC27)</f>
        <v/>
      </c>
      <c r="AE27" s="30" t="str">
        <f aca="false">IF(OR(M27="",N27=""),"",M27-N27)</f>
        <v/>
      </c>
      <c r="AF27" s="30" t="str">
        <f aca="false">IF(AE27="","",AE27-AD27)</f>
        <v/>
      </c>
      <c r="AG27" s="28" t="str">
        <f aca="false">IF(OR(AF27="",M27=0),"",AF27/M27)</f>
        <v/>
      </c>
      <c r="AH27" s="32" t="str">
        <f aca="false">IF(OR(AE27="",N27=0),"",AE27/(N27/1000))</f>
        <v/>
      </c>
      <c r="AI27" s="30" t="str">
        <f aca="false">IF(O27="","",M27*P27)</f>
        <v/>
      </c>
      <c r="AJ27" s="11" t="str">
        <f aca="false">IF(O27="","",IF(O27&gt;1,"Error: rend &gt; 100 %",IF(SUM(T27:Z27)=0,"Falta registrar pérdidas",IF(ABS(AG27)&gt;Parámetros!$B$7,"Revisar balance",IF(O27&lt;P27,"Bajo meta","OK")))))</f>
        <v/>
      </c>
      <c r="AK27" s="33"/>
      <c r="AL27" s="10"/>
      <c r="AM27" s="33"/>
      <c r="AN27" s="33"/>
      <c r="AO27" s="10"/>
    </row>
    <row r="28" customFormat="false" ht="15" hidden="false" customHeight="false" outlineLevel="0" collapsed="false">
      <c r="A28" s="22"/>
      <c r="B28" s="23" t="str">
        <f aca="false">IF(A28="","",YEAR(A28-WEEKDAY(A28,2)+4))</f>
        <v/>
      </c>
      <c r="C28" s="23" t="str">
        <f aca="false">IF(A28="","",WEEKNUM(A28,21))</f>
        <v/>
      </c>
      <c r="D28" s="24" t="str">
        <f aca="false">IF(A28="","",DATE(YEAR(A28),MONTH(A28),1))</f>
        <v/>
      </c>
      <c r="E28" s="10"/>
      <c r="F28" s="25"/>
      <c r="G28" s="25"/>
      <c r="H28" s="10"/>
      <c r="I28" s="10"/>
      <c r="J28" s="26"/>
      <c r="K28" s="25"/>
      <c r="L28" s="26"/>
      <c r="M28" s="27"/>
      <c r="N28" s="27"/>
      <c r="O28" s="28" t="str">
        <f aca="false">IF(OR(M28="",M28=0,N28=""),"",N28/M28)</f>
        <v/>
      </c>
      <c r="P28" s="28" t="str">
        <f aca="false">IF(M28="","",IFERROR(IF(INDEX(Parámetros!$B$14:$B$21,MATCH(I28,Parámetros!$A$14:$A$21,0))="",Parámetros!$B$5,INDEX(Parámetros!$B$14:$B$21,MATCH(I28,Parámetros!$A$14:$A$21,0))),Parámetros!$B$5))</f>
        <v/>
      </c>
      <c r="Q28" s="29" t="str">
        <f aca="false">IF(O28="","",(O28-P28)*100)</f>
        <v/>
      </c>
      <c r="R28" s="30" t="str">
        <f aca="false">IF(O28="","",MAX(0,M28*(P28-O28)))</f>
        <v/>
      </c>
      <c r="S28" s="31" t="str">
        <f aca="false">IF(OR(L28="",L28=0,N28=""),"",N28/1000/L28)</f>
        <v/>
      </c>
      <c r="T28" s="27"/>
      <c r="U28" s="27"/>
      <c r="V28" s="27"/>
      <c r="W28" s="27"/>
      <c r="X28" s="27"/>
      <c r="Y28" s="27"/>
      <c r="Z28" s="27"/>
      <c r="AA28" s="25"/>
      <c r="AB28" s="27"/>
      <c r="AC28" s="30" t="str">
        <f aca="false">IF(M28="","",IF(AB28="",M28*Parámetros!$B$6,AB28))</f>
        <v/>
      </c>
      <c r="AD28" s="30" t="str">
        <f aca="false">IF(M28="","",SUM(T28:Z28)+AC28)</f>
        <v/>
      </c>
      <c r="AE28" s="30" t="str">
        <f aca="false">IF(OR(M28="",N28=""),"",M28-N28)</f>
        <v/>
      </c>
      <c r="AF28" s="30" t="str">
        <f aca="false">IF(AE28="","",AE28-AD28)</f>
        <v/>
      </c>
      <c r="AG28" s="28" t="str">
        <f aca="false">IF(OR(AF28="",M28=0),"",AF28/M28)</f>
        <v/>
      </c>
      <c r="AH28" s="32" t="str">
        <f aca="false">IF(OR(AE28="",N28=0),"",AE28/(N28/1000))</f>
        <v/>
      </c>
      <c r="AI28" s="30" t="str">
        <f aca="false">IF(O28="","",M28*P28)</f>
        <v/>
      </c>
      <c r="AJ28" s="11" t="str">
        <f aca="false">IF(O28="","",IF(O28&gt;1,"Error: rend &gt; 100 %",IF(SUM(T28:Z28)=0,"Falta registrar pérdidas",IF(ABS(AG28)&gt;Parámetros!$B$7,"Revisar balance",IF(O28&lt;P28,"Bajo meta","OK")))))</f>
        <v/>
      </c>
      <c r="AK28" s="33"/>
      <c r="AL28" s="10"/>
      <c r="AM28" s="33"/>
      <c r="AN28" s="33"/>
      <c r="AO28" s="10"/>
    </row>
    <row r="29" customFormat="false" ht="15" hidden="false" customHeight="false" outlineLevel="0" collapsed="false">
      <c r="A29" s="22"/>
      <c r="B29" s="23" t="str">
        <f aca="false">IF(A29="","",YEAR(A29-WEEKDAY(A29,2)+4))</f>
        <v/>
      </c>
      <c r="C29" s="23" t="str">
        <f aca="false">IF(A29="","",WEEKNUM(A29,21))</f>
        <v/>
      </c>
      <c r="D29" s="24" t="str">
        <f aca="false">IF(A29="","",DATE(YEAR(A29),MONTH(A29),1))</f>
        <v/>
      </c>
      <c r="E29" s="10"/>
      <c r="F29" s="25"/>
      <c r="G29" s="25"/>
      <c r="H29" s="10"/>
      <c r="I29" s="10"/>
      <c r="J29" s="26"/>
      <c r="K29" s="25"/>
      <c r="L29" s="26"/>
      <c r="M29" s="27"/>
      <c r="N29" s="27"/>
      <c r="O29" s="28" t="str">
        <f aca="false">IF(OR(M29="",M29=0,N29=""),"",N29/M29)</f>
        <v/>
      </c>
      <c r="P29" s="28" t="str">
        <f aca="false">IF(M29="","",IFERROR(IF(INDEX(Parámetros!$B$14:$B$21,MATCH(I29,Parámetros!$A$14:$A$21,0))="",Parámetros!$B$5,INDEX(Parámetros!$B$14:$B$21,MATCH(I29,Parámetros!$A$14:$A$21,0))),Parámetros!$B$5))</f>
        <v/>
      </c>
      <c r="Q29" s="29" t="str">
        <f aca="false">IF(O29="","",(O29-P29)*100)</f>
        <v/>
      </c>
      <c r="R29" s="30" t="str">
        <f aca="false">IF(O29="","",MAX(0,M29*(P29-O29)))</f>
        <v/>
      </c>
      <c r="S29" s="31" t="str">
        <f aca="false">IF(OR(L29="",L29=0,N29=""),"",N29/1000/L29)</f>
        <v/>
      </c>
      <c r="T29" s="27"/>
      <c r="U29" s="27"/>
      <c r="V29" s="27"/>
      <c r="W29" s="27"/>
      <c r="X29" s="27"/>
      <c r="Y29" s="27"/>
      <c r="Z29" s="27"/>
      <c r="AA29" s="25"/>
      <c r="AB29" s="27"/>
      <c r="AC29" s="30" t="str">
        <f aca="false">IF(M29="","",IF(AB29="",M29*Parámetros!$B$6,AB29))</f>
        <v/>
      </c>
      <c r="AD29" s="30" t="str">
        <f aca="false">IF(M29="","",SUM(T29:Z29)+AC29)</f>
        <v/>
      </c>
      <c r="AE29" s="30" t="str">
        <f aca="false">IF(OR(M29="",N29=""),"",M29-N29)</f>
        <v/>
      </c>
      <c r="AF29" s="30" t="str">
        <f aca="false">IF(AE29="","",AE29-AD29)</f>
        <v/>
      </c>
      <c r="AG29" s="28" t="str">
        <f aca="false">IF(OR(AF29="",M29=0),"",AF29/M29)</f>
        <v/>
      </c>
      <c r="AH29" s="32" t="str">
        <f aca="false">IF(OR(AE29="",N29=0),"",AE29/(N29/1000))</f>
        <v/>
      </c>
      <c r="AI29" s="30" t="str">
        <f aca="false">IF(O29="","",M29*P29)</f>
        <v/>
      </c>
      <c r="AJ29" s="11" t="str">
        <f aca="false">IF(O29="","",IF(O29&gt;1,"Error: rend &gt; 100 %",IF(SUM(T29:Z29)=0,"Falta registrar pérdidas",IF(ABS(AG29)&gt;Parámetros!$B$7,"Revisar balance",IF(O29&lt;P29,"Bajo meta","OK")))))</f>
        <v/>
      </c>
      <c r="AK29" s="33"/>
      <c r="AL29" s="10"/>
      <c r="AM29" s="33"/>
      <c r="AN29" s="33"/>
      <c r="AO29" s="10"/>
    </row>
    <row r="30" customFormat="false" ht="15" hidden="false" customHeight="false" outlineLevel="0" collapsed="false">
      <c r="A30" s="22"/>
      <c r="B30" s="23" t="str">
        <f aca="false">IF(A30="","",YEAR(A30-WEEKDAY(A30,2)+4))</f>
        <v/>
      </c>
      <c r="C30" s="23" t="str">
        <f aca="false">IF(A30="","",WEEKNUM(A30,21))</f>
        <v/>
      </c>
      <c r="D30" s="24" t="str">
        <f aca="false">IF(A30="","",DATE(YEAR(A30),MONTH(A30),1))</f>
        <v/>
      </c>
      <c r="E30" s="10"/>
      <c r="F30" s="25"/>
      <c r="G30" s="25"/>
      <c r="H30" s="10"/>
      <c r="I30" s="10"/>
      <c r="J30" s="26"/>
      <c r="K30" s="25"/>
      <c r="L30" s="26"/>
      <c r="M30" s="27"/>
      <c r="N30" s="27"/>
      <c r="O30" s="28" t="str">
        <f aca="false">IF(OR(M30="",M30=0,N30=""),"",N30/M30)</f>
        <v/>
      </c>
      <c r="P30" s="28" t="str">
        <f aca="false">IF(M30="","",IFERROR(IF(INDEX(Parámetros!$B$14:$B$21,MATCH(I30,Parámetros!$A$14:$A$21,0))="",Parámetros!$B$5,INDEX(Parámetros!$B$14:$B$21,MATCH(I30,Parámetros!$A$14:$A$21,0))),Parámetros!$B$5))</f>
        <v/>
      </c>
      <c r="Q30" s="29" t="str">
        <f aca="false">IF(O30="","",(O30-P30)*100)</f>
        <v/>
      </c>
      <c r="R30" s="30" t="str">
        <f aca="false">IF(O30="","",MAX(0,M30*(P30-O30)))</f>
        <v/>
      </c>
      <c r="S30" s="31" t="str">
        <f aca="false">IF(OR(L30="",L30=0,N30=""),"",N30/1000/L30)</f>
        <v/>
      </c>
      <c r="T30" s="27"/>
      <c r="U30" s="27"/>
      <c r="V30" s="27"/>
      <c r="W30" s="27"/>
      <c r="X30" s="27"/>
      <c r="Y30" s="27"/>
      <c r="Z30" s="27"/>
      <c r="AA30" s="25"/>
      <c r="AB30" s="27"/>
      <c r="AC30" s="30" t="str">
        <f aca="false">IF(M30="","",IF(AB30="",M30*Parámetros!$B$6,AB30))</f>
        <v/>
      </c>
      <c r="AD30" s="30" t="str">
        <f aca="false">IF(M30="","",SUM(T30:Z30)+AC30)</f>
        <v/>
      </c>
      <c r="AE30" s="30" t="str">
        <f aca="false">IF(OR(M30="",N30=""),"",M30-N30)</f>
        <v/>
      </c>
      <c r="AF30" s="30" t="str">
        <f aca="false">IF(AE30="","",AE30-AD30)</f>
        <v/>
      </c>
      <c r="AG30" s="28" t="str">
        <f aca="false">IF(OR(AF30="",M30=0),"",AF30/M30)</f>
        <v/>
      </c>
      <c r="AH30" s="32" t="str">
        <f aca="false">IF(OR(AE30="",N30=0),"",AE30/(N30/1000))</f>
        <v/>
      </c>
      <c r="AI30" s="30" t="str">
        <f aca="false">IF(O30="","",M30*P30)</f>
        <v/>
      </c>
      <c r="AJ30" s="11" t="str">
        <f aca="false">IF(O30="","",IF(O30&gt;1,"Error: rend &gt; 100 %",IF(SUM(T30:Z30)=0,"Falta registrar pérdidas",IF(ABS(AG30)&gt;Parámetros!$B$7,"Revisar balance",IF(O30&lt;P30,"Bajo meta","OK")))))</f>
        <v/>
      </c>
      <c r="AK30" s="33"/>
      <c r="AL30" s="10"/>
      <c r="AM30" s="33"/>
      <c r="AN30" s="33"/>
      <c r="AO30" s="10"/>
    </row>
    <row r="31" customFormat="false" ht="15" hidden="false" customHeight="false" outlineLevel="0" collapsed="false">
      <c r="A31" s="22"/>
      <c r="B31" s="23" t="str">
        <f aca="false">IF(A31="","",YEAR(A31-WEEKDAY(A31,2)+4))</f>
        <v/>
      </c>
      <c r="C31" s="23" t="str">
        <f aca="false">IF(A31="","",WEEKNUM(A31,21))</f>
        <v/>
      </c>
      <c r="D31" s="24" t="str">
        <f aca="false">IF(A31="","",DATE(YEAR(A31),MONTH(A31),1))</f>
        <v/>
      </c>
      <c r="E31" s="10"/>
      <c r="F31" s="25"/>
      <c r="G31" s="25"/>
      <c r="H31" s="10"/>
      <c r="I31" s="10"/>
      <c r="J31" s="26"/>
      <c r="K31" s="25"/>
      <c r="L31" s="26"/>
      <c r="M31" s="27"/>
      <c r="N31" s="27"/>
      <c r="O31" s="28" t="str">
        <f aca="false">IF(OR(M31="",M31=0,N31=""),"",N31/M31)</f>
        <v/>
      </c>
      <c r="P31" s="28" t="str">
        <f aca="false">IF(M31="","",IFERROR(IF(INDEX(Parámetros!$B$14:$B$21,MATCH(I31,Parámetros!$A$14:$A$21,0))="",Parámetros!$B$5,INDEX(Parámetros!$B$14:$B$21,MATCH(I31,Parámetros!$A$14:$A$21,0))),Parámetros!$B$5))</f>
        <v/>
      </c>
      <c r="Q31" s="29" t="str">
        <f aca="false">IF(O31="","",(O31-P31)*100)</f>
        <v/>
      </c>
      <c r="R31" s="30" t="str">
        <f aca="false">IF(O31="","",MAX(0,M31*(P31-O31)))</f>
        <v/>
      </c>
      <c r="S31" s="31" t="str">
        <f aca="false">IF(OR(L31="",L31=0,N31=""),"",N31/1000/L31)</f>
        <v/>
      </c>
      <c r="T31" s="27"/>
      <c r="U31" s="27"/>
      <c r="V31" s="27"/>
      <c r="W31" s="27"/>
      <c r="X31" s="27"/>
      <c r="Y31" s="27"/>
      <c r="Z31" s="27"/>
      <c r="AA31" s="25"/>
      <c r="AB31" s="27"/>
      <c r="AC31" s="30" t="str">
        <f aca="false">IF(M31="","",IF(AB31="",M31*Parámetros!$B$6,AB31))</f>
        <v/>
      </c>
      <c r="AD31" s="30" t="str">
        <f aca="false">IF(M31="","",SUM(T31:Z31)+AC31)</f>
        <v/>
      </c>
      <c r="AE31" s="30" t="str">
        <f aca="false">IF(OR(M31="",N31=""),"",M31-N31)</f>
        <v/>
      </c>
      <c r="AF31" s="30" t="str">
        <f aca="false">IF(AE31="","",AE31-AD31)</f>
        <v/>
      </c>
      <c r="AG31" s="28" t="str">
        <f aca="false">IF(OR(AF31="",M31=0),"",AF31/M31)</f>
        <v/>
      </c>
      <c r="AH31" s="32" t="str">
        <f aca="false">IF(OR(AE31="",N31=0),"",AE31/(N31/1000))</f>
        <v/>
      </c>
      <c r="AI31" s="30" t="str">
        <f aca="false">IF(O31="","",M31*P31)</f>
        <v/>
      </c>
      <c r="AJ31" s="11" t="str">
        <f aca="false">IF(O31="","",IF(O31&gt;1,"Error: rend &gt; 100 %",IF(SUM(T31:Z31)=0,"Falta registrar pérdidas",IF(ABS(AG31)&gt;Parámetros!$B$7,"Revisar balance",IF(O31&lt;P31,"Bajo meta","OK")))))</f>
        <v/>
      </c>
      <c r="AK31" s="33"/>
      <c r="AL31" s="10"/>
      <c r="AM31" s="33"/>
      <c r="AN31" s="33"/>
      <c r="AO31" s="10"/>
    </row>
    <row r="32" customFormat="false" ht="15" hidden="false" customHeight="false" outlineLevel="0" collapsed="false">
      <c r="A32" s="22"/>
      <c r="B32" s="23" t="str">
        <f aca="false">IF(A32="","",YEAR(A32-WEEKDAY(A32,2)+4))</f>
        <v/>
      </c>
      <c r="C32" s="23" t="str">
        <f aca="false">IF(A32="","",WEEKNUM(A32,21))</f>
        <v/>
      </c>
      <c r="D32" s="24" t="str">
        <f aca="false">IF(A32="","",DATE(YEAR(A32),MONTH(A32),1))</f>
        <v/>
      </c>
      <c r="E32" s="10"/>
      <c r="F32" s="25"/>
      <c r="G32" s="25"/>
      <c r="H32" s="10"/>
      <c r="I32" s="10"/>
      <c r="J32" s="26"/>
      <c r="K32" s="25"/>
      <c r="L32" s="26"/>
      <c r="M32" s="27"/>
      <c r="N32" s="27"/>
      <c r="O32" s="28" t="str">
        <f aca="false">IF(OR(M32="",M32=0,N32=""),"",N32/M32)</f>
        <v/>
      </c>
      <c r="P32" s="28" t="str">
        <f aca="false">IF(M32="","",IFERROR(IF(INDEX(Parámetros!$B$14:$B$21,MATCH(I32,Parámetros!$A$14:$A$21,0))="",Parámetros!$B$5,INDEX(Parámetros!$B$14:$B$21,MATCH(I32,Parámetros!$A$14:$A$21,0))),Parámetros!$B$5))</f>
        <v/>
      </c>
      <c r="Q32" s="29" t="str">
        <f aca="false">IF(O32="","",(O32-P32)*100)</f>
        <v/>
      </c>
      <c r="R32" s="30" t="str">
        <f aca="false">IF(O32="","",MAX(0,M32*(P32-O32)))</f>
        <v/>
      </c>
      <c r="S32" s="31" t="str">
        <f aca="false">IF(OR(L32="",L32=0,N32=""),"",N32/1000/L32)</f>
        <v/>
      </c>
      <c r="T32" s="27"/>
      <c r="U32" s="27"/>
      <c r="V32" s="27"/>
      <c r="W32" s="27"/>
      <c r="X32" s="27"/>
      <c r="Y32" s="27"/>
      <c r="Z32" s="27"/>
      <c r="AA32" s="25"/>
      <c r="AB32" s="27"/>
      <c r="AC32" s="30" t="str">
        <f aca="false">IF(M32="","",IF(AB32="",M32*Parámetros!$B$6,AB32))</f>
        <v/>
      </c>
      <c r="AD32" s="30" t="str">
        <f aca="false">IF(M32="","",SUM(T32:Z32)+AC32)</f>
        <v/>
      </c>
      <c r="AE32" s="30" t="str">
        <f aca="false">IF(OR(M32="",N32=""),"",M32-N32)</f>
        <v/>
      </c>
      <c r="AF32" s="30" t="str">
        <f aca="false">IF(AE32="","",AE32-AD32)</f>
        <v/>
      </c>
      <c r="AG32" s="28" t="str">
        <f aca="false">IF(OR(AF32="",M32=0),"",AF32/M32)</f>
        <v/>
      </c>
      <c r="AH32" s="32" t="str">
        <f aca="false">IF(OR(AE32="",N32=0),"",AE32/(N32/1000))</f>
        <v/>
      </c>
      <c r="AI32" s="30" t="str">
        <f aca="false">IF(O32="","",M32*P32)</f>
        <v/>
      </c>
      <c r="AJ32" s="11" t="str">
        <f aca="false">IF(O32="","",IF(O32&gt;1,"Error: rend &gt; 100 %",IF(SUM(T32:Z32)=0,"Falta registrar pérdidas",IF(ABS(AG32)&gt;Parámetros!$B$7,"Revisar balance",IF(O32&lt;P32,"Bajo meta","OK")))))</f>
        <v/>
      </c>
      <c r="AK32" s="33"/>
      <c r="AL32" s="10"/>
      <c r="AM32" s="33"/>
      <c r="AN32" s="33"/>
      <c r="AO32" s="10"/>
    </row>
    <row r="33" customFormat="false" ht="15" hidden="false" customHeight="false" outlineLevel="0" collapsed="false">
      <c r="A33" s="22"/>
      <c r="B33" s="23" t="str">
        <f aca="false">IF(A33="","",YEAR(A33-WEEKDAY(A33,2)+4))</f>
        <v/>
      </c>
      <c r="C33" s="23" t="str">
        <f aca="false">IF(A33="","",WEEKNUM(A33,21))</f>
        <v/>
      </c>
      <c r="D33" s="24" t="str">
        <f aca="false">IF(A33="","",DATE(YEAR(A33),MONTH(A33),1))</f>
        <v/>
      </c>
      <c r="E33" s="10"/>
      <c r="F33" s="25"/>
      <c r="G33" s="25"/>
      <c r="H33" s="10"/>
      <c r="I33" s="10"/>
      <c r="J33" s="26"/>
      <c r="K33" s="25"/>
      <c r="L33" s="26"/>
      <c r="M33" s="27"/>
      <c r="N33" s="27"/>
      <c r="O33" s="28" t="str">
        <f aca="false">IF(OR(M33="",M33=0,N33=""),"",N33/M33)</f>
        <v/>
      </c>
      <c r="P33" s="28" t="str">
        <f aca="false">IF(M33="","",IFERROR(IF(INDEX(Parámetros!$B$14:$B$21,MATCH(I33,Parámetros!$A$14:$A$21,0))="",Parámetros!$B$5,INDEX(Parámetros!$B$14:$B$21,MATCH(I33,Parámetros!$A$14:$A$21,0))),Parámetros!$B$5))</f>
        <v/>
      </c>
      <c r="Q33" s="29" t="str">
        <f aca="false">IF(O33="","",(O33-P33)*100)</f>
        <v/>
      </c>
      <c r="R33" s="30" t="str">
        <f aca="false">IF(O33="","",MAX(0,M33*(P33-O33)))</f>
        <v/>
      </c>
      <c r="S33" s="31" t="str">
        <f aca="false">IF(OR(L33="",L33=0,N33=""),"",N33/1000/L33)</f>
        <v/>
      </c>
      <c r="T33" s="27"/>
      <c r="U33" s="27"/>
      <c r="V33" s="27"/>
      <c r="W33" s="27"/>
      <c r="X33" s="27"/>
      <c r="Y33" s="27"/>
      <c r="Z33" s="27"/>
      <c r="AA33" s="25"/>
      <c r="AB33" s="27"/>
      <c r="AC33" s="30" t="str">
        <f aca="false">IF(M33="","",IF(AB33="",M33*Parámetros!$B$6,AB33))</f>
        <v/>
      </c>
      <c r="AD33" s="30" t="str">
        <f aca="false">IF(M33="","",SUM(T33:Z33)+AC33)</f>
        <v/>
      </c>
      <c r="AE33" s="30" t="str">
        <f aca="false">IF(OR(M33="",N33=""),"",M33-N33)</f>
        <v/>
      </c>
      <c r="AF33" s="30" t="str">
        <f aca="false">IF(AE33="","",AE33-AD33)</f>
        <v/>
      </c>
      <c r="AG33" s="28" t="str">
        <f aca="false">IF(OR(AF33="",M33=0),"",AF33/M33)</f>
        <v/>
      </c>
      <c r="AH33" s="32" t="str">
        <f aca="false">IF(OR(AE33="",N33=0),"",AE33/(N33/1000))</f>
        <v/>
      </c>
      <c r="AI33" s="30" t="str">
        <f aca="false">IF(O33="","",M33*P33)</f>
        <v/>
      </c>
      <c r="AJ33" s="11" t="str">
        <f aca="false">IF(O33="","",IF(O33&gt;1,"Error: rend &gt; 100 %",IF(SUM(T33:Z33)=0,"Falta registrar pérdidas",IF(ABS(AG33)&gt;Parámetros!$B$7,"Revisar balance",IF(O33&lt;P33,"Bajo meta","OK")))))</f>
        <v/>
      </c>
      <c r="AK33" s="33"/>
      <c r="AL33" s="10"/>
      <c r="AM33" s="33"/>
      <c r="AN33" s="33"/>
      <c r="AO33" s="10"/>
    </row>
    <row r="34" customFormat="false" ht="15" hidden="false" customHeight="false" outlineLevel="0" collapsed="false">
      <c r="A34" s="22"/>
      <c r="B34" s="23" t="str">
        <f aca="false">IF(A34="","",YEAR(A34-WEEKDAY(A34,2)+4))</f>
        <v/>
      </c>
      <c r="C34" s="23" t="str">
        <f aca="false">IF(A34="","",WEEKNUM(A34,21))</f>
        <v/>
      </c>
      <c r="D34" s="24" t="str">
        <f aca="false">IF(A34="","",DATE(YEAR(A34),MONTH(A34),1))</f>
        <v/>
      </c>
      <c r="E34" s="10"/>
      <c r="F34" s="25"/>
      <c r="G34" s="25"/>
      <c r="H34" s="10"/>
      <c r="I34" s="10"/>
      <c r="J34" s="26"/>
      <c r="K34" s="25"/>
      <c r="L34" s="26"/>
      <c r="M34" s="27"/>
      <c r="N34" s="27"/>
      <c r="O34" s="28" t="str">
        <f aca="false">IF(OR(M34="",M34=0,N34=""),"",N34/M34)</f>
        <v/>
      </c>
      <c r="P34" s="28" t="str">
        <f aca="false">IF(M34="","",IFERROR(IF(INDEX(Parámetros!$B$14:$B$21,MATCH(I34,Parámetros!$A$14:$A$21,0))="",Parámetros!$B$5,INDEX(Parámetros!$B$14:$B$21,MATCH(I34,Parámetros!$A$14:$A$21,0))),Parámetros!$B$5))</f>
        <v/>
      </c>
      <c r="Q34" s="29" t="str">
        <f aca="false">IF(O34="","",(O34-P34)*100)</f>
        <v/>
      </c>
      <c r="R34" s="30" t="str">
        <f aca="false">IF(O34="","",MAX(0,M34*(P34-O34)))</f>
        <v/>
      </c>
      <c r="S34" s="31" t="str">
        <f aca="false">IF(OR(L34="",L34=0,N34=""),"",N34/1000/L34)</f>
        <v/>
      </c>
      <c r="T34" s="27"/>
      <c r="U34" s="27"/>
      <c r="V34" s="27"/>
      <c r="W34" s="27"/>
      <c r="X34" s="27"/>
      <c r="Y34" s="27"/>
      <c r="Z34" s="27"/>
      <c r="AA34" s="25"/>
      <c r="AB34" s="27"/>
      <c r="AC34" s="30" t="str">
        <f aca="false">IF(M34="","",IF(AB34="",M34*Parámetros!$B$6,AB34))</f>
        <v/>
      </c>
      <c r="AD34" s="30" t="str">
        <f aca="false">IF(M34="","",SUM(T34:Z34)+AC34)</f>
        <v/>
      </c>
      <c r="AE34" s="30" t="str">
        <f aca="false">IF(OR(M34="",N34=""),"",M34-N34)</f>
        <v/>
      </c>
      <c r="AF34" s="30" t="str">
        <f aca="false">IF(AE34="","",AE34-AD34)</f>
        <v/>
      </c>
      <c r="AG34" s="28" t="str">
        <f aca="false">IF(OR(AF34="",M34=0),"",AF34/M34)</f>
        <v/>
      </c>
      <c r="AH34" s="32" t="str">
        <f aca="false">IF(OR(AE34="",N34=0),"",AE34/(N34/1000))</f>
        <v/>
      </c>
      <c r="AI34" s="30" t="str">
        <f aca="false">IF(O34="","",M34*P34)</f>
        <v/>
      </c>
      <c r="AJ34" s="11" t="str">
        <f aca="false">IF(O34="","",IF(O34&gt;1,"Error: rend &gt; 100 %",IF(SUM(T34:Z34)=0,"Falta registrar pérdidas",IF(ABS(AG34)&gt;Parámetros!$B$7,"Revisar balance",IF(O34&lt;P34,"Bajo meta","OK")))))</f>
        <v/>
      </c>
      <c r="AK34" s="33"/>
      <c r="AL34" s="10"/>
      <c r="AM34" s="33"/>
      <c r="AN34" s="33"/>
      <c r="AO34" s="10"/>
    </row>
    <row r="35" customFormat="false" ht="15" hidden="false" customHeight="false" outlineLevel="0" collapsed="false">
      <c r="A35" s="22"/>
      <c r="B35" s="23" t="str">
        <f aca="false">IF(A35="","",YEAR(A35-WEEKDAY(A35,2)+4))</f>
        <v/>
      </c>
      <c r="C35" s="23" t="str">
        <f aca="false">IF(A35="","",WEEKNUM(A35,21))</f>
        <v/>
      </c>
      <c r="D35" s="24" t="str">
        <f aca="false">IF(A35="","",DATE(YEAR(A35),MONTH(A35),1))</f>
        <v/>
      </c>
      <c r="E35" s="10"/>
      <c r="F35" s="25"/>
      <c r="G35" s="25"/>
      <c r="H35" s="10"/>
      <c r="I35" s="10"/>
      <c r="J35" s="26"/>
      <c r="K35" s="25"/>
      <c r="L35" s="26"/>
      <c r="M35" s="27"/>
      <c r="N35" s="27"/>
      <c r="O35" s="28" t="str">
        <f aca="false">IF(OR(M35="",M35=0,N35=""),"",N35/M35)</f>
        <v/>
      </c>
      <c r="P35" s="28" t="str">
        <f aca="false">IF(M35="","",IFERROR(IF(INDEX(Parámetros!$B$14:$B$21,MATCH(I35,Parámetros!$A$14:$A$21,0))="",Parámetros!$B$5,INDEX(Parámetros!$B$14:$B$21,MATCH(I35,Parámetros!$A$14:$A$21,0))),Parámetros!$B$5))</f>
        <v/>
      </c>
      <c r="Q35" s="29" t="str">
        <f aca="false">IF(O35="","",(O35-P35)*100)</f>
        <v/>
      </c>
      <c r="R35" s="30" t="str">
        <f aca="false">IF(O35="","",MAX(0,M35*(P35-O35)))</f>
        <v/>
      </c>
      <c r="S35" s="31" t="str">
        <f aca="false">IF(OR(L35="",L35=0,N35=""),"",N35/1000/L35)</f>
        <v/>
      </c>
      <c r="T35" s="27"/>
      <c r="U35" s="27"/>
      <c r="V35" s="27"/>
      <c r="W35" s="27"/>
      <c r="X35" s="27"/>
      <c r="Y35" s="27"/>
      <c r="Z35" s="27"/>
      <c r="AA35" s="25"/>
      <c r="AB35" s="27"/>
      <c r="AC35" s="30" t="str">
        <f aca="false">IF(M35="","",IF(AB35="",M35*Parámetros!$B$6,AB35))</f>
        <v/>
      </c>
      <c r="AD35" s="30" t="str">
        <f aca="false">IF(M35="","",SUM(T35:Z35)+AC35)</f>
        <v/>
      </c>
      <c r="AE35" s="30" t="str">
        <f aca="false">IF(OR(M35="",N35=""),"",M35-N35)</f>
        <v/>
      </c>
      <c r="AF35" s="30" t="str">
        <f aca="false">IF(AE35="","",AE35-AD35)</f>
        <v/>
      </c>
      <c r="AG35" s="28" t="str">
        <f aca="false">IF(OR(AF35="",M35=0),"",AF35/M35)</f>
        <v/>
      </c>
      <c r="AH35" s="32" t="str">
        <f aca="false">IF(OR(AE35="",N35=0),"",AE35/(N35/1000))</f>
        <v/>
      </c>
      <c r="AI35" s="30" t="str">
        <f aca="false">IF(O35="","",M35*P35)</f>
        <v/>
      </c>
      <c r="AJ35" s="11" t="str">
        <f aca="false">IF(O35="","",IF(O35&gt;1,"Error: rend &gt; 100 %",IF(SUM(T35:Z35)=0,"Falta registrar pérdidas",IF(ABS(AG35)&gt;Parámetros!$B$7,"Revisar balance",IF(O35&lt;P35,"Bajo meta","OK")))))</f>
        <v/>
      </c>
      <c r="AK35" s="33"/>
      <c r="AL35" s="10"/>
      <c r="AM35" s="33"/>
      <c r="AN35" s="33"/>
      <c r="AO35" s="10"/>
    </row>
    <row r="36" customFormat="false" ht="15" hidden="false" customHeight="false" outlineLevel="0" collapsed="false">
      <c r="A36" s="22"/>
      <c r="B36" s="23" t="str">
        <f aca="false">IF(A36="","",YEAR(A36-WEEKDAY(A36,2)+4))</f>
        <v/>
      </c>
      <c r="C36" s="23" t="str">
        <f aca="false">IF(A36="","",WEEKNUM(A36,21))</f>
        <v/>
      </c>
      <c r="D36" s="24" t="str">
        <f aca="false">IF(A36="","",DATE(YEAR(A36),MONTH(A36),1))</f>
        <v/>
      </c>
      <c r="E36" s="10"/>
      <c r="F36" s="25"/>
      <c r="G36" s="25"/>
      <c r="H36" s="10"/>
      <c r="I36" s="10"/>
      <c r="J36" s="26"/>
      <c r="K36" s="25"/>
      <c r="L36" s="26"/>
      <c r="M36" s="27"/>
      <c r="N36" s="27"/>
      <c r="O36" s="28" t="str">
        <f aca="false">IF(OR(M36="",M36=0,N36=""),"",N36/M36)</f>
        <v/>
      </c>
      <c r="P36" s="28" t="str">
        <f aca="false">IF(M36="","",IFERROR(IF(INDEX(Parámetros!$B$14:$B$21,MATCH(I36,Parámetros!$A$14:$A$21,0))="",Parámetros!$B$5,INDEX(Parámetros!$B$14:$B$21,MATCH(I36,Parámetros!$A$14:$A$21,0))),Parámetros!$B$5))</f>
        <v/>
      </c>
      <c r="Q36" s="29" t="str">
        <f aca="false">IF(O36="","",(O36-P36)*100)</f>
        <v/>
      </c>
      <c r="R36" s="30" t="str">
        <f aca="false">IF(O36="","",MAX(0,M36*(P36-O36)))</f>
        <v/>
      </c>
      <c r="S36" s="31" t="str">
        <f aca="false">IF(OR(L36="",L36=0,N36=""),"",N36/1000/L36)</f>
        <v/>
      </c>
      <c r="T36" s="27"/>
      <c r="U36" s="27"/>
      <c r="V36" s="27"/>
      <c r="W36" s="27"/>
      <c r="X36" s="27"/>
      <c r="Y36" s="27"/>
      <c r="Z36" s="27"/>
      <c r="AA36" s="25"/>
      <c r="AB36" s="27"/>
      <c r="AC36" s="30" t="str">
        <f aca="false">IF(M36="","",IF(AB36="",M36*Parámetros!$B$6,AB36))</f>
        <v/>
      </c>
      <c r="AD36" s="30" t="str">
        <f aca="false">IF(M36="","",SUM(T36:Z36)+AC36)</f>
        <v/>
      </c>
      <c r="AE36" s="30" t="str">
        <f aca="false">IF(OR(M36="",N36=""),"",M36-N36)</f>
        <v/>
      </c>
      <c r="AF36" s="30" t="str">
        <f aca="false">IF(AE36="","",AE36-AD36)</f>
        <v/>
      </c>
      <c r="AG36" s="28" t="str">
        <f aca="false">IF(OR(AF36="",M36=0),"",AF36/M36)</f>
        <v/>
      </c>
      <c r="AH36" s="32" t="str">
        <f aca="false">IF(OR(AE36="",N36=0),"",AE36/(N36/1000))</f>
        <v/>
      </c>
      <c r="AI36" s="30" t="str">
        <f aca="false">IF(O36="","",M36*P36)</f>
        <v/>
      </c>
      <c r="AJ36" s="11" t="str">
        <f aca="false">IF(O36="","",IF(O36&gt;1,"Error: rend &gt; 100 %",IF(SUM(T36:Z36)=0,"Falta registrar pérdidas",IF(ABS(AG36)&gt;Parámetros!$B$7,"Revisar balance",IF(O36&lt;P36,"Bajo meta","OK")))))</f>
        <v/>
      </c>
      <c r="AK36" s="33"/>
      <c r="AL36" s="10"/>
      <c r="AM36" s="33"/>
      <c r="AN36" s="33"/>
      <c r="AO36" s="10"/>
    </row>
    <row r="37" customFormat="false" ht="15" hidden="false" customHeight="false" outlineLevel="0" collapsed="false">
      <c r="A37" s="22"/>
      <c r="B37" s="23" t="str">
        <f aca="false">IF(A37="","",YEAR(A37-WEEKDAY(A37,2)+4))</f>
        <v/>
      </c>
      <c r="C37" s="23" t="str">
        <f aca="false">IF(A37="","",WEEKNUM(A37,21))</f>
        <v/>
      </c>
      <c r="D37" s="24" t="str">
        <f aca="false">IF(A37="","",DATE(YEAR(A37),MONTH(A37),1))</f>
        <v/>
      </c>
      <c r="E37" s="10"/>
      <c r="F37" s="25"/>
      <c r="G37" s="25"/>
      <c r="H37" s="10"/>
      <c r="I37" s="10"/>
      <c r="J37" s="26"/>
      <c r="K37" s="25"/>
      <c r="L37" s="26"/>
      <c r="M37" s="27"/>
      <c r="N37" s="27"/>
      <c r="O37" s="28" t="str">
        <f aca="false">IF(OR(M37="",M37=0,N37=""),"",N37/M37)</f>
        <v/>
      </c>
      <c r="P37" s="28" t="str">
        <f aca="false">IF(M37="","",IFERROR(IF(INDEX(Parámetros!$B$14:$B$21,MATCH(I37,Parámetros!$A$14:$A$21,0))="",Parámetros!$B$5,INDEX(Parámetros!$B$14:$B$21,MATCH(I37,Parámetros!$A$14:$A$21,0))),Parámetros!$B$5))</f>
        <v/>
      </c>
      <c r="Q37" s="29" t="str">
        <f aca="false">IF(O37="","",(O37-P37)*100)</f>
        <v/>
      </c>
      <c r="R37" s="30" t="str">
        <f aca="false">IF(O37="","",MAX(0,M37*(P37-O37)))</f>
        <v/>
      </c>
      <c r="S37" s="31" t="str">
        <f aca="false">IF(OR(L37="",L37=0,N37=""),"",N37/1000/L37)</f>
        <v/>
      </c>
      <c r="T37" s="27"/>
      <c r="U37" s="27"/>
      <c r="V37" s="27"/>
      <c r="W37" s="27"/>
      <c r="X37" s="27"/>
      <c r="Y37" s="27"/>
      <c r="Z37" s="27"/>
      <c r="AA37" s="25"/>
      <c r="AB37" s="27"/>
      <c r="AC37" s="30" t="str">
        <f aca="false">IF(M37="","",IF(AB37="",M37*Parámetros!$B$6,AB37))</f>
        <v/>
      </c>
      <c r="AD37" s="30" t="str">
        <f aca="false">IF(M37="","",SUM(T37:Z37)+AC37)</f>
        <v/>
      </c>
      <c r="AE37" s="30" t="str">
        <f aca="false">IF(OR(M37="",N37=""),"",M37-N37)</f>
        <v/>
      </c>
      <c r="AF37" s="30" t="str">
        <f aca="false">IF(AE37="","",AE37-AD37)</f>
        <v/>
      </c>
      <c r="AG37" s="28" t="str">
        <f aca="false">IF(OR(AF37="",M37=0),"",AF37/M37)</f>
        <v/>
      </c>
      <c r="AH37" s="32" t="str">
        <f aca="false">IF(OR(AE37="",N37=0),"",AE37/(N37/1000))</f>
        <v/>
      </c>
      <c r="AI37" s="30" t="str">
        <f aca="false">IF(O37="","",M37*P37)</f>
        <v/>
      </c>
      <c r="AJ37" s="11" t="str">
        <f aca="false">IF(O37="","",IF(O37&gt;1,"Error: rend &gt; 100 %",IF(SUM(T37:Z37)=0,"Falta registrar pérdidas",IF(ABS(AG37)&gt;Parámetros!$B$7,"Revisar balance",IF(O37&lt;P37,"Bajo meta","OK")))))</f>
        <v/>
      </c>
      <c r="AK37" s="33"/>
      <c r="AL37" s="10"/>
      <c r="AM37" s="33"/>
      <c r="AN37" s="33"/>
      <c r="AO37" s="10"/>
    </row>
    <row r="38" customFormat="false" ht="15" hidden="false" customHeight="false" outlineLevel="0" collapsed="false">
      <c r="A38" s="22"/>
      <c r="B38" s="23" t="str">
        <f aca="false">IF(A38="","",YEAR(A38-WEEKDAY(A38,2)+4))</f>
        <v/>
      </c>
      <c r="C38" s="23" t="str">
        <f aca="false">IF(A38="","",WEEKNUM(A38,21))</f>
        <v/>
      </c>
      <c r="D38" s="24" t="str">
        <f aca="false">IF(A38="","",DATE(YEAR(A38),MONTH(A38),1))</f>
        <v/>
      </c>
      <c r="E38" s="10"/>
      <c r="F38" s="25"/>
      <c r="G38" s="25"/>
      <c r="H38" s="10"/>
      <c r="I38" s="10"/>
      <c r="J38" s="26"/>
      <c r="K38" s="25"/>
      <c r="L38" s="26"/>
      <c r="M38" s="27"/>
      <c r="N38" s="27"/>
      <c r="O38" s="28" t="str">
        <f aca="false">IF(OR(M38="",M38=0,N38=""),"",N38/M38)</f>
        <v/>
      </c>
      <c r="P38" s="28" t="str">
        <f aca="false">IF(M38="","",IFERROR(IF(INDEX(Parámetros!$B$14:$B$21,MATCH(I38,Parámetros!$A$14:$A$21,0))="",Parámetros!$B$5,INDEX(Parámetros!$B$14:$B$21,MATCH(I38,Parámetros!$A$14:$A$21,0))),Parámetros!$B$5))</f>
        <v/>
      </c>
      <c r="Q38" s="29" t="str">
        <f aca="false">IF(O38="","",(O38-P38)*100)</f>
        <v/>
      </c>
      <c r="R38" s="30" t="str">
        <f aca="false">IF(O38="","",MAX(0,M38*(P38-O38)))</f>
        <v/>
      </c>
      <c r="S38" s="31" t="str">
        <f aca="false">IF(OR(L38="",L38=0,N38=""),"",N38/1000/L38)</f>
        <v/>
      </c>
      <c r="T38" s="27"/>
      <c r="U38" s="27"/>
      <c r="V38" s="27"/>
      <c r="W38" s="27"/>
      <c r="X38" s="27"/>
      <c r="Y38" s="27"/>
      <c r="Z38" s="27"/>
      <c r="AA38" s="25"/>
      <c r="AB38" s="27"/>
      <c r="AC38" s="30" t="str">
        <f aca="false">IF(M38="","",IF(AB38="",M38*Parámetros!$B$6,AB38))</f>
        <v/>
      </c>
      <c r="AD38" s="30" t="str">
        <f aca="false">IF(M38="","",SUM(T38:Z38)+AC38)</f>
        <v/>
      </c>
      <c r="AE38" s="30" t="str">
        <f aca="false">IF(OR(M38="",N38=""),"",M38-N38)</f>
        <v/>
      </c>
      <c r="AF38" s="30" t="str">
        <f aca="false">IF(AE38="","",AE38-AD38)</f>
        <v/>
      </c>
      <c r="AG38" s="28" t="str">
        <f aca="false">IF(OR(AF38="",M38=0),"",AF38/M38)</f>
        <v/>
      </c>
      <c r="AH38" s="32" t="str">
        <f aca="false">IF(OR(AE38="",N38=0),"",AE38/(N38/1000))</f>
        <v/>
      </c>
      <c r="AI38" s="30" t="str">
        <f aca="false">IF(O38="","",M38*P38)</f>
        <v/>
      </c>
      <c r="AJ38" s="11" t="str">
        <f aca="false">IF(O38="","",IF(O38&gt;1,"Error: rend &gt; 100 %",IF(SUM(T38:Z38)=0,"Falta registrar pérdidas",IF(ABS(AG38)&gt;Parámetros!$B$7,"Revisar balance",IF(O38&lt;P38,"Bajo meta","OK")))))</f>
        <v/>
      </c>
      <c r="AK38" s="33"/>
      <c r="AL38" s="10"/>
      <c r="AM38" s="33"/>
      <c r="AN38" s="33"/>
      <c r="AO38" s="10"/>
    </row>
    <row r="39" customFormat="false" ht="15" hidden="false" customHeight="false" outlineLevel="0" collapsed="false">
      <c r="A39" s="22"/>
      <c r="B39" s="23" t="str">
        <f aca="false">IF(A39="","",YEAR(A39-WEEKDAY(A39,2)+4))</f>
        <v/>
      </c>
      <c r="C39" s="23" t="str">
        <f aca="false">IF(A39="","",WEEKNUM(A39,21))</f>
        <v/>
      </c>
      <c r="D39" s="24" t="str">
        <f aca="false">IF(A39="","",DATE(YEAR(A39),MONTH(A39),1))</f>
        <v/>
      </c>
      <c r="E39" s="10"/>
      <c r="F39" s="25"/>
      <c r="G39" s="25"/>
      <c r="H39" s="10"/>
      <c r="I39" s="10"/>
      <c r="J39" s="26"/>
      <c r="K39" s="25"/>
      <c r="L39" s="26"/>
      <c r="M39" s="27"/>
      <c r="N39" s="27"/>
      <c r="O39" s="28" t="str">
        <f aca="false">IF(OR(M39="",M39=0,N39=""),"",N39/M39)</f>
        <v/>
      </c>
      <c r="P39" s="28" t="str">
        <f aca="false">IF(M39="","",IFERROR(IF(INDEX(Parámetros!$B$14:$B$21,MATCH(I39,Parámetros!$A$14:$A$21,0))="",Parámetros!$B$5,INDEX(Parámetros!$B$14:$B$21,MATCH(I39,Parámetros!$A$14:$A$21,0))),Parámetros!$B$5))</f>
        <v/>
      </c>
      <c r="Q39" s="29" t="str">
        <f aca="false">IF(O39="","",(O39-P39)*100)</f>
        <v/>
      </c>
      <c r="R39" s="30" t="str">
        <f aca="false">IF(O39="","",MAX(0,M39*(P39-O39)))</f>
        <v/>
      </c>
      <c r="S39" s="31" t="str">
        <f aca="false">IF(OR(L39="",L39=0,N39=""),"",N39/1000/L39)</f>
        <v/>
      </c>
      <c r="T39" s="27"/>
      <c r="U39" s="27"/>
      <c r="V39" s="27"/>
      <c r="W39" s="27"/>
      <c r="X39" s="27"/>
      <c r="Y39" s="27"/>
      <c r="Z39" s="27"/>
      <c r="AA39" s="25"/>
      <c r="AB39" s="27"/>
      <c r="AC39" s="30" t="str">
        <f aca="false">IF(M39="","",IF(AB39="",M39*Parámetros!$B$6,AB39))</f>
        <v/>
      </c>
      <c r="AD39" s="30" t="str">
        <f aca="false">IF(M39="","",SUM(T39:Z39)+AC39)</f>
        <v/>
      </c>
      <c r="AE39" s="30" t="str">
        <f aca="false">IF(OR(M39="",N39=""),"",M39-N39)</f>
        <v/>
      </c>
      <c r="AF39" s="30" t="str">
        <f aca="false">IF(AE39="","",AE39-AD39)</f>
        <v/>
      </c>
      <c r="AG39" s="28" t="str">
        <f aca="false">IF(OR(AF39="",M39=0),"",AF39/M39)</f>
        <v/>
      </c>
      <c r="AH39" s="32" t="str">
        <f aca="false">IF(OR(AE39="",N39=0),"",AE39/(N39/1000))</f>
        <v/>
      </c>
      <c r="AI39" s="30" t="str">
        <f aca="false">IF(O39="","",M39*P39)</f>
        <v/>
      </c>
      <c r="AJ39" s="11" t="str">
        <f aca="false">IF(O39="","",IF(O39&gt;1,"Error: rend &gt; 100 %",IF(SUM(T39:Z39)=0,"Falta registrar pérdidas",IF(ABS(AG39)&gt;Parámetros!$B$7,"Revisar balance",IF(O39&lt;P39,"Bajo meta","OK")))))</f>
        <v/>
      </c>
      <c r="AK39" s="33"/>
      <c r="AL39" s="10"/>
      <c r="AM39" s="33"/>
      <c r="AN39" s="33"/>
      <c r="AO39" s="10"/>
    </row>
    <row r="40" customFormat="false" ht="15" hidden="false" customHeight="false" outlineLevel="0" collapsed="false">
      <c r="A40" s="22"/>
      <c r="B40" s="23" t="str">
        <f aca="false">IF(A40="","",YEAR(A40-WEEKDAY(A40,2)+4))</f>
        <v/>
      </c>
      <c r="C40" s="23" t="str">
        <f aca="false">IF(A40="","",WEEKNUM(A40,21))</f>
        <v/>
      </c>
      <c r="D40" s="24" t="str">
        <f aca="false">IF(A40="","",DATE(YEAR(A40),MONTH(A40),1))</f>
        <v/>
      </c>
      <c r="E40" s="10"/>
      <c r="F40" s="25"/>
      <c r="G40" s="25"/>
      <c r="H40" s="10"/>
      <c r="I40" s="10"/>
      <c r="J40" s="26"/>
      <c r="K40" s="25"/>
      <c r="L40" s="26"/>
      <c r="M40" s="27"/>
      <c r="N40" s="27"/>
      <c r="O40" s="28" t="str">
        <f aca="false">IF(OR(M40="",M40=0,N40=""),"",N40/M40)</f>
        <v/>
      </c>
      <c r="P40" s="28" t="str">
        <f aca="false">IF(M40="","",IFERROR(IF(INDEX(Parámetros!$B$14:$B$21,MATCH(I40,Parámetros!$A$14:$A$21,0))="",Parámetros!$B$5,INDEX(Parámetros!$B$14:$B$21,MATCH(I40,Parámetros!$A$14:$A$21,0))),Parámetros!$B$5))</f>
        <v/>
      </c>
      <c r="Q40" s="29" t="str">
        <f aca="false">IF(O40="","",(O40-P40)*100)</f>
        <v/>
      </c>
      <c r="R40" s="30" t="str">
        <f aca="false">IF(O40="","",MAX(0,M40*(P40-O40)))</f>
        <v/>
      </c>
      <c r="S40" s="31" t="str">
        <f aca="false">IF(OR(L40="",L40=0,N40=""),"",N40/1000/L40)</f>
        <v/>
      </c>
      <c r="T40" s="27"/>
      <c r="U40" s="27"/>
      <c r="V40" s="27"/>
      <c r="W40" s="27"/>
      <c r="X40" s="27"/>
      <c r="Y40" s="27"/>
      <c r="Z40" s="27"/>
      <c r="AA40" s="25"/>
      <c r="AB40" s="27"/>
      <c r="AC40" s="30" t="str">
        <f aca="false">IF(M40="","",IF(AB40="",M40*Parámetros!$B$6,AB40))</f>
        <v/>
      </c>
      <c r="AD40" s="30" t="str">
        <f aca="false">IF(M40="","",SUM(T40:Z40)+AC40)</f>
        <v/>
      </c>
      <c r="AE40" s="30" t="str">
        <f aca="false">IF(OR(M40="",N40=""),"",M40-N40)</f>
        <v/>
      </c>
      <c r="AF40" s="30" t="str">
        <f aca="false">IF(AE40="","",AE40-AD40)</f>
        <v/>
      </c>
      <c r="AG40" s="28" t="str">
        <f aca="false">IF(OR(AF40="",M40=0),"",AF40/M40)</f>
        <v/>
      </c>
      <c r="AH40" s="32" t="str">
        <f aca="false">IF(OR(AE40="",N40=0),"",AE40/(N40/1000))</f>
        <v/>
      </c>
      <c r="AI40" s="30" t="str">
        <f aca="false">IF(O40="","",M40*P40)</f>
        <v/>
      </c>
      <c r="AJ40" s="11" t="str">
        <f aca="false">IF(O40="","",IF(O40&gt;1,"Error: rend &gt; 100 %",IF(SUM(T40:Z40)=0,"Falta registrar pérdidas",IF(ABS(AG40)&gt;Parámetros!$B$7,"Revisar balance",IF(O40&lt;P40,"Bajo meta","OK")))))</f>
        <v/>
      </c>
      <c r="AK40" s="33"/>
      <c r="AL40" s="10"/>
      <c r="AM40" s="33"/>
      <c r="AN40" s="33"/>
      <c r="AO40" s="10"/>
    </row>
    <row r="41" customFormat="false" ht="15" hidden="false" customHeight="false" outlineLevel="0" collapsed="false">
      <c r="A41" s="22"/>
      <c r="B41" s="23" t="str">
        <f aca="false">IF(A41="","",YEAR(A41-WEEKDAY(A41,2)+4))</f>
        <v/>
      </c>
      <c r="C41" s="23" t="str">
        <f aca="false">IF(A41="","",WEEKNUM(A41,21))</f>
        <v/>
      </c>
      <c r="D41" s="24" t="str">
        <f aca="false">IF(A41="","",DATE(YEAR(A41),MONTH(A41),1))</f>
        <v/>
      </c>
      <c r="E41" s="10"/>
      <c r="F41" s="25"/>
      <c r="G41" s="25"/>
      <c r="H41" s="10"/>
      <c r="I41" s="10"/>
      <c r="J41" s="26"/>
      <c r="K41" s="25"/>
      <c r="L41" s="26"/>
      <c r="M41" s="27"/>
      <c r="N41" s="27"/>
      <c r="O41" s="28" t="str">
        <f aca="false">IF(OR(M41="",M41=0,N41=""),"",N41/M41)</f>
        <v/>
      </c>
      <c r="P41" s="28" t="str">
        <f aca="false">IF(M41="","",IFERROR(IF(INDEX(Parámetros!$B$14:$B$21,MATCH(I41,Parámetros!$A$14:$A$21,0))="",Parámetros!$B$5,INDEX(Parámetros!$B$14:$B$21,MATCH(I41,Parámetros!$A$14:$A$21,0))),Parámetros!$B$5))</f>
        <v/>
      </c>
      <c r="Q41" s="29" t="str">
        <f aca="false">IF(O41="","",(O41-P41)*100)</f>
        <v/>
      </c>
      <c r="R41" s="30" t="str">
        <f aca="false">IF(O41="","",MAX(0,M41*(P41-O41)))</f>
        <v/>
      </c>
      <c r="S41" s="31" t="str">
        <f aca="false">IF(OR(L41="",L41=0,N41=""),"",N41/1000/L41)</f>
        <v/>
      </c>
      <c r="T41" s="27"/>
      <c r="U41" s="27"/>
      <c r="V41" s="27"/>
      <c r="W41" s="27"/>
      <c r="X41" s="27"/>
      <c r="Y41" s="27"/>
      <c r="Z41" s="27"/>
      <c r="AA41" s="25"/>
      <c r="AB41" s="27"/>
      <c r="AC41" s="30" t="str">
        <f aca="false">IF(M41="","",IF(AB41="",M41*Parámetros!$B$6,AB41))</f>
        <v/>
      </c>
      <c r="AD41" s="30" t="str">
        <f aca="false">IF(M41="","",SUM(T41:Z41)+AC41)</f>
        <v/>
      </c>
      <c r="AE41" s="30" t="str">
        <f aca="false">IF(OR(M41="",N41=""),"",M41-N41)</f>
        <v/>
      </c>
      <c r="AF41" s="30" t="str">
        <f aca="false">IF(AE41="","",AE41-AD41)</f>
        <v/>
      </c>
      <c r="AG41" s="28" t="str">
        <f aca="false">IF(OR(AF41="",M41=0),"",AF41/M41)</f>
        <v/>
      </c>
      <c r="AH41" s="32" t="str">
        <f aca="false">IF(OR(AE41="",N41=0),"",AE41/(N41/1000))</f>
        <v/>
      </c>
      <c r="AI41" s="30" t="str">
        <f aca="false">IF(O41="","",M41*P41)</f>
        <v/>
      </c>
      <c r="AJ41" s="11" t="str">
        <f aca="false">IF(O41="","",IF(O41&gt;1,"Error: rend &gt; 100 %",IF(SUM(T41:Z41)=0,"Falta registrar pérdidas",IF(ABS(AG41)&gt;Parámetros!$B$7,"Revisar balance",IF(O41&lt;P41,"Bajo meta","OK")))))</f>
        <v/>
      </c>
      <c r="AK41" s="33"/>
      <c r="AL41" s="10"/>
      <c r="AM41" s="33"/>
      <c r="AN41" s="33"/>
      <c r="AO41" s="10"/>
    </row>
    <row r="42" customFormat="false" ht="15" hidden="false" customHeight="false" outlineLevel="0" collapsed="false">
      <c r="A42" s="22"/>
      <c r="B42" s="23" t="str">
        <f aca="false">IF(A42="","",YEAR(A42-WEEKDAY(A42,2)+4))</f>
        <v/>
      </c>
      <c r="C42" s="23" t="str">
        <f aca="false">IF(A42="","",WEEKNUM(A42,21))</f>
        <v/>
      </c>
      <c r="D42" s="24" t="str">
        <f aca="false">IF(A42="","",DATE(YEAR(A42),MONTH(A42),1))</f>
        <v/>
      </c>
      <c r="E42" s="10"/>
      <c r="F42" s="25"/>
      <c r="G42" s="25"/>
      <c r="H42" s="10"/>
      <c r="I42" s="10"/>
      <c r="J42" s="26"/>
      <c r="K42" s="25"/>
      <c r="L42" s="26"/>
      <c r="M42" s="27"/>
      <c r="N42" s="27"/>
      <c r="O42" s="28" t="str">
        <f aca="false">IF(OR(M42="",M42=0,N42=""),"",N42/M42)</f>
        <v/>
      </c>
      <c r="P42" s="28" t="str">
        <f aca="false">IF(M42="","",IFERROR(IF(INDEX(Parámetros!$B$14:$B$21,MATCH(I42,Parámetros!$A$14:$A$21,0))="",Parámetros!$B$5,INDEX(Parámetros!$B$14:$B$21,MATCH(I42,Parámetros!$A$14:$A$21,0))),Parámetros!$B$5))</f>
        <v/>
      </c>
      <c r="Q42" s="29" t="str">
        <f aca="false">IF(O42="","",(O42-P42)*100)</f>
        <v/>
      </c>
      <c r="R42" s="30" t="str">
        <f aca="false">IF(O42="","",MAX(0,M42*(P42-O42)))</f>
        <v/>
      </c>
      <c r="S42" s="31" t="str">
        <f aca="false">IF(OR(L42="",L42=0,N42=""),"",N42/1000/L42)</f>
        <v/>
      </c>
      <c r="T42" s="27"/>
      <c r="U42" s="27"/>
      <c r="V42" s="27"/>
      <c r="W42" s="27"/>
      <c r="X42" s="27"/>
      <c r="Y42" s="27"/>
      <c r="Z42" s="27"/>
      <c r="AA42" s="25"/>
      <c r="AB42" s="27"/>
      <c r="AC42" s="30" t="str">
        <f aca="false">IF(M42="","",IF(AB42="",M42*Parámetros!$B$6,AB42))</f>
        <v/>
      </c>
      <c r="AD42" s="30" t="str">
        <f aca="false">IF(M42="","",SUM(T42:Z42)+AC42)</f>
        <v/>
      </c>
      <c r="AE42" s="30" t="str">
        <f aca="false">IF(OR(M42="",N42=""),"",M42-N42)</f>
        <v/>
      </c>
      <c r="AF42" s="30" t="str">
        <f aca="false">IF(AE42="","",AE42-AD42)</f>
        <v/>
      </c>
      <c r="AG42" s="28" t="str">
        <f aca="false">IF(OR(AF42="",M42=0),"",AF42/M42)</f>
        <v/>
      </c>
      <c r="AH42" s="32" t="str">
        <f aca="false">IF(OR(AE42="",N42=0),"",AE42/(N42/1000))</f>
        <v/>
      </c>
      <c r="AI42" s="30" t="str">
        <f aca="false">IF(O42="","",M42*P42)</f>
        <v/>
      </c>
      <c r="AJ42" s="11" t="str">
        <f aca="false">IF(O42="","",IF(O42&gt;1,"Error: rend &gt; 100 %",IF(SUM(T42:Z42)=0,"Falta registrar pérdidas",IF(ABS(AG42)&gt;Parámetros!$B$7,"Revisar balance",IF(O42&lt;P42,"Bajo meta","OK")))))</f>
        <v/>
      </c>
      <c r="AK42" s="33"/>
      <c r="AL42" s="10"/>
      <c r="AM42" s="33"/>
      <c r="AN42" s="33"/>
      <c r="AO42" s="10"/>
    </row>
    <row r="43" customFormat="false" ht="15" hidden="false" customHeight="false" outlineLevel="0" collapsed="false">
      <c r="A43" s="22"/>
      <c r="B43" s="23" t="str">
        <f aca="false">IF(A43="","",YEAR(A43-WEEKDAY(A43,2)+4))</f>
        <v/>
      </c>
      <c r="C43" s="23" t="str">
        <f aca="false">IF(A43="","",WEEKNUM(A43,21))</f>
        <v/>
      </c>
      <c r="D43" s="24" t="str">
        <f aca="false">IF(A43="","",DATE(YEAR(A43),MONTH(A43),1))</f>
        <v/>
      </c>
      <c r="E43" s="10"/>
      <c r="F43" s="25"/>
      <c r="G43" s="25"/>
      <c r="H43" s="10"/>
      <c r="I43" s="10"/>
      <c r="J43" s="26"/>
      <c r="K43" s="25"/>
      <c r="L43" s="26"/>
      <c r="M43" s="27"/>
      <c r="N43" s="27"/>
      <c r="O43" s="28" t="str">
        <f aca="false">IF(OR(M43="",M43=0,N43=""),"",N43/M43)</f>
        <v/>
      </c>
      <c r="P43" s="28" t="str">
        <f aca="false">IF(M43="","",IFERROR(IF(INDEX(Parámetros!$B$14:$B$21,MATCH(I43,Parámetros!$A$14:$A$21,0))="",Parámetros!$B$5,INDEX(Parámetros!$B$14:$B$21,MATCH(I43,Parámetros!$A$14:$A$21,0))),Parámetros!$B$5))</f>
        <v/>
      </c>
      <c r="Q43" s="29" t="str">
        <f aca="false">IF(O43="","",(O43-P43)*100)</f>
        <v/>
      </c>
      <c r="R43" s="30" t="str">
        <f aca="false">IF(O43="","",MAX(0,M43*(P43-O43)))</f>
        <v/>
      </c>
      <c r="S43" s="31" t="str">
        <f aca="false">IF(OR(L43="",L43=0,N43=""),"",N43/1000/L43)</f>
        <v/>
      </c>
      <c r="T43" s="27"/>
      <c r="U43" s="27"/>
      <c r="V43" s="27"/>
      <c r="W43" s="27"/>
      <c r="X43" s="27"/>
      <c r="Y43" s="27"/>
      <c r="Z43" s="27"/>
      <c r="AA43" s="25"/>
      <c r="AB43" s="27"/>
      <c r="AC43" s="30" t="str">
        <f aca="false">IF(M43="","",IF(AB43="",M43*Parámetros!$B$6,AB43))</f>
        <v/>
      </c>
      <c r="AD43" s="30" t="str">
        <f aca="false">IF(M43="","",SUM(T43:Z43)+AC43)</f>
        <v/>
      </c>
      <c r="AE43" s="30" t="str">
        <f aca="false">IF(OR(M43="",N43=""),"",M43-N43)</f>
        <v/>
      </c>
      <c r="AF43" s="30" t="str">
        <f aca="false">IF(AE43="","",AE43-AD43)</f>
        <v/>
      </c>
      <c r="AG43" s="28" t="str">
        <f aca="false">IF(OR(AF43="",M43=0),"",AF43/M43)</f>
        <v/>
      </c>
      <c r="AH43" s="32" t="str">
        <f aca="false">IF(OR(AE43="",N43=0),"",AE43/(N43/1000))</f>
        <v/>
      </c>
      <c r="AI43" s="30" t="str">
        <f aca="false">IF(O43="","",M43*P43)</f>
        <v/>
      </c>
      <c r="AJ43" s="11" t="str">
        <f aca="false">IF(O43="","",IF(O43&gt;1,"Error: rend &gt; 100 %",IF(SUM(T43:Z43)=0,"Falta registrar pérdidas",IF(ABS(AG43)&gt;Parámetros!$B$7,"Revisar balance",IF(O43&lt;P43,"Bajo meta","OK")))))</f>
        <v/>
      </c>
      <c r="AK43" s="33"/>
      <c r="AL43" s="10"/>
      <c r="AM43" s="33"/>
      <c r="AN43" s="33"/>
      <c r="AO43" s="10"/>
    </row>
    <row r="44" customFormat="false" ht="15" hidden="false" customHeight="false" outlineLevel="0" collapsed="false">
      <c r="A44" s="22"/>
      <c r="B44" s="23" t="str">
        <f aca="false">IF(A44="","",YEAR(A44-WEEKDAY(A44,2)+4))</f>
        <v/>
      </c>
      <c r="C44" s="23" t="str">
        <f aca="false">IF(A44="","",WEEKNUM(A44,21))</f>
        <v/>
      </c>
      <c r="D44" s="24" t="str">
        <f aca="false">IF(A44="","",DATE(YEAR(A44),MONTH(A44),1))</f>
        <v/>
      </c>
      <c r="E44" s="10"/>
      <c r="F44" s="25"/>
      <c r="G44" s="25"/>
      <c r="H44" s="10"/>
      <c r="I44" s="10"/>
      <c r="J44" s="26"/>
      <c r="K44" s="25"/>
      <c r="L44" s="26"/>
      <c r="M44" s="27"/>
      <c r="N44" s="27"/>
      <c r="O44" s="28" t="str">
        <f aca="false">IF(OR(M44="",M44=0,N44=""),"",N44/M44)</f>
        <v/>
      </c>
      <c r="P44" s="28" t="str">
        <f aca="false">IF(M44="","",IFERROR(IF(INDEX(Parámetros!$B$14:$B$21,MATCH(I44,Parámetros!$A$14:$A$21,0))="",Parámetros!$B$5,INDEX(Parámetros!$B$14:$B$21,MATCH(I44,Parámetros!$A$14:$A$21,0))),Parámetros!$B$5))</f>
        <v/>
      </c>
      <c r="Q44" s="29" t="str">
        <f aca="false">IF(O44="","",(O44-P44)*100)</f>
        <v/>
      </c>
      <c r="R44" s="30" t="str">
        <f aca="false">IF(O44="","",MAX(0,M44*(P44-O44)))</f>
        <v/>
      </c>
      <c r="S44" s="31" t="str">
        <f aca="false">IF(OR(L44="",L44=0,N44=""),"",N44/1000/L44)</f>
        <v/>
      </c>
      <c r="T44" s="27"/>
      <c r="U44" s="27"/>
      <c r="V44" s="27"/>
      <c r="W44" s="27"/>
      <c r="X44" s="27"/>
      <c r="Y44" s="27"/>
      <c r="Z44" s="27"/>
      <c r="AA44" s="25"/>
      <c r="AB44" s="27"/>
      <c r="AC44" s="30" t="str">
        <f aca="false">IF(M44="","",IF(AB44="",M44*Parámetros!$B$6,AB44))</f>
        <v/>
      </c>
      <c r="AD44" s="30" t="str">
        <f aca="false">IF(M44="","",SUM(T44:Z44)+AC44)</f>
        <v/>
      </c>
      <c r="AE44" s="30" t="str">
        <f aca="false">IF(OR(M44="",N44=""),"",M44-N44)</f>
        <v/>
      </c>
      <c r="AF44" s="30" t="str">
        <f aca="false">IF(AE44="","",AE44-AD44)</f>
        <v/>
      </c>
      <c r="AG44" s="28" t="str">
        <f aca="false">IF(OR(AF44="",M44=0),"",AF44/M44)</f>
        <v/>
      </c>
      <c r="AH44" s="32" t="str">
        <f aca="false">IF(OR(AE44="",N44=0),"",AE44/(N44/1000))</f>
        <v/>
      </c>
      <c r="AI44" s="30" t="str">
        <f aca="false">IF(O44="","",M44*P44)</f>
        <v/>
      </c>
      <c r="AJ44" s="11" t="str">
        <f aca="false">IF(O44="","",IF(O44&gt;1,"Error: rend &gt; 100 %",IF(SUM(T44:Z44)=0,"Falta registrar pérdidas",IF(ABS(AG44)&gt;Parámetros!$B$7,"Revisar balance",IF(O44&lt;P44,"Bajo meta","OK")))))</f>
        <v/>
      </c>
      <c r="AK44" s="33"/>
      <c r="AL44" s="10"/>
      <c r="AM44" s="33"/>
      <c r="AN44" s="33"/>
      <c r="AO44" s="10"/>
    </row>
    <row r="45" customFormat="false" ht="15" hidden="false" customHeight="false" outlineLevel="0" collapsed="false">
      <c r="A45" s="22"/>
      <c r="B45" s="23" t="str">
        <f aca="false">IF(A45="","",YEAR(A45-WEEKDAY(A45,2)+4))</f>
        <v/>
      </c>
      <c r="C45" s="23" t="str">
        <f aca="false">IF(A45="","",WEEKNUM(A45,21))</f>
        <v/>
      </c>
      <c r="D45" s="24" t="str">
        <f aca="false">IF(A45="","",DATE(YEAR(A45),MONTH(A45),1))</f>
        <v/>
      </c>
      <c r="E45" s="10"/>
      <c r="F45" s="25"/>
      <c r="G45" s="25"/>
      <c r="H45" s="10"/>
      <c r="I45" s="10"/>
      <c r="J45" s="26"/>
      <c r="K45" s="25"/>
      <c r="L45" s="26"/>
      <c r="M45" s="27"/>
      <c r="N45" s="27"/>
      <c r="O45" s="28" t="str">
        <f aca="false">IF(OR(M45="",M45=0,N45=""),"",N45/M45)</f>
        <v/>
      </c>
      <c r="P45" s="28" t="str">
        <f aca="false">IF(M45="","",IFERROR(IF(INDEX(Parámetros!$B$14:$B$21,MATCH(I45,Parámetros!$A$14:$A$21,0))="",Parámetros!$B$5,INDEX(Parámetros!$B$14:$B$21,MATCH(I45,Parámetros!$A$14:$A$21,0))),Parámetros!$B$5))</f>
        <v/>
      </c>
      <c r="Q45" s="29" t="str">
        <f aca="false">IF(O45="","",(O45-P45)*100)</f>
        <v/>
      </c>
      <c r="R45" s="30" t="str">
        <f aca="false">IF(O45="","",MAX(0,M45*(P45-O45)))</f>
        <v/>
      </c>
      <c r="S45" s="31" t="str">
        <f aca="false">IF(OR(L45="",L45=0,N45=""),"",N45/1000/L45)</f>
        <v/>
      </c>
      <c r="T45" s="27"/>
      <c r="U45" s="27"/>
      <c r="V45" s="27"/>
      <c r="W45" s="27"/>
      <c r="X45" s="27"/>
      <c r="Y45" s="27"/>
      <c r="Z45" s="27"/>
      <c r="AA45" s="25"/>
      <c r="AB45" s="27"/>
      <c r="AC45" s="30" t="str">
        <f aca="false">IF(M45="","",IF(AB45="",M45*Parámetros!$B$6,AB45))</f>
        <v/>
      </c>
      <c r="AD45" s="30" t="str">
        <f aca="false">IF(M45="","",SUM(T45:Z45)+AC45)</f>
        <v/>
      </c>
      <c r="AE45" s="30" t="str">
        <f aca="false">IF(OR(M45="",N45=""),"",M45-N45)</f>
        <v/>
      </c>
      <c r="AF45" s="30" t="str">
        <f aca="false">IF(AE45="","",AE45-AD45)</f>
        <v/>
      </c>
      <c r="AG45" s="28" t="str">
        <f aca="false">IF(OR(AF45="",M45=0),"",AF45/M45)</f>
        <v/>
      </c>
      <c r="AH45" s="32" t="str">
        <f aca="false">IF(OR(AE45="",N45=0),"",AE45/(N45/1000))</f>
        <v/>
      </c>
      <c r="AI45" s="30" t="str">
        <f aca="false">IF(O45="","",M45*P45)</f>
        <v/>
      </c>
      <c r="AJ45" s="11" t="str">
        <f aca="false">IF(O45="","",IF(O45&gt;1,"Error: rend &gt; 100 %",IF(SUM(T45:Z45)=0,"Falta registrar pérdidas",IF(ABS(AG45)&gt;Parámetros!$B$7,"Revisar balance",IF(O45&lt;P45,"Bajo meta","OK")))))</f>
        <v/>
      </c>
      <c r="AK45" s="33"/>
      <c r="AL45" s="10"/>
      <c r="AM45" s="33"/>
      <c r="AN45" s="33"/>
      <c r="AO45" s="10"/>
    </row>
    <row r="46" customFormat="false" ht="15" hidden="false" customHeight="false" outlineLevel="0" collapsed="false">
      <c r="A46" s="22"/>
      <c r="B46" s="23" t="str">
        <f aca="false">IF(A46="","",YEAR(A46-WEEKDAY(A46,2)+4))</f>
        <v/>
      </c>
      <c r="C46" s="23" t="str">
        <f aca="false">IF(A46="","",WEEKNUM(A46,21))</f>
        <v/>
      </c>
      <c r="D46" s="24" t="str">
        <f aca="false">IF(A46="","",DATE(YEAR(A46),MONTH(A46),1))</f>
        <v/>
      </c>
      <c r="E46" s="10"/>
      <c r="F46" s="25"/>
      <c r="G46" s="25"/>
      <c r="H46" s="10"/>
      <c r="I46" s="10"/>
      <c r="J46" s="26"/>
      <c r="K46" s="25"/>
      <c r="L46" s="26"/>
      <c r="M46" s="27"/>
      <c r="N46" s="27"/>
      <c r="O46" s="28" t="str">
        <f aca="false">IF(OR(M46="",M46=0,N46=""),"",N46/M46)</f>
        <v/>
      </c>
      <c r="P46" s="28" t="str">
        <f aca="false">IF(M46="","",IFERROR(IF(INDEX(Parámetros!$B$14:$B$21,MATCH(I46,Parámetros!$A$14:$A$21,0))="",Parámetros!$B$5,INDEX(Parámetros!$B$14:$B$21,MATCH(I46,Parámetros!$A$14:$A$21,0))),Parámetros!$B$5))</f>
        <v/>
      </c>
      <c r="Q46" s="29" t="str">
        <f aca="false">IF(O46="","",(O46-P46)*100)</f>
        <v/>
      </c>
      <c r="R46" s="30" t="str">
        <f aca="false">IF(O46="","",MAX(0,M46*(P46-O46)))</f>
        <v/>
      </c>
      <c r="S46" s="31" t="str">
        <f aca="false">IF(OR(L46="",L46=0,N46=""),"",N46/1000/L46)</f>
        <v/>
      </c>
      <c r="T46" s="27"/>
      <c r="U46" s="27"/>
      <c r="V46" s="27"/>
      <c r="W46" s="27"/>
      <c r="X46" s="27"/>
      <c r="Y46" s="27"/>
      <c r="Z46" s="27"/>
      <c r="AA46" s="25"/>
      <c r="AB46" s="27"/>
      <c r="AC46" s="30" t="str">
        <f aca="false">IF(M46="","",IF(AB46="",M46*Parámetros!$B$6,AB46))</f>
        <v/>
      </c>
      <c r="AD46" s="30" t="str">
        <f aca="false">IF(M46="","",SUM(T46:Z46)+AC46)</f>
        <v/>
      </c>
      <c r="AE46" s="30" t="str">
        <f aca="false">IF(OR(M46="",N46=""),"",M46-N46)</f>
        <v/>
      </c>
      <c r="AF46" s="30" t="str">
        <f aca="false">IF(AE46="","",AE46-AD46)</f>
        <v/>
      </c>
      <c r="AG46" s="28" t="str">
        <f aca="false">IF(OR(AF46="",M46=0),"",AF46/M46)</f>
        <v/>
      </c>
      <c r="AH46" s="32" t="str">
        <f aca="false">IF(OR(AE46="",N46=0),"",AE46/(N46/1000))</f>
        <v/>
      </c>
      <c r="AI46" s="30" t="str">
        <f aca="false">IF(O46="","",M46*P46)</f>
        <v/>
      </c>
      <c r="AJ46" s="11" t="str">
        <f aca="false">IF(O46="","",IF(O46&gt;1,"Error: rend &gt; 100 %",IF(SUM(T46:Z46)=0,"Falta registrar pérdidas",IF(ABS(AG46)&gt;Parámetros!$B$7,"Revisar balance",IF(O46&lt;P46,"Bajo meta","OK")))))</f>
        <v/>
      </c>
      <c r="AK46" s="33"/>
      <c r="AL46" s="10"/>
      <c r="AM46" s="33"/>
      <c r="AN46" s="33"/>
      <c r="AO46" s="10"/>
    </row>
    <row r="47" customFormat="false" ht="15" hidden="false" customHeight="false" outlineLevel="0" collapsed="false">
      <c r="A47" s="22"/>
      <c r="B47" s="23" t="str">
        <f aca="false">IF(A47="","",YEAR(A47-WEEKDAY(A47,2)+4))</f>
        <v/>
      </c>
      <c r="C47" s="23" t="str">
        <f aca="false">IF(A47="","",WEEKNUM(A47,21))</f>
        <v/>
      </c>
      <c r="D47" s="24" t="str">
        <f aca="false">IF(A47="","",DATE(YEAR(A47),MONTH(A47),1))</f>
        <v/>
      </c>
      <c r="E47" s="10"/>
      <c r="F47" s="25"/>
      <c r="G47" s="25"/>
      <c r="H47" s="10"/>
      <c r="I47" s="10"/>
      <c r="J47" s="26"/>
      <c r="K47" s="25"/>
      <c r="L47" s="26"/>
      <c r="M47" s="27"/>
      <c r="N47" s="27"/>
      <c r="O47" s="28" t="str">
        <f aca="false">IF(OR(M47="",M47=0,N47=""),"",N47/M47)</f>
        <v/>
      </c>
      <c r="P47" s="28" t="str">
        <f aca="false">IF(M47="","",IFERROR(IF(INDEX(Parámetros!$B$14:$B$21,MATCH(I47,Parámetros!$A$14:$A$21,0))="",Parámetros!$B$5,INDEX(Parámetros!$B$14:$B$21,MATCH(I47,Parámetros!$A$14:$A$21,0))),Parámetros!$B$5))</f>
        <v/>
      </c>
      <c r="Q47" s="29" t="str">
        <f aca="false">IF(O47="","",(O47-P47)*100)</f>
        <v/>
      </c>
      <c r="R47" s="30" t="str">
        <f aca="false">IF(O47="","",MAX(0,M47*(P47-O47)))</f>
        <v/>
      </c>
      <c r="S47" s="31" t="str">
        <f aca="false">IF(OR(L47="",L47=0,N47=""),"",N47/1000/L47)</f>
        <v/>
      </c>
      <c r="T47" s="27"/>
      <c r="U47" s="27"/>
      <c r="V47" s="27"/>
      <c r="W47" s="27"/>
      <c r="X47" s="27"/>
      <c r="Y47" s="27"/>
      <c r="Z47" s="27"/>
      <c r="AA47" s="25"/>
      <c r="AB47" s="27"/>
      <c r="AC47" s="30" t="str">
        <f aca="false">IF(M47="","",IF(AB47="",M47*Parámetros!$B$6,AB47))</f>
        <v/>
      </c>
      <c r="AD47" s="30" t="str">
        <f aca="false">IF(M47="","",SUM(T47:Z47)+AC47)</f>
        <v/>
      </c>
      <c r="AE47" s="30" t="str">
        <f aca="false">IF(OR(M47="",N47=""),"",M47-N47)</f>
        <v/>
      </c>
      <c r="AF47" s="30" t="str">
        <f aca="false">IF(AE47="","",AE47-AD47)</f>
        <v/>
      </c>
      <c r="AG47" s="28" t="str">
        <f aca="false">IF(OR(AF47="",M47=0),"",AF47/M47)</f>
        <v/>
      </c>
      <c r="AH47" s="32" t="str">
        <f aca="false">IF(OR(AE47="",N47=0),"",AE47/(N47/1000))</f>
        <v/>
      </c>
      <c r="AI47" s="30" t="str">
        <f aca="false">IF(O47="","",M47*P47)</f>
        <v/>
      </c>
      <c r="AJ47" s="11" t="str">
        <f aca="false">IF(O47="","",IF(O47&gt;1,"Error: rend &gt; 100 %",IF(SUM(T47:Z47)=0,"Falta registrar pérdidas",IF(ABS(AG47)&gt;Parámetros!$B$7,"Revisar balance",IF(O47&lt;P47,"Bajo meta","OK")))))</f>
        <v/>
      </c>
      <c r="AK47" s="33"/>
      <c r="AL47" s="10"/>
      <c r="AM47" s="33"/>
      <c r="AN47" s="33"/>
      <c r="AO47" s="10"/>
    </row>
    <row r="48" customFormat="false" ht="15" hidden="false" customHeight="false" outlineLevel="0" collapsed="false">
      <c r="A48" s="22"/>
      <c r="B48" s="23" t="str">
        <f aca="false">IF(A48="","",YEAR(A48-WEEKDAY(A48,2)+4))</f>
        <v/>
      </c>
      <c r="C48" s="23" t="str">
        <f aca="false">IF(A48="","",WEEKNUM(A48,21))</f>
        <v/>
      </c>
      <c r="D48" s="24" t="str">
        <f aca="false">IF(A48="","",DATE(YEAR(A48),MONTH(A48),1))</f>
        <v/>
      </c>
      <c r="E48" s="10"/>
      <c r="F48" s="25"/>
      <c r="G48" s="25"/>
      <c r="H48" s="10"/>
      <c r="I48" s="10"/>
      <c r="J48" s="26"/>
      <c r="K48" s="25"/>
      <c r="L48" s="26"/>
      <c r="M48" s="27"/>
      <c r="N48" s="27"/>
      <c r="O48" s="28" t="str">
        <f aca="false">IF(OR(M48="",M48=0,N48=""),"",N48/M48)</f>
        <v/>
      </c>
      <c r="P48" s="28" t="str">
        <f aca="false">IF(M48="","",IFERROR(IF(INDEX(Parámetros!$B$14:$B$21,MATCH(I48,Parámetros!$A$14:$A$21,0))="",Parámetros!$B$5,INDEX(Parámetros!$B$14:$B$21,MATCH(I48,Parámetros!$A$14:$A$21,0))),Parámetros!$B$5))</f>
        <v/>
      </c>
      <c r="Q48" s="29" t="str">
        <f aca="false">IF(O48="","",(O48-P48)*100)</f>
        <v/>
      </c>
      <c r="R48" s="30" t="str">
        <f aca="false">IF(O48="","",MAX(0,M48*(P48-O48)))</f>
        <v/>
      </c>
      <c r="S48" s="31" t="str">
        <f aca="false">IF(OR(L48="",L48=0,N48=""),"",N48/1000/L48)</f>
        <v/>
      </c>
      <c r="T48" s="27"/>
      <c r="U48" s="27"/>
      <c r="V48" s="27"/>
      <c r="W48" s="27"/>
      <c r="X48" s="27"/>
      <c r="Y48" s="27"/>
      <c r="Z48" s="27"/>
      <c r="AA48" s="25"/>
      <c r="AB48" s="27"/>
      <c r="AC48" s="30" t="str">
        <f aca="false">IF(M48="","",IF(AB48="",M48*Parámetros!$B$6,AB48))</f>
        <v/>
      </c>
      <c r="AD48" s="30" t="str">
        <f aca="false">IF(M48="","",SUM(T48:Z48)+AC48)</f>
        <v/>
      </c>
      <c r="AE48" s="30" t="str">
        <f aca="false">IF(OR(M48="",N48=""),"",M48-N48)</f>
        <v/>
      </c>
      <c r="AF48" s="30" t="str">
        <f aca="false">IF(AE48="","",AE48-AD48)</f>
        <v/>
      </c>
      <c r="AG48" s="28" t="str">
        <f aca="false">IF(OR(AF48="",M48=0),"",AF48/M48)</f>
        <v/>
      </c>
      <c r="AH48" s="32" t="str">
        <f aca="false">IF(OR(AE48="",N48=0),"",AE48/(N48/1000))</f>
        <v/>
      </c>
      <c r="AI48" s="30" t="str">
        <f aca="false">IF(O48="","",M48*P48)</f>
        <v/>
      </c>
      <c r="AJ48" s="11" t="str">
        <f aca="false">IF(O48="","",IF(O48&gt;1,"Error: rend &gt; 100 %",IF(SUM(T48:Z48)=0,"Falta registrar pérdidas",IF(ABS(AG48)&gt;Parámetros!$B$7,"Revisar balance",IF(O48&lt;P48,"Bajo meta","OK")))))</f>
        <v/>
      </c>
      <c r="AK48" s="33"/>
      <c r="AL48" s="10"/>
      <c r="AM48" s="33"/>
      <c r="AN48" s="33"/>
      <c r="AO48" s="10"/>
    </row>
    <row r="49" customFormat="false" ht="15" hidden="false" customHeight="false" outlineLevel="0" collapsed="false">
      <c r="A49" s="22"/>
      <c r="B49" s="23" t="str">
        <f aca="false">IF(A49="","",YEAR(A49-WEEKDAY(A49,2)+4))</f>
        <v/>
      </c>
      <c r="C49" s="23" t="str">
        <f aca="false">IF(A49="","",WEEKNUM(A49,21))</f>
        <v/>
      </c>
      <c r="D49" s="24" t="str">
        <f aca="false">IF(A49="","",DATE(YEAR(A49),MONTH(A49),1))</f>
        <v/>
      </c>
      <c r="E49" s="10"/>
      <c r="F49" s="25"/>
      <c r="G49" s="25"/>
      <c r="H49" s="10"/>
      <c r="I49" s="10"/>
      <c r="J49" s="26"/>
      <c r="K49" s="25"/>
      <c r="L49" s="26"/>
      <c r="M49" s="27"/>
      <c r="N49" s="27"/>
      <c r="O49" s="28" t="str">
        <f aca="false">IF(OR(M49="",M49=0,N49=""),"",N49/M49)</f>
        <v/>
      </c>
      <c r="P49" s="28" t="str">
        <f aca="false">IF(M49="","",IFERROR(IF(INDEX(Parámetros!$B$14:$B$21,MATCH(I49,Parámetros!$A$14:$A$21,0))="",Parámetros!$B$5,INDEX(Parámetros!$B$14:$B$21,MATCH(I49,Parámetros!$A$14:$A$21,0))),Parámetros!$B$5))</f>
        <v/>
      </c>
      <c r="Q49" s="29" t="str">
        <f aca="false">IF(O49="","",(O49-P49)*100)</f>
        <v/>
      </c>
      <c r="R49" s="30" t="str">
        <f aca="false">IF(O49="","",MAX(0,M49*(P49-O49)))</f>
        <v/>
      </c>
      <c r="S49" s="31" t="str">
        <f aca="false">IF(OR(L49="",L49=0,N49=""),"",N49/1000/L49)</f>
        <v/>
      </c>
      <c r="T49" s="27"/>
      <c r="U49" s="27"/>
      <c r="V49" s="27"/>
      <c r="W49" s="27"/>
      <c r="X49" s="27"/>
      <c r="Y49" s="27"/>
      <c r="Z49" s="27"/>
      <c r="AA49" s="25"/>
      <c r="AB49" s="27"/>
      <c r="AC49" s="30" t="str">
        <f aca="false">IF(M49="","",IF(AB49="",M49*Parámetros!$B$6,AB49))</f>
        <v/>
      </c>
      <c r="AD49" s="30" t="str">
        <f aca="false">IF(M49="","",SUM(T49:Z49)+AC49)</f>
        <v/>
      </c>
      <c r="AE49" s="30" t="str">
        <f aca="false">IF(OR(M49="",N49=""),"",M49-N49)</f>
        <v/>
      </c>
      <c r="AF49" s="30" t="str">
        <f aca="false">IF(AE49="","",AE49-AD49)</f>
        <v/>
      </c>
      <c r="AG49" s="28" t="str">
        <f aca="false">IF(OR(AF49="",M49=0),"",AF49/M49)</f>
        <v/>
      </c>
      <c r="AH49" s="32" t="str">
        <f aca="false">IF(OR(AE49="",N49=0),"",AE49/(N49/1000))</f>
        <v/>
      </c>
      <c r="AI49" s="30" t="str">
        <f aca="false">IF(O49="","",M49*P49)</f>
        <v/>
      </c>
      <c r="AJ49" s="11" t="str">
        <f aca="false">IF(O49="","",IF(O49&gt;1,"Error: rend &gt; 100 %",IF(SUM(T49:Z49)=0,"Falta registrar pérdidas",IF(ABS(AG49)&gt;Parámetros!$B$7,"Revisar balance",IF(O49&lt;P49,"Bajo meta","OK")))))</f>
        <v/>
      </c>
      <c r="AK49" s="33"/>
      <c r="AL49" s="10"/>
      <c r="AM49" s="33"/>
      <c r="AN49" s="33"/>
      <c r="AO49" s="10"/>
    </row>
    <row r="50" customFormat="false" ht="15" hidden="false" customHeight="false" outlineLevel="0" collapsed="false">
      <c r="A50" s="22"/>
      <c r="B50" s="23" t="str">
        <f aca="false">IF(A50="","",YEAR(A50-WEEKDAY(A50,2)+4))</f>
        <v/>
      </c>
      <c r="C50" s="23" t="str">
        <f aca="false">IF(A50="","",WEEKNUM(A50,21))</f>
        <v/>
      </c>
      <c r="D50" s="24" t="str">
        <f aca="false">IF(A50="","",DATE(YEAR(A50),MONTH(A50),1))</f>
        <v/>
      </c>
      <c r="E50" s="10"/>
      <c r="F50" s="25"/>
      <c r="G50" s="25"/>
      <c r="H50" s="10"/>
      <c r="I50" s="10"/>
      <c r="J50" s="26"/>
      <c r="K50" s="25"/>
      <c r="L50" s="26"/>
      <c r="M50" s="27"/>
      <c r="N50" s="27"/>
      <c r="O50" s="28" t="str">
        <f aca="false">IF(OR(M50="",M50=0,N50=""),"",N50/M50)</f>
        <v/>
      </c>
      <c r="P50" s="28" t="str">
        <f aca="false">IF(M50="","",IFERROR(IF(INDEX(Parámetros!$B$14:$B$21,MATCH(I50,Parámetros!$A$14:$A$21,0))="",Parámetros!$B$5,INDEX(Parámetros!$B$14:$B$21,MATCH(I50,Parámetros!$A$14:$A$21,0))),Parámetros!$B$5))</f>
        <v/>
      </c>
      <c r="Q50" s="29" t="str">
        <f aca="false">IF(O50="","",(O50-P50)*100)</f>
        <v/>
      </c>
      <c r="R50" s="30" t="str">
        <f aca="false">IF(O50="","",MAX(0,M50*(P50-O50)))</f>
        <v/>
      </c>
      <c r="S50" s="31" t="str">
        <f aca="false">IF(OR(L50="",L50=0,N50=""),"",N50/1000/L50)</f>
        <v/>
      </c>
      <c r="T50" s="27"/>
      <c r="U50" s="27"/>
      <c r="V50" s="27"/>
      <c r="W50" s="27"/>
      <c r="X50" s="27"/>
      <c r="Y50" s="27"/>
      <c r="Z50" s="27"/>
      <c r="AA50" s="25"/>
      <c r="AB50" s="27"/>
      <c r="AC50" s="30" t="str">
        <f aca="false">IF(M50="","",IF(AB50="",M50*Parámetros!$B$6,AB50))</f>
        <v/>
      </c>
      <c r="AD50" s="30" t="str">
        <f aca="false">IF(M50="","",SUM(T50:Z50)+AC50)</f>
        <v/>
      </c>
      <c r="AE50" s="30" t="str">
        <f aca="false">IF(OR(M50="",N50=""),"",M50-N50)</f>
        <v/>
      </c>
      <c r="AF50" s="30" t="str">
        <f aca="false">IF(AE50="","",AE50-AD50)</f>
        <v/>
      </c>
      <c r="AG50" s="28" t="str">
        <f aca="false">IF(OR(AF50="",M50=0),"",AF50/M50)</f>
        <v/>
      </c>
      <c r="AH50" s="32" t="str">
        <f aca="false">IF(OR(AE50="",N50=0),"",AE50/(N50/1000))</f>
        <v/>
      </c>
      <c r="AI50" s="30" t="str">
        <f aca="false">IF(O50="","",M50*P50)</f>
        <v/>
      </c>
      <c r="AJ50" s="11" t="str">
        <f aca="false">IF(O50="","",IF(O50&gt;1,"Error: rend &gt; 100 %",IF(SUM(T50:Z50)=0,"Falta registrar pérdidas",IF(ABS(AG50)&gt;Parámetros!$B$7,"Revisar balance",IF(O50&lt;P50,"Bajo meta","OK")))))</f>
        <v/>
      </c>
      <c r="AK50" s="33"/>
      <c r="AL50" s="10"/>
      <c r="AM50" s="33"/>
      <c r="AN50" s="33"/>
      <c r="AO50" s="10"/>
    </row>
    <row r="51" customFormat="false" ht="15" hidden="false" customHeight="false" outlineLevel="0" collapsed="false">
      <c r="A51" s="22"/>
      <c r="B51" s="23" t="str">
        <f aca="false">IF(A51="","",YEAR(A51-WEEKDAY(A51,2)+4))</f>
        <v/>
      </c>
      <c r="C51" s="23" t="str">
        <f aca="false">IF(A51="","",WEEKNUM(A51,21))</f>
        <v/>
      </c>
      <c r="D51" s="24" t="str">
        <f aca="false">IF(A51="","",DATE(YEAR(A51),MONTH(A51),1))</f>
        <v/>
      </c>
      <c r="E51" s="10"/>
      <c r="F51" s="25"/>
      <c r="G51" s="25"/>
      <c r="H51" s="10"/>
      <c r="I51" s="10"/>
      <c r="J51" s="26"/>
      <c r="K51" s="25"/>
      <c r="L51" s="26"/>
      <c r="M51" s="27"/>
      <c r="N51" s="27"/>
      <c r="O51" s="28" t="str">
        <f aca="false">IF(OR(M51="",M51=0,N51=""),"",N51/M51)</f>
        <v/>
      </c>
      <c r="P51" s="28" t="str">
        <f aca="false">IF(M51="","",IFERROR(IF(INDEX(Parámetros!$B$14:$B$21,MATCH(I51,Parámetros!$A$14:$A$21,0))="",Parámetros!$B$5,INDEX(Parámetros!$B$14:$B$21,MATCH(I51,Parámetros!$A$14:$A$21,0))),Parámetros!$B$5))</f>
        <v/>
      </c>
      <c r="Q51" s="29" t="str">
        <f aca="false">IF(O51="","",(O51-P51)*100)</f>
        <v/>
      </c>
      <c r="R51" s="30" t="str">
        <f aca="false">IF(O51="","",MAX(0,M51*(P51-O51)))</f>
        <v/>
      </c>
      <c r="S51" s="31" t="str">
        <f aca="false">IF(OR(L51="",L51=0,N51=""),"",N51/1000/L51)</f>
        <v/>
      </c>
      <c r="T51" s="27"/>
      <c r="U51" s="27"/>
      <c r="V51" s="27"/>
      <c r="W51" s="27"/>
      <c r="X51" s="27"/>
      <c r="Y51" s="27"/>
      <c r="Z51" s="27"/>
      <c r="AA51" s="25"/>
      <c r="AB51" s="27"/>
      <c r="AC51" s="30" t="str">
        <f aca="false">IF(M51="","",IF(AB51="",M51*Parámetros!$B$6,AB51))</f>
        <v/>
      </c>
      <c r="AD51" s="30" t="str">
        <f aca="false">IF(M51="","",SUM(T51:Z51)+AC51)</f>
        <v/>
      </c>
      <c r="AE51" s="30" t="str">
        <f aca="false">IF(OR(M51="",N51=""),"",M51-N51)</f>
        <v/>
      </c>
      <c r="AF51" s="30" t="str">
        <f aca="false">IF(AE51="","",AE51-AD51)</f>
        <v/>
      </c>
      <c r="AG51" s="28" t="str">
        <f aca="false">IF(OR(AF51="",M51=0),"",AF51/M51)</f>
        <v/>
      </c>
      <c r="AH51" s="32" t="str">
        <f aca="false">IF(OR(AE51="",N51=0),"",AE51/(N51/1000))</f>
        <v/>
      </c>
      <c r="AI51" s="30" t="str">
        <f aca="false">IF(O51="","",M51*P51)</f>
        <v/>
      </c>
      <c r="AJ51" s="11" t="str">
        <f aca="false">IF(O51="","",IF(O51&gt;1,"Error: rend &gt; 100 %",IF(SUM(T51:Z51)=0,"Falta registrar pérdidas",IF(ABS(AG51)&gt;Parámetros!$B$7,"Revisar balance",IF(O51&lt;P51,"Bajo meta","OK")))))</f>
        <v/>
      </c>
      <c r="AK51" s="33"/>
      <c r="AL51" s="10"/>
      <c r="AM51" s="33"/>
      <c r="AN51" s="33"/>
      <c r="AO51" s="10"/>
    </row>
    <row r="52" customFormat="false" ht="15" hidden="false" customHeight="false" outlineLevel="0" collapsed="false">
      <c r="A52" s="22"/>
      <c r="B52" s="23" t="str">
        <f aca="false">IF(A52="","",YEAR(A52-WEEKDAY(A52,2)+4))</f>
        <v/>
      </c>
      <c r="C52" s="23" t="str">
        <f aca="false">IF(A52="","",WEEKNUM(A52,21))</f>
        <v/>
      </c>
      <c r="D52" s="24" t="str">
        <f aca="false">IF(A52="","",DATE(YEAR(A52),MONTH(A52),1))</f>
        <v/>
      </c>
      <c r="E52" s="10"/>
      <c r="F52" s="25"/>
      <c r="G52" s="25"/>
      <c r="H52" s="10"/>
      <c r="I52" s="10"/>
      <c r="J52" s="26"/>
      <c r="K52" s="25"/>
      <c r="L52" s="26"/>
      <c r="M52" s="27"/>
      <c r="N52" s="27"/>
      <c r="O52" s="28" t="str">
        <f aca="false">IF(OR(M52="",M52=0,N52=""),"",N52/M52)</f>
        <v/>
      </c>
      <c r="P52" s="28" t="str">
        <f aca="false">IF(M52="","",IFERROR(IF(INDEX(Parámetros!$B$14:$B$21,MATCH(I52,Parámetros!$A$14:$A$21,0))="",Parámetros!$B$5,INDEX(Parámetros!$B$14:$B$21,MATCH(I52,Parámetros!$A$14:$A$21,0))),Parámetros!$B$5))</f>
        <v/>
      </c>
      <c r="Q52" s="29" t="str">
        <f aca="false">IF(O52="","",(O52-P52)*100)</f>
        <v/>
      </c>
      <c r="R52" s="30" t="str">
        <f aca="false">IF(O52="","",MAX(0,M52*(P52-O52)))</f>
        <v/>
      </c>
      <c r="S52" s="31" t="str">
        <f aca="false">IF(OR(L52="",L52=0,N52=""),"",N52/1000/L52)</f>
        <v/>
      </c>
      <c r="T52" s="27"/>
      <c r="U52" s="27"/>
      <c r="V52" s="27"/>
      <c r="W52" s="27"/>
      <c r="X52" s="27"/>
      <c r="Y52" s="27"/>
      <c r="Z52" s="27"/>
      <c r="AA52" s="25"/>
      <c r="AB52" s="27"/>
      <c r="AC52" s="30" t="str">
        <f aca="false">IF(M52="","",IF(AB52="",M52*Parámetros!$B$6,AB52))</f>
        <v/>
      </c>
      <c r="AD52" s="30" t="str">
        <f aca="false">IF(M52="","",SUM(T52:Z52)+AC52)</f>
        <v/>
      </c>
      <c r="AE52" s="30" t="str">
        <f aca="false">IF(OR(M52="",N52=""),"",M52-N52)</f>
        <v/>
      </c>
      <c r="AF52" s="30" t="str">
        <f aca="false">IF(AE52="","",AE52-AD52)</f>
        <v/>
      </c>
      <c r="AG52" s="28" t="str">
        <f aca="false">IF(OR(AF52="",M52=0),"",AF52/M52)</f>
        <v/>
      </c>
      <c r="AH52" s="32" t="str">
        <f aca="false">IF(OR(AE52="",N52=0),"",AE52/(N52/1000))</f>
        <v/>
      </c>
      <c r="AI52" s="30" t="str">
        <f aca="false">IF(O52="","",M52*P52)</f>
        <v/>
      </c>
      <c r="AJ52" s="11" t="str">
        <f aca="false">IF(O52="","",IF(O52&gt;1,"Error: rend &gt; 100 %",IF(SUM(T52:Z52)=0,"Falta registrar pérdidas",IF(ABS(AG52)&gt;Parámetros!$B$7,"Revisar balance",IF(O52&lt;P52,"Bajo meta","OK")))))</f>
        <v/>
      </c>
      <c r="AK52" s="33"/>
      <c r="AL52" s="10"/>
      <c r="AM52" s="33"/>
      <c r="AN52" s="33"/>
      <c r="AO52" s="10"/>
    </row>
    <row r="53" customFormat="false" ht="15" hidden="false" customHeight="false" outlineLevel="0" collapsed="false">
      <c r="A53" s="22"/>
      <c r="B53" s="23" t="str">
        <f aca="false">IF(A53="","",YEAR(A53-WEEKDAY(A53,2)+4))</f>
        <v/>
      </c>
      <c r="C53" s="23" t="str">
        <f aca="false">IF(A53="","",WEEKNUM(A53,21))</f>
        <v/>
      </c>
      <c r="D53" s="24" t="str">
        <f aca="false">IF(A53="","",DATE(YEAR(A53),MONTH(A53),1))</f>
        <v/>
      </c>
      <c r="E53" s="10"/>
      <c r="F53" s="25"/>
      <c r="G53" s="25"/>
      <c r="H53" s="10"/>
      <c r="I53" s="10"/>
      <c r="J53" s="26"/>
      <c r="K53" s="25"/>
      <c r="L53" s="26"/>
      <c r="M53" s="27"/>
      <c r="N53" s="27"/>
      <c r="O53" s="28" t="str">
        <f aca="false">IF(OR(M53="",M53=0,N53=""),"",N53/M53)</f>
        <v/>
      </c>
      <c r="P53" s="28" t="str">
        <f aca="false">IF(M53="","",IFERROR(IF(INDEX(Parámetros!$B$14:$B$21,MATCH(I53,Parámetros!$A$14:$A$21,0))="",Parámetros!$B$5,INDEX(Parámetros!$B$14:$B$21,MATCH(I53,Parámetros!$A$14:$A$21,0))),Parámetros!$B$5))</f>
        <v/>
      </c>
      <c r="Q53" s="29" t="str">
        <f aca="false">IF(O53="","",(O53-P53)*100)</f>
        <v/>
      </c>
      <c r="R53" s="30" t="str">
        <f aca="false">IF(O53="","",MAX(0,M53*(P53-O53)))</f>
        <v/>
      </c>
      <c r="S53" s="31" t="str">
        <f aca="false">IF(OR(L53="",L53=0,N53=""),"",N53/1000/L53)</f>
        <v/>
      </c>
      <c r="T53" s="27"/>
      <c r="U53" s="27"/>
      <c r="V53" s="27"/>
      <c r="W53" s="27"/>
      <c r="X53" s="27"/>
      <c r="Y53" s="27"/>
      <c r="Z53" s="27"/>
      <c r="AA53" s="25"/>
      <c r="AB53" s="27"/>
      <c r="AC53" s="30" t="str">
        <f aca="false">IF(M53="","",IF(AB53="",M53*Parámetros!$B$6,AB53))</f>
        <v/>
      </c>
      <c r="AD53" s="30" t="str">
        <f aca="false">IF(M53="","",SUM(T53:Z53)+AC53)</f>
        <v/>
      </c>
      <c r="AE53" s="30" t="str">
        <f aca="false">IF(OR(M53="",N53=""),"",M53-N53)</f>
        <v/>
      </c>
      <c r="AF53" s="30" t="str">
        <f aca="false">IF(AE53="","",AE53-AD53)</f>
        <v/>
      </c>
      <c r="AG53" s="28" t="str">
        <f aca="false">IF(OR(AF53="",M53=0),"",AF53/M53)</f>
        <v/>
      </c>
      <c r="AH53" s="32" t="str">
        <f aca="false">IF(OR(AE53="",N53=0),"",AE53/(N53/1000))</f>
        <v/>
      </c>
      <c r="AI53" s="30" t="str">
        <f aca="false">IF(O53="","",M53*P53)</f>
        <v/>
      </c>
      <c r="AJ53" s="11" t="str">
        <f aca="false">IF(O53="","",IF(O53&gt;1,"Error: rend &gt; 100 %",IF(SUM(T53:Z53)=0,"Falta registrar pérdidas",IF(ABS(AG53)&gt;Parámetros!$B$7,"Revisar balance",IF(O53&lt;P53,"Bajo meta","OK")))))</f>
        <v/>
      </c>
      <c r="AK53" s="33"/>
      <c r="AL53" s="10"/>
      <c r="AM53" s="33"/>
      <c r="AN53" s="33"/>
      <c r="AO53" s="10"/>
    </row>
    <row r="54" customFormat="false" ht="15" hidden="false" customHeight="false" outlineLevel="0" collapsed="false">
      <c r="A54" s="22"/>
      <c r="B54" s="23" t="str">
        <f aca="false">IF(A54="","",YEAR(A54-WEEKDAY(A54,2)+4))</f>
        <v/>
      </c>
      <c r="C54" s="23" t="str">
        <f aca="false">IF(A54="","",WEEKNUM(A54,21))</f>
        <v/>
      </c>
      <c r="D54" s="24" t="str">
        <f aca="false">IF(A54="","",DATE(YEAR(A54),MONTH(A54),1))</f>
        <v/>
      </c>
      <c r="E54" s="10"/>
      <c r="F54" s="25"/>
      <c r="G54" s="25"/>
      <c r="H54" s="10"/>
      <c r="I54" s="10"/>
      <c r="J54" s="26"/>
      <c r="K54" s="25"/>
      <c r="L54" s="26"/>
      <c r="M54" s="27"/>
      <c r="N54" s="27"/>
      <c r="O54" s="28" t="str">
        <f aca="false">IF(OR(M54="",M54=0,N54=""),"",N54/M54)</f>
        <v/>
      </c>
      <c r="P54" s="28" t="str">
        <f aca="false">IF(M54="","",IFERROR(IF(INDEX(Parámetros!$B$14:$B$21,MATCH(I54,Parámetros!$A$14:$A$21,0))="",Parámetros!$B$5,INDEX(Parámetros!$B$14:$B$21,MATCH(I54,Parámetros!$A$14:$A$21,0))),Parámetros!$B$5))</f>
        <v/>
      </c>
      <c r="Q54" s="29" t="str">
        <f aca="false">IF(O54="","",(O54-P54)*100)</f>
        <v/>
      </c>
      <c r="R54" s="30" t="str">
        <f aca="false">IF(O54="","",MAX(0,M54*(P54-O54)))</f>
        <v/>
      </c>
      <c r="S54" s="31" t="str">
        <f aca="false">IF(OR(L54="",L54=0,N54=""),"",N54/1000/L54)</f>
        <v/>
      </c>
      <c r="T54" s="27"/>
      <c r="U54" s="27"/>
      <c r="V54" s="27"/>
      <c r="W54" s="27"/>
      <c r="X54" s="27"/>
      <c r="Y54" s="27"/>
      <c r="Z54" s="27"/>
      <c r="AA54" s="25"/>
      <c r="AB54" s="27"/>
      <c r="AC54" s="30" t="str">
        <f aca="false">IF(M54="","",IF(AB54="",M54*Parámetros!$B$6,AB54))</f>
        <v/>
      </c>
      <c r="AD54" s="30" t="str">
        <f aca="false">IF(M54="","",SUM(T54:Z54)+AC54)</f>
        <v/>
      </c>
      <c r="AE54" s="30" t="str">
        <f aca="false">IF(OR(M54="",N54=""),"",M54-N54)</f>
        <v/>
      </c>
      <c r="AF54" s="30" t="str">
        <f aca="false">IF(AE54="","",AE54-AD54)</f>
        <v/>
      </c>
      <c r="AG54" s="28" t="str">
        <f aca="false">IF(OR(AF54="",M54=0),"",AF54/M54)</f>
        <v/>
      </c>
      <c r="AH54" s="32" t="str">
        <f aca="false">IF(OR(AE54="",N54=0),"",AE54/(N54/1000))</f>
        <v/>
      </c>
      <c r="AI54" s="30" t="str">
        <f aca="false">IF(O54="","",M54*P54)</f>
        <v/>
      </c>
      <c r="AJ54" s="11" t="str">
        <f aca="false">IF(O54="","",IF(O54&gt;1,"Error: rend &gt; 100 %",IF(SUM(T54:Z54)=0,"Falta registrar pérdidas",IF(ABS(AG54)&gt;Parámetros!$B$7,"Revisar balance",IF(O54&lt;P54,"Bajo meta","OK")))))</f>
        <v/>
      </c>
      <c r="AK54" s="33"/>
      <c r="AL54" s="10"/>
      <c r="AM54" s="33"/>
      <c r="AN54" s="33"/>
      <c r="AO54" s="10"/>
    </row>
    <row r="55" customFormat="false" ht="15" hidden="false" customHeight="false" outlineLevel="0" collapsed="false">
      <c r="A55" s="22"/>
      <c r="B55" s="23" t="str">
        <f aca="false">IF(A55="","",YEAR(A55-WEEKDAY(A55,2)+4))</f>
        <v/>
      </c>
      <c r="C55" s="23" t="str">
        <f aca="false">IF(A55="","",WEEKNUM(A55,21))</f>
        <v/>
      </c>
      <c r="D55" s="24" t="str">
        <f aca="false">IF(A55="","",DATE(YEAR(A55),MONTH(A55),1))</f>
        <v/>
      </c>
      <c r="E55" s="10"/>
      <c r="F55" s="25"/>
      <c r="G55" s="25"/>
      <c r="H55" s="10"/>
      <c r="I55" s="10"/>
      <c r="J55" s="26"/>
      <c r="K55" s="25"/>
      <c r="L55" s="26"/>
      <c r="M55" s="27"/>
      <c r="N55" s="27"/>
      <c r="O55" s="28" t="str">
        <f aca="false">IF(OR(M55="",M55=0,N55=""),"",N55/M55)</f>
        <v/>
      </c>
      <c r="P55" s="28" t="str">
        <f aca="false">IF(M55="","",IFERROR(IF(INDEX(Parámetros!$B$14:$B$21,MATCH(I55,Parámetros!$A$14:$A$21,0))="",Parámetros!$B$5,INDEX(Parámetros!$B$14:$B$21,MATCH(I55,Parámetros!$A$14:$A$21,0))),Parámetros!$B$5))</f>
        <v/>
      </c>
      <c r="Q55" s="29" t="str">
        <f aca="false">IF(O55="","",(O55-P55)*100)</f>
        <v/>
      </c>
      <c r="R55" s="30" t="str">
        <f aca="false">IF(O55="","",MAX(0,M55*(P55-O55)))</f>
        <v/>
      </c>
      <c r="S55" s="31" t="str">
        <f aca="false">IF(OR(L55="",L55=0,N55=""),"",N55/1000/L55)</f>
        <v/>
      </c>
      <c r="T55" s="27"/>
      <c r="U55" s="27"/>
      <c r="V55" s="27"/>
      <c r="W55" s="27"/>
      <c r="X55" s="27"/>
      <c r="Y55" s="27"/>
      <c r="Z55" s="27"/>
      <c r="AA55" s="25"/>
      <c r="AB55" s="27"/>
      <c r="AC55" s="30" t="str">
        <f aca="false">IF(M55="","",IF(AB55="",M55*Parámetros!$B$6,AB55))</f>
        <v/>
      </c>
      <c r="AD55" s="30" t="str">
        <f aca="false">IF(M55="","",SUM(T55:Z55)+AC55)</f>
        <v/>
      </c>
      <c r="AE55" s="30" t="str">
        <f aca="false">IF(OR(M55="",N55=""),"",M55-N55)</f>
        <v/>
      </c>
      <c r="AF55" s="30" t="str">
        <f aca="false">IF(AE55="","",AE55-AD55)</f>
        <v/>
      </c>
      <c r="AG55" s="28" t="str">
        <f aca="false">IF(OR(AF55="",M55=0),"",AF55/M55)</f>
        <v/>
      </c>
      <c r="AH55" s="32" t="str">
        <f aca="false">IF(OR(AE55="",N55=0),"",AE55/(N55/1000))</f>
        <v/>
      </c>
      <c r="AI55" s="30" t="str">
        <f aca="false">IF(O55="","",M55*P55)</f>
        <v/>
      </c>
      <c r="AJ55" s="11" t="str">
        <f aca="false">IF(O55="","",IF(O55&gt;1,"Error: rend &gt; 100 %",IF(SUM(T55:Z55)=0,"Falta registrar pérdidas",IF(ABS(AG55)&gt;Parámetros!$B$7,"Revisar balance",IF(O55&lt;P55,"Bajo meta","OK")))))</f>
        <v/>
      </c>
      <c r="AK55" s="33"/>
      <c r="AL55" s="10"/>
      <c r="AM55" s="33"/>
      <c r="AN55" s="33"/>
      <c r="AO55" s="10"/>
    </row>
    <row r="56" customFormat="false" ht="15" hidden="false" customHeight="false" outlineLevel="0" collapsed="false">
      <c r="A56" s="22"/>
      <c r="B56" s="23" t="str">
        <f aca="false">IF(A56="","",YEAR(A56-WEEKDAY(A56,2)+4))</f>
        <v/>
      </c>
      <c r="C56" s="23" t="str">
        <f aca="false">IF(A56="","",WEEKNUM(A56,21))</f>
        <v/>
      </c>
      <c r="D56" s="24" t="str">
        <f aca="false">IF(A56="","",DATE(YEAR(A56),MONTH(A56),1))</f>
        <v/>
      </c>
      <c r="E56" s="10"/>
      <c r="F56" s="25"/>
      <c r="G56" s="25"/>
      <c r="H56" s="10"/>
      <c r="I56" s="10"/>
      <c r="J56" s="26"/>
      <c r="K56" s="25"/>
      <c r="L56" s="26"/>
      <c r="M56" s="27"/>
      <c r="N56" s="27"/>
      <c r="O56" s="28" t="str">
        <f aca="false">IF(OR(M56="",M56=0,N56=""),"",N56/M56)</f>
        <v/>
      </c>
      <c r="P56" s="28" t="str">
        <f aca="false">IF(M56="","",IFERROR(IF(INDEX(Parámetros!$B$14:$B$21,MATCH(I56,Parámetros!$A$14:$A$21,0))="",Parámetros!$B$5,INDEX(Parámetros!$B$14:$B$21,MATCH(I56,Parámetros!$A$14:$A$21,0))),Parámetros!$B$5))</f>
        <v/>
      </c>
      <c r="Q56" s="29" t="str">
        <f aca="false">IF(O56="","",(O56-P56)*100)</f>
        <v/>
      </c>
      <c r="R56" s="30" t="str">
        <f aca="false">IF(O56="","",MAX(0,M56*(P56-O56)))</f>
        <v/>
      </c>
      <c r="S56" s="31" t="str">
        <f aca="false">IF(OR(L56="",L56=0,N56=""),"",N56/1000/L56)</f>
        <v/>
      </c>
      <c r="T56" s="27"/>
      <c r="U56" s="27"/>
      <c r="V56" s="27"/>
      <c r="W56" s="27"/>
      <c r="X56" s="27"/>
      <c r="Y56" s="27"/>
      <c r="Z56" s="27"/>
      <c r="AA56" s="25"/>
      <c r="AB56" s="27"/>
      <c r="AC56" s="30" t="str">
        <f aca="false">IF(M56="","",IF(AB56="",M56*Parámetros!$B$6,AB56))</f>
        <v/>
      </c>
      <c r="AD56" s="30" t="str">
        <f aca="false">IF(M56="","",SUM(T56:Z56)+AC56)</f>
        <v/>
      </c>
      <c r="AE56" s="30" t="str">
        <f aca="false">IF(OR(M56="",N56=""),"",M56-N56)</f>
        <v/>
      </c>
      <c r="AF56" s="30" t="str">
        <f aca="false">IF(AE56="","",AE56-AD56)</f>
        <v/>
      </c>
      <c r="AG56" s="28" t="str">
        <f aca="false">IF(OR(AF56="",M56=0),"",AF56/M56)</f>
        <v/>
      </c>
      <c r="AH56" s="32" t="str">
        <f aca="false">IF(OR(AE56="",N56=0),"",AE56/(N56/1000))</f>
        <v/>
      </c>
      <c r="AI56" s="30" t="str">
        <f aca="false">IF(O56="","",M56*P56)</f>
        <v/>
      </c>
      <c r="AJ56" s="11" t="str">
        <f aca="false">IF(O56="","",IF(O56&gt;1,"Error: rend &gt; 100 %",IF(SUM(T56:Z56)=0,"Falta registrar pérdidas",IF(ABS(AG56)&gt;Parámetros!$B$7,"Revisar balance",IF(O56&lt;P56,"Bajo meta","OK")))))</f>
        <v/>
      </c>
      <c r="AK56" s="33"/>
      <c r="AL56" s="10"/>
      <c r="AM56" s="33"/>
      <c r="AN56" s="33"/>
      <c r="AO56" s="10"/>
    </row>
    <row r="57" customFormat="false" ht="15" hidden="false" customHeight="false" outlineLevel="0" collapsed="false">
      <c r="A57" s="22"/>
      <c r="B57" s="23" t="str">
        <f aca="false">IF(A57="","",YEAR(A57-WEEKDAY(A57,2)+4))</f>
        <v/>
      </c>
      <c r="C57" s="23" t="str">
        <f aca="false">IF(A57="","",WEEKNUM(A57,21))</f>
        <v/>
      </c>
      <c r="D57" s="24" t="str">
        <f aca="false">IF(A57="","",DATE(YEAR(A57),MONTH(A57),1))</f>
        <v/>
      </c>
      <c r="E57" s="10"/>
      <c r="F57" s="25"/>
      <c r="G57" s="25"/>
      <c r="H57" s="10"/>
      <c r="I57" s="10"/>
      <c r="J57" s="26"/>
      <c r="K57" s="25"/>
      <c r="L57" s="26"/>
      <c r="M57" s="27"/>
      <c r="N57" s="27"/>
      <c r="O57" s="28" t="str">
        <f aca="false">IF(OR(M57="",M57=0,N57=""),"",N57/M57)</f>
        <v/>
      </c>
      <c r="P57" s="28" t="str">
        <f aca="false">IF(M57="","",IFERROR(IF(INDEX(Parámetros!$B$14:$B$21,MATCH(I57,Parámetros!$A$14:$A$21,0))="",Parámetros!$B$5,INDEX(Parámetros!$B$14:$B$21,MATCH(I57,Parámetros!$A$14:$A$21,0))),Parámetros!$B$5))</f>
        <v/>
      </c>
      <c r="Q57" s="29" t="str">
        <f aca="false">IF(O57="","",(O57-P57)*100)</f>
        <v/>
      </c>
      <c r="R57" s="30" t="str">
        <f aca="false">IF(O57="","",MAX(0,M57*(P57-O57)))</f>
        <v/>
      </c>
      <c r="S57" s="31" t="str">
        <f aca="false">IF(OR(L57="",L57=0,N57=""),"",N57/1000/L57)</f>
        <v/>
      </c>
      <c r="T57" s="27"/>
      <c r="U57" s="27"/>
      <c r="V57" s="27"/>
      <c r="W57" s="27"/>
      <c r="X57" s="27"/>
      <c r="Y57" s="27"/>
      <c r="Z57" s="27"/>
      <c r="AA57" s="25"/>
      <c r="AB57" s="27"/>
      <c r="AC57" s="30" t="str">
        <f aca="false">IF(M57="","",IF(AB57="",M57*Parámetros!$B$6,AB57))</f>
        <v/>
      </c>
      <c r="AD57" s="30" t="str">
        <f aca="false">IF(M57="","",SUM(T57:Z57)+AC57)</f>
        <v/>
      </c>
      <c r="AE57" s="30" t="str">
        <f aca="false">IF(OR(M57="",N57=""),"",M57-N57)</f>
        <v/>
      </c>
      <c r="AF57" s="30" t="str">
        <f aca="false">IF(AE57="","",AE57-AD57)</f>
        <v/>
      </c>
      <c r="AG57" s="28" t="str">
        <f aca="false">IF(OR(AF57="",M57=0),"",AF57/M57)</f>
        <v/>
      </c>
      <c r="AH57" s="32" t="str">
        <f aca="false">IF(OR(AE57="",N57=0),"",AE57/(N57/1000))</f>
        <v/>
      </c>
      <c r="AI57" s="30" t="str">
        <f aca="false">IF(O57="","",M57*P57)</f>
        <v/>
      </c>
      <c r="AJ57" s="11" t="str">
        <f aca="false">IF(O57="","",IF(O57&gt;1,"Error: rend &gt; 100 %",IF(SUM(T57:Z57)=0,"Falta registrar pérdidas",IF(ABS(AG57)&gt;Parámetros!$B$7,"Revisar balance",IF(O57&lt;P57,"Bajo meta","OK")))))</f>
        <v/>
      </c>
      <c r="AK57" s="33"/>
      <c r="AL57" s="10"/>
      <c r="AM57" s="33"/>
      <c r="AN57" s="33"/>
      <c r="AO57" s="10"/>
    </row>
    <row r="58" customFormat="false" ht="15" hidden="false" customHeight="false" outlineLevel="0" collapsed="false">
      <c r="A58" s="22"/>
      <c r="B58" s="23" t="str">
        <f aca="false">IF(A58="","",YEAR(A58-WEEKDAY(A58,2)+4))</f>
        <v/>
      </c>
      <c r="C58" s="23" t="str">
        <f aca="false">IF(A58="","",WEEKNUM(A58,21))</f>
        <v/>
      </c>
      <c r="D58" s="24" t="str">
        <f aca="false">IF(A58="","",DATE(YEAR(A58),MONTH(A58),1))</f>
        <v/>
      </c>
      <c r="E58" s="10"/>
      <c r="F58" s="25"/>
      <c r="G58" s="25"/>
      <c r="H58" s="10"/>
      <c r="I58" s="10"/>
      <c r="J58" s="26"/>
      <c r="K58" s="25"/>
      <c r="L58" s="26"/>
      <c r="M58" s="27"/>
      <c r="N58" s="27"/>
      <c r="O58" s="28" t="str">
        <f aca="false">IF(OR(M58="",M58=0,N58=""),"",N58/M58)</f>
        <v/>
      </c>
      <c r="P58" s="28" t="str">
        <f aca="false">IF(M58="","",IFERROR(IF(INDEX(Parámetros!$B$14:$B$21,MATCH(I58,Parámetros!$A$14:$A$21,0))="",Parámetros!$B$5,INDEX(Parámetros!$B$14:$B$21,MATCH(I58,Parámetros!$A$14:$A$21,0))),Parámetros!$B$5))</f>
        <v/>
      </c>
      <c r="Q58" s="29" t="str">
        <f aca="false">IF(O58="","",(O58-P58)*100)</f>
        <v/>
      </c>
      <c r="R58" s="30" t="str">
        <f aca="false">IF(O58="","",MAX(0,M58*(P58-O58)))</f>
        <v/>
      </c>
      <c r="S58" s="31" t="str">
        <f aca="false">IF(OR(L58="",L58=0,N58=""),"",N58/1000/L58)</f>
        <v/>
      </c>
      <c r="T58" s="27"/>
      <c r="U58" s="27"/>
      <c r="V58" s="27"/>
      <c r="W58" s="27"/>
      <c r="X58" s="27"/>
      <c r="Y58" s="27"/>
      <c r="Z58" s="27"/>
      <c r="AA58" s="25"/>
      <c r="AB58" s="27"/>
      <c r="AC58" s="30" t="str">
        <f aca="false">IF(M58="","",IF(AB58="",M58*Parámetros!$B$6,AB58))</f>
        <v/>
      </c>
      <c r="AD58" s="30" t="str">
        <f aca="false">IF(M58="","",SUM(T58:Z58)+AC58)</f>
        <v/>
      </c>
      <c r="AE58" s="30" t="str">
        <f aca="false">IF(OR(M58="",N58=""),"",M58-N58)</f>
        <v/>
      </c>
      <c r="AF58" s="30" t="str">
        <f aca="false">IF(AE58="","",AE58-AD58)</f>
        <v/>
      </c>
      <c r="AG58" s="28" t="str">
        <f aca="false">IF(OR(AF58="",M58=0),"",AF58/M58)</f>
        <v/>
      </c>
      <c r="AH58" s="32" t="str">
        <f aca="false">IF(OR(AE58="",N58=0),"",AE58/(N58/1000))</f>
        <v/>
      </c>
      <c r="AI58" s="30" t="str">
        <f aca="false">IF(O58="","",M58*P58)</f>
        <v/>
      </c>
      <c r="AJ58" s="11" t="str">
        <f aca="false">IF(O58="","",IF(O58&gt;1,"Error: rend &gt; 100 %",IF(SUM(T58:Z58)=0,"Falta registrar pérdidas",IF(ABS(AG58)&gt;Parámetros!$B$7,"Revisar balance",IF(O58&lt;P58,"Bajo meta","OK")))))</f>
        <v/>
      </c>
      <c r="AK58" s="33"/>
      <c r="AL58" s="10"/>
      <c r="AM58" s="33"/>
      <c r="AN58" s="33"/>
      <c r="AO58" s="10"/>
    </row>
    <row r="59" customFormat="false" ht="15" hidden="false" customHeight="false" outlineLevel="0" collapsed="false">
      <c r="A59" s="22"/>
      <c r="B59" s="23" t="str">
        <f aca="false">IF(A59="","",YEAR(A59-WEEKDAY(A59,2)+4))</f>
        <v/>
      </c>
      <c r="C59" s="23" t="str">
        <f aca="false">IF(A59="","",WEEKNUM(A59,21))</f>
        <v/>
      </c>
      <c r="D59" s="24" t="str">
        <f aca="false">IF(A59="","",DATE(YEAR(A59),MONTH(A59),1))</f>
        <v/>
      </c>
      <c r="E59" s="10"/>
      <c r="F59" s="25"/>
      <c r="G59" s="25"/>
      <c r="H59" s="10"/>
      <c r="I59" s="10"/>
      <c r="J59" s="26"/>
      <c r="K59" s="25"/>
      <c r="L59" s="26"/>
      <c r="M59" s="27"/>
      <c r="N59" s="27"/>
      <c r="O59" s="28" t="str">
        <f aca="false">IF(OR(M59="",M59=0,N59=""),"",N59/M59)</f>
        <v/>
      </c>
      <c r="P59" s="28" t="str">
        <f aca="false">IF(M59="","",IFERROR(IF(INDEX(Parámetros!$B$14:$B$21,MATCH(I59,Parámetros!$A$14:$A$21,0))="",Parámetros!$B$5,INDEX(Parámetros!$B$14:$B$21,MATCH(I59,Parámetros!$A$14:$A$21,0))),Parámetros!$B$5))</f>
        <v/>
      </c>
      <c r="Q59" s="29" t="str">
        <f aca="false">IF(O59="","",(O59-P59)*100)</f>
        <v/>
      </c>
      <c r="R59" s="30" t="str">
        <f aca="false">IF(O59="","",MAX(0,M59*(P59-O59)))</f>
        <v/>
      </c>
      <c r="S59" s="31" t="str">
        <f aca="false">IF(OR(L59="",L59=0,N59=""),"",N59/1000/L59)</f>
        <v/>
      </c>
      <c r="T59" s="27"/>
      <c r="U59" s="27"/>
      <c r="V59" s="27"/>
      <c r="W59" s="27"/>
      <c r="X59" s="27"/>
      <c r="Y59" s="27"/>
      <c r="Z59" s="27"/>
      <c r="AA59" s="25"/>
      <c r="AB59" s="27"/>
      <c r="AC59" s="30" t="str">
        <f aca="false">IF(M59="","",IF(AB59="",M59*Parámetros!$B$6,AB59))</f>
        <v/>
      </c>
      <c r="AD59" s="30" t="str">
        <f aca="false">IF(M59="","",SUM(T59:Z59)+AC59)</f>
        <v/>
      </c>
      <c r="AE59" s="30" t="str">
        <f aca="false">IF(OR(M59="",N59=""),"",M59-N59)</f>
        <v/>
      </c>
      <c r="AF59" s="30" t="str">
        <f aca="false">IF(AE59="","",AE59-AD59)</f>
        <v/>
      </c>
      <c r="AG59" s="28" t="str">
        <f aca="false">IF(OR(AF59="",M59=0),"",AF59/M59)</f>
        <v/>
      </c>
      <c r="AH59" s="32" t="str">
        <f aca="false">IF(OR(AE59="",N59=0),"",AE59/(N59/1000))</f>
        <v/>
      </c>
      <c r="AI59" s="30" t="str">
        <f aca="false">IF(O59="","",M59*P59)</f>
        <v/>
      </c>
      <c r="AJ59" s="11" t="str">
        <f aca="false">IF(O59="","",IF(O59&gt;1,"Error: rend &gt; 100 %",IF(SUM(T59:Z59)=0,"Falta registrar pérdidas",IF(ABS(AG59)&gt;Parámetros!$B$7,"Revisar balance",IF(O59&lt;P59,"Bajo meta","OK")))))</f>
        <v/>
      </c>
      <c r="AK59" s="33"/>
      <c r="AL59" s="10"/>
      <c r="AM59" s="33"/>
      <c r="AN59" s="33"/>
      <c r="AO59" s="10"/>
    </row>
    <row r="60" customFormat="false" ht="15" hidden="false" customHeight="false" outlineLevel="0" collapsed="false">
      <c r="A60" s="22"/>
      <c r="B60" s="23" t="str">
        <f aca="false">IF(A60="","",YEAR(A60-WEEKDAY(A60,2)+4))</f>
        <v/>
      </c>
      <c r="C60" s="23" t="str">
        <f aca="false">IF(A60="","",WEEKNUM(A60,21))</f>
        <v/>
      </c>
      <c r="D60" s="24" t="str">
        <f aca="false">IF(A60="","",DATE(YEAR(A60),MONTH(A60),1))</f>
        <v/>
      </c>
      <c r="E60" s="10"/>
      <c r="F60" s="25"/>
      <c r="G60" s="25"/>
      <c r="H60" s="10"/>
      <c r="I60" s="10"/>
      <c r="J60" s="26"/>
      <c r="K60" s="25"/>
      <c r="L60" s="26"/>
      <c r="M60" s="27"/>
      <c r="N60" s="27"/>
      <c r="O60" s="28" t="str">
        <f aca="false">IF(OR(M60="",M60=0,N60=""),"",N60/M60)</f>
        <v/>
      </c>
      <c r="P60" s="28" t="str">
        <f aca="false">IF(M60="","",IFERROR(IF(INDEX(Parámetros!$B$14:$B$21,MATCH(I60,Parámetros!$A$14:$A$21,0))="",Parámetros!$B$5,INDEX(Parámetros!$B$14:$B$21,MATCH(I60,Parámetros!$A$14:$A$21,0))),Parámetros!$B$5))</f>
        <v/>
      </c>
      <c r="Q60" s="29" t="str">
        <f aca="false">IF(O60="","",(O60-P60)*100)</f>
        <v/>
      </c>
      <c r="R60" s="30" t="str">
        <f aca="false">IF(O60="","",MAX(0,M60*(P60-O60)))</f>
        <v/>
      </c>
      <c r="S60" s="31" t="str">
        <f aca="false">IF(OR(L60="",L60=0,N60=""),"",N60/1000/L60)</f>
        <v/>
      </c>
      <c r="T60" s="27"/>
      <c r="U60" s="27"/>
      <c r="V60" s="27"/>
      <c r="W60" s="27"/>
      <c r="X60" s="27"/>
      <c r="Y60" s="27"/>
      <c r="Z60" s="27"/>
      <c r="AA60" s="25"/>
      <c r="AB60" s="27"/>
      <c r="AC60" s="30" t="str">
        <f aca="false">IF(M60="","",IF(AB60="",M60*Parámetros!$B$6,AB60))</f>
        <v/>
      </c>
      <c r="AD60" s="30" t="str">
        <f aca="false">IF(M60="","",SUM(T60:Z60)+AC60)</f>
        <v/>
      </c>
      <c r="AE60" s="30" t="str">
        <f aca="false">IF(OR(M60="",N60=""),"",M60-N60)</f>
        <v/>
      </c>
      <c r="AF60" s="30" t="str">
        <f aca="false">IF(AE60="","",AE60-AD60)</f>
        <v/>
      </c>
      <c r="AG60" s="28" t="str">
        <f aca="false">IF(OR(AF60="",M60=0),"",AF60/M60)</f>
        <v/>
      </c>
      <c r="AH60" s="32" t="str">
        <f aca="false">IF(OR(AE60="",N60=0),"",AE60/(N60/1000))</f>
        <v/>
      </c>
      <c r="AI60" s="30" t="str">
        <f aca="false">IF(O60="","",M60*P60)</f>
        <v/>
      </c>
      <c r="AJ60" s="11" t="str">
        <f aca="false">IF(O60="","",IF(O60&gt;1,"Error: rend &gt; 100 %",IF(SUM(T60:Z60)=0,"Falta registrar pérdidas",IF(ABS(AG60)&gt;Parámetros!$B$7,"Revisar balance",IF(O60&lt;P60,"Bajo meta","OK")))))</f>
        <v/>
      </c>
      <c r="AK60" s="33"/>
      <c r="AL60" s="10"/>
      <c r="AM60" s="33"/>
      <c r="AN60" s="33"/>
      <c r="AO60" s="10"/>
    </row>
    <row r="61" customFormat="false" ht="15" hidden="false" customHeight="false" outlineLevel="0" collapsed="false">
      <c r="A61" s="22"/>
      <c r="B61" s="23" t="str">
        <f aca="false">IF(A61="","",YEAR(A61-WEEKDAY(A61,2)+4))</f>
        <v/>
      </c>
      <c r="C61" s="23" t="str">
        <f aca="false">IF(A61="","",WEEKNUM(A61,21))</f>
        <v/>
      </c>
      <c r="D61" s="24" t="str">
        <f aca="false">IF(A61="","",DATE(YEAR(A61),MONTH(A61),1))</f>
        <v/>
      </c>
      <c r="E61" s="10"/>
      <c r="F61" s="25"/>
      <c r="G61" s="25"/>
      <c r="H61" s="10"/>
      <c r="I61" s="10"/>
      <c r="J61" s="26"/>
      <c r="K61" s="25"/>
      <c r="L61" s="26"/>
      <c r="M61" s="27"/>
      <c r="N61" s="27"/>
      <c r="O61" s="28" t="str">
        <f aca="false">IF(OR(M61="",M61=0,N61=""),"",N61/M61)</f>
        <v/>
      </c>
      <c r="P61" s="28" t="str">
        <f aca="false">IF(M61="","",IFERROR(IF(INDEX(Parámetros!$B$14:$B$21,MATCH(I61,Parámetros!$A$14:$A$21,0))="",Parámetros!$B$5,INDEX(Parámetros!$B$14:$B$21,MATCH(I61,Parámetros!$A$14:$A$21,0))),Parámetros!$B$5))</f>
        <v/>
      </c>
      <c r="Q61" s="29" t="str">
        <f aca="false">IF(O61="","",(O61-P61)*100)</f>
        <v/>
      </c>
      <c r="R61" s="30" t="str">
        <f aca="false">IF(O61="","",MAX(0,M61*(P61-O61)))</f>
        <v/>
      </c>
      <c r="S61" s="31" t="str">
        <f aca="false">IF(OR(L61="",L61=0,N61=""),"",N61/1000/L61)</f>
        <v/>
      </c>
      <c r="T61" s="27"/>
      <c r="U61" s="27"/>
      <c r="V61" s="27"/>
      <c r="W61" s="27"/>
      <c r="X61" s="27"/>
      <c r="Y61" s="27"/>
      <c r="Z61" s="27"/>
      <c r="AA61" s="25"/>
      <c r="AB61" s="27"/>
      <c r="AC61" s="30" t="str">
        <f aca="false">IF(M61="","",IF(AB61="",M61*Parámetros!$B$6,AB61))</f>
        <v/>
      </c>
      <c r="AD61" s="30" t="str">
        <f aca="false">IF(M61="","",SUM(T61:Z61)+AC61)</f>
        <v/>
      </c>
      <c r="AE61" s="30" t="str">
        <f aca="false">IF(OR(M61="",N61=""),"",M61-N61)</f>
        <v/>
      </c>
      <c r="AF61" s="30" t="str">
        <f aca="false">IF(AE61="","",AE61-AD61)</f>
        <v/>
      </c>
      <c r="AG61" s="28" t="str">
        <f aca="false">IF(OR(AF61="",M61=0),"",AF61/M61)</f>
        <v/>
      </c>
      <c r="AH61" s="32" t="str">
        <f aca="false">IF(OR(AE61="",N61=0),"",AE61/(N61/1000))</f>
        <v/>
      </c>
      <c r="AI61" s="30" t="str">
        <f aca="false">IF(O61="","",M61*P61)</f>
        <v/>
      </c>
      <c r="AJ61" s="11" t="str">
        <f aca="false">IF(O61="","",IF(O61&gt;1,"Error: rend &gt; 100 %",IF(SUM(T61:Z61)=0,"Falta registrar pérdidas",IF(ABS(AG61)&gt;Parámetros!$B$7,"Revisar balance",IF(O61&lt;P61,"Bajo meta","OK")))))</f>
        <v/>
      </c>
      <c r="AK61" s="33"/>
      <c r="AL61" s="10"/>
      <c r="AM61" s="33"/>
      <c r="AN61" s="33"/>
      <c r="AO61" s="10"/>
    </row>
    <row r="62" customFormat="false" ht="15" hidden="false" customHeight="false" outlineLevel="0" collapsed="false">
      <c r="A62" s="22"/>
      <c r="B62" s="23" t="str">
        <f aca="false">IF(A62="","",YEAR(A62-WEEKDAY(A62,2)+4))</f>
        <v/>
      </c>
      <c r="C62" s="23" t="str">
        <f aca="false">IF(A62="","",WEEKNUM(A62,21))</f>
        <v/>
      </c>
      <c r="D62" s="24" t="str">
        <f aca="false">IF(A62="","",DATE(YEAR(A62),MONTH(A62),1))</f>
        <v/>
      </c>
      <c r="E62" s="10"/>
      <c r="F62" s="25"/>
      <c r="G62" s="25"/>
      <c r="H62" s="10"/>
      <c r="I62" s="10"/>
      <c r="J62" s="26"/>
      <c r="K62" s="25"/>
      <c r="L62" s="26"/>
      <c r="M62" s="27"/>
      <c r="N62" s="27"/>
      <c r="O62" s="28" t="str">
        <f aca="false">IF(OR(M62="",M62=0,N62=""),"",N62/M62)</f>
        <v/>
      </c>
      <c r="P62" s="28" t="str">
        <f aca="false">IF(M62="","",IFERROR(IF(INDEX(Parámetros!$B$14:$B$21,MATCH(I62,Parámetros!$A$14:$A$21,0))="",Parámetros!$B$5,INDEX(Parámetros!$B$14:$B$21,MATCH(I62,Parámetros!$A$14:$A$21,0))),Parámetros!$B$5))</f>
        <v/>
      </c>
      <c r="Q62" s="29" t="str">
        <f aca="false">IF(O62="","",(O62-P62)*100)</f>
        <v/>
      </c>
      <c r="R62" s="30" t="str">
        <f aca="false">IF(O62="","",MAX(0,M62*(P62-O62)))</f>
        <v/>
      </c>
      <c r="S62" s="31" t="str">
        <f aca="false">IF(OR(L62="",L62=0,N62=""),"",N62/1000/L62)</f>
        <v/>
      </c>
      <c r="T62" s="27"/>
      <c r="U62" s="27"/>
      <c r="V62" s="27"/>
      <c r="W62" s="27"/>
      <c r="X62" s="27"/>
      <c r="Y62" s="27"/>
      <c r="Z62" s="27"/>
      <c r="AA62" s="25"/>
      <c r="AB62" s="27"/>
      <c r="AC62" s="30" t="str">
        <f aca="false">IF(M62="","",IF(AB62="",M62*Parámetros!$B$6,AB62))</f>
        <v/>
      </c>
      <c r="AD62" s="30" t="str">
        <f aca="false">IF(M62="","",SUM(T62:Z62)+AC62)</f>
        <v/>
      </c>
      <c r="AE62" s="30" t="str">
        <f aca="false">IF(OR(M62="",N62=""),"",M62-N62)</f>
        <v/>
      </c>
      <c r="AF62" s="30" t="str">
        <f aca="false">IF(AE62="","",AE62-AD62)</f>
        <v/>
      </c>
      <c r="AG62" s="28" t="str">
        <f aca="false">IF(OR(AF62="",M62=0),"",AF62/M62)</f>
        <v/>
      </c>
      <c r="AH62" s="32" t="str">
        <f aca="false">IF(OR(AE62="",N62=0),"",AE62/(N62/1000))</f>
        <v/>
      </c>
      <c r="AI62" s="30" t="str">
        <f aca="false">IF(O62="","",M62*P62)</f>
        <v/>
      </c>
      <c r="AJ62" s="11" t="str">
        <f aca="false">IF(O62="","",IF(O62&gt;1,"Error: rend &gt; 100 %",IF(SUM(T62:Z62)=0,"Falta registrar pérdidas",IF(ABS(AG62)&gt;Parámetros!$B$7,"Revisar balance",IF(O62&lt;P62,"Bajo meta","OK")))))</f>
        <v/>
      </c>
      <c r="AK62" s="33"/>
      <c r="AL62" s="10"/>
      <c r="AM62" s="33"/>
      <c r="AN62" s="33"/>
      <c r="AO62" s="10"/>
    </row>
    <row r="63" customFormat="false" ht="15" hidden="false" customHeight="false" outlineLevel="0" collapsed="false">
      <c r="A63" s="22"/>
      <c r="B63" s="23" t="str">
        <f aca="false">IF(A63="","",YEAR(A63-WEEKDAY(A63,2)+4))</f>
        <v/>
      </c>
      <c r="C63" s="23" t="str">
        <f aca="false">IF(A63="","",WEEKNUM(A63,21))</f>
        <v/>
      </c>
      <c r="D63" s="24" t="str">
        <f aca="false">IF(A63="","",DATE(YEAR(A63),MONTH(A63),1))</f>
        <v/>
      </c>
      <c r="E63" s="10"/>
      <c r="F63" s="25"/>
      <c r="G63" s="25"/>
      <c r="H63" s="10"/>
      <c r="I63" s="10"/>
      <c r="J63" s="26"/>
      <c r="K63" s="25"/>
      <c r="L63" s="26"/>
      <c r="M63" s="27"/>
      <c r="N63" s="27"/>
      <c r="O63" s="28" t="str">
        <f aca="false">IF(OR(M63="",M63=0,N63=""),"",N63/M63)</f>
        <v/>
      </c>
      <c r="P63" s="28" t="str">
        <f aca="false">IF(M63="","",IFERROR(IF(INDEX(Parámetros!$B$14:$B$21,MATCH(I63,Parámetros!$A$14:$A$21,0))="",Parámetros!$B$5,INDEX(Parámetros!$B$14:$B$21,MATCH(I63,Parámetros!$A$14:$A$21,0))),Parámetros!$B$5))</f>
        <v/>
      </c>
      <c r="Q63" s="29" t="str">
        <f aca="false">IF(O63="","",(O63-P63)*100)</f>
        <v/>
      </c>
      <c r="R63" s="30" t="str">
        <f aca="false">IF(O63="","",MAX(0,M63*(P63-O63)))</f>
        <v/>
      </c>
      <c r="S63" s="31" t="str">
        <f aca="false">IF(OR(L63="",L63=0,N63=""),"",N63/1000/L63)</f>
        <v/>
      </c>
      <c r="T63" s="27"/>
      <c r="U63" s="27"/>
      <c r="V63" s="27"/>
      <c r="W63" s="27"/>
      <c r="X63" s="27"/>
      <c r="Y63" s="27"/>
      <c r="Z63" s="27"/>
      <c r="AA63" s="25"/>
      <c r="AB63" s="27"/>
      <c r="AC63" s="30" t="str">
        <f aca="false">IF(M63="","",IF(AB63="",M63*Parámetros!$B$6,AB63))</f>
        <v/>
      </c>
      <c r="AD63" s="30" t="str">
        <f aca="false">IF(M63="","",SUM(T63:Z63)+AC63)</f>
        <v/>
      </c>
      <c r="AE63" s="30" t="str">
        <f aca="false">IF(OR(M63="",N63=""),"",M63-N63)</f>
        <v/>
      </c>
      <c r="AF63" s="30" t="str">
        <f aca="false">IF(AE63="","",AE63-AD63)</f>
        <v/>
      </c>
      <c r="AG63" s="28" t="str">
        <f aca="false">IF(OR(AF63="",M63=0),"",AF63/M63)</f>
        <v/>
      </c>
      <c r="AH63" s="32" t="str">
        <f aca="false">IF(OR(AE63="",N63=0),"",AE63/(N63/1000))</f>
        <v/>
      </c>
      <c r="AI63" s="30" t="str">
        <f aca="false">IF(O63="","",M63*P63)</f>
        <v/>
      </c>
      <c r="AJ63" s="11" t="str">
        <f aca="false">IF(O63="","",IF(O63&gt;1,"Error: rend &gt; 100 %",IF(SUM(T63:Z63)=0,"Falta registrar pérdidas",IF(ABS(AG63)&gt;Parámetros!$B$7,"Revisar balance",IF(O63&lt;P63,"Bajo meta","OK")))))</f>
        <v/>
      </c>
      <c r="AK63" s="33"/>
      <c r="AL63" s="10"/>
      <c r="AM63" s="33"/>
      <c r="AN63" s="33"/>
      <c r="AO63" s="10"/>
    </row>
    <row r="64" customFormat="false" ht="15" hidden="false" customHeight="false" outlineLevel="0" collapsed="false">
      <c r="A64" s="22"/>
      <c r="B64" s="23" t="str">
        <f aca="false">IF(A64="","",YEAR(A64-WEEKDAY(A64,2)+4))</f>
        <v/>
      </c>
      <c r="C64" s="23" t="str">
        <f aca="false">IF(A64="","",WEEKNUM(A64,21))</f>
        <v/>
      </c>
      <c r="D64" s="24" t="str">
        <f aca="false">IF(A64="","",DATE(YEAR(A64),MONTH(A64),1))</f>
        <v/>
      </c>
      <c r="E64" s="10"/>
      <c r="F64" s="25"/>
      <c r="G64" s="25"/>
      <c r="H64" s="10"/>
      <c r="I64" s="10"/>
      <c r="J64" s="26"/>
      <c r="K64" s="25"/>
      <c r="L64" s="26"/>
      <c r="M64" s="27"/>
      <c r="N64" s="27"/>
      <c r="O64" s="28" t="str">
        <f aca="false">IF(OR(M64="",M64=0,N64=""),"",N64/M64)</f>
        <v/>
      </c>
      <c r="P64" s="28" t="str">
        <f aca="false">IF(M64="","",IFERROR(IF(INDEX(Parámetros!$B$14:$B$21,MATCH(I64,Parámetros!$A$14:$A$21,0))="",Parámetros!$B$5,INDEX(Parámetros!$B$14:$B$21,MATCH(I64,Parámetros!$A$14:$A$21,0))),Parámetros!$B$5))</f>
        <v/>
      </c>
      <c r="Q64" s="29" t="str">
        <f aca="false">IF(O64="","",(O64-P64)*100)</f>
        <v/>
      </c>
      <c r="R64" s="30" t="str">
        <f aca="false">IF(O64="","",MAX(0,M64*(P64-O64)))</f>
        <v/>
      </c>
      <c r="S64" s="31" t="str">
        <f aca="false">IF(OR(L64="",L64=0,N64=""),"",N64/1000/L64)</f>
        <v/>
      </c>
      <c r="T64" s="27"/>
      <c r="U64" s="27"/>
      <c r="V64" s="27"/>
      <c r="W64" s="27"/>
      <c r="X64" s="27"/>
      <c r="Y64" s="27"/>
      <c r="Z64" s="27"/>
      <c r="AA64" s="25"/>
      <c r="AB64" s="27"/>
      <c r="AC64" s="30" t="str">
        <f aca="false">IF(M64="","",IF(AB64="",M64*Parámetros!$B$6,AB64))</f>
        <v/>
      </c>
      <c r="AD64" s="30" t="str">
        <f aca="false">IF(M64="","",SUM(T64:Z64)+AC64)</f>
        <v/>
      </c>
      <c r="AE64" s="30" t="str">
        <f aca="false">IF(OR(M64="",N64=""),"",M64-N64)</f>
        <v/>
      </c>
      <c r="AF64" s="30" t="str">
        <f aca="false">IF(AE64="","",AE64-AD64)</f>
        <v/>
      </c>
      <c r="AG64" s="28" t="str">
        <f aca="false">IF(OR(AF64="",M64=0),"",AF64/M64)</f>
        <v/>
      </c>
      <c r="AH64" s="32" t="str">
        <f aca="false">IF(OR(AE64="",N64=0),"",AE64/(N64/1000))</f>
        <v/>
      </c>
      <c r="AI64" s="30" t="str">
        <f aca="false">IF(O64="","",M64*P64)</f>
        <v/>
      </c>
      <c r="AJ64" s="11" t="str">
        <f aca="false">IF(O64="","",IF(O64&gt;1,"Error: rend &gt; 100 %",IF(SUM(T64:Z64)=0,"Falta registrar pérdidas",IF(ABS(AG64)&gt;Parámetros!$B$7,"Revisar balance",IF(O64&lt;P64,"Bajo meta","OK")))))</f>
        <v/>
      </c>
      <c r="AK64" s="33"/>
      <c r="AL64" s="10"/>
      <c r="AM64" s="33"/>
      <c r="AN64" s="33"/>
      <c r="AO64" s="10"/>
    </row>
    <row r="65" customFormat="false" ht="15" hidden="false" customHeight="false" outlineLevel="0" collapsed="false">
      <c r="A65" s="22"/>
      <c r="B65" s="23" t="str">
        <f aca="false">IF(A65="","",YEAR(A65-WEEKDAY(A65,2)+4))</f>
        <v/>
      </c>
      <c r="C65" s="23" t="str">
        <f aca="false">IF(A65="","",WEEKNUM(A65,21))</f>
        <v/>
      </c>
      <c r="D65" s="24" t="str">
        <f aca="false">IF(A65="","",DATE(YEAR(A65),MONTH(A65),1))</f>
        <v/>
      </c>
      <c r="E65" s="10"/>
      <c r="F65" s="25"/>
      <c r="G65" s="25"/>
      <c r="H65" s="10"/>
      <c r="I65" s="10"/>
      <c r="J65" s="26"/>
      <c r="K65" s="25"/>
      <c r="L65" s="26"/>
      <c r="M65" s="27"/>
      <c r="N65" s="27"/>
      <c r="O65" s="28" t="str">
        <f aca="false">IF(OR(M65="",M65=0,N65=""),"",N65/M65)</f>
        <v/>
      </c>
      <c r="P65" s="28" t="str">
        <f aca="false">IF(M65="","",IFERROR(IF(INDEX(Parámetros!$B$14:$B$21,MATCH(I65,Parámetros!$A$14:$A$21,0))="",Parámetros!$B$5,INDEX(Parámetros!$B$14:$B$21,MATCH(I65,Parámetros!$A$14:$A$21,0))),Parámetros!$B$5))</f>
        <v/>
      </c>
      <c r="Q65" s="29" t="str">
        <f aca="false">IF(O65="","",(O65-P65)*100)</f>
        <v/>
      </c>
      <c r="R65" s="30" t="str">
        <f aca="false">IF(O65="","",MAX(0,M65*(P65-O65)))</f>
        <v/>
      </c>
      <c r="S65" s="31" t="str">
        <f aca="false">IF(OR(L65="",L65=0,N65=""),"",N65/1000/L65)</f>
        <v/>
      </c>
      <c r="T65" s="27"/>
      <c r="U65" s="27"/>
      <c r="V65" s="27"/>
      <c r="W65" s="27"/>
      <c r="X65" s="27"/>
      <c r="Y65" s="27"/>
      <c r="Z65" s="27"/>
      <c r="AA65" s="25"/>
      <c r="AB65" s="27"/>
      <c r="AC65" s="30" t="str">
        <f aca="false">IF(M65="","",IF(AB65="",M65*Parámetros!$B$6,AB65))</f>
        <v/>
      </c>
      <c r="AD65" s="30" t="str">
        <f aca="false">IF(M65="","",SUM(T65:Z65)+AC65)</f>
        <v/>
      </c>
      <c r="AE65" s="30" t="str">
        <f aca="false">IF(OR(M65="",N65=""),"",M65-N65)</f>
        <v/>
      </c>
      <c r="AF65" s="30" t="str">
        <f aca="false">IF(AE65="","",AE65-AD65)</f>
        <v/>
      </c>
      <c r="AG65" s="28" t="str">
        <f aca="false">IF(OR(AF65="",M65=0),"",AF65/M65)</f>
        <v/>
      </c>
      <c r="AH65" s="32" t="str">
        <f aca="false">IF(OR(AE65="",N65=0),"",AE65/(N65/1000))</f>
        <v/>
      </c>
      <c r="AI65" s="30" t="str">
        <f aca="false">IF(O65="","",M65*P65)</f>
        <v/>
      </c>
      <c r="AJ65" s="11" t="str">
        <f aca="false">IF(O65="","",IF(O65&gt;1,"Error: rend &gt; 100 %",IF(SUM(T65:Z65)=0,"Falta registrar pérdidas",IF(ABS(AG65)&gt;Parámetros!$B$7,"Revisar balance",IF(O65&lt;P65,"Bajo meta","OK")))))</f>
        <v/>
      </c>
      <c r="AK65" s="33"/>
      <c r="AL65" s="10"/>
      <c r="AM65" s="33"/>
      <c r="AN65" s="33"/>
      <c r="AO65" s="10"/>
    </row>
    <row r="66" customFormat="false" ht="15" hidden="false" customHeight="false" outlineLevel="0" collapsed="false">
      <c r="A66" s="22"/>
      <c r="B66" s="23" t="str">
        <f aca="false">IF(A66="","",YEAR(A66-WEEKDAY(A66,2)+4))</f>
        <v/>
      </c>
      <c r="C66" s="23" t="str">
        <f aca="false">IF(A66="","",WEEKNUM(A66,21))</f>
        <v/>
      </c>
      <c r="D66" s="24" t="str">
        <f aca="false">IF(A66="","",DATE(YEAR(A66),MONTH(A66),1))</f>
        <v/>
      </c>
      <c r="E66" s="10"/>
      <c r="F66" s="25"/>
      <c r="G66" s="25"/>
      <c r="H66" s="10"/>
      <c r="I66" s="10"/>
      <c r="J66" s="26"/>
      <c r="K66" s="25"/>
      <c r="L66" s="26"/>
      <c r="M66" s="27"/>
      <c r="N66" s="27"/>
      <c r="O66" s="28" t="str">
        <f aca="false">IF(OR(M66="",M66=0,N66=""),"",N66/M66)</f>
        <v/>
      </c>
      <c r="P66" s="28" t="str">
        <f aca="false">IF(M66="","",IFERROR(IF(INDEX(Parámetros!$B$14:$B$21,MATCH(I66,Parámetros!$A$14:$A$21,0))="",Parámetros!$B$5,INDEX(Parámetros!$B$14:$B$21,MATCH(I66,Parámetros!$A$14:$A$21,0))),Parámetros!$B$5))</f>
        <v/>
      </c>
      <c r="Q66" s="29" t="str">
        <f aca="false">IF(O66="","",(O66-P66)*100)</f>
        <v/>
      </c>
      <c r="R66" s="30" t="str">
        <f aca="false">IF(O66="","",MAX(0,M66*(P66-O66)))</f>
        <v/>
      </c>
      <c r="S66" s="31" t="str">
        <f aca="false">IF(OR(L66="",L66=0,N66=""),"",N66/1000/L66)</f>
        <v/>
      </c>
      <c r="T66" s="27"/>
      <c r="U66" s="27"/>
      <c r="V66" s="27"/>
      <c r="W66" s="27"/>
      <c r="X66" s="27"/>
      <c r="Y66" s="27"/>
      <c r="Z66" s="27"/>
      <c r="AA66" s="25"/>
      <c r="AB66" s="27"/>
      <c r="AC66" s="30" t="str">
        <f aca="false">IF(M66="","",IF(AB66="",M66*Parámetros!$B$6,AB66))</f>
        <v/>
      </c>
      <c r="AD66" s="30" t="str">
        <f aca="false">IF(M66="","",SUM(T66:Z66)+AC66)</f>
        <v/>
      </c>
      <c r="AE66" s="30" t="str">
        <f aca="false">IF(OR(M66="",N66=""),"",M66-N66)</f>
        <v/>
      </c>
      <c r="AF66" s="30" t="str">
        <f aca="false">IF(AE66="","",AE66-AD66)</f>
        <v/>
      </c>
      <c r="AG66" s="28" t="str">
        <f aca="false">IF(OR(AF66="",M66=0),"",AF66/M66)</f>
        <v/>
      </c>
      <c r="AH66" s="32" t="str">
        <f aca="false">IF(OR(AE66="",N66=0),"",AE66/(N66/1000))</f>
        <v/>
      </c>
      <c r="AI66" s="30" t="str">
        <f aca="false">IF(O66="","",M66*P66)</f>
        <v/>
      </c>
      <c r="AJ66" s="11" t="str">
        <f aca="false">IF(O66="","",IF(O66&gt;1,"Error: rend &gt; 100 %",IF(SUM(T66:Z66)=0,"Falta registrar pérdidas",IF(ABS(AG66)&gt;Parámetros!$B$7,"Revisar balance",IF(O66&lt;P66,"Bajo meta","OK")))))</f>
        <v/>
      </c>
      <c r="AK66" s="33"/>
      <c r="AL66" s="10"/>
      <c r="AM66" s="33"/>
      <c r="AN66" s="33"/>
      <c r="AO66" s="10"/>
    </row>
    <row r="67" customFormat="false" ht="15" hidden="false" customHeight="false" outlineLevel="0" collapsed="false">
      <c r="A67" s="22"/>
      <c r="B67" s="23" t="str">
        <f aca="false">IF(A67="","",YEAR(A67-WEEKDAY(A67,2)+4))</f>
        <v/>
      </c>
      <c r="C67" s="23" t="str">
        <f aca="false">IF(A67="","",WEEKNUM(A67,21))</f>
        <v/>
      </c>
      <c r="D67" s="24" t="str">
        <f aca="false">IF(A67="","",DATE(YEAR(A67),MONTH(A67),1))</f>
        <v/>
      </c>
      <c r="E67" s="10"/>
      <c r="F67" s="25"/>
      <c r="G67" s="25"/>
      <c r="H67" s="10"/>
      <c r="I67" s="10"/>
      <c r="J67" s="26"/>
      <c r="K67" s="25"/>
      <c r="L67" s="26"/>
      <c r="M67" s="27"/>
      <c r="N67" s="27"/>
      <c r="O67" s="28" t="str">
        <f aca="false">IF(OR(M67="",M67=0,N67=""),"",N67/M67)</f>
        <v/>
      </c>
      <c r="P67" s="28" t="str">
        <f aca="false">IF(M67="","",IFERROR(IF(INDEX(Parámetros!$B$14:$B$21,MATCH(I67,Parámetros!$A$14:$A$21,0))="",Parámetros!$B$5,INDEX(Parámetros!$B$14:$B$21,MATCH(I67,Parámetros!$A$14:$A$21,0))),Parámetros!$B$5))</f>
        <v/>
      </c>
      <c r="Q67" s="29" t="str">
        <f aca="false">IF(O67="","",(O67-P67)*100)</f>
        <v/>
      </c>
      <c r="R67" s="30" t="str">
        <f aca="false">IF(O67="","",MAX(0,M67*(P67-O67)))</f>
        <v/>
      </c>
      <c r="S67" s="31" t="str">
        <f aca="false">IF(OR(L67="",L67=0,N67=""),"",N67/1000/L67)</f>
        <v/>
      </c>
      <c r="T67" s="27"/>
      <c r="U67" s="27"/>
      <c r="V67" s="27"/>
      <c r="W67" s="27"/>
      <c r="X67" s="27"/>
      <c r="Y67" s="27"/>
      <c r="Z67" s="27"/>
      <c r="AA67" s="25"/>
      <c r="AB67" s="27"/>
      <c r="AC67" s="30" t="str">
        <f aca="false">IF(M67="","",IF(AB67="",M67*Parámetros!$B$6,AB67))</f>
        <v/>
      </c>
      <c r="AD67" s="30" t="str">
        <f aca="false">IF(M67="","",SUM(T67:Z67)+AC67)</f>
        <v/>
      </c>
      <c r="AE67" s="30" t="str">
        <f aca="false">IF(OR(M67="",N67=""),"",M67-N67)</f>
        <v/>
      </c>
      <c r="AF67" s="30" t="str">
        <f aca="false">IF(AE67="","",AE67-AD67)</f>
        <v/>
      </c>
      <c r="AG67" s="28" t="str">
        <f aca="false">IF(OR(AF67="",M67=0),"",AF67/M67)</f>
        <v/>
      </c>
      <c r="AH67" s="32" t="str">
        <f aca="false">IF(OR(AE67="",N67=0),"",AE67/(N67/1000))</f>
        <v/>
      </c>
      <c r="AI67" s="30" t="str">
        <f aca="false">IF(O67="","",M67*P67)</f>
        <v/>
      </c>
      <c r="AJ67" s="11" t="str">
        <f aca="false">IF(O67="","",IF(O67&gt;1,"Error: rend &gt; 100 %",IF(SUM(T67:Z67)=0,"Falta registrar pérdidas",IF(ABS(AG67)&gt;Parámetros!$B$7,"Revisar balance",IF(O67&lt;P67,"Bajo meta","OK")))))</f>
        <v/>
      </c>
      <c r="AK67" s="33"/>
      <c r="AL67" s="10"/>
      <c r="AM67" s="33"/>
      <c r="AN67" s="33"/>
      <c r="AO67" s="10"/>
    </row>
    <row r="68" customFormat="false" ht="15" hidden="false" customHeight="false" outlineLevel="0" collapsed="false">
      <c r="A68" s="22"/>
      <c r="B68" s="23" t="str">
        <f aca="false">IF(A68="","",YEAR(A68-WEEKDAY(A68,2)+4))</f>
        <v/>
      </c>
      <c r="C68" s="23" t="str">
        <f aca="false">IF(A68="","",WEEKNUM(A68,21))</f>
        <v/>
      </c>
      <c r="D68" s="24" t="str">
        <f aca="false">IF(A68="","",DATE(YEAR(A68),MONTH(A68),1))</f>
        <v/>
      </c>
      <c r="E68" s="10"/>
      <c r="F68" s="25"/>
      <c r="G68" s="25"/>
      <c r="H68" s="10"/>
      <c r="I68" s="10"/>
      <c r="J68" s="26"/>
      <c r="K68" s="25"/>
      <c r="L68" s="26"/>
      <c r="M68" s="27"/>
      <c r="N68" s="27"/>
      <c r="O68" s="28" t="str">
        <f aca="false">IF(OR(M68="",M68=0,N68=""),"",N68/M68)</f>
        <v/>
      </c>
      <c r="P68" s="28" t="str">
        <f aca="false">IF(M68="","",IFERROR(IF(INDEX(Parámetros!$B$14:$B$21,MATCH(I68,Parámetros!$A$14:$A$21,0))="",Parámetros!$B$5,INDEX(Parámetros!$B$14:$B$21,MATCH(I68,Parámetros!$A$14:$A$21,0))),Parámetros!$B$5))</f>
        <v/>
      </c>
      <c r="Q68" s="29" t="str">
        <f aca="false">IF(O68="","",(O68-P68)*100)</f>
        <v/>
      </c>
      <c r="R68" s="30" t="str">
        <f aca="false">IF(O68="","",MAX(0,M68*(P68-O68)))</f>
        <v/>
      </c>
      <c r="S68" s="31" t="str">
        <f aca="false">IF(OR(L68="",L68=0,N68=""),"",N68/1000/L68)</f>
        <v/>
      </c>
      <c r="T68" s="27"/>
      <c r="U68" s="27"/>
      <c r="V68" s="27"/>
      <c r="W68" s="27"/>
      <c r="X68" s="27"/>
      <c r="Y68" s="27"/>
      <c r="Z68" s="27"/>
      <c r="AA68" s="25"/>
      <c r="AB68" s="27"/>
      <c r="AC68" s="30" t="str">
        <f aca="false">IF(M68="","",IF(AB68="",M68*Parámetros!$B$6,AB68))</f>
        <v/>
      </c>
      <c r="AD68" s="30" t="str">
        <f aca="false">IF(M68="","",SUM(T68:Z68)+AC68)</f>
        <v/>
      </c>
      <c r="AE68" s="30" t="str">
        <f aca="false">IF(OR(M68="",N68=""),"",M68-N68)</f>
        <v/>
      </c>
      <c r="AF68" s="30" t="str">
        <f aca="false">IF(AE68="","",AE68-AD68)</f>
        <v/>
      </c>
      <c r="AG68" s="28" t="str">
        <f aca="false">IF(OR(AF68="",M68=0),"",AF68/M68)</f>
        <v/>
      </c>
      <c r="AH68" s="32" t="str">
        <f aca="false">IF(OR(AE68="",N68=0),"",AE68/(N68/1000))</f>
        <v/>
      </c>
      <c r="AI68" s="30" t="str">
        <f aca="false">IF(O68="","",M68*P68)</f>
        <v/>
      </c>
      <c r="AJ68" s="11" t="str">
        <f aca="false">IF(O68="","",IF(O68&gt;1,"Error: rend &gt; 100 %",IF(SUM(T68:Z68)=0,"Falta registrar pérdidas",IF(ABS(AG68)&gt;Parámetros!$B$7,"Revisar balance",IF(O68&lt;P68,"Bajo meta","OK")))))</f>
        <v/>
      </c>
      <c r="AK68" s="33"/>
      <c r="AL68" s="10"/>
      <c r="AM68" s="33"/>
      <c r="AN68" s="33"/>
      <c r="AO68" s="10"/>
    </row>
    <row r="69" customFormat="false" ht="15" hidden="false" customHeight="false" outlineLevel="0" collapsed="false">
      <c r="A69" s="22"/>
      <c r="B69" s="23" t="str">
        <f aca="false">IF(A69="","",YEAR(A69-WEEKDAY(A69,2)+4))</f>
        <v/>
      </c>
      <c r="C69" s="23" t="str">
        <f aca="false">IF(A69="","",WEEKNUM(A69,21))</f>
        <v/>
      </c>
      <c r="D69" s="24" t="str">
        <f aca="false">IF(A69="","",DATE(YEAR(A69),MONTH(A69),1))</f>
        <v/>
      </c>
      <c r="E69" s="10"/>
      <c r="F69" s="25"/>
      <c r="G69" s="25"/>
      <c r="H69" s="10"/>
      <c r="I69" s="10"/>
      <c r="J69" s="26"/>
      <c r="K69" s="25"/>
      <c r="L69" s="26"/>
      <c r="M69" s="27"/>
      <c r="N69" s="27"/>
      <c r="O69" s="28" t="str">
        <f aca="false">IF(OR(M69="",M69=0,N69=""),"",N69/M69)</f>
        <v/>
      </c>
      <c r="P69" s="28" t="str">
        <f aca="false">IF(M69="","",IFERROR(IF(INDEX(Parámetros!$B$14:$B$21,MATCH(I69,Parámetros!$A$14:$A$21,0))="",Parámetros!$B$5,INDEX(Parámetros!$B$14:$B$21,MATCH(I69,Parámetros!$A$14:$A$21,0))),Parámetros!$B$5))</f>
        <v/>
      </c>
      <c r="Q69" s="29" t="str">
        <f aca="false">IF(O69="","",(O69-P69)*100)</f>
        <v/>
      </c>
      <c r="R69" s="30" t="str">
        <f aca="false">IF(O69="","",MAX(0,M69*(P69-O69)))</f>
        <v/>
      </c>
      <c r="S69" s="31" t="str">
        <f aca="false">IF(OR(L69="",L69=0,N69=""),"",N69/1000/L69)</f>
        <v/>
      </c>
      <c r="T69" s="27"/>
      <c r="U69" s="27"/>
      <c r="V69" s="27"/>
      <c r="W69" s="27"/>
      <c r="X69" s="27"/>
      <c r="Y69" s="27"/>
      <c r="Z69" s="27"/>
      <c r="AA69" s="25"/>
      <c r="AB69" s="27"/>
      <c r="AC69" s="30" t="str">
        <f aca="false">IF(M69="","",IF(AB69="",M69*Parámetros!$B$6,AB69))</f>
        <v/>
      </c>
      <c r="AD69" s="30" t="str">
        <f aca="false">IF(M69="","",SUM(T69:Z69)+AC69)</f>
        <v/>
      </c>
      <c r="AE69" s="30" t="str">
        <f aca="false">IF(OR(M69="",N69=""),"",M69-N69)</f>
        <v/>
      </c>
      <c r="AF69" s="30" t="str">
        <f aca="false">IF(AE69="","",AE69-AD69)</f>
        <v/>
      </c>
      <c r="AG69" s="28" t="str">
        <f aca="false">IF(OR(AF69="",M69=0),"",AF69/M69)</f>
        <v/>
      </c>
      <c r="AH69" s="32" t="str">
        <f aca="false">IF(OR(AE69="",N69=0),"",AE69/(N69/1000))</f>
        <v/>
      </c>
      <c r="AI69" s="30" t="str">
        <f aca="false">IF(O69="","",M69*P69)</f>
        <v/>
      </c>
      <c r="AJ69" s="11" t="str">
        <f aca="false">IF(O69="","",IF(O69&gt;1,"Error: rend &gt; 100 %",IF(SUM(T69:Z69)=0,"Falta registrar pérdidas",IF(ABS(AG69)&gt;Parámetros!$B$7,"Revisar balance",IF(O69&lt;P69,"Bajo meta","OK")))))</f>
        <v/>
      </c>
      <c r="AK69" s="33"/>
      <c r="AL69" s="10"/>
      <c r="AM69" s="33"/>
      <c r="AN69" s="33"/>
      <c r="AO69" s="10"/>
    </row>
    <row r="70" customFormat="false" ht="15" hidden="false" customHeight="false" outlineLevel="0" collapsed="false">
      <c r="A70" s="22"/>
      <c r="B70" s="23" t="str">
        <f aca="false">IF(A70="","",YEAR(A70-WEEKDAY(A70,2)+4))</f>
        <v/>
      </c>
      <c r="C70" s="23" t="str">
        <f aca="false">IF(A70="","",WEEKNUM(A70,21))</f>
        <v/>
      </c>
      <c r="D70" s="24" t="str">
        <f aca="false">IF(A70="","",DATE(YEAR(A70),MONTH(A70),1))</f>
        <v/>
      </c>
      <c r="E70" s="10"/>
      <c r="F70" s="25"/>
      <c r="G70" s="25"/>
      <c r="H70" s="10"/>
      <c r="I70" s="10"/>
      <c r="J70" s="26"/>
      <c r="K70" s="25"/>
      <c r="L70" s="26"/>
      <c r="M70" s="27"/>
      <c r="N70" s="27"/>
      <c r="O70" s="28" t="str">
        <f aca="false">IF(OR(M70="",M70=0,N70=""),"",N70/M70)</f>
        <v/>
      </c>
      <c r="P70" s="28" t="str">
        <f aca="false">IF(M70="","",IFERROR(IF(INDEX(Parámetros!$B$14:$B$21,MATCH(I70,Parámetros!$A$14:$A$21,0))="",Parámetros!$B$5,INDEX(Parámetros!$B$14:$B$21,MATCH(I70,Parámetros!$A$14:$A$21,0))),Parámetros!$B$5))</f>
        <v/>
      </c>
      <c r="Q70" s="29" t="str">
        <f aca="false">IF(O70="","",(O70-P70)*100)</f>
        <v/>
      </c>
      <c r="R70" s="30" t="str">
        <f aca="false">IF(O70="","",MAX(0,M70*(P70-O70)))</f>
        <v/>
      </c>
      <c r="S70" s="31" t="str">
        <f aca="false">IF(OR(L70="",L70=0,N70=""),"",N70/1000/L70)</f>
        <v/>
      </c>
      <c r="T70" s="27"/>
      <c r="U70" s="27"/>
      <c r="V70" s="27"/>
      <c r="W70" s="27"/>
      <c r="X70" s="27"/>
      <c r="Y70" s="27"/>
      <c r="Z70" s="27"/>
      <c r="AA70" s="25"/>
      <c r="AB70" s="27"/>
      <c r="AC70" s="30" t="str">
        <f aca="false">IF(M70="","",IF(AB70="",M70*Parámetros!$B$6,AB70))</f>
        <v/>
      </c>
      <c r="AD70" s="30" t="str">
        <f aca="false">IF(M70="","",SUM(T70:Z70)+AC70)</f>
        <v/>
      </c>
      <c r="AE70" s="30" t="str">
        <f aca="false">IF(OR(M70="",N70=""),"",M70-N70)</f>
        <v/>
      </c>
      <c r="AF70" s="30" t="str">
        <f aca="false">IF(AE70="","",AE70-AD70)</f>
        <v/>
      </c>
      <c r="AG70" s="28" t="str">
        <f aca="false">IF(OR(AF70="",M70=0),"",AF70/M70)</f>
        <v/>
      </c>
      <c r="AH70" s="32" t="str">
        <f aca="false">IF(OR(AE70="",N70=0),"",AE70/(N70/1000))</f>
        <v/>
      </c>
      <c r="AI70" s="30" t="str">
        <f aca="false">IF(O70="","",M70*P70)</f>
        <v/>
      </c>
      <c r="AJ70" s="11" t="str">
        <f aca="false">IF(O70="","",IF(O70&gt;1,"Error: rend &gt; 100 %",IF(SUM(T70:Z70)=0,"Falta registrar pérdidas",IF(ABS(AG70)&gt;Parámetros!$B$7,"Revisar balance",IF(O70&lt;P70,"Bajo meta","OK")))))</f>
        <v/>
      </c>
      <c r="AK70" s="33"/>
      <c r="AL70" s="10"/>
      <c r="AM70" s="33"/>
      <c r="AN70" s="33"/>
      <c r="AO70" s="10"/>
    </row>
    <row r="71" customFormat="false" ht="15" hidden="false" customHeight="false" outlineLevel="0" collapsed="false">
      <c r="A71" s="22"/>
      <c r="B71" s="23" t="str">
        <f aca="false">IF(A71="","",YEAR(A71-WEEKDAY(A71,2)+4))</f>
        <v/>
      </c>
      <c r="C71" s="23" t="str">
        <f aca="false">IF(A71="","",WEEKNUM(A71,21))</f>
        <v/>
      </c>
      <c r="D71" s="24" t="str">
        <f aca="false">IF(A71="","",DATE(YEAR(A71),MONTH(A71),1))</f>
        <v/>
      </c>
      <c r="E71" s="10"/>
      <c r="F71" s="25"/>
      <c r="G71" s="25"/>
      <c r="H71" s="10"/>
      <c r="I71" s="10"/>
      <c r="J71" s="26"/>
      <c r="K71" s="25"/>
      <c r="L71" s="26"/>
      <c r="M71" s="27"/>
      <c r="N71" s="27"/>
      <c r="O71" s="28" t="str">
        <f aca="false">IF(OR(M71="",M71=0,N71=""),"",N71/M71)</f>
        <v/>
      </c>
      <c r="P71" s="28" t="str">
        <f aca="false">IF(M71="","",IFERROR(IF(INDEX(Parámetros!$B$14:$B$21,MATCH(I71,Parámetros!$A$14:$A$21,0))="",Parámetros!$B$5,INDEX(Parámetros!$B$14:$B$21,MATCH(I71,Parámetros!$A$14:$A$21,0))),Parámetros!$B$5))</f>
        <v/>
      </c>
      <c r="Q71" s="29" t="str">
        <f aca="false">IF(O71="","",(O71-P71)*100)</f>
        <v/>
      </c>
      <c r="R71" s="30" t="str">
        <f aca="false">IF(O71="","",MAX(0,M71*(P71-O71)))</f>
        <v/>
      </c>
      <c r="S71" s="31" t="str">
        <f aca="false">IF(OR(L71="",L71=0,N71=""),"",N71/1000/L71)</f>
        <v/>
      </c>
      <c r="T71" s="27"/>
      <c r="U71" s="27"/>
      <c r="V71" s="27"/>
      <c r="W71" s="27"/>
      <c r="X71" s="27"/>
      <c r="Y71" s="27"/>
      <c r="Z71" s="27"/>
      <c r="AA71" s="25"/>
      <c r="AB71" s="27"/>
      <c r="AC71" s="30" t="str">
        <f aca="false">IF(M71="","",IF(AB71="",M71*Parámetros!$B$6,AB71))</f>
        <v/>
      </c>
      <c r="AD71" s="30" t="str">
        <f aca="false">IF(M71="","",SUM(T71:Z71)+AC71)</f>
        <v/>
      </c>
      <c r="AE71" s="30" t="str">
        <f aca="false">IF(OR(M71="",N71=""),"",M71-N71)</f>
        <v/>
      </c>
      <c r="AF71" s="30" t="str">
        <f aca="false">IF(AE71="","",AE71-AD71)</f>
        <v/>
      </c>
      <c r="AG71" s="28" t="str">
        <f aca="false">IF(OR(AF71="",M71=0),"",AF71/M71)</f>
        <v/>
      </c>
      <c r="AH71" s="32" t="str">
        <f aca="false">IF(OR(AE71="",N71=0),"",AE71/(N71/1000))</f>
        <v/>
      </c>
      <c r="AI71" s="30" t="str">
        <f aca="false">IF(O71="","",M71*P71)</f>
        <v/>
      </c>
      <c r="AJ71" s="11" t="str">
        <f aca="false">IF(O71="","",IF(O71&gt;1,"Error: rend &gt; 100 %",IF(SUM(T71:Z71)=0,"Falta registrar pérdidas",IF(ABS(AG71)&gt;Parámetros!$B$7,"Revisar balance",IF(O71&lt;P71,"Bajo meta","OK")))))</f>
        <v/>
      </c>
      <c r="AK71" s="33"/>
      <c r="AL71" s="10"/>
      <c r="AM71" s="33"/>
      <c r="AN71" s="33"/>
      <c r="AO71" s="10"/>
    </row>
    <row r="72" customFormat="false" ht="15" hidden="false" customHeight="false" outlineLevel="0" collapsed="false">
      <c r="A72" s="22"/>
      <c r="B72" s="23" t="str">
        <f aca="false">IF(A72="","",YEAR(A72-WEEKDAY(A72,2)+4))</f>
        <v/>
      </c>
      <c r="C72" s="23" t="str">
        <f aca="false">IF(A72="","",WEEKNUM(A72,21))</f>
        <v/>
      </c>
      <c r="D72" s="24" t="str">
        <f aca="false">IF(A72="","",DATE(YEAR(A72),MONTH(A72),1))</f>
        <v/>
      </c>
      <c r="E72" s="10"/>
      <c r="F72" s="25"/>
      <c r="G72" s="25"/>
      <c r="H72" s="10"/>
      <c r="I72" s="10"/>
      <c r="J72" s="26"/>
      <c r="K72" s="25"/>
      <c r="L72" s="26"/>
      <c r="M72" s="27"/>
      <c r="N72" s="27"/>
      <c r="O72" s="28" t="str">
        <f aca="false">IF(OR(M72="",M72=0,N72=""),"",N72/M72)</f>
        <v/>
      </c>
      <c r="P72" s="28" t="str">
        <f aca="false">IF(M72="","",IFERROR(IF(INDEX(Parámetros!$B$14:$B$21,MATCH(I72,Parámetros!$A$14:$A$21,0))="",Parámetros!$B$5,INDEX(Parámetros!$B$14:$B$21,MATCH(I72,Parámetros!$A$14:$A$21,0))),Parámetros!$B$5))</f>
        <v/>
      </c>
      <c r="Q72" s="29" t="str">
        <f aca="false">IF(O72="","",(O72-P72)*100)</f>
        <v/>
      </c>
      <c r="R72" s="30" t="str">
        <f aca="false">IF(O72="","",MAX(0,M72*(P72-O72)))</f>
        <v/>
      </c>
      <c r="S72" s="31" t="str">
        <f aca="false">IF(OR(L72="",L72=0,N72=""),"",N72/1000/L72)</f>
        <v/>
      </c>
      <c r="T72" s="27"/>
      <c r="U72" s="27"/>
      <c r="V72" s="27"/>
      <c r="W72" s="27"/>
      <c r="X72" s="27"/>
      <c r="Y72" s="27"/>
      <c r="Z72" s="27"/>
      <c r="AA72" s="25"/>
      <c r="AB72" s="27"/>
      <c r="AC72" s="30" t="str">
        <f aca="false">IF(M72="","",IF(AB72="",M72*Parámetros!$B$6,AB72))</f>
        <v/>
      </c>
      <c r="AD72" s="30" t="str">
        <f aca="false">IF(M72="","",SUM(T72:Z72)+AC72)</f>
        <v/>
      </c>
      <c r="AE72" s="30" t="str">
        <f aca="false">IF(OR(M72="",N72=""),"",M72-N72)</f>
        <v/>
      </c>
      <c r="AF72" s="30" t="str">
        <f aca="false">IF(AE72="","",AE72-AD72)</f>
        <v/>
      </c>
      <c r="AG72" s="28" t="str">
        <f aca="false">IF(OR(AF72="",M72=0),"",AF72/M72)</f>
        <v/>
      </c>
      <c r="AH72" s="32" t="str">
        <f aca="false">IF(OR(AE72="",N72=0),"",AE72/(N72/1000))</f>
        <v/>
      </c>
      <c r="AI72" s="30" t="str">
        <f aca="false">IF(O72="","",M72*P72)</f>
        <v/>
      </c>
      <c r="AJ72" s="11" t="str">
        <f aca="false">IF(O72="","",IF(O72&gt;1,"Error: rend &gt; 100 %",IF(SUM(T72:Z72)=0,"Falta registrar pérdidas",IF(ABS(AG72)&gt;Parámetros!$B$7,"Revisar balance",IF(O72&lt;P72,"Bajo meta","OK")))))</f>
        <v/>
      </c>
      <c r="AK72" s="33"/>
      <c r="AL72" s="10"/>
      <c r="AM72" s="33"/>
      <c r="AN72" s="33"/>
      <c r="AO72" s="10"/>
    </row>
    <row r="73" customFormat="false" ht="15" hidden="false" customHeight="false" outlineLevel="0" collapsed="false">
      <c r="A73" s="22"/>
      <c r="B73" s="23" t="str">
        <f aca="false">IF(A73="","",YEAR(A73-WEEKDAY(A73,2)+4))</f>
        <v/>
      </c>
      <c r="C73" s="23" t="str">
        <f aca="false">IF(A73="","",WEEKNUM(A73,21))</f>
        <v/>
      </c>
      <c r="D73" s="24" t="str">
        <f aca="false">IF(A73="","",DATE(YEAR(A73),MONTH(A73),1))</f>
        <v/>
      </c>
      <c r="E73" s="10"/>
      <c r="F73" s="25"/>
      <c r="G73" s="25"/>
      <c r="H73" s="10"/>
      <c r="I73" s="10"/>
      <c r="J73" s="26"/>
      <c r="K73" s="25"/>
      <c r="L73" s="26"/>
      <c r="M73" s="27"/>
      <c r="N73" s="27"/>
      <c r="O73" s="28" t="str">
        <f aca="false">IF(OR(M73="",M73=0,N73=""),"",N73/M73)</f>
        <v/>
      </c>
      <c r="P73" s="28" t="str">
        <f aca="false">IF(M73="","",IFERROR(IF(INDEX(Parámetros!$B$14:$B$21,MATCH(I73,Parámetros!$A$14:$A$21,0))="",Parámetros!$B$5,INDEX(Parámetros!$B$14:$B$21,MATCH(I73,Parámetros!$A$14:$A$21,0))),Parámetros!$B$5))</f>
        <v/>
      </c>
      <c r="Q73" s="29" t="str">
        <f aca="false">IF(O73="","",(O73-P73)*100)</f>
        <v/>
      </c>
      <c r="R73" s="30" t="str">
        <f aca="false">IF(O73="","",MAX(0,M73*(P73-O73)))</f>
        <v/>
      </c>
      <c r="S73" s="31" t="str">
        <f aca="false">IF(OR(L73="",L73=0,N73=""),"",N73/1000/L73)</f>
        <v/>
      </c>
      <c r="T73" s="27"/>
      <c r="U73" s="27"/>
      <c r="V73" s="27"/>
      <c r="W73" s="27"/>
      <c r="X73" s="27"/>
      <c r="Y73" s="27"/>
      <c r="Z73" s="27"/>
      <c r="AA73" s="25"/>
      <c r="AB73" s="27"/>
      <c r="AC73" s="30" t="str">
        <f aca="false">IF(M73="","",IF(AB73="",M73*Parámetros!$B$6,AB73))</f>
        <v/>
      </c>
      <c r="AD73" s="30" t="str">
        <f aca="false">IF(M73="","",SUM(T73:Z73)+AC73)</f>
        <v/>
      </c>
      <c r="AE73" s="30" t="str">
        <f aca="false">IF(OR(M73="",N73=""),"",M73-N73)</f>
        <v/>
      </c>
      <c r="AF73" s="30" t="str">
        <f aca="false">IF(AE73="","",AE73-AD73)</f>
        <v/>
      </c>
      <c r="AG73" s="28" t="str">
        <f aca="false">IF(OR(AF73="",M73=0),"",AF73/M73)</f>
        <v/>
      </c>
      <c r="AH73" s="32" t="str">
        <f aca="false">IF(OR(AE73="",N73=0),"",AE73/(N73/1000))</f>
        <v/>
      </c>
      <c r="AI73" s="30" t="str">
        <f aca="false">IF(O73="","",M73*P73)</f>
        <v/>
      </c>
      <c r="AJ73" s="11" t="str">
        <f aca="false">IF(O73="","",IF(O73&gt;1,"Error: rend &gt; 100 %",IF(SUM(T73:Z73)=0,"Falta registrar pérdidas",IF(ABS(AG73)&gt;Parámetros!$B$7,"Revisar balance",IF(O73&lt;P73,"Bajo meta","OK")))))</f>
        <v/>
      </c>
      <c r="AK73" s="33"/>
      <c r="AL73" s="10"/>
      <c r="AM73" s="33"/>
      <c r="AN73" s="33"/>
      <c r="AO73" s="10"/>
    </row>
    <row r="74" customFormat="false" ht="15" hidden="false" customHeight="false" outlineLevel="0" collapsed="false">
      <c r="A74" s="22"/>
      <c r="B74" s="23" t="str">
        <f aca="false">IF(A74="","",YEAR(A74-WEEKDAY(A74,2)+4))</f>
        <v/>
      </c>
      <c r="C74" s="23" t="str">
        <f aca="false">IF(A74="","",WEEKNUM(A74,21))</f>
        <v/>
      </c>
      <c r="D74" s="24" t="str">
        <f aca="false">IF(A74="","",DATE(YEAR(A74),MONTH(A74),1))</f>
        <v/>
      </c>
      <c r="E74" s="10"/>
      <c r="F74" s="25"/>
      <c r="G74" s="25"/>
      <c r="H74" s="10"/>
      <c r="I74" s="10"/>
      <c r="J74" s="26"/>
      <c r="K74" s="25"/>
      <c r="L74" s="26"/>
      <c r="M74" s="27"/>
      <c r="N74" s="27"/>
      <c r="O74" s="28" t="str">
        <f aca="false">IF(OR(M74="",M74=0,N74=""),"",N74/M74)</f>
        <v/>
      </c>
      <c r="P74" s="28" t="str">
        <f aca="false">IF(M74="","",IFERROR(IF(INDEX(Parámetros!$B$14:$B$21,MATCH(I74,Parámetros!$A$14:$A$21,0))="",Parámetros!$B$5,INDEX(Parámetros!$B$14:$B$21,MATCH(I74,Parámetros!$A$14:$A$21,0))),Parámetros!$B$5))</f>
        <v/>
      </c>
      <c r="Q74" s="29" t="str">
        <f aca="false">IF(O74="","",(O74-P74)*100)</f>
        <v/>
      </c>
      <c r="R74" s="30" t="str">
        <f aca="false">IF(O74="","",MAX(0,M74*(P74-O74)))</f>
        <v/>
      </c>
      <c r="S74" s="31" t="str">
        <f aca="false">IF(OR(L74="",L74=0,N74=""),"",N74/1000/L74)</f>
        <v/>
      </c>
      <c r="T74" s="27"/>
      <c r="U74" s="27"/>
      <c r="V74" s="27"/>
      <c r="W74" s="27"/>
      <c r="X74" s="27"/>
      <c r="Y74" s="27"/>
      <c r="Z74" s="27"/>
      <c r="AA74" s="25"/>
      <c r="AB74" s="27"/>
      <c r="AC74" s="30" t="str">
        <f aca="false">IF(M74="","",IF(AB74="",M74*Parámetros!$B$6,AB74))</f>
        <v/>
      </c>
      <c r="AD74" s="30" t="str">
        <f aca="false">IF(M74="","",SUM(T74:Z74)+AC74)</f>
        <v/>
      </c>
      <c r="AE74" s="30" t="str">
        <f aca="false">IF(OR(M74="",N74=""),"",M74-N74)</f>
        <v/>
      </c>
      <c r="AF74" s="30" t="str">
        <f aca="false">IF(AE74="","",AE74-AD74)</f>
        <v/>
      </c>
      <c r="AG74" s="28" t="str">
        <f aca="false">IF(OR(AF74="",M74=0),"",AF74/M74)</f>
        <v/>
      </c>
      <c r="AH74" s="32" t="str">
        <f aca="false">IF(OR(AE74="",N74=0),"",AE74/(N74/1000))</f>
        <v/>
      </c>
      <c r="AI74" s="30" t="str">
        <f aca="false">IF(O74="","",M74*P74)</f>
        <v/>
      </c>
      <c r="AJ74" s="11" t="str">
        <f aca="false">IF(O74="","",IF(O74&gt;1,"Error: rend &gt; 100 %",IF(SUM(T74:Z74)=0,"Falta registrar pérdidas",IF(ABS(AG74)&gt;Parámetros!$B$7,"Revisar balance",IF(O74&lt;P74,"Bajo meta","OK")))))</f>
        <v/>
      </c>
      <c r="AK74" s="33"/>
      <c r="AL74" s="10"/>
      <c r="AM74" s="33"/>
      <c r="AN74" s="33"/>
      <c r="AO74" s="10"/>
    </row>
    <row r="75" customFormat="false" ht="15" hidden="false" customHeight="false" outlineLevel="0" collapsed="false">
      <c r="A75" s="22"/>
      <c r="B75" s="23" t="str">
        <f aca="false">IF(A75="","",YEAR(A75-WEEKDAY(A75,2)+4))</f>
        <v/>
      </c>
      <c r="C75" s="23" t="str">
        <f aca="false">IF(A75="","",WEEKNUM(A75,21))</f>
        <v/>
      </c>
      <c r="D75" s="24" t="str">
        <f aca="false">IF(A75="","",DATE(YEAR(A75),MONTH(A75),1))</f>
        <v/>
      </c>
      <c r="E75" s="10"/>
      <c r="F75" s="25"/>
      <c r="G75" s="25"/>
      <c r="H75" s="10"/>
      <c r="I75" s="10"/>
      <c r="J75" s="26"/>
      <c r="K75" s="25"/>
      <c r="L75" s="26"/>
      <c r="M75" s="27"/>
      <c r="N75" s="27"/>
      <c r="O75" s="28" t="str">
        <f aca="false">IF(OR(M75="",M75=0,N75=""),"",N75/M75)</f>
        <v/>
      </c>
      <c r="P75" s="28" t="str">
        <f aca="false">IF(M75="","",IFERROR(IF(INDEX(Parámetros!$B$14:$B$21,MATCH(I75,Parámetros!$A$14:$A$21,0))="",Parámetros!$B$5,INDEX(Parámetros!$B$14:$B$21,MATCH(I75,Parámetros!$A$14:$A$21,0))),Parámetros!$B$5))</f>
        <v/>
      </c>
      <c r="Q75" s="29" t="str">
        <f aca="false">IF(O75="","",(O75-P75)*100)</f>
        <v/>
      </c>
      <c r="R75" s="30" t="str">
        <f aca="false">IF(O75="","",MAX(0,M75*(P75-O75)))</f>
        <v/>
      </c>
      <c r="S75" s="31" t="str">
        <f aca="false">IF(OR(L75="",L75=0,N75=""),"",N75/1000/L75)</f>
        <v/>
      </c>
      <c r="T75" s="27"/>
      <c r="U75" s="27"/>
      <c r="V75" s="27"/>
      <c r="W75" s="27"/>
      <c r="X75" s="27"/>
      <c r="Y75" s="27"/>
      <c r="Z75" s="27"/>
      <c r="AA75" s="25"/>
      <c r="AB75" s="27"/>
      <c r="AC75" s="30" t="str">
        <f aca="false">IF(M75="","",IF(AB75="",M75*Parámetros!$B$6,AB75))</f>
        <v/>
      </c>
      <c r="AD75" s="30" t="str">
        <f aca="false">IF(M75="","",SUM(T75:Z75)+AC75)</f>
        <v/>
      </c>
      <c r="AE75" s="30" t="str">
        <f aca="false">IF(OR(M75="",N75=""),"",M75-N75)</f>
        <v/>
      </c>
      <c r="AF75" s="30" t="str">
        <f aca="false">IF(AE75="","",AE75-AD75)</f>
        <v/>
      </c>
      <c r="AG75" s="28" t="str">
        <f aca="false">IF(OR(AF75="",M75=0),"",AF75/M75)</f>
        <v/>
      </c>
      <c r="AH75" s="32" t="str">
        <f aca="false">IF(OR(AE75="",N75=0),"",AE75/(N75/1000))</f>
        <v/>
      </c>
      <c r="AI75" s="30" t="str">
        <f aca="false">IF(O75="","",M75*P75)</f>
        <v/>
      </c>
      <c r="AJ75" s="11" t="str">
        <f aca="false">IF(O75="","",IF(O75&gt;1,"Error: rend &gt; 100 %",IF(SUM(T75:Z75)=0,"Falta registrar pérdidas",IF(ABS(AG75)&gt;Parámetros!$B$7,"Revisar balance",IF(O75&lt;P75,"Bajo meta","OK")))))</f>
        <v/>
      </c>
      <c r="AK75" s="33"/>
      <c r="AL75" s="10"/>
      <c r="AM75" s="33"/>
      <c r="AN75" s="33"/>
      <c r="AO75" s="10"/>
    </row>
    <row r="76" customFormat="false" ht="15" hidden="false" customHeight="false" outlineLevel="0" collapsed="false">
      <c r="A76" s="22"/>
      <c r="B76" s="23" t="str">
        <f aca="false">IF(A76="","",YEAR(A76-WEEKDAY(A76,2)+4))</f>
        <v/>
      </c>
      <c r="C76" s="23" t="str">
        <f aca="false">IF(A76="","",WEEKNUM(A76,21))</f>
        <v/>
      </c>
      <c r="D76" s="24" t="str">
        <f aca="false">IF(A76="","",DATE(YEAR(A76),MONTH(A76),1))</f>
        <v/>
      </c>
      <c r="E76" s="10"/>
      <c r="F76" s="25"/>
      <c r="G76" s="25"/>
      <c r="H76" s="10"/>
      <c r="I76" s="10"/>
      <c r="J76" s="26"/>
      <c r="K76" s="25"/>
      <c r="L76" s="26"/>
      <c r="M76" s="27"/>
      <c r="N76" s="27"/>
      <c r="O76" s="28" t="str">
        <f aca="false">IF(OR(M76="",M76=0,N76=""),"",N76/M76)</f>
        <v/>
      </c>
      <c r="P76" s="28" t="str">
        <f aca="false">IF(M76="","",IFERROR(IF(INDEX(Parámetros!$B$14:$B$21,MATCH(I76,Parámetros!$A$14:$A$21,0))="",Parámetros!$B$5,INDEX(Parámetros!$B$14:$B$21,MATCH(I76,Parámetros!$A$14:$A$21,0))),Parámetros!$B$5))</f>
        <v/>
      </c>
      <c r="Q76" s="29" t="str">
        <f aca="false">IF(O76="","",(O76-P76)*100)</f>
        <v/>
      </c>
      <c r="R76" s="30" t="str">
        <f aca="false">IF(O76="","",MAX(0,M76*(P76-O76)))</f>
        <v/>
      </c>
      <c r="S76" s="31" t="str">
        <f aca="false">IF(OR(L76="",L76=0,N76=""),"",N76/1000/L76)</f>
        <v/>
      </c>
      <c r="T76" s="27"/>
      <c r="U76" s="27"/>
      <c r="V76" s="27"/>
      <c r="W76" s="27"/>
      <c r="X76" s="27"/>
      <c r="Y76" s="27"/>
      <c r="Z76" s="27"/>
      <c r="AA76" s="25"/>
      <c r="AB76" s="27"/>
      <c r="AC76" s="30" t="str">
        <f aca="false">IF(M76="","",IF(AB76="",M76*Parámetros!$B$6,AB76))</f>
        <v/>
      </c>
      <c r="AD76" s="30" t="str">
        <f aca="false">IF(M76="","",SUM(T76:Z76)+AC76)</f>
        <v/>
      </c>
      <c r="AE76" s="30" t="str">
        <f aca="false">IF(OR(M76="",N76=""),"",M76-N76)</f>
        <v/>
      </c>
      <c r="AF76" s="30" t="str">
        <f aca="false">IF(AE76="","",AE76-AD76)</f>
        <v/>
      </c>
      <c r="AG76" s="28" t="str">
        <f aca="false">IF(OR(AF76="",M76=0),"",AF76/M76)</f>
        <v/>
      </c>
      <c r="AH76" s="32" t="str">
        <f aca="false">IF(OR(AE76="",N76=0),"",AE76/(N76/1000))</f>
        <v/>
      </c>
      <c r="AI76" s="30" t="str">
        <f aca="false">IF(O76="","",M76*P76)</f>
        <v/>
      </c>
      <c r="AJ76" s="11" t="str">
        <f aca="false">IF(O76="","",IF(O76&gt;1,"Error: rend &gt; 100 %",IF(SUM(T76:Z76)=0,"Falta registrar pérdidas",IF(ABS(AG76)&gt;Parámetros!$B$7,"Revisar balance",IF(O76&lt;P76,"Bajo meta","OK")))))</f>
        <v/>
      </c>
      <c r="AK76" s="33"/>
      <c r="AL76" s="10"/>
      <c r="AM76" s="33"/>
      <c r="AN76" s="33"/>
      <c r="AO76" s="10"/>
    </row>
    <row r="77" customFormat="false" ht="15" hidden="false" customHeight="false" outlineLevel="0" collapsed="false">
      <c r="A77" s="22"/>
      <c r="B77" s="23" t="str">
        <f aca="false">IF(A77="","",YEAR(A77-WEEKDAY(A77,2)+4))</f>
        <v/>
      </c>
      <c r="C77" s="23" t="str">
        <f aca="false">IF(A77="","",WEEKNUM(A77,21))</f>
        <v/>
      </c>
      <c r="D77" s="24" t="str">
        <f aca="false">IF(A77="","",DATE(YEAR(A77),MONTH(A77),1))</f>
        <v/>
      </c>
      <c r="E77" s="10"/>
      <c r="F77" s="25"/>
      <c r="G77" s="25"/>
      <c r="H77" s="10"/>
      <c r="I77" s="10"/>
      <c r="J77" s="26"/>
      <c r="K77" s="25"/>
      <c r="L77" s="26"/>
      <c r="M77" s="27"/>
      <c r="N77" s="27"/>
      <c r="O77" s="28" t="str">
        <f aca="false">IF(OR(M77="",M77=0,N77=""),"",N77/M77)</f>
        <v/>
      </c>
      <c r="P77" s="28" t="str">
        <f aca="false">IF(M77="","",IFERROR(IF(INDEX(Parámetros!$B$14:$B$21,MATCH(I77,Parámetros!$A$14:$A$21,0))="",Parámetros!$B$5,INDEX(Parámetros!$B$14:$B$21,MATCH(I77,Parámetros!$A$14:$A$21,0))),Parámetros!$B$5))</f>
        <v/>
      </c>
      <c r="Q77" s="29" t="str">
        <f aca="false">IF(O77="","",(O77-P77)*100)</f>
        <v/>
      </c>
      <c r="R77" s="30" t="str">
        <f aca="false">IF(O77="","",MAX(0,M77*(P77-O77)))</f>
        <v/>
      </c>
      <c r="S77" s="31" t="str">
        <f aca="false">IF(OR(L77="",L77=0,N77=""),"",N77/1000/L77)</f>
        <v/>
      </c>
      <c r="T77" s="27"/>
      <c r="U77" s="27"/>
      <c r="V77" s="27"/>
      <c r="W77" s="27"/>
      <c r="X77" s="27"/>
      <c r="Y77" s="27"/>
      <c r="Z77" s="27"/>
      <c r="AA77" s="25"/>
      <c r="AB77" s="27"/>
      <c r="AC77" s="30" t="str">
        <f aca="false">IF(M77="","",IF(AB77="",M77*Parámetros!$B$6,AB77))</f>
        <v/>
      </c>
      <c r="AD77" s="30" t="str">
        <f aca="false">IF(M77="","",SUM(T77:Z77)+AC77)</f>
        <v/>
      </c>
      <c r="AE77" s="30" t="str">
        <f aca="false">IF(OR(M77="",N77=""),"",M77-N77)</f>
        <v/>
      </c>
      <c r="AF77" s="30" t="str">
        <f aca="false">IF(AE77="","",AE77-AD77)</f>
        <v/>
      </c>
      <c r="AG77" s="28" t="str">
        <f aca="false">IF(OR(AF77="",M77=0),"",AF77/M77)</f>
        <v/>
      </c>
      <c r="AH77" s="32" t="str">
        <f aca="false">IF(OR(AE77="",N77=0),"",AE77/(N77/1000))</f>
        <v/>
      </c>
      <c r="AI77" s="30" t="str">
        <f aca="false">IF(O77="","",M77*P77)</f>
        <v/>
      </c>
      <c r="AJ77" s="11" t="str">
        <f aca="false">IF(O77="","",IF(O77&gt;1,"Error: rend &gt; 100 %",IF(SUM(T77:Z77)=0,"Falta registrar pérdidas",IF(ABS(AG77)&gt;Parámetros!$B$7,"Revisar balance",IF(O77&lt;P77,"Bajo meta","OK")))))</f>
        <v/>
      </c>
      <c r="AK77" s="33"/>
      <c r="AL77" s="10"/>
      <c r="AM77" s="33"/>
      <c r="AN77" s="33"/>
      <c r="AO77" s="10"/>
    </row>
    <row r="78" customFormat="false" ht="15" hidden="false" customHeight="false" outlineLevel="0" collapsed="false">
      <c r="A78" s="22"/>
      <c r="B78" s="23" t="str">
        <f aca="false">IF(A78="","",YEAR(A78-WEEKDAY(A78,2)+4))</f>
        <v/>
      </c>
      <c r="C78" s="23" t="str">
        <f aca="false">IF(A78="","",WEEKNUM(A78,21))</f>
        <v/>
      </c>
      <c r="D78" s="24" t="str">
        <f aca="false">IF(A78="","",DATE(YEAR(A78),MONTH(A78),1))</f>
        <v/>
      </c>
      <c r="E78" s="10"/>
      <c r="F78" s="25"/>
      <c r="G78" s="25"/>
      <c r="H78" s="10"/>
      <c r="I78" s="10"/>
      <c r="J78" s="26"/>
      <c r="K78" s="25"/>
      <c r="L78" s="26"/>
      <c r="M78" s="27"/>
      <c r="N78" s="27"/>
      <c r="O78" s="28" t="str">
        <f aca="false">IF(OR(M78="",M78=0,N78=""),"",N78/M78)</f>
        <v/>
      </c>
      <c r="P78" s="28" t="str">
        <f aca="false">IF(M78="","",IFERROR(IF(INDEX(Parámetros!$B$14:$B$21,MATCH(I78,Parámetros!$A$14:$A$21,0))="",Parámetros!$B$5,INDEX(Parámetros!$B$14:$B$21,MATCH(I78,Parámetros!$A$14:$A$21,0))),Parámetros!$B$5))</f>
        <v/>
      </c>
      <c r="Q78" s="29" t="str">
        <f aca="false">IF(O78="","",(O78-P78)*100)</f>
        <v/>
      </c>
      <c r="R78" s="30" t="str">
        <f aca="false">IF(O78="","",MAX(0,M78*(P78-O78)))</f>
        <v/>
      </c>
      <c r="S78" s="31" t="str">
        <f aca="false">IF(OR(L78="",L78=0,N78=""),"",N78/1000/L78)</f>
        <v/>
      </c>
      <c r="T78" s="27"/>
      <c r="U78" s="27"/>
      <c r="V78" s="27"/>
      <c r="W78" s="27"/>
      <c r="X78" s="27"/>
      <c r="Y78" s="27"/>
      <c r="Z78" s="27"/>
      <c r="AA78" s="25"/>
      <c r="AB78" s="27"/>
      <c r="AC78" s="30" t="str">
        <f aca="false">IF(M78="","",IF(AB78="",M78*Parámetros!$B$6,AB78))</f>
        <v/>
      </c>
      <c r="AD78" s="30" t="str">
        <f aca="false">IF(M78="","",SUM(T78:Z78)+AC78)</f>
        <v/>
      </c>
      <c r="AE78" s="30" t="str">
        <f aca="false">IF(OR(M78="",N78=""),"",M78-N78)</f>
        <v/>
      </c>
      <c r="AF78" s="30" t="str">
        <f aca="false">IF(AE78="","",AE78-AD78)</f>
        <v/>
      </c>
      <c r="AG78" s="28" t="str">
        <f aca="false">IF(OR(AF78="",M78=0),"",AF78/M78)</f>
        <v/>
      </c>
      <c r="AH78" s="32" t="str">
        <f aca="false">IF(OR(AE78="",N78=0),"",AE78/(N78/1000))</f>
        <v/>
      </c>
      <c r="AI78" s="30" t="str">
        <f aca="false">IF(O78="","",M78*P78)</f>
        <v/>
      </c>
      <c r="AJ78" s="11" t="str">
        <f aca="false">IF(O78="","",IF(O78&gt;1,"Error: rend &gt; 100 %",IF(SUM(T78:Z78)=0,"Falta registrar pérdidas",IF(ABS(AG78)&gt;Parámetros!$B$7,"Revisar balance",IF(O78&lt;P78,"Bajo meta","OK")))))</f>
        <v/>
      </c>
      <c r="AK78" s="33"/>
      <c r="AL78" s="10"/>
      <c r="AM78" s="33"/>
      <c r="AN78" s="33"/>
      <c r="AO78" s="10"/>
    </row>
    <row r="79" customFormat="false" ht="15" hidden="false" customHeight="false" outlineLevel="0" collapsed="false">
      <c r="A79" s="22"/>
      <c r="B79" s="23" t="str">
        <f aca="false">IF(A79="","",YEAR(A79-WEEKDAY(A79,2)+4))</f>
        <v/>
      </c>
      <c r="C79" s="23" t="str">
        <f aca="false">IF(A79="","",WEEKNUM(A79,21))</f>
        <v/>
      </c>
      <c r="D79" s="24" t="str">
        <f aca="false">IF(A79="","",DATE(YEAR(A79),MONTH(A79),1))</f>
        <v/>
      </c>
      <c r="E79" s="10"/>
      <c r="F79" s="25"/>
      <c r="G79" s="25"/>
      <c r="H79" s="10"/>
      <c r="I79" s="10"/>
      <c r="J79" s="26"/>
      <c r="K79" s="25"/>
      <c r="L79" s="26"/>
      <c r="M79" s="27"/>
      <c r="N79" s="27"/>
      <c r="O79" s="28" t="str">
        <f aca="false">IF(OR(M79="",M79=0,N79=""),"",N79/M79)</f>
        <v/>
      </c>
      <c r="P79" s="28" t="str">
        <f aca="false">IF(M79="","",IFERROR(IF(INDEX(Parámetros!$B$14:$B$21,MATCH(I79,Parámetros!$A$14:$A$21,0))="",Parámetros!$B$5,INDEX(Parámetros!$B$14:$B$21,MATCH(I79,Parámetros!$A$14:$A$21,0))),Parámetros!$B$5))</f>
        <v/>
      </c>
      <c r="Q79" s="29" t="str">
        <f aca="false">IF(O79="","",(O79-P79)*100)</f>
        <v/>
      </c>
      <c r="R79" s="30" t="str">
        <f aca="false">IF(O79="","",MAX(0,M79*(P79-O79)))</f>
        <v/>
      </c>
      <c r="S79" s="31" t="str">
        <f aca="false">IF(OR(L79="",L79=0,N79=""),"",N79/1000/L79)</f>
        <v/>
      </c>
      <c r="T79" s="27"/>
      <c r="U79" s="27"/>
      <c r="V79" s="27"/>
      <c r="W79" s="27"/>
      <c r="X79" s="27"/>
      <c r="Y79" s="27"/>
      <c r="Z79" s="27"/>
      <c r="AA79" s="25"/>
      <c r="AB79" s="27"/>
      <c r="AC79" s="30" t="str">
        <f aca="false">IF(M79="","",IF(AB79="",M79*Parámetros!$B$6,AB79))</f>
        <v/>
      </c>
      <c r="AD79" s="30" t="str">
        <f aca="false">IF(M79="","",SUM(T79:Z79)+AC79)</f>
        <v/>
      </c>
      <c r="AE79" s="30" t="str">
        <f aca="false">IF(OR(M79="",N79=""),"",M79-N79)</f>
        <v/>
      </c>
      <c r="AF79" s="30" t="str">
        <f aca="false">IF(AE79="","",AE79-AD79)</f>
        <v/>
      </c>
      <c r="AG79" s="28" t="str">
        <f aca="false">IF(OR(AF79="",M79=0),"",AF79/M79)</f>
        <v/>
      </c>
      <c r="AH79" s="32" t="str">
        <f aca="false">IF(OR(AE79="",N79=0),"",AE79/(N79/1000))</f>
        <v/>
      </c>
      <c r="AI79" s="30" t="str">
        <f aca="false">IF(O79="","",M79*P79)</f>
        <v/>
      </c>
      <c r="AJ79" s="11" t="str">
        <f aca="false">IF(O79="","",IF(O79&gt;1,"Error: rend &gt; 100 %",IF(SUM(T79:Z79)=0,"Falta registrar pérdidas",IF(ABS(AG79)&gt;Parámetros!$B$7,"Revisar balance",IF(O79&lt;P79,"Bajo meta","OK")))))</f>
        <v/>
      </c>
      <c r="AK79" s="33"/>
      <c r="AL79" s="10"/>
      <c r="AM79" s="33"/>
      <c r="AN79" s="33"/>
      <c r="AO79" s="10"/>
    </row>
    <row r="80" customFormat="false" ht="15" hidden="false" customHeight="false" outlineLevel="0" collapsed="false">
      <c r="A80" s="22"/>
      <c r="B80" s="23" t="str">
        <f aca="false">IF(A80="","",YEAR(A80-WEEKDAY(A80,2)+4))</f>
        <v/>
      </c>
      <c r="C80" s="23" t="str">
        <f aca="false">IF(A80="","",WEEKNUM(A80,21))</f>
        <v/>
      </c>
      <c r="D80" s="24" t="str">
        <f aca="false">IF(A80="","",DATE(YEAR(A80),MONTH(A80),1))</f>
        <v/>
      </c>
      <c r="E80" s="10"/>
      <c r="F80" s="25"/>
      <c r="G80" s="25"/>
      <c r="H80" s="10"/>
      <c r="I80" s="10"/>
      <c r="J80" s="26"/>
      <c r="K80" s="25"/>
      <c r="L80" s="26"/>
      <c r="M80" s="27"/>
      <c r="N80" s="27"/>
      <c r="O80" s="28" t="str">
        <f aca="false">IF(OR(M80="",M80=0,N80=""),"",N80/M80)</f>
        <v/>
      </c>
      <c r="P80" s="28" t="str">
        <f aca="false">IF(M80="","",IFERROR(IF(INDEX(Parámetros!$B$14:$B$21,MATCH(I80,Parámetros!$A$14:$A$21,0))="",Parámetros!$B$5,INDEX(Parámetros!$B$14:$B$21,MATCH(I80,Parámetros!$A$14:$A$21,0))),Parámetros!$B$5))</f>
        <v/>
      </c>
      <c r="Q80" s="29" t="str">
        <f aca="false">IF(O80="","",(O80-P80)*100)</f>
        <v/>
      </c>
      <c r="R80" s="30" t="str">
        <f aca="false">IF(O80="","",MAX(0,M80*(P80-O80)))</f>
        <v/>
      </c>
      <c r="S80" s="31" t="str">
        <f aca="false">IF(OR(L80="",L80=0,N80=""),"",N80/1000/L80)</f>
        <v/>
      </c>
      <c r="T80" s="27"/>
      <c r="U80" s="27"/>
      <c r="V80" s="27"/>
      <c r="W80" s="27"/>
      <c r="X80" s="27"/>
      <c r="Y80" s="27"/>
      <c r="Z80" s="27"/>
      <c r="AA80" s="25"/>
      <c r="AB80" s="27"/>
      <c r="AC80" s="30" t="str">
        <f aca="false">IF(M80="","",IF(AB80="",M80*Parámetros!$B$6,AB80))</f>
        <v/>
      </c>
      <c r="AD80" s="30" t="str">
        <f aca="false">IF(M80="","",SUM(T80:Z80)+AC80)</f>
        <v/>
      </c>
      <c r="AE80" s="30" t="str">
        <f aca="false">IF(OR(M80="",N80=""),"",M80-N80)</f>
        <v/>
      </c>
      <c r="AF80" s="30" t="str">
        <f aca="false">IF(AE80="","",AE80-AD80)</f>
        <v/>
      </c>
      <c r="AG80" s="28" t="str">
        <f aca="false">IF(OR(AF80="",M80=0),"",AF80/M80)</f>
        <v/>
      </c>
      <c r="AH80" s="32" t="str">
        <f aca="false">IF(OR(AE80="",N80=0),"",AE80/(N80/1000))</f>
        <v/>
      </c>
      <c r="AI80" s="30" t="str">
        <f aca="false">IF(O80="","",M80*P80)</f>
        <v/>
      </c>
      <c r="AJ80" s="11" t="str">
        <f aca="false">IF(O80="","",IF(O80&gt;1,"Error: rend &gt; 100 %",IF(SUM(T80:Z80)=0,"Falta registrar pérdidas",IF(ABS(AG80)&gt;Parámetros!$B$7,"Revisar balance",IF(O80&lt;P80,"Bajo meta","OK")))))</f>
        <v/>
      </c>
      <c r="AK80" s="33"/>
      <c r="AL80" s="10"/>
      <c r="AM80" s="33"/>
      <c r="AN80" s="33"/>
      <c r="AO80" s="10"/>
    </row>
    <row r="81" customFormat="false" ht="15" hidden="false" customHeight="false" outlineLevel="0" collapsed="false">
      <c r="A81" s="22"/>
      <c r="B81" s="23" t="str">
        <f aca="false">IF(A81="","",YEAR(A81-WEEKDAY(A81,2)+4))</f>
        <v/>
      </c>
      <c r="C81" s="23" t="str">
        <f aca="false">IF(A81="","",WEEKNUM(A81,21))</f>
        <v/>
      </c>
      <c r="D81" s="24" t="str">
        <f aca="false">IF(A81="","",DATE(YEAR(A81),MONTH(A81),1))</f>
        <v/>
      </c>
      <c r="E81" s="10"/>
      <c r="F81" s="25"/>
      <c r="G81" s="25"/>
      <c r="H81" s="10"/>
      <c r="I81" s="10"/>
      <c r="J81" s="26"/>
      <c r="K81" s="25"/>
      <c r="L81" s="26"/>
      <c r="M81" s="27"/>
      <c r="N81" s="27"/>
      <c r="O81" s="28" t="str">
        <f aca="false">IF(OR(M81="",M81=0,N81=""),"",N81/M81)</f>
        <v/>
      </c>
      <c r="P81" s="28" t="str">
        <f aca="false">IF(M81="","",IFERROR(IF(INDEX(Parámetros!$B$14:$B$21,MATCH(I81,Parámetros!$A$14:$A$21,0))="",Parámetros!$B$5,INDEX(Parámetros!$B$14:$B$21,MATCH(I81,Parámetros!$A$14:$A$21,0))),Parámetros!$B$5))</f>
        <v/>
      </c>
      <c r="Q81" s="29" t="str">
        <f aca="false">IF(O81="","",(O81-P81)*100)</f>
        <v/>
      </c>
      <c r="R81" s="30" t="str">
        <f aca="false">IF(O81="","",MAX(0,M81*(P81-O81)))</f>
        <v/>
      </c>
      <c r="S81" s="31" t="str">
        <f aca="false">IF(OR(L81="",L81=0,N81=""),"",N81/1000/L81)</f>
        <v/>
      </c>
      <c r="T81" s="27"/>
      <c r="U81" s="27"/>
      <c r="V81" s="27"/>
      <c r="W81" s="27"/>
      <c r="X81" s="27"/>
      <c r="Y81" s="27"/>
      <c r="Z81" s="27"/>
      <c r="AA81" s="25"/>
      <c r="AB81" s="27"/>
      <c r="AC81" s="30" t="str">
        <f aca="false">IF(M81="","",IF(AB81="",M81*Parámetros!$B$6,AB81))</f>
        <v/>
      </c>
      <c r="AD81" s="30" t="str">
        <f aca="false">IF(M81="","",SUM(T81:Z81)+AC81)</f>
        <v/>
      </c>
      <c r="AE81" s="30" t="str">
        <f aca="false">IF(OR(M81="",N81=""),"",M81-N81)</f>
        <v/>
      </c>
      <c r="AF81" s="30" t="str">
        <f aca="false">IF(AE81="","",AE81-AD81)</f>
        <v/>
      </c>
      <c r="AG81" s="28" t="str">
        <f aca="false">IF(OR(AF81="",M81=0),"",AF81/M81)</f>
        <v/>
      </c>
      <c r="AH81" s="32" t="str">
        <f aca="false">IF(OR(AE81="",N81=0),"",AE81/(N81/1000))</f>
        <v/>
      </c>
      <c r="AI81" s="30" t="str">
        <f aca="false">IF(O81="","",M81*P81)</f>
        <v/>
      </c>
      <c r="AJ81" s="11" t="str">
        <f aca="false">IF(O81="","",IF(O81&gt;1,"Error: rend &gt; 100 %",IF(SUM(T81:Z81)=0,"Falta registrar pérdidas",IF(ABS(AG81)&gt;Parámetros!$B$7,"Revisar balance",IF(O81&lt;P81,"Bajo meta","OK")))))</f>
        <v/>
      </c>
      <c r="AK81" s="33"/>
      <c r="AL81" s="10"/>
      <c r="AM81" s="33"/>
      <c r="AN81" s="33"/>
      <c r="AO81" s="10"/>
    </row>
    <row r="82" customFormat="false" ht="15" hidden="false" customHeight="false" outlineLevel="0" collapsed="false">
      <c r="A82" s="22"/>
      <c r="B82" s="23" t="str">
        <f aca="false">IF(A82="","",YEAR(A82-WEEKDAY(A82,2)+4))</f>
        <v/>
      </c>
      <c r="C82" s="23" t="str">
        <f aca="false">IF(A82="","",WEEKNUM(A82,21))</f>
        <v/>
      </c>
      <c r="D82" s="24" t="str">
        <f aca="false">IF(A82="","",DATE(YEAR(A82),MONTH(A82),1))</f>
        <v/>
      </c>
      <c r="E82" s="10"/>
      <c r="F82" s="25"/>
      <c r="G82" s="25"/>
      <c r="H82" s="10"/>
      <c r="I82" s="10"/>
      <c r="J82" s="26"/>
      <c r="K82" s="25"/>
      <c r="L82" s="26"/>
      <c r="M82" s="27"/>
      <c r="N82" s="27"/>
      <c r="O82" s="28" t="str">
        <f aca="false">IF(OR(M82="",M82=0,N82=""),"",N82/M82)</f>
        <v/>
      </c>
      <c r="P82" s="28" t="str">
        <f aca="false">IF(M82="","",IFERROR(IF(INDEX(Parámetros!$B$14:$B$21,MATCH(I82,Parámetros!$A$14:$A$21,0))="",Parámetros!$B$5,INDEX(Parámetros!$B$14:$B$21,MATCH(I82,Parámetros!$A$14:$A$21,0))),Parámetros!$B$5))</f>
        <v/>
      </c>
      <c r="Q82" s="29" t="str">
        <f aca="false">IF(O82="","",(O82-P82)*100)</f>
        <v/>
      </c>
      <c r="R82" s="30" t="str">
        <f aca="false">IF(O82="","",MAX(0,M82*(P82-O82)))</f>
        <v/>
      </c>
      <c r="S82" s="31" t="str">
        <f aca="false">IF(OR(L82="",L82=0,N82=""),"",N82/1000/L82)</f>
        <v/>
      </c>
      <c r="T82" s="27"/>
      <c r="U82" s="27"/>
      <c r="V82" s="27"/>
      <c r="W82" s="27"/>
      <c r="X82" s="27"/>
      <c r="Y82" s="27"/>
      <c r="Z82" s="27"/>
      <c r="AA82" s="25"/>
      <c r="AB82" s="27"/>
      <c r="AC82" s="30" t="str">
        <f aca="false">IF(M82="","",IF(AB82="",M82*Parámetros!$B$6,AB82))</f>
        <v/>
      </c>
      <c r="AD82" s="30" t="str">
        <f aca="false">IF(M82="","",SUM(T82:Z82)+AC82)</f>
        <v/>
      </c>
      <c r="AE82" s="30" t="str">
        <f aca="false">IF(OR(M82="",N82=""),"",M82-N82)</f>
        <v/>
      </c>
      <c r="AF82" s="30" t="str">
        <f aca="false">IF(AE82="","",AE82-AD82)</f>
        <v/>
      </c>
      <c r="AG82" s="28" t="str">
        <f aca="false">IF(OR(AF82="",M82=0),"",AF82/M82)</f>
        <v/>
      </c>
      <c r="AH82" s="32" t="str">
        <f aca="false">IF(OR(AE82="",N82=0),"",AE82/(N82/1000))</f>
        <v/>
      </c>
      <c r="AI82" s="30" t="str">
        <f aca="false">IF(O82="","",M82*P82)</f>
        <v/>
      </c>
      <c r="AJ82" s="11" t="str">
        <f aca="false">IF(O82="","",IF(O82&gt;1,"Error: rend &gt; 100 %",IF(SUM(T82:Z82)=0,"Falta registrar pérdidas",IF(ABS(AG82)&gt;Parámetros!$B$7,"Revisar balance",IF(O82&lt;P82,"Bajo meta","OK")))))</f>
        <v/>
      </c>
      <c r="AK82" s="33"/>
      <c r="AL82" s="10"/>
      <c r="AM82" s="33"/>
      <c r="AN82" s="33"/>
      <c r="AO82" s="10"/>
    </row>
    <row r="83" customFormat="false" ht="15" hidden="false" customHeight="false" outlineLevel="0" collapsed="false">
      <c r="A83" s="22"/>
      <c r="B83" s="23" t="str">
        <f aca="false">IF(A83="","",YEAR(A83-WEEKDAY(A83,2)+4))</f>
        <v/>
      </c>
      <c r="C83" s="23" t="str">
        <f aca="false">IF(A83="","",WEEKNUM(A83,21))</f>
        <v/>
      </c>
      <c r="D83" s="24" t="str">
        <f aca="false">IF(A83="","",DATE(YEAR(A83),MONTH(A83),1))</f>
        <v/>
      </c>
      <c r="E83" s="10"/>
      <c r="F83" s="25"/>
      <c r="G83" s="25"/>
      <c r="H83" s="10"/>
      <c r="I83" s="10"/>
      <c r="J83" s="26"/>
      <c r="K83" s="25"/>
      <c r="L83" s="26"/>
      <c r="M83" s="27"/>
      <c r="N83" s="27"/>
      <c r="O83" s="28" t="str">
        <f aca="false">IF(OR(M83="",M83=0,N83=""),"",N83/M83)</f>
        <v/>
      </c>
      <c r="P83" s="28" t="str">
        <f aca="false">IF(M83="","",IFERROR(IF(INDEX(Parámetros!$B$14:$B$21,MATCH(I83,Parámetros!$A$14:$A$21,0))="",Parámetros!$B$5,INDEX(Parámetros!$B$14:$B$21,MATCH(I83,Parámetros!$A$14:$A$21,0))),Parámetros!$B$5))</f>
        <v/>
      </c>
      <c r="Q83" s="29" t="str">
        <f aca="false">IF(O83="","",(O83-P83)*100)</f>
        <v/>
      </c>
      <c r="R83" s="30" t="str">
        <f aca="false">IF(O83="","",MAX(0,M83*(P83-O83)))</f>
        <v/>
      </c>
      <c r="S83" s="31" t="str">
        <f aca="false">IF(OR(L83="",L83=0,N83=""),"",N83/1000/L83)</f>
        <v/>
      </c>
      <c r="T83" s="27"/>
      <c r="U83" s="27"/>
      <c r="V83" s="27"/>
      <c r="W83" s="27"/>
      <c r="X83" s="27"/>
      <c r="Y83" s="27"/>
      <c r="Z83" s="27"/>
      <c r="AA83" s="25"/>
      <c r="AB83" s="27"/>
      <c r="AC83" s="30" t="str">
        <f aca="false">IF(M83="","",IF(AB83="",M83*Parámetros!$B$6,AB83))</f>
        <v/>
      </c>
      <c r="AD83" s="30" t="str">
        <f aca="false">IF(M83="","",SUM(T83:Z83)+AC83)</f>
        <v/>
      </c>
      <c r="AE83" s="30" t="str">
        <f aca="false">IF(OR(M83="",N83=""),"",M83-N83)</f>
        <v/>
      </c>
      <c r="AF83" s="30" t="str">
        <f aca="false">IF(AE83="","",AE83-AD83)</f>
        <v/>
      </c>
      <c r="AG83" s="28" t="str">
        <f aca="false">IF(OR(AF83="",M83=0),"",AF83/M83)</f>
        <v/>
      </c>
      <c r="AH83" s="32" t="str">
        <f aca="false">IF(OR(AE83="",N83=0),"",AE83/(N83/1000))</f>
        <v/>
      </c>
      <c r="AI83" s="30" t="str">
        <f aca="false">IF(O83="","",M83*P83)</f>
        <v/>
      </c>
      <c r="AJ83" s="11" t="str">
        <f aca="false">IF(O83="","",IF(O83&gt;1,"Error: rend &gt; 100 %",IF(SUM(T83:Z83)=0,"Falta registrar pérdidas",IF(ABS(AG83)&gt;Parámetros!$B$7,"Revisar balance",IF(O83&lt;P83,"Bajo meta","OK")))))</f>
        <v/>
      </c>
      <c r="AK83" s="33"/>
      <c r="AL83" s="10"/>
      <c r="AM83" s="33"/>
      <c r="AN83" s="33"/>
      <c r="AO83" s="10"/>
    </row>
    <row r="84" customFormat="false" ht="15" hidden="false" customHeight="false" outlineLevel="0" collapsed="false">
      <c r="A84" s="22"/>
      <c r="B84" s="23" t="str">
        <f aca="false">IF(A84="","",YEAR(A84-WEEKDAY(A84,2)+4))</f>
        <v/>
      </c>
      <c r="C84" s="23" t="str">
        <f aca="false">IF(A84="","",WEEKNUM(A84,21))</f>
        <v/>
      </c>
      <c r="D84" s="24" t="str">
        <f aca="false">IF(A84="","",DATE(YEAR(A84),MONTH(A84),1))</f>
        <v/>
      </c>
      <c r="E84" s="10"/>
      <c r="F84" s="25"/>
      <c r="G84" s="25"/>
      <c r="H84" s="10"/>
      <c r="I84" s="10"/>
      <c r="J84" s="26"/>
      <c r="K84" s="25"/>
      <c r="L84" s="26"/>
      <c r="M84" s="27"/>
      <c r="N84" s="27"/>
      <c r="O84" s="28" t="str">
        <f aca="false">IF(OR(M84="",M84=0,N84=""),"",N84/M84)</f>
        <v/>
      </c>
      <c r="P84" s="28" t="str">
        <f aca="false">IF(M84="","",IFERROR(IF(INDEX(Parámetros!$B$14:$B$21,MATCH(I84,Parámetros!$A$14:$A$21,0))="",Parámetros!$B$5,INDEX(Parámetros!$B$14:$B$21,MATCH(I84,Parámetros!$A$14:$A$21,0))),Parámetros!$B$5))</f>
        <v/>
      </c>
      <c r="Q84" s="29" t="str">
        <f aca="false">IF(O84="","",(O84-P84)*100)</f>
        <v/>
      </c>
      <c r="R84" s="30" t="str">
        <f aca="false">IF(O84="","",MAX(0,M84*(P84-O84)))</f>
        <v/>
      </c>
      <c r="S84" s="31" t="str">
        <f aca="false">IF(OR(L84="",L84=0,N84=""),"",N84/1000/L84)</f>
        <v/>
      </c>
      <c r="T84" s="27"/>
      <c r="U84" s="27"/>
      <c r="V84" s="27"/>
      <c r="W84" s="27"/>
      <c r="X84" s="27"/>
      <c r="Y84" s="27"/>
      <c r="Z84" s="27"/>
      <c r="AA84" s="25"/>
      <c r="AB84" s="27"/>
      <c r="AC84" s="30" t="str">
        <f aca="false">IF(M84="","",IF(AB84="",M84*Parámetros!$B$6,AB84))</f>
        <v/>
      </c>
      <c r="AD84" s="30" t="str">
        <f aca="false">IF(M84="","",SUM(T84:Z84)+AC84)</f>
        <v/>
      </c>
      <c r="AE84" s="30" t="str">
        <f aca="false">IF(OR(M84="",N84=""),"",M84-N84)</f>
        <v/>
      </c>
      <c r="AF84" s="30" t="str">
        <f aca="false">IF(AE84="","",AE84-AD84)</f>
        <v/>
      </c>
      <c r="AG84" s="28" t="str">
        <f aca="false">IF(OR(AF84="",M84=0),"",AF84/M84)</f>
        <v/>
      </c>
      <c r="AH84" s="32" t="str">
        <f aca="false">IF(OR(AE84="",N84=0),"",AE84/(N84/1000))</f>
        <v/>
      </c>
      <c r="AI84" s="30" t="str">
        <f aca="false">IF(O84="","",M84*P84)</f>
        <v/>
      </c>
      <c r="AJ84" s="11" t="str">
        <f aca="false">IF(O84="","",IF(O84&gt;1,"Error: rend &gt; 100 %",IF(SUM(T84:Z84)=0,"Falta registrar pérdidas",IF(ABS(AG84)&gt;Parámetros!$B$7,"Revisar balance",IF(O84&lt;P84,"Bajo meta","OK")))))</f>
        <v/>
      </c>
      <c r="AK84" s="33"/>
      <c r="AL84" s="10"/>
      <c r="AM84" s="33"/>
      <c r="AN84" s="33"/>
      <c r="AO84" s="10"/>
    </row>
    <row r="85" customFormat="false" ht="15" hidden="false" customHeight="false" outlineLevel="0" collapsed="false">
      <c r="A85" s="22"/>
      <c r="B85" s="23" t="str">
        <f aca="false">IF(A85="","",YEAR(A85-WEEKDAY(A85,2)+4))</f>
        <v/>
      </c>
      <c r="C85" s="23" t="str">
        <f aca="false">IF(A85="","",WEEKNUM(A85,21))</f>
        <v/>
      </c>
      <c r="D85" s="24" t="str">
        <f aca="false">IF(A85="","",DATE(YEAR(A85),MONTH(A85),1))</f>
        <v/>
      </c>
      <c r="E85" s="10"/>
      <c r="F85" s="25"/>
      <c r="G85" s="25"/>
      <c r="H85" s="10"/>
      <c r="I85" s="10"/>
      <c r="J85" s="26"/>
      <c r="K85" s="25"/>
      <c r="L85" s="26"/>
      <c r="M85" s="27"/>
      <c r="N85" s="27"/>
      <c r="O85" s="28" t="str">
        <f aca="false">IF(OR(M85="",M85=0,N85=""),"",N85/M85)</f>
        <v/>
      </c>
      <c r="P85" s="28" t="str">
        <f aca="false">IF(M85="","",IFERROR(IF(INDEX(Parámetros!$B$14:$B$21,MATCH(I85,Parámetros!$A$14:$A$21,0))="",Parámetros!$B$5,INDEX(Parámetros!$B$14:$B$21,MATCH(I85,Parámetros!$A$14:$A$21,0))),Parámetros!$B$5))</f>
        <v/>
      </c>
      <c r="Q85" s="29" t="str">
        <f aca="false">IF(O85="","",(O85-P85)*100)</f>
        <v/>
      </c>
      <c r="R85" s="30" t="str">
        <f aca="false">IF(O85="","",MAX(0,M85*(P85-O85)))</f>
        <v/>
      </c>
      <c r="S85" s="31" t="str">
        <f aca="false">IF(OR(L85="",L85=0,N85=""),"",N85/1000/L85)</f>
        <v/>
      </c>
      <c r="T85" s="27"/>
      <c r="U85" s="27"/>
      <c r="V85" s="27"/>
      <c r="W85" s="27"/>
      <c r="X85" s="27"/>
      <c r="Y85" s="27"/>
      <c r="Z85" s="27"/>
      <c r="AA85" s="25"/>
      <c r="AB85" s="27"/>
      <c r="AC85" s="30" t="str">
        <f aca="false">IF(M85="","",IF(AB85="",M85*Parámetros!$B$6,AB85))</f>
        <v/>
      </c>
      <c r="AD85" s="30" t="str">
        <f aca="false">IF(M85="","",SUM(T85:Z85)+AC85)</f>
        <v/>
      </c>
      <c r="AE85" s="30" t="str">
        <f aca="false">IF(OR(M85="",N85=""),"",M85-N85)</f>
        <v/>
      </c>
      <c r="AF85" s="30" t="str">
        <f aca="false">IF(AE85="","",AE85-AD85)</f>
        <v/>
      </c>
      <c r="AG85" s="28" t="str">
        <f aca="false">IF(OR(AF85="",M85=0),"",AF85/M85)</f>
        <v/>
      </c>
      <c r="AH85" s="32" t="str">
        <f aca="false">IF(OR(AE85="",N85=0),"",AE85/(N85/1000))</f>
        <v/>
      </c>
      <c r="AI85" s="30" t="str">
        <f aca="false">IF(O85="","",M85*P85)</f>
        <v/>
      </c>
      <c r="AJ85" s="11" t="str">
        <f aca="false">IF(O85="","",IF(O85&gt;1,"Error: rend &gt; 100 %",IF(SUM(T85:Z85)=0,"Falta registrar pérdidas",IF(ABS(AG85)&gt;Parámetros!$B$7,"Revisar balance",IF(O85&lt;P85,"Bajo meta","OK")))))</f>
        <v/>
      </c>
      <c r="AK85" s="33"/>
      <c r="AL85" s="10"/>
      <c r="AM85" s="33"/>
      <c r="AN85" s="33"/>
      <c r="AO85" s="10"/>
    </row>
    <row r="86" customFormat="false" ht="15" hidden="false" customHeight="false" outlineLevel="0" collapsed="false">
      <c r="A86" s="22"/>
      <c r="B86" s="23" t="str">
        <f aca="false">IF(A86="","",YEAR(A86-WEEKDAY(A86,2)+4))</f>
        <v/>
      </c>
      <c r="C86" s="23" t="str">
        <f aca="false">IF(A86="","",WEEKNUM(A86,21))</f>
        <v/>
      </c>
      <c r="D86" s="24" t="str">
        <f aca="false">IF(A86="","",DATE(YEAR(A86),MONTH(A86),1))</f>
        <v/>
      </c>
      <c r="E86" s="10"/>
      <c r="F86" s="25"/>
      <c r="G86" s="25"/>
      <c r="H86" s="10"/>
      <c r="I86" s="10"/>
      <c r="J86" s="26"/>
      <c r="K86" s="25"/>
      <c r="L86" s="26"/>
      <c r="M86" s="27"/>
      <c r="N86" s="27"/>
      <c r="O86" s="28" t="str">
        <f aca="false">IF(OR(M86="",M86=0,N86=""),"",N86/M86)</f>
        <v/>
      </c>
      <c r="P86" s="28" t="str">
        <f aca="false">IF(M86="","",IFERROR(IF(INDEX(Parámetros!$B$14:$B$21,MATCH(I86,Parámetros!$A$14:$A$21,0))="",Parámetros!$B$5,INDEX(Parámetros!$B$14:$B$21,MATCH(I86,Parámetros!$A$14:$A$21,0))),Parámetros!$B$5))</f>
        <v/>
      </c>
      <c r="Q86" s="29" t="str">
        <f aca="false">IF(O86="","",(O86-P86)*100)</f>
        <v/>
      </c>
      <c r="R86" s="30" t="str">
        <f aca="false">IF(O86="","",MAX(0,M86*(P86-O86)))</f>
        <v/>
      </c>
      <c r="S86" s="31" t="str">
        <f aca="false">IF(OR(L86="",L86=0,N86=""),"",N86/1000/L86)</f>
        <v/>
      </c>
      <c r="T86" s="27"/>
      <c r="U86" s="27"/>
      <c r="V86" s="27"/>
      <c r="W86" s="27"/>
      <c r="X86" s="27"/>
      <c r="Y86" s="27"/>
      <c r="Z86" s="27"/>
      <c r="AA86" s="25"/>
      <c r="AB86" s="27"/>
      <c r="AC86" s="30" t="str">
        <f aca="false">IF(M86="","",IF(AB86="",M86*Parámetros!$B$6,AB86))</f>
        <v/>
      </c>
      <c r="AD86" s="30" t="str">
        <f aca="false">IF(M86="","",SUM(T86:Z86)+AC86)</f>
        <v/>
      </c>
      <c r="AE86" s="30" t="str">
        <f aca="false">IF(OR(M86="",N86=""),"",M86-N86)</f>
        <v/>
      </c>
      <c r="AF86" s="30" t="str">
        <f aca="false">IF(AE86="","",AE86-AD86)</f>
        <v/>
      </c>
      <c r="AG86" s="28" t="str">
        <f aca="false">IF(OR(AF86="",M86=0),"",AF86/M86)</f>
        <v/>
      </c>
      <c r="AH86" s="32" t="str">
        <f aca="false">IF(OR(AE86="",N86=0),"",AE86/(N86/1000))</f>
        <v/>
      </c>
      <c r="AI86" s="30" t="str">
        <f aca="false">IF(O86="","",M86*P86)</f>
        <v/>
      </c>
      <c r="AJ86" s="11" t="str">
        <f aca="false">IF(O86="","",IF(O86&gt;1,"Error: rend &gt; 100 %",IF(SUM(T86:Z86)=0,"Falta registrar pérdidas",IF(ABS(AG86)&gt;Parámetros!$B$7,"Revisar balance",IF(O86&lt;P86,"Bajo meta","OK")))))</f>
        <v/>
      </c>
      <c r="AK86" s="33"/>
      <c r="AL86" s="10"/>
      <c r="AM86" s="33"/>
      <c r="AN86" s="33"/>
      <c r="AO86" s="10"/>
    </row>
    <row r="87" customFormat="false" ht="15" hidden="false" customHeight="false" outlineLevel="0" collapsed="false">
      <c r="A87" s="22"/>
      <c r="B87" s="23" t="str">
        <f aca="false">IF(A87="","",YEAR(A87-WEEKDAY(A87,2)+4))</f>
        <v/>
      </c>
      <c r="C87" s="23" t="str">
        <f aca="false">IF(A87="","",WEEKNUM(A87,21))</f>
        <v/>
      </c>
      <c r="D87" s="24" t="str">
        <f aca="false">IF(A87="","",DATE(YEAR(A87),MONTH(A87),1))</f>
        <v/>
      </c>
      <c r="E87" s="10"/>
      <c r="F87" s="25"/>
      <c r="G87" s="25"/>
      <c r="H87" s="10"/>
      <c r="I87" s="10"/>
      <c r="J87" s="26"/>
      <c r="K87" s="25"/>
      <c r="L87" s="26"/>
      <c r="M87" s="27"/>
      <c r="N87" s="27"/>
      <c r="O87" s="28" t="str">
        <f aca="false">IF(OR(M87="",M87=0,N87=""),"",N87/M87)</f>
        <v/>
      </c>
      <c r="P87" s="28" t="str">
        <f aca="false">IF(M87="","",IFERROR(IF(INDEX(Parámetros!$B$14:$B$21,MATCH(I87,Parámetros!$A$14:$A$21,0))="",Parámetros!$B$5,INDEX(Parámetros!$B$14:$B$21,MATCH(I87,Parámetros!$A$14:$A$21,0))),Parámetros!$B$5))</f>
        <v/>
      </c>
      <c r="Q87" s="29" t="str">
        <f aca="false">IF(O87="","",(O87-P87)*100)</f>
        <v/>
      </c>
      <c r="R87" s="30" t="str">
        <f aca="false">IF(O87="","",MAX(0,M87*(P87-O87)))</f>
        <v/>
      </c>
      <c r="S87" s="31" t="str">
        <f aca="false">IF(OR(L87="",L87=0,N87=""),"",N87/1000/L87)</f>
        <v/>
      </c>
      <c r="T87" s="27"/>
      <c r="U87" s="27"/>
      <c r="V87" s="27"/>
      <c r="W87" s="27"/>
      <c r="X87" s="27"/>
      <c r="Y87" s="27"/>
      <c r="Z87" s="27"/>
      <c r="AA87" s="25"/>
      <c r="AB87" s="27"/>
      <c r="AC87" s="30" t="str">
        <f aca="false">IF(M87="","",IF(AB87="",M87*Parámetros!$B$6,AB87))</f>
        <v/>
      </c>
      <c r="AD87" s="30" t="str">
        <f aca="false">IF(M87="","",SUM(T87:Z87)+AC87)</f>
        <v/>
      </c>
      <c r="AE87" s="30" t="str">
        <f aca="false">IF(OR(M87="",N87=""),"",M87-N87)</f>
        <v/>
      </c>
      <c r="AF87" s="30" t="str">
        <f aca="false">IF(AE87="","",AE87-AD87)</f>
        <v/>
      </c>
      <c r="AG87" s="28" t="str">
        <f aca="false">IF(OR(AF87="",M87=0),"",AF87/M87)</f>
        <v/>
      </c>
      <c r="AH87" s="32" t="str">
        <f aca="false">IF(OR(AE87="",N87=0),"",AE87/(N87/1000))</f>
        <v/>
      </c>
      <c r="AI87" s="30" t="str">
        <f aca="false">IF(O87="","",M87*P87)</f>
        <v/>
      </c>
      <c r="AJ87" s="11" t="str">
        <f aca="false">IF(O87="","",IF(O87&gt;1,"Error: rend &gt; 100 %",IF(SUM(T87:Z87)=0,"Falta registrar pérdidas",IF(ABS(AG87)&gt;Parámetros!$B$7,"Revisar balance",IF(O87&lt;P87,"Bajo meta","OK")))))</f>
        <v/>
      </c>
      <c r="AK87" s="33"/>
      <c r="AL87" s="10"/>
      <c r="AM87" s="33"/>
      <c r="AN87" s="33"/>
      <c r="AO87" s="10"/>
    </row>
    <row r="88" customFormat="false" ht="15" hidden="false" customHeight="false" outlineLevel="0" collapsed="false">
      <c r="A88" s="22"/>
      <c r="B88" s="23" t="str">
        <f aca="false">IF(A88="","",YEAR(A88-WEEKDAY(A88,2)+4))</f>
        <v/>
      </c>
      <c r="C88" s="23" t="str">
        <f aca="false">IF(A88="","",WEEKNUM(A88,21))</f>
        <v/>
      </c>
      <c r="D88" s="24" t="str">
        <f aca="false">IF(A88="","",DATE(YEAR(A88),MONTH(A88),1))</f>
        <v/>
      </c>
      <c r="E88" s="10"/>
      <c r="F88" s="25"/>
      <c r="G88" s="25"/>
      <c r="H88" s="10"/>
      <c r="I88" s="10"/>
      <c r="J88" s="26"/>
      <c r="K88" s="25"/>
      <c r="L88" s="26"/>
      <c r="M88" s="27"/>
      <c r="N88" s="27"/>
      <c r="O88" s="28" t="str">
        <f aca="false">IF(OR(M88="",M88=0,N88=""),"",N88/M88)</f>
        <v/>
      </c>
      <c r="P88" s="28" t="str">
        <f aca="false">IF(M88="","",IFERROR(IF(INDEX(Parámetros!$B$14:$B$21,MATCH(I88,Parámetros!$A$14:$A$21,0))="",Parámetros!$B$5,INDEX(Parámetros!$B$14:$B$21,MATCH(I88,Parámetros!$A$14:$A$21,0))),Parámetros!$B$5))</f>
        <v/>
      </c>
      <c r="Q88" s="29" t="str">
        <f aca="false">IF(O88="","",(O88-P88)*100)</f>
        <v/>
      </c>
      <c r="R88" s="30" t="str">
        <f aca="false">IF(O88="","",MAX(0,M88*(P88-O88)))</f>
        <v/>
      </c>
      <c r="S88" s="31" t="str">
        <f aca="false">IF(OR(L88="",L88=0,N88=""),"",N88/1000/L88)</f>
        <v/>
      </c>
      <c r="T88" s="27"/>
      <c r="U88" s="27"/>
      <c r="V88" s="27"/>
      <c r="W88" s="27"/>
      <c r="X88" s="27"/>
      <c r="Y88" s="27"/>
      <c r="Z88" s="27"/>
      <c r="AA88" s="25"/>
      <c r="AB88" s="27"/>
      <c r="AC88" s="30" t="str">
        <f aca="false">IF(M88="","",IF(AB88="",M88*Parámetros!$B$6,AB88))</f>
        <v/>
      </c>
      <c r="AD88" s="30" t="str">
        <f aca="false">IF(M88="","",SUM(T88:Z88)+AC88)</f>
        <v/>
      </c>
      <c r="AE88" s="30" t="str">
        <f aca="false">IF(OR(M88="",N88=""),"",M88-N88)</f>
        <v/>
      </c>
      <c r="AF88" s="30" t="str">
        <f aca="false">IF(AE88="","",AE88-AD88)</f>
        <v/>
      </c>
      <c r="AG88" s="28" t="str">
        <f aca="false">IF(OR(AF88="",M88=0),"",AF88/M88)</f>
        <v/>
      </c>
      <c r="AH88" s="32" t="str">
        <f aca="false">IF(OR(AE88="",N88=0),"",AE88/(N88/1000))</f>
        <v/>
      </c>
      <c r="AI88" s="30" t="str">
        <f aca="false">IF(O88="","",M88*P88)</f>
        <v/>
      </c>
      <c r="AJ88" s="11" t="str">
        <f aca="false">IF(O88="","",IF(O88&gt;1,"Error: rend &gt; 100 %",IF(SUM(T88:Z88)=0,"Falta registrar pérdidas",IF(ABS(AG88)&gt;Parámetros!$B$7,"Revisar balance",IF(O88&lt;P88,"Bajo meta","OK")))))</f>
        <v/>
      </c>
      <c r="AK88" s="33"/>
      <c r="AL88" s="10"/>
      <c r="AM88" s="33"/>
      <c r="AN88" s="33"/>
      <c r="AO88" s="10"/>
    </row>
    <row r="89" customFormat="false" ht="15" hidden="false" customHeight="false" outlineLevel="0" collapsed="false">
      <c r="A89" s="22"/>
      <c r="B89" s="23" t="str">
        <f aca="false">IF(A89="","",YEAR(A89-WEEKDAY(A89,2)+4))</f>
        <v/>
      </c>
      <c r="C89" s="23" t="str">
        <f aca="false">IF(A89="","",WEEKNUM(A89,21))</f>
        <v/>
      </c>
      <c r="D89" s="24" t="str">
        <f aca="false">IF(A89="","",DATE(YEAR(A89),MONTH(A89),1))</f>
        <v/>
      </c>
      <c r="E89" s="10"/>
      <c r="F89" s="25"/>
      <c r="G89" s="25"/>
      <c r="H89" s="10"/>
      <c r="I89" s="10"/>
      <c r="J89" s="26"/>
      <c r="K89" s="25"/>
      <c r="L89" s="26"/>
      <c r="M89" s="27"/>
      <c r="N89" s="27"/>
      <c r="O89" s="28" t="str">
        <f aca="false">IF(OR(M89="",M89=0,N89=""),"",N89/M89)</f>
        <v/>
      </c>
      <c r="P89" s="28" t="str">
        <f aca="false">IF(M89="","",IFERROR(IF(INDEX(Parámetros!$B$14:$B$21,MATCH(I89,Parámetros!$A$14:$A$21,0))="",Parámetros!$B$5,INDEX(Parámetros!$B$14:$B$21,MATCH(I89,Parámetros!$A$14:$A$21,0))),Parámetros!$B$5))</f>
        <v/>
      </c>
      <c r="Q89" s="29" t="str">
        <f aca="false">IF(O89="","",(O89-P89)*100)</f>
        <v/>
      </c>
      <c r="R89" s="30" t="str">
        <f aca="false">IF(O89="","",MAX(0,M89*(P89-O89)))</f>
        <v/>
      </c>
      <c r="S89" s="31" t="str">
        <f aca="false">IF(OR(L89="",L89=0,N89=""),"",N89/1000/L89)</f>
        <v/>
      </c>
      <c r="T89" s="27"/>
      <c r="U89" s="27"/>
      <c r="V89" s="27"/>
      <c r="W89" s="27"/>
      <c r="X89" s="27"/>
      <c r="Y89" s="27"/>
      <c r="Z89" s="27"/>
      <c r="AA89" s="25"/>
      <c r="AB89" s="27"/>
      <c r="AC89" s="30" t="str">
        <f aca="false">IF(M89="","",IF(AB89="",M89*Parámetros!$B$6,AB89))</f>
        <v/>
      </c>
      <c r="AD89" s="30" t="str">
        <f aca="false">IF(M89="","",SUM(T89:Z89)+AC89)</f>
        <v/>
      </c>
      <c r="AE89" s="30" t="str">
        <f aca="false">IF(OR(M89="",N89=""),"",M89-N89)</f>
        <v/>
      </c>
      <c r="AF89" s="30" t="str">
        <f aca="false">IF(AE89="","",AE89-AD89)</f>
        <v/>
      </c>
      <c r="AG89" s="28" t="str">
        <f aca="false">IF(OR(AF89="",M89=0),"",AF89/M89)</f>
        <v/>
      </c>
      <c r="AH89" s="32" t="str">
        <f aca="false">IF(OR(AE89="",N89=0),"",AE89/(N89/1000))</f>
        <v/>
      </c>
      <c r="AI89" s="30" t="str">
        <f aca="false">IF(O89="","",M89*P89)</f>
        <v/>
      </c>
      <c r="AJ89" s="11" t="str">
        <f aca="false">IF(O89="","",IF(O89&gt;1,"Error: rend &gt; 100 %",IF(SUM(T89:Z89)=0,"Falta registrar pérdidas",IF(ABS(AG89)&gt;Parámetros!$B$7,"Revisar balance",IF(O89&lt;P89,"Bajo meta","OK")))))</f>
        <v/>
      </c>
      <c r="AK89" s="33"/>
      <c r="AL89" s="10"/>
      <c r="AM89" s="33"/>
      <c r="AN89" s="33"/>
      <c r="AO89" s="10"/>
    </row>
    <row r="90" customFormat="false" ht="15" hidden="false" customHeight="false" outlineLevel="0" collapsed="false">
      <c r="A90" s="22"/>
      <c r="B90" s="23" t="str">
        <f aca="false">IF(A90="","",YEAR(A90-WEEKDAY(A90,2)+4))</f>
        <v/>
      </c>
      <c r="C90" s="23" t="str">
        <f aca="false">IF(A90="","",WEEKNUM(A90,21))</f>
        <v/>
      </c>
      <c r="D90" s="24" t="str">
        <f aca="false">IF(A90="","",DATE(YEAR(A90),MONTH(A90),1))</f>
        <v/>
      </c>
      <c r="E90" s="10"/>
      <c r="F90" s="25"/>
      <c r="G90" s="25"/>
      <c r="H90" s="10"/>
      <c r="I90" s="10"/>
      <c r="J90" s="26"/>
      <c r="K90" s="25"/>
      <c r="L90" s="26"/>
      <c r="M90" s="27"/>
      <c r="N90" s="27"/>
      <c r="O90" s="28" t="str">
        <f aca="false">IF(OR(M90="",M90=0,N90=""),"",N90/M90)</f>
        <v/>
      </c>
      <c r="P90" s="28" t="str">
        <f aca="false">IF(M90="","",IFERROR(IF(INDEX(Parámetros!$B$14:$B$21,MATCH(I90,Parámetros!$A$14:$A$21,0))="",Parámetros!$B$5,INDEX(Parámetros!$B$14:$B$21,MATCH(I90,Parámetros!$A$14:$A$21,0))),Parámetros!$B$5))</f>
        <v/>
      </c>
      <c r="Q90" s="29" t="str">
        <f aca="false">IF(O90="","",(O90-P90)*100)</f>
        <v/>
      </c>
      <c r="R90" s="30" t="str">
        <f aca="false">IF(O90="","",MAX(0,M90*(P90-O90)))</f>
        <v/>
      </c>
      <c r="S90" s="31" t="str">
        <f aca="false">IF(OR(L90="",L90=0,N90=""),"",N90/1000/L90)</f>
        <v/>
      </c>
      <c r="T90" s="27"/>
      <c r="U90" s="27"/>
      <c r="V90" s="27"/>
      <c r="W90" s="27"/>
      <c r="X90" s="27"/>
      <c r="Y90" s="27"/>
      <c r="Z90" s="27"/>
      <c r="AA90" s="25"/>
      <c r="AB90" s="27"/>
      <c r="AC90" s="30" t="str">
        <f aca="false">IF(M90="","",IF(AB90="",M90*Parámetros!$B$6,AB90))</f>
        <v/>
      </c>
      <c r="AD90" s="30" t="str">
        <f aca="false">IF(M90="","",SUM(T90:Z90)+AC90)</f>
        <v/>
      </c>
      <c r="AE90" s="30" t="str">
        <f aca="false">IF(OR(M90="",N90=""),"",M90-N90)</f>
        <v/>
      </c>
      <c r="AF90" s="30" t="str">
        <f aca="false">IF(AE90="","",AE90-AD90)</f>
        <v/>
      </c>
      <c r="AG90" s="28" t="str">
        <f aca="false">IF(OR(AF90="",M90=0),"",AF90/M90)</f>
        <v/>
      </c>
      <c r="AH90" s="32" t="str">
        <f aca="false">IF(OR(AE90="",N90=0),"",AE90/(N90/1000))</f>
        <v/>
      </c>
      <c r="AI90" s="30" t="str">
        <f aca="false">IF(O90="","",M90*P90)</f>
        <v/>
      </c>
      <c r="AJ90" s="11" t="str">
        <f aca="false">IF(O90="","",IF(O90&gt;1,"Error: rend &gt; 100 %",IF(SUM(T90:Z90)=0,"Falta registrar pérdidas",IF(ABS(AG90)&gt;Parámetros!$B$7,"Revisar balance",IF(O90&lt;P90,"Bajo meta","OK")))))</f>
        <v/>
      </c>
      <c r="AK90" s="33"/>
      <c r="AL90" s="10"/>
      <c r="AM90" s="33"/>
      <c r="AN90" s="33"/>
      <c r="AO90" s="10"/>
    </row>
    <row r="91" customFormat="false" ht="15" hidden="false" customHeight="false" outlineLevel="0" collapsed="false">
      <c r="A91" s="22"/>
      <c r="B91" s="23" t="str">
        <f aca="false">IF(A91="","",YEAR(A91-WEEKDAY(A91,2)+4))</f>
        <v/>
      </c>
      <c r="C91" s="23" t="str">
        <f aca="false">IF(A91="","",WEEKNUM(A91,21))</f>
        <v/>
      </c>
      <c r="D91" s="24" t="str">
        <f aca="false">IF(A91="","",DATE(YEAR(A91),MONTH(A91),1))</f>
        <v/>
      </c>
      <c r="E91" s="10"/>
      <c r="F91" s="25"/>
      <c r="G91" s="25"/>
      <c r="H91" s="10"/>
      <c r="I91" s="10"/>
      <c r="J91" s="26"/>
      <c r="K91" s="25"/>
      <c r="L91" s="26"/>
      <c r="M91" s="27"/>
      <c r="N91" s="27"/>
      <c r="O91" s="28" t="str">
        <f aca="false">IF(OR(M91="",M91=0,N91=""),"",N91/M91)</f>
        <v/>
      </c>
      <c r="P91" s="28" t="str">
        <f aca="false">IF(M91="","",IFERROR(IF(INDEX(Parámetros!$B$14:$B$21,MATCH(I91,Parámetros!$A$14:$A$21,0))="",Parámetros!$B$5,INDEX(Parámetros!$B$14:$B$21,MATCH(I91,Parámetros!$A$14:$A$21,0))),Parámetros!$B$5))</f>
        <v/>
      </c>
      <c r="Q91" s="29" t="str">
        <f aca="false">IF(O91="","",(O91-P91)*100)</f>
        <v/>
      </c>
      <c r="R91" s="30" t="str">
        <f aca="false">IF(O91="","",MAX(0,M91*(P91-O91)))</f>
        <v/>
      </c>
      <c r="S91" s="31" t="str">
        <f aca="false">IF(OR(L91="",L91=0,N91=""),"",N91/1000/L91)</f>
        <v/>
      </c>
      <c r="T91" s="27"/>
      <c r="U91" s="27"/>
      <c r="V91" s="27"/>
      <c r="W91" s="27"/>
      <c r="X91" s="27"/>
      <c r="Y91" s="27"/>
      <c r="Z91" s="27"/>
      <c r="AA91" s="25"/>
      <c r="AB91" s="27"/>
      <c r="AC91" s="30" t="str">
        <f aca="false">IF(M91="","",IF(AB91="",M91*Parámetros!$B$6,AB91))</f>
        <v/>
      </c>
      <c r="AD91" s="30" t="str">
        <f aca="false">IF(M91="","",SUM(T91:Z91)+AC91)</f>
        <v/>
      </c>
      <c r="AE91" s="30" t="str">
        <f aca="false">IF(OR(M91="",N91=""),"",M91-N91)</f>
        <v/>
      </c>
      <c r="AF91" s="30" t="str">
        <f aca="false">IF(AE91="","",AE91-AD91)</f>
        <v/>
      </c>
      <c r="AG91" s="28" t="str">
        <f aca="false">IF(OR(AF91="",M91=0),"",AF91/M91)</f>
        <v/>
      </c>
      <c r="AH91" s="32" t="str">
        <f aca="false">IF(OR(AE91="",N91=0),"",AE91/(N91/1000))</f>
        <v/>
      </c>
      <c r="AI91" s="30" t="str">
        <f aca="false">IF(O91="","",M91*P91)</f>
        <v/>
      </c>
      <c r="AJ91" s="11" t="str">
        <f aca="false">IF(O91="","",IF(O91&gt;1,"Error: rend &gt; 100 %",IF(SUM(T91:Z91)=0,"Falta registrar pérdidas",IF(ABS(AG91)&gt;Parámetros!$B$7,"Revisar balance",IF(O91&lt;P91,"Bajo meta","OK")))))</f>
        <v/>
      </c>
      <c r="AK91" s="33"/>
      <c r="AL91" s="10"/>
      <c r="AM91" s="33"/>
      <c r="AN91" s="33"/>
      <c r="AO91" s="10"/>
    </row>
    <row r="92" customFormat="false" ht="15" hidden="false" customHeight="false" outlineLevel="0" collapsed="false">
      <c r="A92" s="22"/>
      <c r="B92" s="23" t="str">
        <f aca="false">IF(A92="","",YEAR(A92-WEEKDAY(A92,2)+4))</f>
        <v/>
      </c>
      <c r="C92" s="23" t="str">
        <f aca="false">IF(A92="","",WEEKNUM(A92,21))</f>
        <v/>
      </c>
      <c r="D92" s="24" t="str">
        <f aca="false">IF(A92="","",DATE(YEAR(A92),MONTH(A92),1))</f>
        <v/>
      </c>
      <c r="E92" s="10"/>
      <c r="F92" s="25"/>
      <c r="G92" s="25"/>
      <c r="H92" s="10"/>
      <c r="I92" s="10"/>
      <c r="J92" s="26"/>
      <c r="K92" s="25"/>
      <c r="L92" s="26"/>
      <c r="M92" s="27"/>
      <c r="N92" s="27"/>
      <c r="O92" s="28" t="str">
        <f aca="false">IF(OR(M92="",M92=0,N92=""),"",N92/M92)</f>
        <v/>
      </c>
      <c r="P92" s="28" t="str">
        <f aca="false">IF(M92="","",IFERROR(IF(INDEX(Parámetros!$B$14:$B$21,MATCH(I92,Parámetros!$A$14:$A$21,0))="",Parámetros!$B$5,INDEX(Parámetros!$B$14:$B$21,MATCH(I92,Parámetros!$A$14:$A$21,0))),Parámetros!$B$5))</f>
        <v/>
      </c>
      <c r="Q92" s="29" t="str">
        <f aca="false">IF(O92="","",(O92-P92)*100)</f>
        <v/>
      </c>
      <c r="R92" s="30" t="str">
        <f aca="false">IF(O92="","",MAX(0,M92*(P92-O92)))</f>
        <v/>
      </c>
      <c r="S92" s="31" t="str">
        <f aca="false">IF(OR(L92="",L92=0,N92=""),"",N92/1000/L92)</f>
        <v/>
      </c>
      <c r="T92" s="27"/>
      <c r="U92" s="27"/>
      <c r="V92" s="27"/>
      <c r="W92" s="27"/>
      <c r="X92" s="27"/>
      <c r="Y92" s="27"/>
      <c r="Z92" s="27"/>
      <c r="AA92" s="25"/>
      <c r="AB92" s="27"/>
      <c r="AC92" s="30" t="str">
        <f aca="false">IF(M92="","",IF(AB92="",M92*Parámetros!$B$6,AB92))</f>
        <v/>
      </c>
      <c r="AD92" s="30" t="str">
        <f aca="false">IF(M92="","",SUM(T92:Z92)+AC92)</f>
        <v/>
      </c>
      <c r="AE92" s="30" t="str">
        <f aca="false">IF(OR(M92="",N92=""),"",M92-N92)</f>
        <v/>
      </c>
      <c r="AF92" s="30" t="str">
        <f aca="false">IF(AE92="","",AE92-AD92)</f>
        <v/>
      </c>
      <c r="AG92" s="28" t="str">
        <f aca="false">IF(OR(AF92="",M92=0),"",AF92/M92)</f>
        <v/>
      </c>
      <c r="AH92" s="32" t="str">
        <f aca="false">IF(OR(AE92="",N92=0),"",AE92/(N92/1000))</f>
        <v/>
      </c>
      <c r="AI92" s="30" t="str">
        <f aca="false">IF(O92="","",M92*P92)</f>
        <v/>
      </c>
      <c r="AJ92" s="11" t="str">
        <f aca="false">IF(O92="","",IF(O92&gt;1,"Error: rend &gt; 100 %",IF(SUM(T92:Z92)=0,"Falta registrar pérdidas",IF(ABS(AG92)&gt;Parámetros!$B$7,"Revisar balance",IF(O92&lt;P92,"Bajo meta","OK")))))</f>
        <v/>
      </c>
      <c r="AK92" s="33"/>
      <c r="AL92" s="10"/>
      <c r="AM92" s="33"/>
      <c r="AN92" s="33"/>
      <c r="AO92" s="10"/>
    </row>
    <row r="93" customFormat="false" ht="15" hidden="false" customHeight="false" outlineLevel="0" collapsed="false">
      <c r="A93" s="22"/>
      <c r="B93" s="23" t="str">
        <f aca="false">IF(A93="","",YEAR(A93-WEEKDAY(A93,2)+4))</f>
        <v/>
      </c>
      <c r="C93" s="23" t="str">
        <f aca="false">IF(A93="","",WEEKNUM(A93,21))</f>
        <v/>
      </c>
      <c r="D93" s="24" t="str">
        <f aca="false">IF(A93="","",DATE(YEAR(A93),MONTH(A93),1))</f>
        <v/>
      </c>
      <c r="E93" s="10"/>
      <c r="F93" s="25"/>
      <c r="G93" s="25"/>
      <c r="H93" s="10"/>
      <c r="I93" s="10"/>
      <c r="J93" s="26"/>
      <c r="K93" s="25"/>
      <c r="L93" s="26"/>
      <c r="M93" s="27"/>
      <c r="N93" s="27"/>
      <c r="O93" s="28" t="str">
        <f aca="false">IF(OR(M93="",M93=0,N93=""),"",N93/M93)</f>
        <v/>
      </c>
      <c r="P93" s="28" t="str">
        <f aca="false">IF(M93="","",IFERROR(IF(INDEX(Parámetros!$B$14:$B$21,MATCH(I93,Parámetros!$A$14:$A$21,0))="",Parámetros!$B$5,INDEX(Parámetros!$B$14:$B$21,MATCH(I93,Parámetros!$A$14:$A$21,0))),Parámetros!$B$5))</f>
        <v/>
      </c>
      <c r="Q93" s="29" t="str">
        <f aca="false">IF(O93="","",(O93-P93)*100)</f>
        <v/>
      </c>
      <c r="R93" s="30" t="str">
        <f aca="false">IF(O93="","",MAX(0,M93*(P93-O93)))</f>
        <v/>
      </c>
      <c r="S93" s="31" t="str">
        <f aca="false">IF(OR(L93="",L93=0,N93=""),"",N93/1000/L93)</f>
        <v/>
      </c>
      <c r="T93" s="27"/>
      <c r="U93" s="27"/>
      <c r="V93" s="27"/>
      <c r="W93" s="27"/>
      <c r="X93" s="27"/>
      <c r="Y93" s="27"/>
      <c r="Z93" s="27"/>
      <c r="AA93" s="25"/>
      <c r="AB93" s="27"/>
      <c r="AC93" s="30" t="str">
        <f aca="false">IF(M93="","",IF(AB93="",M93*Parámetros!$B$6,AB93))</f>
        <v/>
      </c>
      <c r="AD93" s="30" t="str">
        <f aca="false">IF(M93="","",SUM(T93:Z93)+AC93)</f>
        <v/>
      </c>
      <c r="AE93" s="30" t="str">
        <f aca="false">IF(OR(M93="",N93=""),"",M93-N93)</f>
        <v/>
      </c>
      <c r="AF93" s="30" t="str">
        <f aca="false">IF(AE93="","",AE93-AD93)</f>
        <v/>
      </c>
      <c r="AG93" s="28" t="str">
        <f aca="false">IF(OR(AF93="",M93=0),"",AF93/M93)</f>
        <v/>
      </c>
      <c r="AH93" s="32" t="str">
        <f aca="false">IF(OR(AE93="",N93=0),"",AE93/(N93/1000))</f>
        <v/>
      </c>
      <c r="AI93" s="30" t="str">
        <f aca="false">IF(O93="","",M93*P93)</f>
        <v/>
      </c>
      <c r="AJ93" s="11" t="str">
        <f aca="false">IF(O93="","",IF(O93&gt;1,"Error: rend &gt; 100 %",IF(SUM(T93:Z93)=0,"Falta registrar pérdidas",IF(ABS(AG93)&gt;Parámetros!$B$7,"Revisar balance",IF(O93&lt;P93,"Bajo meta","OK")))))</f>
        <v/>
      </c>
      <c r="AK93" s="33"/>
      <c r="AL93" s="10"/>
      <c r="AM93" s="33"/>
      <c r="AN93" s="33"/>
      <c r="AO93" s="10"/>
    </row>
    <row r="94" customFormat="false" ht="15" hidden="false" customHeight="false" outlineLevel="0" collapsed="false">
      <c r="A94" s="22"/>
      <c r="B94" s="23" t="str">
        <f aca="false">IF(A94="","",YEAR(A94-WEEKDAY(A94,2)+4))</f>
        <v/>
      </c>
      <c r="C94" s="23" t="str">
        <f aca="false">IF(A94="","",WEEKNUM(A94,21))</f>
        <v/>
      </c>
      <c r="D94" s="24" t="str">
        <f aca="false">IF(A94="","",DATE(YEAR(A94),MONTH(A94),1))</f>
        <v/>
      </c>
      <c r="E94" s="10"/>
      <c r="F94" s="25"/>
      <c r="G94" s="25"/>
      <c r="H94" s="10"/>
      <c r="I94" s="10"/>
      <c r="J94" s="26"/>
      <c r="K94" s="25"/>
      <c r="L94" s="26"/>
      <c r="M94" s="27"/>
      <c r="N94" s="27"/>
      <c r="O94" s="28" t="str">
        <f aca="false">IF(OR(M94="",M94=0,N94=""),"",N94/M94)</f>
        <v/>
      </c>
      <c r="P94" s="28" t="str">
        <f aca="false">IF(M94="","",IFERROR(IF(INDEX(Parámetros!$B$14:$B$21,MATCH(I94,Parámetros!$A$14:$A$21,0))="",Parámetros!$B$5,INDEX(Parámetros!$B$14:$B$21,MATCH(I94,Parámetros!$A$14:$A$21,0))),Parámetros!$B$5))</f>
        <v/>
      </c>
      <c r="Q94" s="29" t="str">
        <f aca="false">IF(O94="","",(O94-P94)*100)</f>
        <v/>
      </c>
      <c r="R94" s="30" t="str">
        <f aca="false">IF(O94="","",MAX(0,M94*(P94-O94)))</f>
        <v/>
      </c>
      <c r="S94" s="31" t="str">
        <f aca="false">IF(OR(L94="",L94=0,N94=""),"",N94/1000/L94)</f>
        <v/>
      </c>
      <c r="T94" s="27"/>
      <c r="U94" s="27"/>
      <c r="V94" s="27"/>
      <c r="W94" s="27"/>
      <c r="X94" s="27"/>
      <c r="Y94" s="27"/>
      <c r="Z94" s="27"/>
      <c r="AA94" s="25"/>
      <c r="AB94" s="27"/>
      <c r="AC94" s="30" t="str">
        <f aca="false">IF(M94="","",IF(AB94="",M94*Parámetros!$B$6,AB94))</f>
        <v/>
      </c>
      <c r="AD94" s="30" t="str">
        <f aca="false">IF(M94="","",SUM(T94:Z94)+AC94)</f>
        <v/>
      </c>
      <c r="AE94" s="30" t="str">
        <f aca="false">IF(OR(M94="",N94=""),"",M94-N94)</f>
        <v/>
      </c>
      <c r="AF94" s="30" t="str">
        <f aca="false">IF(AE94="","",AE94-AD94)</f>
        <v/>
      </c>
      <c r="AG94" s="28" t="str">
        <f aca="false">IF(OR(AF94="",M94=0),"",AF94/M94)</f>
        <v/>
      </c>
      <c r="AH94" s="32" t="str">
        <f aca="false">IF(OR(AE94="",N94=0),"",AE94/(N94/1000))</f>
        <v/>
      </c>
      <c r="AI94" s="30" t="str">
        <f aca="false">IF(O94="","",M94*P94)</f>
        <v/>
      </c>
      <c r="AJ94" s="11" t="str">
        <f aca="false">IF(O94="","",IF(O94&gt;1,"Error: rend &gt; 100 %",IF(SUM(T94:Z94)=0,"Falta registrar pérdidas",IF(ABS(AG94)&gt;Parámetros!$B$7,"Revisar balance",IF(O94&lt;P94,"Bajo meta","OK")))))</f>
        <v/>
      </c>
      <c r="AK94" s="33"/>
      <c r="AL94" s="10"/>
      <c r="AM94" s="33"/>
      <c r="AN94" s="33"/>
      <c r="AO94" s="10"/>
    </row>
    <row r="95" customFormat="false" ht="15" hidden="false" customHeight="false" outlineLevel="0" collapsed="false">
      <c r="A95" s="22"/>
      <c r="B95" s="23" t="str">
        <f aca="false">IF(A95="","",YEAR(A95-WEEKDAY(A95,2)+4))</f>
        <v/>
      </c>
      <c r="C95" s="23" t="str">
        <f aca="false">IF(A95="","",WEEKNUM(A95,21))</f>
        <v/>
      </c>
      <c r="D95" s="24" t="str">
        <f aca="false">IF(A95="","",DATE(YEAR(A95),MONTH(A95),1))</f>
        <v/>
      </c>
      <c r="E95" s="10"/>
      <c r="F95" s="25"/>
      <c r="G95" s="25"/>
      <c r="H95" s="10"/>
      <c r="I95" s="10"/>
      <c r="J95" s="26"/>
      <c r="K95" s="25"/>
      <c r="L95" s="26"/>
      <c r="M95" s="27"/>
      <c r="N95" s="27"/>
      <c r="O95" s="28" t="str">
        <f aca="false">IF(OR(M95="",M95=0,N95=""),"",N95/M95)</f>
        <v/>
      </c>
      <c r="P95" s="28" t="str">
        <f aca="false">IF(M95="","",IFERROR(IF(INDEX(Parámetros!$B$14:$B$21,MATCH(I95,Parámetros!$A$14:$A$21,0))="",Parámetros!$B$5,INDEX(Parámetros!$B$14:$B$21,MATCH(I95,Parámetros!$A$14:$A$21,0))),Parámetros!$B$5))</f>
        <v/>
      </c>
      <c r="Q95" s="29" t="str">
        <f aca="false">IF(O95="","",(O95-P95)*100)</f>
        <v/>
      </c>
      <c r="R95" s="30" t="str">
        <f aca="false">IF(O95="","",MAX(0,M95*(P95-O95)))</f>
        <v/>
      </c>
      <c r="S95" s="31" t="str">
        <f aca="false">IF(OR(L95="",L95=0,N95=""),"",N95/1000/L95)</f>
        <v/>
      </c>
      <c r="T95" s="27"/>
      <c r="U95" s="27"/>
      <c r="V95" s="27"/>
      <c r="W95" s="27"/>
      <c r="X95" s="27"/>
      <c r="Y95" s="27"/>
      <c r="Z95" s="27"/>
      <c r="AA95" s="25"/>
      <c r="AB95" s="27"/>
      <c r="AC95" s="30" t="str">
        <f aca="false">IF(M95="","",IF(AB95="",M95*Parámetros!$B$6,AB95))</f>
        <v/>
      </c>
      <c r="AD95" s="30" t="str">
        <f aca="false">IF(M95="","",SUM(T95:Z95)+AC95)</f>
        <v/>
      </c>
      <c r="AE95" s="30" t="str">
        <f aca="false">IF(OR(M95="",N95=""),"",M95-N95)</f>
        <v/>
      </c>
      <c r="AF95" s="30" t="str">
        <f aca="false">IF(AE95="","",AE95-AD95)</f>
        <v/>
      </c>
      <c r="AG95" s="28" t="str">
        <f aca="false">IF(OR(AF95="",M95=0),"",AF95/M95)</f>
        <v/>
      </c>
      <c r="AH95" s="32" t="str">
        <f aca="false">IF(OR(AE95="",N95=0),"",AE95/(N95/1000))</f>
        <v/>
      </c>
      <c r="AI95" s="30" t="str">
        <f aca="false">IF(O95="","",M95*P95)</f>
        <v/>
      </c>
      <c r="AJ95" s="11" t="str">
        <f aca="false">IF(O95="","",IF(O95&gt;1,"Error: rend &gt; 100 %",IF(SUM(T95:Z95)=0,"Falta registrar pérdidas",IF(ABS(AG95)&gt;Parámetros!$B$7,"Revisar balance",IF(O95&lt;P95,"Bajo meta","OK")))))</f>
        <v/>
      </c>
      <c r="AK95" s="33"/>
      <c r="AL95" s="10"/>
      <c r="AM95" s="33"/>
      <c r="AN95" s="33"/>
      <c r="AO95" s="10"/>
    </row>
    <row r="96" customFormat="false" ht="15" hidden="false" customHeight="false" outlineLevel="0" collapsed="false">
      <c r="A96" s="22"/>
      <c r="B96" s="23" t="str">
        <f aca="false">IF(A96="","",YEAR(A96-WEEKDAY(A96,2)+4))</f>
        <v/>
      </c>
      <c r="C96" s="23" t="str">
        <f aca="false">IF(A96="","",WEEKNUM(A96,21))</f>
        <v/>
      </c>
      <c r="D96" s="24" t="str">
        <f aca="false">IF(A96="","",DATE(YEAR(A96),MONTH(A96),1))</f>
        <v/>
      </c>
      <c r="E96" s="10"/>
      <c r="F96" s="25"/>
      <c r="G96" s="25"/>
      <c r="H96" s="10"/>
      <c r="I96" s="10"/>
      <c r="J96" s="26"/>
      <c r="K96" s="25"/>
      <c r="L96" s="26"/>
      <c r="M96" s="27"/>
      <c r="N96" s="27"/>
      <c r="O96" s="28" t="str">
        <f aca="false">IF(OR(M96="",M96=0,N96=""),"",N96/M96)</f>
        <v/>
      </c>
      <c r="P96" s="28" t="str">
        <f aca="false">IF(M96="","",IFERROR(IF(INDEX(Parámetros!$B$14:$B$21,MATCH(I96,Parámetros!$A$14:$A$21,0))="",Parámetros!$B$5,INDEX(Parámetros!$B$14:$B$21,MATCH(I96,Parámetros!$A$14:$A$21,0))),Parámetros!$B$5))</f>
        <v/>
      </c>
      <c r="Q96" s="29" t="str">
        <f aca="false">IF(O96="","",(O96-P96)*100)</f>
        <v/>
      </c>
      <c r="R96" s="30" t="str">
        <f aca="false">IF(O96="","",MAX(0,M96*(P96-O96)))</f>
        <v/>
      </c>
      <c r="S96" s="31" t="str">
        <f aca="false">IF(OR(L96="",L96=0,N96=""),"",N96/1000/L96)</f>
        <v/>
      </c>
      <c r="T96" s="27"/>
      <c r="U96" s="27"/>
      <c r="V96" s="27"/>
      <c r="W96" s="27"/>
      <c r="X96" s="27"/>
      <c r="Y96" s="27"/>
      <c r="Z96" s="27"/>
      <c r="AA96" s="25"/>
      <c r="AB96" s="27"/>
      <c r="AC96" s="30" t="str">
        <f aca="false">IF(M96="","",IF(AB96="",M96*Parámetros!$B$6,AB96))</f>
        <v/>
      </c>
      <c r="AD96" s="30" t="str">
        <f aca="false">IF(M96="","",SUM(T96:Z96)+AC96)</f>
        <v/>
      </c>
      <c r="AE96" s="30" t="str">
        <f aca="false">IF(OR(M96="",N96=""),"",M96-N96)</f>
        <v/>
      </c>
      <c r="AF96" s="30" t="str">
        <f aca="false">IF(AE96="","",AE96-AD96)</f>
        <v/>
      </c>
      <c r="AG96" s="28" t="str">
        <f aca="false">IF(OR(AF96="",M96=0),"",AF96/M96)</f>
        <v/>
      </c>
      <c r="AH96" s="32" t="str">
        <f aca="false">IF(OR(AE96="",N96=0),"",AE96/(N96/1000))</f>
        <v/>
      </c>
      <c r="AI96" s="30" t="str">
        <f aca="false">IF(O96="","",M96*P96)</f>
        <v/>
      </c>
      <c r="AJ96" s="11" t="str">
        <f aca="false">IF(O96="","",IF(O96&gt;1,"Error: rend &gt; 100 %",IF(SUM(T96:Z96)=0,"Falta registrar pérdidas",IF(ABS(AG96)&gt;Parámetros!$B$7,"Revisar balance",IF(O96&lt;P96,"Bajo meta","OK")))))</f>
        <v/>
      </c>
      <c r="AK96" s="33"/>
      <c r="AL96" s="10"/>
      <c r="AM96" s="33"/>
      <c r="AN96" s="33"/>
      <c r="AO96" s="10"/>
    </row>
    <row r="97" customFormat="false" ht="15" hidden="false" customHeight="false" outlineLevel="0" collapsed="false">
      <c r="A97" s="22"/>
      <c r="B97" s="23" t="str">
        <f aca="false">IF(A97="","",YEAR(A97-WEEKDAY(A97,2)+4))</f>
        <v/>
      </c>
      <c r="C97" s="23" t="str">
        <f aca="false">IF(A97="","",WEEKNUM(A97,21))</f>
        <v/>
      </c>
      <c r="D97" s="24" t="str">
        <f aca="false">IF(A97="","",DATE(YEAR(A97),MONTH(A97),1))</f>
        <v/>
      </c>
      <c r="E97" s="10"/>
      <c r="F97" s="25"/>
      <c r="G97" s="25"/>
      <c r="H97" s="10"/>
      <c r="I97" s="10"/>
      <c r="J97" s="26"/>
      <c r="K97" s="25"/>
      <c r="L97" s="26"/>
      <c r="M97" s="27"/>
      <c r="N97" s="27"/>
      <c r="O97" s="28" t="str">
        <f aca="false">IF(OR(M97="",M97=0,N97=""),"",N97/M97)</f>
        <v/>
      </c>
      <c r="P97" s="28" t="str">
        <f aca="false">IF(M97="","",IFERROR(IF(INDEX(Parámetros!$B$14:$B$21,MATCH(I97,Parámetros!$A$14:$A$21,0))="",Parámetros!$B$5,INDEX(Parámetros!$B$14:$B$21,MATCH(I97,Parámetros!$A$14:$A$21,0))),Parámetros!$B$5))</f>
        <v/>
      </c>
      <c r="Q97" s="29" t="str">
        <f aca="false">IF(O97="","",(O97-P97)*100)</f>
        <v/>
      </c>
      <c r="R97" s="30" t="str">
        <f aca="false">IF(O97="","",MAX(0,M97*(P97-O97)))</f>
        <v/>
      </c>
      <c r="S97" s="31" t="str">
        <f aca="false">IF(OR(L97="",L97=0,N97=""),"",N97/1000/L97)</f>
        <v/>
      </c>
      <c r="T97" s="27"/>
      <c r="U97" s="27"/>
      <c r="V97" s="27"/>
      <c r="W97" s="27"/>
      <c r="X97" s="27"/>
      <c r="Y97" s="27"/>
      <c r="Z97" s="27"/>
      <c r="AA97" s="25"/>
      <c r="AB97" s="27"/>
      <c r="AC97" s="30" t="str">
        <f aca="false">IF(M97="","",IF(AB97="",M97*Parámetros!$B$6,AB97))</f>
        <v/>
      </c>
      <c r="AD97" s="30" t="str">
        <f aca="false">IF(M97="","",SUM(T97:Z97)+AC97)</f>
        <v/>
      </c>
      <c r="AE97" s="30" t="str">
        <f aca="false">IF(OR(M97="",N97=""),"",M97-N97)</f>
        <v/>
      </c>
      <c r="AF97" s="30" t="str">
        <f aca="false">IF(AE97="","",AE97-AD97)</f>
        <v/>
      </c>
      <c r="AG97" s="28" t="str">
        <f aca="false">IF(OR(AF97="",M97=0),"",AF97/M97)</f>
        <v/>
      </c>
      <c r="AH97" s="32" t="str">
        <f aca="false">IF(OR(AE97="",N97=0),"",AE97/(N97/1000))</f>
        <v/>
      </c>
      <c r="AI97" s="30" t="str">
        <f aca="false">IF(O97="","",M97*P97)</f>
        <v/>
      </c>
      <c r="AJ97" s="11" t="str">
        <f aca="false">IF(O97="","",IF(O97&gt;1,"Error: rend &gt; 100 %",IF(SUM(T97:Z97)=0,"Falta registrar pérdidas",IF(ABS(AG97)&gt;Parámetros!$B$7,"Revisar balance",IF(O97&lt;P97,"Bajo meta","OK")))))</f>
        <v/>
      </c>
      <c r="AK97" s="33"/>
      <c r="AL97" s="10"/>
      <c r="AM97" s="33"/>
      <c r="AN97" s="33"/>
      <c r="AO97" s="10"/>
    </row>
    <row r="98" customFormat="false" ht="15" hidden="false" customHeight="false" outlineLevel="0" collapsed="false">
      <c r="A98" s="22"/>
      <c r="B98" s="23" t="str">
        <f aca="false">IF(A98="","",YEAR(A98-WEEKDAY(A98,2)+4))</f>
        <v/>
      </c>
      <c r="C98" s="23" t="str">
        <f aca="false">IF(A98="","",WEEKNUM(A98,21))</f>
        <v/>
      </c>
      <c r="D98" s="24" t="str">
        <f aca="false">IF(A98="","",DATE(YEAR(A98),MONTH(A98),1))</f>
        <v/>
      </c>
      <c r="E98" s="10"/>
      <c r="F98" s="25"/>
      <c r="G98" s="25"/>
      <c r="H98" s="10"/>
      <c r="I98" s="10"/>
      <c r="J98" s="26"/>
      <c r="K98" s="25"/>
      <c r="L98" s="26"/>
      <c r="M98" s="27"/>
      <c r="N98" s="27"/>
      <c r="O98" s="28" t="str">
        <f aca="false">IF(OR(M98="",M98=0,N98=""),"",N98/M98)</f>
        <v/>
      </c>
      <c r="P98" s="28" t="str">
        <f aca="false">IF(M98="","",IFERROR(IF(INDEX(Parámetros!$B$14:$B$21,MATCH(I98,Parámetros!$A$14:$A$21,0))="",Parámetros!$B$5,INDEX(Parámetros!$B$14:$B$21,MATCH(I98,Parámetros!$A$14:$A$21,0))),Parámetros!$B$5))</f>
        <v/>
      </c>
      <c r="Q98" s="29" t="str">
        <f aca="false">IF(O98="","",(O98-P98)*100)</f>
        <v/>
      </c>
      <c r="R98" s="30" t="str">
        <f aca="false">IF(O98="","",MAX(0,M98*(P98-O98)))</f>
        <v/>
      </c>
      <c r="S98" s="31" t="str">
        <f aca="false">IF(OR(L98="",L98=0,N98=""),"",N98/1000/L98)</f>
        <v/>
      </c>
      <c r="T98" s="27"/>
      <c r="U98" s="27"/>
      <c r="V98" s="27"/>
      <c r="W98" s="27"/>
      <c r="X98" s="27"/>
      <c r="Y98" s="27"/>
      <c r="Z98" s="27"/>
      <c r="AA98" s="25"/>
      <c r="AB98" s="27"/>
      <c r="AC98" s="30" t="str">
        <f aca="false">IF(M98="","",IF(AB98="",M98*Parámetros!$B$6,AB98))</f>
        <v/>
      </c>
      <c r="AD98" s="30" t="str">
        <f aca="false">IF(M98="","",SUM(T98:Z98)+AC98)</f>
        <v/>
      </c>
      <c r="AE98" s="30" t="str">
        <f aca="false">IF(OR(M98="",N98=""),"",M98-N98)</f>
        <v/>
      </c>
      <c r="AF98" s="30" t="str">
        <f aca="false">IF(AE98="","",AE98-AD98)</f>
        <v/>
      </c>
      <c r="AG98" s="28" t="str">
        <f aca="false">IF(OR(AF98="",M98=0),"",AF98/M98)</f>
        <v/>
      </c>
      <c r="AH98" s="32" t="str">
        <f aca="false">IF(OR(AE98="",N98=0),"",AE98/(N98/1000))</f>
        <v/>
      </c>
      <c r="AI98" s="30" t="str">
        <f aca="false">IF(O98="","",M98*P98)</f>
        <v/>
      </c>
      <c r="AJ98" s="11" t="str">
        <f aca="false">IF(O98="","",IF(O98&gt;1,"Error: rend &gt; 100 %",IF(SUM(T98:Z98)=0,"Falta registrar pérdidas",IF(ABS(AG98)&gt;Parámetros!$B$7,"Revisar balance",IF(O98&lt;P98,"Bajo meta","OK")))))</f>
        <v/>
      </c>
      <c r="AK98" s="33"/>
      <c r="AL98" s="10"/>
      <c r="AM98" s="33"/>
      <c r="AN98" s="33"/>
      <c r="AO98" s="10"/>
    </row>
    <row r="99" customFormat="false" ht="15" hidden="false" customHeight="false" outlineLevel="0" collapsed="false">
      <c r="A99" s="22"/>
      <c r="B99" s="23" t="str">
        <f aca="false">IF(A99="","",YEAR(A99-WEEKDAY(A99,2)+4))</f>
        <v/>
      </c>
      <c r="C99" s="23" t="str">
        <f aca="false">IF(A99="","",WEEKNUM(A99,21))</f>
        <v/>
      </c>
      <c r="D99" s="24" t="str">
        <f aca="false">IF(A99="","",DATE(YEAR(A99),MONTH(A99),1))</f>
        <v/>
      </c>
      <c r="E99" s="10"/>
      <c r="F99" s="25"/>
      <c r="G99" s="25"/>
      <c r="H99" s="10"/>
      <c r="I99" s="10"/>
      <c r="J99" s="26"/>
      <c r="K99" s="25"/>
      <c r="L99" s="26"/>
      <c r="M99" s="27"/>
      <c r="N99" s="27"/>
      <c r="O99" s="28" t="str">
        <f aca="false">IF(OR(M99="",M99=0,N99=""),"",N99/M99)</f>
        <v/>
      </c>
      <c r="P99" s="28" t="str">
        <f aca="false">IF(M99="","",IFERROR(IF(INDEX(Parámetros!$B$14:$B$21,MATCH(I99,Parámetros!$A$14:$A$21,0))="",Parámetros!$B$5,INDEX(Parámetros!$B$14:$B$21,MATCH(I99,Parámetros!$A$14:$A$21,0))),Parámetros!$B$5))</f>
        <v/>
      </c>
      <c r="Q99" s="29" t="str">
        <f aca="false">IF(O99="","",(O99-P99)*100)</f>
        <v/>
      </c>
      <c r="R99" s="30" t="str">
        <f aca="false">IF(O99="","",MAX(0,M99*(P99-O99)))</f>
        <v/>
      </c>
      <c r="S99" s="31" t="str">
        <f aca="false">IF(OR(L99="",L99=0,N99=""),"",N99/1000/L99)</f>
        <v/>
      </c>
      <c r="T99" s="27"/>
      <c r="U99" s="27"/>
      <c r="V99" s="27"/>
      <c r="W99" s="27"/>
      <c r="X99" s="27"/>
      <c r="Y99" s="27"/>
      <c r="Z99" s="27"/>
      <c r="AA99" s="25"/>
      <c r="AB99" s="27"/>
      <c r="AC99" s="30" t="str">
        <f aca="false">IF(M99="","",IF(AB99="",M99*Parámetros!$B$6,AB99))</f>
        <v/>
      </c>
      <c r="AD99" s="30" t="str">
        <f aca="false">IF(M99="","",SUM(T99:Z99)+AC99)</f>
        <v/>
      </c>
      <c r="AE99" s="30" t="str">
        <f aca="false">IF(OR(M99="",N99=""),"",M99-N99)</f>
        <v/>
      </c>
      <c r="AF99" s="30" t="str">
        <f aca="false">IF(AE99="","",AE99-AD99)</f>
        <v/>
      </c>
      <c r="AG99" s="28" t="str">
        <f aca="false">IF(OR(AF99="",M99=0),"",AF99/M99)</f>
        <v/>
      </c>
      <c r="AH99" s="32" t="str">
        <f aca="false">IF(OR(AE99="",N99=0),"",AE99/(N99/1000))</f>
        <v/>
      </c>
      <c r="AI99" s="30" t="str">
        <f aca="false">IF(O99="","",M99*P99)</f>
        <v/>
      </c>
      <c r="AJ99" s="11" t="str">
        <f aca="false">IF(O99="","",IF(O99&gt;1,"Error: rend &gt; 100 %",IF(SUM(T99:Z99)=0,"Falta registrar pérdidas",IF(ABS(AG99)&gt;Parámetros!$B$7,"Revisar balance",IF(O99&lt;P99,"Bajo meta","OK")))))</f>
        <v/>
      </c>
      <c r="AK99" s="33"/>
      <c r="AL99" s="10"/>
      <c r="AM99" s="33"/>
      <c r="AN99" s="33"/>
      <c r="AO99" s="10"/>
    </row>
    <row r="100" customFormat="false" ht="15" hidden="false" customHeight="false" outlineLevel="0" collapsed="false">
      <c r="A100" s="22"/>
      <c r="B100" s="23" t="str">
        <f aca="false">IF(A100="","",YEAR(A100-WEEKDAY(A100,2)+4))</f>
        <v/>
      </c>
      <c r="C100" s="23" t="str">
        <f aca="false">IF(A100="","",WEEKNUM(A100,21))</f>
        <v/>
      </c>
      <c r="D100" s="24" t="str">
        <f aca="false">IF(A100="","",DATE(YEAR(A100),MONTH(A100),1))</f>
        <v/>
      </c>
      <c r="E100" s="10"/>
      <c r="F100" s="25"/>
      <c r="G100" s="25"/>
      <c r="H100" s="10"/>
      <c r="I100" s="10"/>
      <c r="J100" s="26"/>
      <c r="K100" s="25"/>
      <c r="L100" s="26"/>
      <c r="M100" s="27"/>
      <c r="N100" s="27"/>
      <c r="O100" s="28" t="str">
        <f aca="false">IF(OR(M100="",M100=0,N100=""),"",N100/M100)</f>
        <v/>
      </c>
      <c r="P100" s="28" t="str">
        <f aca="false">IF(M100="","",IFERROR(IF(INDEX(Parámetros!$B$14:$B$21,MATCH(I100,Parámetros!$A$14:$A$21,0))="",Parámetros!$B$5,INDEX(Parámetros!$B$14:$B$21,MATCH(I100,Parámetros!$A$14:$A$21,0))),Parámetros!$B$5))</f>
        <v/>
      </c>
      <c r="Q100" s="29" t="str">
        <f aca="false">IF(O100="","",(O100-P100)*100)</f>
        <v/>
      </c>
      <c r="R100" s="30" t="str">
        <f aca="false">IF(O100="","",MAX(0,M100*(P100-O100)))</f>
        <v/>
      </c>
      <c r="S100" s="31" t="str">
        <f aca="false">IF(OR(L100="",L100=0,N100=""),"",N100/1000/L100)</f>
        <v/>
      </c>
      <c r="T100" s="27"/>
      <c r="U100" s="27"/>
      <c r="V100" s="27"/>
      <c r="W100" s="27"/>
      <c r="X100" s="27"/>
      <c r="Y100" s="27"/>
      <c r="Z100" s="27"/>
      <c r="AA100" s="25"/>
      <c r="AB100" s="27"/>
      <c r="AC100" s="30" t="str">
        <f aca="false">IF(M100="","",IF(AB100="",M100*Parámetros!$B$6,AB100))</f>
        <v/>
      </c>
      <c r="AD100" s="30" t="str">
        <f aca="false">IF(M100="","",SUM(T100:Z100)+AC100)</f>
        <v/>
      </c>
      <c r="AE100" s="30" t="str">
        <f aca="false">IF(OR(M100="",N100=""),"",M100-N100)</f>
        <v/>
      </c>
      <c r="AF100" s="30" t="str">
        <f aca="false">IF(AE100="","",AE100-AD100)</f>
        <v/>
      </c>
      <c r="AG100" s="28" t="str">
        <f aca="false">IF(OR(AF100="",M100=0),"",AF100/M100)</f>
        <v/>
      </c>
      <c r="AH100" s="32" t="str">
        <f aca="false">IF(OR(AE100="",N100=0),"",AE100/(N100/1000))</f>
        <v/>
      </c>
      <c r="AI100" s="30" t="str">
        <f aca="false">IF(O100="","",M100*P100)</f>
        <v/>
      </c>
      <c r="AJ100" s="11" t="str">
        <f aca="false">IF(O100="","",IF(O100&gt;1,"Error: rend &gt; 100 %",IF(SUM(T100:Z100)=0,"Falta registrar pérdidas",IF(ABS(AG100)&gt;Parámetros!$B$7,"Revisar balance",IF(O100&lt;P100,"Bajo meta","OK")))))</f>
        <v/>
      </c>
      <c r="AK100" s="33"/>
      <c r="AL100" s="10"/>
      <c r="AM100" s="33"/>
      <c r="AN100" s="33"/>
      <c r="AO100" s="10"/>
    </row>
    <row r="101" customFormat="false" ht="15" hidden="false" customHeight="false" outlineLevel="0" collapsed="false">
      <c r="A101" s="22"/>
      <c r="B101" s="23" t="str">
        <f aca="false">IF(A101="","",YEAR(A101-WEEKDAY(A101,2)+4))</f>
        <v/>
      </c>
      <c r="C101" s="23" t="str">
        <f aca="false">IF(A101="","",WEEKNUM(A101,21))</f>
        <v/>
      </c>
      <c r="D101" s="24" t="str">
        <f aca="false">IF(A101="","",DATE(YEAR(A101),MONTH(A101),1))</f>
        <v/>
      </c>
      <c r="E101" s="10"/>
      <c r="F101" s="25"/>
      <c r="G101" s="25"/>
      <c r="H101" s="10"/>
      <c r="I101" s="10"/>
      <c r="J101" s="26"/>
      <c r="K101" s="25"/>
      <c r="L101" s="26"/>
      <c r="M101" s="27"/>
      <c r="N101" s="27"/>
      <c r="O101" s="28" t="str">
        <f aca="false">IF(OR(M101="",M101=0,N101=""),"",N101/M101)</f>
        <v/>
      </c>
      <c r="P101" s="28" t="str">
        <f aca="false">IF(M101="","",IFERROR(IF(INDEX(Parámetros!$B$14:$B$21,MATCH(I101,Parámetros!$A$14:$A$21,0))="",Parámetros!$B$5,INDEX(Parámetros!$B$14:$B$21,MATCH(I101,Parámetros!$A$14:$A$21,0))),Parámetros!$B$5))</f>
        <v/>
      </c>
      <c r="Q101" s="29" t="str">
        <f aca="false">IF(O101="","",(O101-P101)*100)</f>
        <v/>
      </c>
      <c r="R101" s="30" t="str">
        <f aca="false">IF(O101="","",MAX(0,M101*(P101-O101)))</f>
        <v/>
      </c>
      <c r="S101" s="31" t="str">
        <f aca="false">IF(OR(L101="",L101=0,N101=""),"",N101/1000/L101)</f>
        <v/>
      </c>
      <c r="T101" s="27"/>
      <c r="U101" s="27"/>
      <c r="V101" s="27"/>
      <c r="W101" s="27"/>
      <c r="X101" s="27"/>
      <c r="Y101" s="27"/>
      <c r="Z101" s="27"/>
      <c r="AA101" s="25"/>
      <c r="AB101" s="27"/>
      <c r="AC101" s="30" t="str">
        <f aca="false">IF(M101="","",IF(AB101="",M101*Parámetros!$B$6,AB101))</f>
        <v/>
      </c>
      <c r="AD101" s="30" t="str">
        <f aca="false">IF(M101="","",SUM(T101:Z101)+AC101)</f>
        <v/>
      </c>
      <c r="AE101" s="30" t="str">
        <f aca="false">IF(OR(M101="",N101=""),"",M101-N101)</f>
        <v/>
      </c>
      <c r="AF101" s="30" t="str">
        <f aca="false">IF(AE101="","",AE101-AD101)</f>
        <v/>
      </c>
      <c r="AG101" s="28" t="str">
        <f aca="false">IF(OR(AF101="",M101=0),"",AF101/M101)</f>
        <v/>
      </c>
      <c r="AH101" s="32" t="str">
        <f aca="false">IF(OR(AE101="",N101=0),"",AE101/(N101/1000))</f>
        <v/>
      </c>
      <c r="AI101" s="30" t="str">
        <f aca="false">IF(O101="","",M101*P101)</f>
        <v/>
      </c>
      <c r="AJ101" s="11" t="str">
        <f aca="false">IF(O101="","",IF(O101&gt;1,"Error: rend &gt; 100 %",IF(SUM(T101:Z101)=0,"Falta registrar pérdidas",IF(ABS(AG101)&gt;Parámetros!$B$7,"Revisar balance",IF(O101&lt;P101,"Bajo meta","OK")))))</f>
        <v/>
      </c>
      <c r="AK101" s="33"/>
      <c r="AL101" s="10"/>
      <c r="AM101" s="33"/>
      <c r="AN101" s="33"/>
      <c r="AO101" s="10"/>
    </row>
    <row r="102" customFormat="false" ht="15" hidden="false" customHeight="false" outlineLevel="0" collapsed="false">
      <c r="A102" s="22"/>
      <c r="B102" s="23" t="str">
        <f aca="false">IF(A102="","",YEAR(A102-WEEKDAY(A102,2)+4))</f>
        <v/>
      </c>
      <c r="C102" s="23" t="str">
        <f aca="false">IF(A102="","",WEEKNUM(A102,21))</f>
        <v/>
      </c>
      <c r="D102" s="24" t="str">
        <f aca="false">IF(A102="","",DATE(YEAR(A102),MONTH(A102),1))</f>
        <v/>
      </c>
      <c r="E102" s="10"/>
      <c r="F102" s="25"/>
      <c r="G102" s="25"/>
      <c r="H102" s="10"/>
      <c r="I102" s="10"/>
      <c r="J102" s="26"/>
      <c r="K102" s="25"/>
      <c r="L102" s="26"/>
      <c r="M102" s="27"/>
      <c r="N102" s="27"/>
      <c r="O102" s="28" t="str">
        <f aca="false">IF(OR(M102="",M102=0,N102=""),"",N102/M102)</f>
        <v/>
      </c>
      <c r="P102" s="28" t="str">
        <f aca="false">IF(M102="","",IFERROR(IF(INDEX(Parámetros!$B$14:$B$21,MATCH(I102,Parámetros!$A$14:$A$21,0))="",Parámetros!$B$5,INDEX(Parámetros!$B$14:$B$21,MATCH(I102,Parámetros!$A$14:$A$21,0))),Parámetros!$B$5))</f>
        <v/>
      </c>
      <c r="Q102" s="29" t="str">
        <f aca="false">IF(O102="","",(O102-P102)*100)</f>
        <v/>
      </c>
      <c r="R102" s="30" t="str">
        <f aca="false">IF(O102="","",MAX(0,M102*(P102-O102)))</f>
        <v/>
      </c>
      <c r="S102" s="31" t="str">
        <f aca="false">IF(OR(L102="",L102=0,N102=""),"",N102/1000/L102)</f>
        <v/>
      </c>
      <c r="T102" s="27"/>
      <c r="U102" s="27"/>
      <c r="V102" s="27"/>
      <c r="W102" s="27"/>
      <c r="X102" s="27"/>
      <c r="Y102" s="27"/>
      <c r="Z102" s="27"/>
      <c r="AA102" s="25"/>
      <c r="AB102" s="27"/>
      <c r="AC102" s="30" t="str">
        <f aca="false">IF(M102="","",IF(AB102="",M102*Parámetros!$B$6,AB102))</f>
        <v/>
      </c>
      <c r="AD102" s="30" t="str">
        <f aca="false">IF(M102="","",SUM(T102:Z102)+AC102)</f>
        <v/>
      </c>
      <c r="AE102" s="30" t="str">
        <f aca="false">IF(OR(M102="",N102=""),"",M102-N102)</f>
        <v/>
      </c>
      <c r="AF102" s="30" t="str">
        <f aca="false">IF(AE102="","",AE102-AD102)</f>
        <v/>
      </c>
      <c r="AG102" s="28" t="str">
        <f aca="false">IF(OR(AF102="",M102=0),"",AF102/M102)</f>
        <v/>
      </c>
      <c r="AH102" s="32" t="str">
        <f aca="false">IF(OR(AE102="",N102=0),"",AE102/(N102/1000))</f>
        <v/>
      </c>
      <c r="AI102" s="30" t="str">
        <f aca="false">IF(O102="","",M102*P102)</f>
        <v/>
      </c>
      <c r="AJ102" s="11" t="str">
        <f aca="false">IF(O102="","",IF(O102&gt;1,"Error: rend &gt; 100 %",IF(SUM(T102:Z102)=0,"Falta registrar pérdidas",IF(ABS(AG102)&gt;Parámetros!$B$7,"Revisar balance",IF(O102&lt;P102,"Bajo meta","OK")))))</f>
        <v/>
      </c>
      <c r="AK102" s="33"/>
      <c r="AL102" s="10"/>
      <c r="AM102" s="33"/>
      <c r="AN102" s="33"/>
      <c r="AO102" s="10"/>
    </row>
    <row r="103" customFormat="false" ht="15" hidden="false" customHeight="false" outlineLevel="0" collapsed="false">
      <c r="A103" s="22"/>
      <c r="B103" s="23" t="str">
        <f aca="false">IF(A103="","",YEAR(A103-WEEKDAY(A103,2)+4))</f>
        <v/>
      </c>
      <c r="C103" s="23" t="str">
        <f aca="false">IF(A103="","",WEEKNUM(A103,21))</f>
        <v/>
      </c>
      <c r="D103" s="24" t="str">
        <f aca="false">IF(A103="","",DATE(YEAR(A103),MONTH(A103),1))</f>
        <v/>
      </c>
      <c r="E103" s="10"/>
      <c r="F103" s="25"/>
      <c r="G103" s="25"/>
      <c r="H103" s="10"/>
      <c r="I103" s="10"/>
      <c r="J103" s="26"/>
      <c r="K103" s="25"/>
      <c r="L103" s="26"/>
      <c r="M103" s="27"/>
      <c r="N103" s="27"/>
      <c r="O103" s="28" t="str">
        <f aca="false">IF(OR(M103="",M103=0,N103=""),"",N103/M103)</f>
        <v/>
      </c>
      <c r="P103" s="28" t="str">
        <f aca="false">IF(M103="","",IFERROR(IF(INDEX(Parámetros!$B$14:$B$21,MATCH(I103,Parámetros!$A$14:$A$21,0))="",Parámetros!$B$5,INDEX(Parámetros!$B$14:$B$21,MATCH(I103,Parámetros!$A$14:$A$21,0))),Parámetros!$B$5))</f>
        <v/>
      </c>
      <c r="Q103" s="29" t="str">
        <f aca="false">IF(O103="","",(O103-P103)*100)</f>
        <v/>
      </c>
      <c r="R103" s="30" t="str">
        <f aca="false">IF(O103="","",MAX(0,M103*(P103-O103)))</f>
        <v/>
      </c>
      <c r="S103" s="31" t="str">
        <f aca="false">IF(OR(L103="",L103=0,N103=""),"",N103/1000/L103)</f>
        <v/>
      </c>
      <c r="T103" s="27"/>
      <c r="U103" s="27"/>
      <c r="V103" s="27"/>
      <c r="W103" s="27"/>
      <c r="X103" s="27"/>
      <c r="Y103" s="27"/>
      <c r="Z103" s="27"/>
      <c r="AA103" s="25"/>
      <c r="AB103" s="27"/>
      <c r="AC103" s="30" t="str">
        <f aca="false">IF(M103="","",IF(AB103="",M103*Parámetros!$B$6,AB103))</f>
        <v/>
      </c>
      <c r="AD103" s="30" t="str">
        <f aca="false">IF(M103="","",SUM(T103:Z103)+AC103)</f>
        <v/>
      </c>
      <c r="AE103" s="30" t="str">
        <f aca="false">IF(OR(M103="",N103=""),"",M103-N103)</f>
        <v/>
      </c>
      <c r="AF103" s="30" t="str">
        <f aca="false">IF(AE103="","",AE103-AD103)</f>
        <v/>
      </c>
      <c r="AG103" s="28" t="str">
        <f aca="false">IF(OR(AF103="",M103=0),"",AF103/M103)</f>
        <v/>
      </c>
      <c r="AH103" s="32" t="str">
        <f aca="false">IF(OR(AE103="",N103=0),"",AE103/(N103/1000))</f>
        <v/>
      </c>
      <c r="AI103" s="30" t="str">
        <f aca="false">IF(O103="","",M103*P103)</f>
        <v/>
      </c>
      <c r="AJ103" s="11" t="str">
        <f aca="false">IF(O103="","",IF(O103&gt;1,"Error: rend &gt; 100 %",IF(SUM(T103:Z103)=0,"Falta registrar pérdidas",IF(ABS(AG103)&gt;Parámetros!$B$7,"Revisar balance",IF(O103&lt;P103,"Bajo meta","OK")))))</f>
        <v/>
      </c>
      <c r="AK103" s="33"/>
      <c r="AL103" s="10"/>
      <c r="AM103" s="33"/>
      <c r="AN103" s="33"/>
      <c r="AO103" s="10"/>
    </row>
    <row r="104" customFormat="false" ht="15" hidden="false" customHeight="false" outlineLevel="0" collapsed="false">
      <c r="A104" s="22"/>
      <c r="B104" s="23" t="str">
        <f aca="false">IF(A104="","",YEAR(A104-WEEKDAY(A104,2)+4))</f>
        <v/>
      </c>
      <c r="C104" s="23" t="str">
        <f aca="false">IF(A104="","",WEEKNUM(A104,21))</f>
        <v/>
      </c>
      <c r="D104" s="24" t="str">
        <f aca="false">IF(A104="","",DATE(YEAR(A104),MONTH(A104),1))</f>
        <v/>
      </c>
      <c r="E104" s="10"/>
      <c r="F104" s="25"/>
      <c r="G104" s="25"/>
      <c r="H104" s="10"/>
      <c r="I104" s="10"/>
      <c r="J104" s="26"/>
      <c r="K104" s="25"/>
      <c r="L104" s="26"/>
      <c r="M104" s="27"/>
      <c r="N104" s="27"/>
      <c r="O104" s="28" t="str">
        <f aca="false">IF(OR(M104="",M104=0,N104=""),"",N104/M104)</f>
        <v/>
      </c>
      <c r="P104" s="28" t="str">
        <f aca="false">IF(M104="","",IFERROR(IF(INDEX(Parámetros!$B$14:$B$21,MATCH(I104,Parámetros!$A$14:$A$21,0))="",Parámetros!$B$5,INDEX(Parámetros!$B$14:$B$21,MATCH(I104,Parámetros!$A$14:$A$21,0))),Parámetros!$B$5))</f>
        <v/>
      </c>
      <c r="Q104" s="29" t="str">
        <f aca="false">IF(O104="","",(O104-P104)*100)</f>
        <v/>
      </c>
      <c r="R104" s="30" t="str">
        <f aca="false">IF(O104="","",MAX(0,M104*(P104-O104)))</f>
        <v/>
      </c>
      <c r="S104" s="31" t="str">
        <f aca="false">IF(OR(L104="",L104=0,N104=""),"",N104/1000/L104)</f>
        <v/>
      </c>
      <c r="T104" s="27"/>
      <c r="U104" s="27"/>
      <c r="V104" s="27"/>
      <c r="W104" s="27"/>
      <c r="X104" s="27"/>
      <c r="Y104" s="27"/>
      <c r="Z104" s="27"/>
      <c r="AA104" s="25"/>
      <c r="AB104" s="27"/>
      <c r="AC104" s="30" t="str">
        <f aca="false">IF(M104="","",IF(AB104="",M104*Parámetros!$B$6,AB104))</f>
        <v/>
      </c>
      <c r="AD104" s="30" t="str">
        <f aca="false">IF(M104="","",SUM(T104:Z104)+AC104)</f>
        <v/>
      </c>
      <c r="AE104" s="30" t="str">
        <f aca="false">IF(OR(M104="",N104=""),"",M104-N104)</f>
        <v/>
      </c>
      <c r="AF104" s="30" t="str">
        <f aca="false">IF(AE104="","",AE104-AD104)</f>
        <v/>
      </c>
      <c r="AG104" s="28" t="str">
        <f aca="false">IF(OR(AF104="",M104=0),"",AF104/M104)</f>
        <v/>
      </c>
      <c r="AH104" s="32" t="str">
        <f aca="false">IF(OR(AE104="",N104=0),"",AE104/(N104/1000))</f>
        <v/>
      </c>
      <c r="AI104" s="30" t="str">
        <f aca="false">IF(O104="","",M104*P104)</f>
        <v/>
      </c>
      <c r="AJ104" s="11" t="str">
        <f aca="false">IF(O104="","",IF(O104&gt;1,"Error: rend &gt; 100 %",IF(SUM(T104:Z104)=0,"Falta registrar pérdidas",IF(ABS(AG104)&gt;Parámetros!$B$7,"Revisar balance",IF(O104&lt;P104,"Bajo meta","OK")))))</f>
        <v/>
      </c>
      <c r="AK104" s="33"/>
      <c r="AL104" s="10"/>
      <c r="AM104" s="33"/>
      <c r="AN104" s="33"/>
      <c r="AO104" s="10"/>
    </row>
    <row r="105" customFormat="false" ht="15" hidden="false" customHeight="false" outlineLevel="0" collapsed="false">
      <c r="A105" s="22"/>
      <c r="B105" s="23" t="str">
        <f aca="false">IF(A105="","",YEAR(A105-WEEKDAY(A105,2)+4))</f>
        <v/>
      </c>
      <c r="C105" s="23" t="str">
        <f aca="false">IF(A105="","",WEEKNUM(A105,21))</f>
        <v/>
      </c>
      <c r="D105" s="24" t="str">
        <f aca="false">IF(A105="","",DATE(YEAR(A105),MONTH(A105),1))</f>
        <v/>
      </c>
      <c r="E105" s="10"/>
      <c r="F105" s="25"/>
      <c r="G105" s="25"/>
      <c r="H105" s="10"/>
      <c r="I105" s="10"/>
      <c r="J105" s="26"/>
      <c r="K105" s="25"/>
      <c r="L105" s="26"/>
      <c r="M105" s="27"/>
      <c r="N105" s="27"/>
      <c r="O105" s="28" t="str">
        <f aca="false">IF(OR(M105="",M105=0,N105=""),"",N105/M105)</f>
        <v/>
      </c>
      <c r="P105" s="28" t="str">
        <f aca="false">IF(M105="","",IFERROR(IF(INDEX(Parámetros!$B$14:$B$21,MATCH(I105,Parámetros!$A$14:$A$21,0))="",Parámetros!$B$5,INDEX(Parámetros!$B$14:$B$21,MATCH(I105,Parámetros!$A$14:$A$21,0))),Parámetros!$B$5))</f>
        <v/>
      </c>
      <c r="Q105" s="29" t="str">
        <f aca="false">IF(O105="","",(O105-P105)*100)</f>
        <v/>
      </c>
      <c r="R105" s="30" t="str">
        <f aca="false">IF(O105="","",MAX(0,M105*(P105-O105)))</f>
        <v/>
      </c>
      <c r="S105" s="31" t="str">
        <f aca="false">IF(OR(L105="",L105=0,N105=""),"",N105/1000/L105)</f>
        <v/>
      </c>
      <c r="T105" s="27"/>
      <c r="U105" s="27"/>
      <c r="V105" s="27"/>
      <c r="W105" s="27"/>
      <c r="X105" s="27"/>
      <c r="Y105" s="27"/>
      <c r="Z105" s="27"/>
      <c r="AA105" s="25"/>
      <c r="AB105" s="27"/>
      <c r="AC105" s="30" t="str">
        <f aca="false">IF(M105="","",IF(AB105="",M105*Parámetros!$B$6,AB105))</f>
        <v/>
      </c>
      <c r="AD105" s="30" t="str">
        <f aca="false">IF(M105="","",SUM(T105:Z105)+AC105)</f>
        <v/>
      </c>
      <c r="AE105" s="30" t="str">
        <f aca="false">IF(OR(M105="",N105=""),"",M105-N105)</f>
        <v/>
      </c>
      <c r="AF105" s="30" t="str">
        <f aca="false">IF(AE105="","",AE105-AD105)</f>
        <v/>
      </c>
      <c r="AG105" s="28" t="str">
        <f aca="false">IF(OR(AF105="",M105=0),"",AF105/M105)</f>
        <v/>
      </c>
      <c r="AH105" s="32" t="str">
        <f aca="false">IF(OR(AE105="",N105=0),"",AE105/(N105/1000))</f>
        <v/>
      </c>
      <c r="AI105" s="30" t="str">
        <f aca="false">IF(O105="","",M105*P105)</f>
        <v/>
      </c>
      <c r="AJ105" s="11" t="str">
        <f aca="false">IF(O105="","",IF(O105&gt;1,"Error: rend &gt; 100 %",IF(SUM(T105:Z105)=0,"Falta registrar pérdidas",IF(ABS(AG105)&gt;Parámetros!$B$7,"Revisar balance",IF(O105&lt;P105,"Bajo meta","OK")))))</f>
        <v/>
      </c>
      <c r="AK105" s="33"/>
      <c r="AL105" s="10"/>
      <c r="AM105" s="33"/>
      <c r="AN105" s="33"/>
      <c r="AO105" s="10"/>
    </row>
    <row r="106" customFormat="false" ht="15" hidden="false" customHeight="false" outlineLevel="0" collapsed="false">
      <c r="A106" s="22"/>
      <c r="B106" s="23" t="str">
        <f aca="false">IF(A106="","",YEAR(A106-WEEKDAY(A106,2)+4))</f>
        <v/>
      </c>
      <c r="C106" s="23" t="str">
        <f aca="false">IF(A106="","",WEEKNUM(A106,21))</f>
        <v/>
      </c>
      <c r="D106" s="24" t="str">
        <f aca="false">IF(A106="","",DATE(YEAR(A106),MONTH(A106),1))</f>
        <v/>
      </c>
      <c r="E106" s="10"/>
      <c r="F106" s="25"/>
      <c r="G106" s="25"/>
      <c r="H106" s="10"/>
      <c r="I106" s="10"/>
      <c r="J106" s="26"/>
      <c r="K106" s="25"/>
      <c r="L106" s="26"/>
      <c r="M106" s="27"/>
      <c r="N106" s="27"/>
      <c r="O106" s="28" t="str">
        <f aca="false">IF(OR(M106="",M106=0,N106=""),"",N106/M106)</f>
        <v/>
      </c>
      <c r="P106" s="28" t="str">
        <f aca="false">IF(M106="","",IFERROR(IF(INDEX(Parámetros!$B$14:$B$21,MATCH(I106,Parámetros!$A$14:$A$21,0))="",Parámetros!$B$5,INDEX(Parámetros!$B$14:$B$21,MATCH(I106,Parámetros!$A$14:$A$21,0))),Parámetros!$B$5))</f>
        <v/>
      </c>
      <c r="Q106" s="29" t="str">
        <f aca="false">IF(O106="","",(O106-P106)*100)</f>
        <v/>
      </c>
      <c r="R106" s="30" t="str">
        <f aca="false">IF(O106="","",MAX(0,M106*(P106-O106)))</f>
        <v/>
      </c>
      <c r="S106" s="31" t="str">
        <f aca="false">IF(OR(L106="",L106=0,N106=""),"",N106/1000/L106)</f>
        <v/>
      </c>
      <c r="T106" s="27"/>
      <c r="U106" s="27"/>
      <c r="V106" s="27"/>
      <c r="W106" s="27"/>
      <c r="X106" s="27"/>
      <c r="Y106" s="27"/>
      <c r="Z106" s="27"/>
      <c r="AA106" s="25"/>
      <c r="AB106" s="27"/>
      <c r="AC106" s="30" t="str">
        <f aca="false">IF(M106="","",IF(AB106="",M106*Parámetros!$B$6,AB106))</f>
        <v/>
      </c>
      <c r="AD106" s="30" t="str">
        <f aca="false">IF(M106="","",SUM(T106:Z106)+AC106)</f>
        <v/>
      </c>
      <c r="AE106" s="30" t="str">
        <f aca="false">IF(OR(M106="",N106=""),"",M106-N106)</f>
        <v/>
      </c>
      <c r="AF106" s="30" t="str">
        <f aca="false">IF(AE106="","",AE106-AD106)</f>
        <v/>
      </c>
      <c r="AG106" s="28" t="str">
        <f aca="false">IF(OR(AF106="",M106=0),"",AF106/M106)</f>
        <v/>
      </c>
      <c r="AH106" s="32" t="str">
        <f aca="false">IF(OR(AE106="",N106=0),"",AE106/(N106/1000))</f>
        <v/>
      </c>
      <c r="AI106" s="30" t="str">
        <f aca="false">IF(O106="","",M106*P106)</f>
        <v/>
      </c>
      <c r="AJ106" s="11" t="str">
        <f aca="false">IF(O106="","",IF(O106&gt;1,"Error: rend &gt; 100 %",IF(SUM(T106:Z106)=0,"Falta registrar pérdidas",IF(ABS(AG106)&gt;Parámetros!$B$7,"Revisar balance",IF(O106&lt;P106,"Bajo meta","OK")))))</f>
        <v/>
      </c>
      <c r="AK106" s="33"/>
      <c r="AL106" s="10"/>
      <c r="AM106" s="33"/>
      <c r="AN106" s="33"/>
      <c r="AO106" s="10"/>
    </row>
    <row r="107" customFormat="false" ht="15" hidden="false" customHeight="false" outlineLevel="0" collapsed="false">
      <c r="A107" s="22"/>
      <c r="B107" s="23" t="str">
        <f aca="false">IF(A107="","",YEAR(A107-WEEKDAY(A107,2)+4))</f>
        <v/>
      </c>
      <c r="C107" s="23" t="str">
        <f aca="false">IF(A107="","",WEEKNUM(A107,21))</f>
        <v/>
      </c>
      <c r="D107" s="24" t="str">
        <f aca="false">IF(A107="","",DATE(YEAR(A107),MONTH(A107),1))</f>
        <v/>
      </c>
      <c r="E107" s="10"/>
      <c r="F107" s="25"/>
      <c r="G107" s="25"/>
      <c r="H107" s="10"/>
      <c r="I107" s="10"/>
      <c r="J107" s="26"/>
      <c r="K107" s="25"/>
      <c r="L107" s="26"/>
      <c r="M107" s="27"/>
      <c r="N107" s="27"/>
      <c r="O107" s="28" t="str">
        <f aca="false">IF(OR(M107="",M107=0,N107=""),"",N107/M107)</f>
        <v/>
      </c>
      <c r="P107" s="28" t="str">
        <f aca="false">IF(M107="","",IFERROR(IF(INDEX(Parámetros!$B$14:$B$21,MATCH(I107,Parámetros!$A$14:$A$21,0))="",Parámetros!$B$5,INDEX(Parámetros!$B$14:$B$21,MATCH(I107,Parámetros!$A$14:$A$21,0))),Parámetros!$B$5))</f>
        <v/>
      </c>
      <c r="Q107" s="29" t="str">
        <f aca="false">IF(O107="","",(O107-P107)*100)</f>
        <v/>
      </c>
      <c r="R107" s="30" t="str">
        <f aca="false">IF(O107="","",MAX(0,M107*(P107-O107)))</f>
        <v/>
      </c>
      <c r="S107" s="31" t="str">
        <f aca="false">IF(OR(L107="",L107=0,N107=""),"",N107/1000/L107)</f>
        <v/>
      </c>
      <c r="T107" s="27"/>
      <c r="U107" s="27"/>
      <c r="V107" s="27"/>
      <c r="W107" s="27"/>
      <c r="X107" s="27"/>
      <c r="Y107" s="27"/>
      <c r="Z107" s="27"/>
      <c r="AA107" s="25"/>
      <c r="AB107" s="27"/>
      <c r="AC107" s="30" t="str">
        <f aca="false">IF(M107="","",IF(AB107="",M107*Parámetros!$B$6,AB107))</f>
        <v/>
      </c>
      <c r="AD107" s="30" t="str">
        <f aca="false">IF(M107="","",SUM(T107:Z107)+AC107)</f>
        <v/>
      </c>
      <c r="AE107" s="30" t="str">
        <f aca="false">IF(OR(M107="",N107=""),"",M107-N107)</f>
        <v/>
      </c>
      <c r="AF107" s="30" t="str">
        <f aca="false">IF(AE107="","",AE107-AD107)</f>
        <v/>
      </c>
      <c r="AG107" s="28" t="str">
        <f aca="false">IF(OR(AF107="",M107=0),"",AF107/M107)</f>
        <v/>
      </c>
      <c r="AH107" s="32" t="str">
        <f aca="false">IF(OR(AE107="",N107=0),"",AE107/(N107/1000))</f>
        <v/>
      </c>
      <c r="AI107" s="30" t="str">
        <f aca="false">IF(O107="","",M107*P107)</f>
        <v/>
      </c>
      <c r="AJ107" s="11" t="str">
        <f aca="false">IF(O107="","",IF(O107&gt;1,"Error: rend &gt; 100 %",IF(SUM(T107:Z107)=0,"Falta registrar pérdidas",IF(ABS(AG107)&gt;Parámetros!$B$7,"Revisar balance",IF(O107&lt;P107,"Bajo meta","OK")))))</f>
        <v/>
      </c>
      <c r="AK107" s="33"/>
      <c r="AL107" s="10"/>
      <c r="AM107" s="33"/>
      <c r="AN107" s="33"/>
      <c r="AO107" s="10"/>
    </row>
    <row r="108" customFormat="false" ht="15" hidden="false" customHeight="false" outlineLevel="0" collapsed="false">
      <c r="A108" s="22"/>
      <c r="B108" s="23" t="str">
        <f aca="false">IF(A108="","",YEAR(A108-WEEKDAY(A108,2)+4))</f>
        <v/>
      </c>
      <c r="C108" s="23" t="str">
        <f aca="false">IF(A108="","",WEEKNUM(A108,21))</f>
        <v/>
      </c>
      <c r="D108" s="24" t="str">
        <f aca="false">IF(A108="","",DATE(YEAR(A108),MONTH(A108),1))</f>
        <v/>
      </c>
      <c r="E108" s="10"/>
      <c r="F108" s="25"/>
      <c r="G108" s="25"/>
      <c r="H108" s="10"/>
      <c r="I108" s="10"/>
      <c r="J108" s="26"/>
      <c r="K108" s="25"/>
      <c r="L108" s="26"/>
      <c r="M108" s="27"/>
      <c r="N108" s="27"/>
      <c r="O108" s="28" t="str">
        <f aca="false">IF(OR(M108="",M108=0,N108=""),"",N108/M108)</f>
        <v/>
      </c>
      <c r="P108" s="28" t="str">
        <f aca="false">IF(M108="","",IFERROR(IF(INDEX(Parámetros!$B$14:$B$21,MATCH(I108,Parámetros!$A$14:$A$21,0))="",Parámetros!$B$5,INDEX(Parámetros!$B$14:$B$21,MATCH(I108,Parámetros!$A$14:$A$21,0))),Parámetros!$B$5))</f>
        <v/>
      </c>
      <c r="Q108" s="29" t="str">
        <f aca="false">IF(O108="","",(O108-P108)*100)</f>
        <v/>
      </c>
      <c r="R108" s="30" t="str">
        <f aca="false">IF(O108="","",MAX(0,M108*(P108-O108)))</f>
        <v/>
      </c>
      <c r="S108" s="31" t="str">
        <f aca="false">IF(OR(L108="",L108=0,N108=""),"",N108/1000/L108)</f>
        <v/>
      </c>
      <c r="T108" s="27"/>
      <c r="U108" s="27"/>
      <c r="V108" s="27"/>
      <c r="W108" s="27"/>
      <c r="X108" s="27"/>
      <c r="Y108" s="27"/>
      <c r="Z108" s="27"/>
      <c r="AA108" s="25"/>
      <c r="AB108" s="27"/>
      <c r="AC108" s="30" t="str">
        <f aca="false">IF(M108="","",IF(AB108="",M108*Parámetros!$B$6,AB108))</f>
        <v/>
      </c>
      <c r="AD108" s="30" t="str">
        <f aca="false">IF(M108="","",SUM(T108:Z108)+AC108)</f>
        <v/>
      </c>
      <c r="AE108" s="30" t="str">
        <f aca="false">IF(OR(M108="",N108=""),"",M108-N108)</f>
        <v/>
      </c>
      <c r="AF108" s="30" t="str">
        <f aca="false">IF(AE108="","",AE108-AD108)</f>
        <v/>
      </c>
      <c r="AG108" s="28" t="str">
        <f aca="false">IF(OR(AF108="",M108=0),"",AF108/M108)</f>
        <v/>
      </c>
      <c r="AH108" s="32" t="str">
        <f aca="false">IF(OR(AE108="",N108=0),"",AE108/(N108/1000))</f>
        <v/>
      </c>
      <c r="AI108" s="30" t="str">
        <f aca="false">IF(O108="","",M108*P108)</f>
        <v/>
      </c>
      <c r="AJ108" s="11" t="str">
        <f aca="false">IF(O108="","",IF(O108&gt;1,"Error: rend &gt; 100 %",IF(SUM(T108:Z108)=0,"Falta registrar pérdidas",IF(ABS(AG108)&gt;Parámetros!$B$7,"Revisar balance",IF(O108&lt;P108,"Bajo meta","OK")))))</f>
        <v/>
      </c>
      <c r="AK108" s="33"/>
      <c r="AL108" s="10"/>
      <c r="AM108" s="33"/>
      <c r="AN108" s="33"/>
      <c r="AO108" s="10"/>
    </row>
    <row r="109" customFormat="false" ht="15" hidden="false" customHeight="false" outlineLevel="0" collapsed="false">
      <c r="A109" s="22"/>
      <c r="B109" s="23" t="str">
        <f aca="false">IF(A109="","",YEAR(A109-WEEKDAY(A109,2)+4))</f>
        <v/>
      </c>
      <c r="C109" s="23" t="str">
        <f aca="false">IF(A109="","",WEEKNUM(A109,21))</f>
        <v/>
      </c>
      <c r="D109" s="24" t="str">
        <f aca="false">IF(A109="","",DATE(YEAR(A109),MONTH(A109),1))</f>
        <v/>
      </c>
      <c r="E109" s="10"/>
      <c r="F109" s="25"/>
      <c r="G109" s="25"/>
      <c r="H109" s="10"/>
      <c r="I109" s="10"/>
      <c r="J109" s="26"/>
      <c r="K109" s="25"/>
      <c r="L109" s="26"/>
      <c r="M109" s="27"/>
      <c r="N109" s="27"/>
      <c r="O109" s="28" t="str">
        <f aca="false">IF(OR(M109="",M109=0,N109=""),"",N109/M109)</f>
        <v/>
      </c>
      <c r="P109" s="28" t="str">
        <f aca="false">IF(M109="","",IFERROR(IF(INDEX(Parámetros!$B$14:$B$21,MATCH(I109,Parámetros!$A$14:$A$21,0))="",Parámetros!$B$5,INDEX(Parámetros!$B$14:$B$21,MATCH(I109,Parámetros!$A$14:$A$21,0))),Parámetros!$B$5))</f>
        <v/>
      </c>
      <c r="Q109" s="29" t="str">
        <f aca="false">IF(O109="","",(O109-P109)*100)</f>
        <v/>
      </c>
      <c r="R109" s="30" t="str">
        <f aca="false">IF(O109="","",MAX(0,M109*(P109-O109)))</f>
        <v/>
      </c>
      <c r="S109" s="31" t="str">
        <f aca="false">IF(OR(L109="",L109=0,N109=""),"",N109/1000/L109)</f>
        <v/>
      </c>
      <c r="T109" s="27"/>
      <c r="U109" s="27"/>
      <c r="V109" s="27"/>
      <c r="W109" s="27"/>
      <c r="X109" s="27"/>
      <c r="Y109" s="27"/>
      <c r="Z109" s="27"/>
      <c r="AA109" s="25"/>
      <c r="AB109" s="27"/>
      <c r="AC109" s="30" t="str">
        <f aca="false">IF(M109="","",IF(AB109="",M109*Parámetros!$B$6,AB109))</f>
        <v/>
      </c>
      <c r="AD109" s="30" t="str">
        <f aca="false">IF(M109="","",SUM(T109:Z109)+AC109)</f>
        <v/>
      </c>
      <c r="AE109" s="30" t="str">
        <f aca="false">IF(OR(M109="",N109=""),"",M109-N109)</f>
        <v/>
      </c>
      <c r="AF109" s="30" t="str">
        <f aca="false">IF(AE109="","",AE109-AD109)</f>
        <v/>
      </c>
      <c r="AG109" s="28" t="str">
        <f aca="false">IF(OR(AF109="",M109=0),"",AF109/M109)</f>
        <v/>
      </c>
      <c r="AH109" s="32" t="str">
        <f aca="false">IF(OR(AE109="",N109=0),"",AE109/(N109/1000))</f>
        <v/>
      </c>
      <c r="AI109" s="30" t="str">
        <f aca="false">IF(O109="","",M109*P109)</f>
        <v/>
      </c>
      <c r="AJ109" s="11" t="str">
        <f aca="false">IF(O109="","",IF(O109&gt;1,"Error: rend &gt; 100 %",IF(SUM(T109:Z109)=0,"Falta registrar pérdidas",IF(ABS(AG109)&gt;Parámetros!$B$7,"Revisar balance",IF(O109&lt;P109,"Bajo meta","OK")))))</f>
        <v/>
      </c>
      <c r="AK109" s="33"/>
      <c r="AL109" s="10"/>
      <c r="AM109" s="33"/>
      <c r="AN109" s="33"/>
      <c r="AO109" s="10"/>
    </row>
    <row r="110" customFormat="false" ht="15" hidden="false" customHeight="false" outlineLevel="0" collapsed="false">
      <c r="A110" s="22"/>
      <c r="B110" s="23" t="str">
        <f aca="false">IF(A110="","",YEAR(A110-WEEKDAY(A110,2)+4))</f>
        <v/>
      </c>
      <c r="C110" s="23" t="str">
        <f aca="false">IF(A110="","",WEEKNUM(A110,21))</f>
        <v/>
      </c>
      <c r="D110" s="24" t="str">
        <f aca="false">IF(A110="","",DATE(YEAR(A110),MONTH(A110),1))</f>
        <v/>
      </c>
      <c r="E110" s="10"/>
      <c r="F110" s="25"/>
      <c r="G110" s="25"/>
      <c r="H110" s="10"/>
      <c r="I110" s="10"/>
      <c r="J110" s="26"/>
      <c r="K110" s="25"/>
      <c r="L110" s="26"/>
      <c r="M110" s="27"/>
      <c r="N110" s="27"/>
      <c r="O110" s="28" t="str">
        <f aca="false">IF(OR(M110="",M110=0,N110=""),"",N110/M110)</f>
        <v/>
      </c>
      <c r="P110" s="28" t="str">
        <f aca="false">IF(M110="","",IFERROR(IF(INDEX(Parámetros!$B$14:$B$21,MATCH(I110,Parámetros!$A$14:$A$21,0))="",Parámetros!$B$5,INDEX(Parámetros!$B$14:$B$21,MATCH(I110,Parámetros!$A$14:$A$21,0))),Parámetros!$B$5))</f>
        <v/>
      </c>
      <c r="Q110" s="29" t="str">
        <f aca="false">IF(O110="","",(O110-P110)*100)</f>
        <v/>
      </c>
      <c r="R110" s="30" t="str">
        <f aca="false">IF(O110="","",MAX(0,M110*(P110-O110)))</f>
        <v/>
      </c>
      <c r="S110" s="31" t="str">
        <f aca="false">IF(OR(L110="",L110=0,N110=""),"",N110/1000/L110)</f>
        <v/>
      </c>
      <c r="T110" s="27"/>
      <c r="U110" s="27"/>
      <c r="V110" s="27"/>
      <c r="W110" s="27"/>
      <c r="X110" s="27"/>
      <c r="Y110" s="27"/>
      <c r="Z110" s="27"/>
      <c r="AA110" s="25"/>
      <c r="AB110" s="27"/>
      <c r="AC110" s="30" t="str">
        <f aca="false">IF(M110="","",IF(AB110="",M110*Parámetros!$B$6,AB110))</f>
        <v/>
      </c>
      <c r="AD110" s="30" t="str">
        <f aca="false">IF(M110="","",SUM(T110:Z110)+AC110)</f>
        <v/>
      </c>
      <c r="AE110" s="30" t="str">
        <f aca="false">IF(OR(M110="",N110=""),"",M110-N110)</f>
        <v/>
      </c>
      <c r="AF110" s="30" t="str">
        <f aca="false">IF(AE110="","",AE110-AD110)</f>
        <v/>
      </c>
      <c r="AG110" s="28" t="str">
        <f aca="false">IF(OR(AF110="",M110=0),"",AF110/M110)</f>
        <v/>
      </c>
      <c r="AH110" s="32" t="str">
        <f aca="false">IF(OR(AE110="",N110=0),"",AE110/(N110/1000))</f>
        <v/>
      </c>
      <c r="AI110" s="30" t="str">
        <f aca="false">IF(O110="","",M110*P110)</f>
        <v/>
      </c>
      <c r="AJ110" s="11" t="str">
        <f aca="false">IF(O110="","",IF(O110&gt;1,"Error: rend &gt; 100 %",IF(SUM(T110:Z110)=0,"Falta registrar pérdidas",IF(ABS(AG110)&gt;Parámetros!$B$7,"Revisar balance",IF(O110&lt;P110,"Bajo meta","OK")))))</f>
        <v/>
      </c>
      <c r="AK110" s="33"/>
      <c r="AL110" s="10"/>
      <c r="AM110" s="33"/>
      <c r="AN110" s="33"/>
      <c r="AO110" s="10"/>
    </row>
    <row r="111" customFormat="false" ht="15" hidden="false" customHeight="false" outlineLevel="0" collapsed="false">
      <c r="A111" s="22"/>
      <c r="B111" s="23" t="str">
        <f aca="false">IF(A111="","",YEAR(A111-WEEKDAY(A111,2)+4))</f>
        <v/>
      </c>
      <c r="C111" s="23" t="str">
        <f aca="false">IF(A111="","",WEEKNUM(A111,21))</f>
        <v/>
      </c>
      <c r="D111" s="24" t="str">
        <f aca="false">IF(A111="","",DATE(YEAR(A111),MONTH(A111),1))</f>
        <v/>
      </c>
      <c r="E111" s="10"/>
      <c r="F111" s="25"/>
      <c r="G111" s="25"/>
      <c r="H111" s="10"/>
      <c r="I111" s="10"/>
      <c r="J111" s="26"/>
      <c r="K111" s="25"/>
      <c r="L111" s="26"/>
      <c r="M111" s="27"/>
      <c r="N111" s="27"/>
      <c r="O111" s="28" t="str">
        <f aca="false">IF(OR(M111="",M111=0,N111=""),"",N111/M111)</f>
        <v/>
      </c>
      <c r="P111" s="28" t="str">
        <f aca="false">IF(M111="","",IFERROR(IF(INDEX(Parámetros!$B$14:$B$21,MATCH(I111,Parámetros!$A$14:$A$21,0))="",Parámetros!$B$5,INDEX(Parámetros!$B$14:$B$21,MATCH(I111,Parámetros!$A$14:$A$21,0))),Parámetros!$B$5))</f>
        <v/>
      </c>
      <c r="Q111" s="29" t="str">
        <f aca="false">IF(O111="","",(O111-P111)*100)</f>
        <v/>
      </c>
      <c r="R111" s="30" t="str">
        <f aca="false">IF(O111="","",MAX(0,M111*(P111-O111)))</f>
        <v/>
      </c>
      <c r="S111" s="31" t="str">
        <f aca="false">IF(OR(L111="",L111=0,N111=""),"",N111/1000/L111)</f>
        <v/>
      </c>
      <c r="T111" s="27"/>
      <c r="U111" s="27"/>
      <c r="V111" s="27"/>
      <c r="W111" s="27"/>
      <c r="X111" s="27"/>
      <c r="Y111" s="27"/>
      <c r="Z111" s="27"/>
      <c r="AA111" s="25"/>
      <c r="AB111" s="27"/>
      <c r="AC111" s="30" t="str">
        <f aca="false">IF(M111="","",IF(AB111="",M111*Parámetros!$B$6,AB111))</f>
        <v/>
      </c>
      <c r="AD111" s="30" t="str">
        <f aca="false">IF(M111="","",SUM(T111:Z111)+AC111)</f>
        <v/>
      </c>
      <c r="AE111" s="30" t="str">
        <f aca="false">IF(OR(M111="",N111=""),"",M111-N111)</f>
        <v/>
      </c>
      <c r="AF111" s="30" t="str">
        <f aca="false">IF(AE111="","",AE111-AD111)</f>
        <v/>
      </c>
      <c r="AG111" s="28" t="str">
        <f aca="false">IF(OR(AF111="",M111=0),"",AF111/M111)</f>
        <v/>
      </c>
      <c r="AH111" s="32" t="str">
        <f aca="false">IF(OR(AE111="",N111=0),"",AE111/(N111/1000))</f>
        <v/>
      </c>
      <c r="AI111" s="30" t="str">
        <f aca="false">IF(O111="","",M111*P111)</f>
        <v/>
      </c>
      <c r="AJ111" s="11" t="str">
        <f aca="false">IF(O111="","",IF(O111&gt;1,"Error: rend &gt; 100 %",IF(SUM(T111:Z111)=0,"Falta registrar pérdidas",IF(ABS(AG111)&gt;Parámetros!$B$7,"Revisar balance",IF(O111&lt;P111,"Bajo meta","OK")))))</f>
        <v/>
      </c>
      <c r="AK111" s="33"/>
      <c r="AL111" s="10"/>
      <c r="AM111" s="33"/>
      <c r="AN111" s="33"/>
      <c r="AO111" s="10"/>
    </row>
    <row r="112" customFormat="false" ht="15" hidden="false" customHeight="false" outlineLevel="0" collapsed="false">
      <c r="A112" s="22"/>
      <c r="B112" s="23" t="str">
        <f aca="false">IF(A112="","",YEAR(A112-WEEKDAY(A112,2)+4))</f>
        <v/>
      </c>
      <c r="C112" s="23" t="str">
        <f aca="false">IF(A112="","",WEEKNUM(A112,21))</f>
        <v/>
      </c>
      <c r="D112" s="24" t="str">
        <f aca="false">IF(A112="","",DATE(YEAR(A112),MONTH(A112),1))</f>
        <v/>
      </c>
      <c r="E112" s="10"/>
      <c r="F112" s="25"/>
      <c r="G112" s="25"/>
      <c r="H112" s="10"/>
      <c r="I112" s="10"/>
      <c r="J112" s="26"/>
      <c r="K112" s="25"/>
      <c r="L112" s="26"/>
      <c r="M112" s="27"/>
      <c r="N112" s="27"/>
      <c r="O112" s="28" t="str">
        <f aca="false">IF(OR(M112="",M112=0,N112=""),"",N112/M112)</f>
        <v/>
      </c>
      <c r="P112" s="28" t="str">
        <f aca="false">IF(M112="","",IFERROR(IF(INDEX(Parámetros!$B$14:$B$21,MATCH(I112,Parámetros!$A$14:$A$21,0))="",Parámetros!$B$5,INDEX(Parámetros!$B$14:$B$21,MATCH(I112,Parámetros!$A$14:$A$21,0))),Parámetros!$B$5))</f>
        <v/>
      </c>
      <c r="Q112" s="29" t="str">
        <f aca="false">IF(O112="","",(O112-P112)*100)</f>
        <v/>
      </c>
      <c r="R112" s="30" t="str">
        <f aca="false">IF(O112="","",MAX(0,M112*(P112-O112)))</f>
        <v/>
      </c>
      <c r="S112" s="31" t="str">
        <f aca="false">IF(OR(L112="",L112=0,N112=""),"",N112/1000/L112)</f>
        <v/>
      </c>
      <c r="T112" s="27"/>
      <c r="U112" s="27"/>
      <c r="V112" s="27"/>
      <c r="W112" s="27"/>
      <c r="X112" s="27"/>
      <c r="Y112" s="27"/>
      <c r="Z112" s="27"/>
      <c r="AA112" s="25"/>
      <c r="AB112" s="27"/>
      <c r="AC112" s="30" t="str">
        <f aca="false">IF(M112="","",IF(AB112="",M112*Parámetros!$B$6,AB112))</f>
        <v/>
      </c>
      <c r="AD112" s="30" t="str">
        <f aca="false">IF(M112="","",SUM(T112:Z112)+AC112)</f>
        <v/>
      </c>
      <c r="AE112" s="30" t="str">
        <f aca="false">IF(OR(M112="",N112=""),"",M112-N112)</f>
        <v/>
      </c>
      <c r="AF112" s="30" t="str">
        <f aca="false">IF(AE112="","",AE112-AD112)</f>
        <v/>
      </c>
      <c r="AG112" s="28" t="str">
        <f aca="false">IF(OR(AF112="",M112=0),"",AF112/M112)</f>
        <v/>
      </c>
      <c r="AH112" s="32" t="str">
        <f aca="false">IF(OR(AE112="",N112=0),"",AE112/(N112/1000))</f>
        <v/>
      </c>
      <c r="AI112" s="30" t="str">
        <f aca="false">IF(O112="","",M112*P112)</f>
        <v/>
      </c>
      <c r="AJ112" s="11" t="str">
        <f aca="false">IF(O112="","",IF(O112&gt;1,"Error: rend &gt; 100 %",IF(SUM(T112:Z112)=0,"Falta registrar pérdidas",IF(ABS(AG112)&gt;Parámetros!$B$7,"Revisar balance",IF(O112&lt;P112,"Bajo meta","OK")))))</f>
        <v/>
      </c>
      <c r="AK112" s="33"/>
      <c r="AL112" s="10"/>
      <c r="AM112" s="33"/>
      <c r="AN112" s="33"/>
      <c r="AO112" s="10"/>
    </row>
    <row r="113" customFormat="false" ht="15" hidden="false" customHeight="false" outlineLevel="0" collapsed="false">
      <c r="A113" s="22"/>
      <c r="B113" s="23" t="str">
        <f aca="false">IF(A113="","",YEAR(A113-WEEKDAY(A113,2)+4))</f>
        <v/>
      </c>
      <c r="C113" s="23" t="str">
        <f aca="false">IF(A113="","",WEEKNUM(A113,21))</f>
        <v/>
      </c>
      <c r="D113" s="24" t="str">
        <f aca="false">IF(A113="","",DATE(YEAR(A113),MONTH(A113),1))</f>
        <v/>
      </c>
      <c r="E113" s="10"/>
      <c r="F113" s="25"/>
      <c r="G113" s="25"/>
      <c r="H113" s="10"/>
      <c r="I113" s="10"/>
      <c r="J113" s="26"/>
      <c r="K113" s="25"/>
      <c r="L113" s="26"/>
      <c r="M113" s="27"/>
      <c r="N113" s="27"/>
      <c r="O113" s="28" t="str">
        <f aca="false">IF(OR(M113="",M113=0,N113=""),"",N113/M113)</f>
        <v/>
      </c>
      <c r="P113" s="28" t="str">
        <f aca="false">IF(M113="","",IFERROR(IF(INDEX(Parámetros!$B$14:$B$21,MATCH(I113,Parámetros!$A$14:$A$21,0))="",Parámetros!$B$5,INDEX(Parámetros!$B$14:$B$21,MATCH(I113,Parámetros!$A$14:$A$21,0))),Parámetros!$B$5))</f>
        <v/>
      </c>
      <c r="Q113" s="29" t="str">
        <f aca="false">IF(O113="","",(O113-P113)*100)</f>
        <v/>
      </c>
      <c r="R113" s="30" t="str">
        <f aca="false">IF(O113="","",MAX(0,M113*(P113-O113)))</f>
        <v/>
      </c>
      <c r="S113" s="31" t="str">
        <f aca="false">IF(OR(L113="",L113=0,N113=""),"",N113/1000/L113)</f>
        <v/>
      </c>
      <c r="T113" s="27"/>
      <c r="U113" s="27"/>
      <c r="V113" s="27"/>
      <c r="W113" s="27"/>
      <c r="X113" s="27"/>
      <c r="Y113" s="27"/>
      <c r="Z113" s="27"/>
      <c r="AA113" s="25"/>
      <c r="AB113" s="27"/>
      <c r="AC113" s="30" t="str">
        <f aca="false">IF(M113="","",IF(AB113="",M113*Parámetros!$B$6,AB113))</f>
        <v/>
      </c>
      <c r="AD113" s="30" t="str">
        <f aca="false">IF(M113="","",SUM(T113:Z113)+AC113)</f>
        <v/>
      </c>
      <c r="AE113" s="30" t="str">
        <f aca="false">IF(OR(M113="",N113=""),"",M113-N113)</f>
        <v/>
      </c>
      <c r="AF113" s="30" t="str">
        <f aca="false">IF(AE113="","",AE113-AD113)</f>
        <v/>
      </c>
      <c r="AG113" s="28" t="str">
        <f aca="false">IF(OR(AF113="",M113=0),"",AF113/M113)</f>
        <v/>
      </c>
      <c r="AH113" s="32" t="str">
        <f aca="false">IF(OR(AE113="",N113=0),"",AE113/(N113/1000))</f>
        <v/>
      </c>
      <c r="AI113" s="30" t="str">
        <f aca="false">IF(O113="","",M113*P113)</f>
        <v/>
      </c>
      <c r="AJ113" s="11" t="str">
        <f aca="false">IF(O113="","",IF(O113&gt;1,"Error: rend &gt; 100 %",IF(SUM(T113:Z113)=0,"Falta registrar pérdidas",IF(ABS(AG113)&gt;Parámetros!$B$7,"Revisar balance",IF(O113&lt;P113,"Bajo meta","OK")))))</f>
        <v/>
      </c>
      <c r="AK113" s="33"/>
      <c r="AL113" s="10"/>
      <c r="AM113" s="33"/>
      <c r="AN113" s="33"/>
      <c r="AO113" s="10"/>
    </row>
    <row r="114" customFormat="false" ht="15" hidden="false" customHeight="false" outlineLevel="0" collapsed="false">
      <c r="A114" s="22"/>
      <c r="B114" s="23" t="str">
        <f aca="false">IF(A114="","",YEAR(A114-WEEKDAY(A114,2)+4))</f>
        <v/>
      </c>
      <c r="C114" s="23" t="str">
        <f aca="false">IF(A114="","",WEEKNUM(A114,21))</f>
        <v/>
      </c>
      <c r="D114" s="24" t="str">
        <f aca="false">IF(A114="","",DATE(YEAR(A114),MONTH(A114),1))</f>
        <v/>
      </c>
      <c r="E114" s="10"/>
      <c r="F114" s="25"/>
      <c r="G114" s="25"/>
      <c r="H114" s="10"/>
      <c r="I114" s="10"/>
      <c r="J114" s="26"/>
      <c r="K114" s="25"/>
      <c r="L114" s="26"/>
      <c r="M114" s="27"/>
      <c r="N114" s="27"/>
      <c r="O114" s="28" t="str">
        <f aca="false">IF(OR(M114="",M114=0,N114=""),"",N114/M114)</f>
        <v/>
      </c>
      <c r="P114" s="28" t="str">
        <f aca="false">IF(M114="","",IFERROR(IF(INDEX(Parámetros!$B$14:$B$21,MATCH(I114,Parámetros!$A$14:$A$21,0))="",Parámetros!$B$5,INDEX(Parámetros!$B$14:$B$21,MATCH(I114,Parámetros!$A$14:$A$21,0))),Parámetros!$B$5))</f>
        <v/>
      </c>
      <c r="Q114" s="29" t="str">
        <f aca="false">IF(O114="","",(O114-P114)*100)</f>
        <v/>
      </c>
      <c r="R114" s="30" t="str">
        <f aca="false">IF(O114="","",MAX(0,M114*(P114-O114)))</f>
        <v/>
      </c>
      <c r="S114" s="31" t="str">
        <f aca="false">IF(OR(L114="",L114=0,N114=""),"",N114/1000/L114)</f>
        <v/>
      </c>
      <c r="T114" s="27"/>
      <c r="U114" s="27"/>
      <c r="V114" s="27"/>
      <c r="W114" s="27"/>
      <c r="X114" s="27"/>
      <c r="Y114" s="27"/>
      <c r="Z114" s="27"/>
      <c r="AA114" s="25"/>
      <c r="AB114" s="27"/>
      <c r="AC114" s="30" t="str">
        <f aca="false">IF(M114="","",IF(AB114="",M114*Parámetros!$B$6,AB114))</f>
        <v/>
      </c>
      <c r="AD114" s="30" t="str">
        <f aca="false">IF(M114="","",SUM(T114:Z114)+AC114)</f>
        <v/>
      </c>
      <c r="AE114" s="30" t="str">
        <f aca="false">IF(OR(M114="",N114=""),"",M114-N114)</f>
        <v/>
      </c>
      <c r="AF114" s="30" t="str">
        <f aca="false">IF(AE114="","",AE114-AD114)</f>
        <v/>
      </c>
      <c r="AG114" s="28" t="str">
        <f aca="false">IF(OR(AF114="",M114=0),"",AF114/M114)</f>
        <v/>
      </c>
      <c r="AH114" s="32" t="str">
        <f aca="false">IF(OR(AE114="",N114=0),"",AE114/(N114/1000))</f>
        <v/>
      </c>
      <c r="AI114" s="30" t="str">
        <f aca="false">IF(O114="","",M114*P114)</f>
        <v/>
      </c>
      <c r="AJ114" s="11" t="str">
        <f aca="false">IF(O114="","",IF(O114&gt;1,"Error: rend &gt; 100 %",IF(SUM(T114:Z114)=0,"Falta registrar pérdidas",IF(ABS(AG114)&gt;Parámetros!$B$7,"Revisar balance",IF(O114&lt;P114,"Bajo meta","OK")))))</f>
        <v/>
      </c>
      <c r="AK114" s="33"/>
      <c r="AL114" s="10"/>
      <c r="AM114" s="33"/>
      <c r="AN114" s="33"/>
      <c r="AO114" s="10"/>
    </row>
    <row r="115" customFormat="false" ht="15" hidden="false" customHeight="false" outlineLevel="0" collapsed="false">
      <c r="A115" s="22"/>
      <c r="B115" s="23" t="str">
        <f aca="false">IF(A115="","",YEAR(A115-WEEKDAY(A115,2)+4))</f>
        <v/>
      </c>
      <c r="C115" s="23" t="str">
        <f aca="false">IF(A115="","",WEEKNUM(A115,21))</f>
        <v/>
      </c>
      <c r="D115" s="24" t="str">
        <f aca="false">IF(A115="","",DATE(YEAR(A115),MONTH(A115),1))</f>
        <v/>
      </c>
      <c r="E115" s="10"/>
      <c r="F115" s="25"/>
      <c r="G115" s="25"/>
      <c r="H115" s="10"/>
      <c r="I115" s="10"/>
      <c r="J115" s="26"/>
      <c r="K115" s="25"/>
      <c r="L115" s="26"/>
      <c r="M115" s="27"/>
      <c r="N115" s="27"/>
      <c r="O115" s="28" t="str">
        <f aca="false">IF(OR(M115="",M115=0,N115=""),"",N115/M115)</f>
        <v/>
      </c>
      <c r="P115" s="28" t="str">
        <f aca="false">IF(M115="","",IFERROR(IF(INDEX(Parámetros!$B$14:$B$21,MATCH(I115,Parámetros!$A$14:$A$21,0))="",Parámetros!$B$5,INDEX(Parámetros!$B$14:$B$21,MATCH(I115,Parámetros!$A$14:$A$21,0))),Parámetros!$B$5))</f>
        <v/>
      </c>
      <c r="Q115" s="29" t="str">
        <f aca="false">IF(O115="","",(O115-P115)*100)</f>
        <v/>
      </c>
      <c r="R115" s="30" t="str">
        <f aca="false">IF(O115="","",MAX(0,M115*(P115-O115)))</f>
        <v/>
      </c>
      <c r="S115" s="31" t="str">
        <f aca="false">IF(OR(L115="",L115=0,N115=""),"",N115/1000/L115)</f>
        <v/>
      </c>
      <c r="T115" s="27"/>
      <c r="U115" s="27"/>
      <c r="V115" s="27"/>
      <c r="W115" s="27"/>
      <c r="X115" s="27"/>
      <c r="Y115" s="27"/>
      <c r="Z115" s="27"/>
      <c r="AA115" s="25"/>
      <c r="AB115" s="27"/>
      <c r="AC115" s="30" t="str">
        <f aca="false">IF(M115="","",IF(AB115="",M115*Parámetros!$B$6,AB115))</f>
        <v/>
      </c>
      <c r="AD115" s="30" t="str">
        <f aca="false">IF(M115="","",SUM(T115:Z115)+AC115)</f>
        <v/>
      </c>
      <c r="AE115" s="30" t="str">
        <f aca="false">IF(OR(M115="",N115=""),"",M115-N115)</f>
        <v/>
      </c>
      <c r="AF115" s="30" t="str">
        <f aca="false">IF(AE115="","",AE115-AD115)</f>
        <v/>
      </c>
      <c r="AG115" s="28" t="str">
        <f aca="false">IF(OR(AF115="",M115=0),"",AF115/M115)</f>
        <v/>
      </c>
      <c r="AH115" s="32" t="str">
        <f aca="false">IF(OR(AE115="",N115=0),"",AE115/(N115/1000))</f>
        <v/>
      </c>
      <c r="AI115" s="30" t="str">
        <f aca="false">IF(O115="","",M115*P115)</f>
        <v/>
      </c>
      <c r="AJ115" s="11" t="str">
        <f aca="false">IF(O115="","",IF(O115&gt;1,"Error: rend &gt; 100 %",IF(SUM(T115:Z115)=0,"Falta registrar pérdidas",IF(ABS(AG115)&gt;Parámetros!$B$7,"Revisar balance",IF(O115&lt;P115,"Bajo meta","OK")))))</f>
        <v/>
      </c>
      <c r="AK115" s="33"/>
      <c r="AL115" s="10"/>
      <c r="AM115" s="33"/>
      <c r="AN115" s="33"/>
      <c r="AO115" s="10"/>
    </row>
    <row r="116" customFormat="false" ht="15" hidden="false" customHeight="false" outlineLevel="0" collapsed="false">
      <c r="A116" s="22"/>
      <c r="B116" s="23" t="str">
        <f aca="false">IF(A116="","",YEAR(A116-WEEKDAY(A116,2)+4))</f>
        <v/>
      </c>
      <c r="C116" s="23" t="str">
        <f aca="false">IF(A116="","",WEEKNUM(A116,21))</f>
        <v/>
      </c>
      <c r="D116" s="24" t="str">
        <f aca="false">IF(A116="","",DATE(YEAR(A116),MONTH(A116),1))</f>
        <v/>
      </c>
      <c r="E116" s="10"/>
      <c r="F116" s="25"/>
      <c r="G116" s="25"/>
      <c r="H116" s="10"/>
      <c r="I116" s="10"/>
      <c r="J116" s="26"/>
      <c r="K116" s="25"/>
      <c r="L116" s="26"/>
      <c r="M116" s="27"/>
      <c r="N116" s="27"/>
      <c r="O116" s="28" t="str">
        <f aca="false">IF(OR(M116="",M116=0,N116=""),"",N116/M116)</f>
        <v/>
      </c>
      <c r="P116" s="28" t="str">
        <f aca="false">IF(M116="","",IFERROR(IF(INDEX(Parámetros!$B$14:$B$21,MATCH(I116,Parámetros!$A$14:$A$21,0))="",Parámetros!$B$5,INDEX(Parámetros!$B$14:$B$21,MATCH(I116,Parámetros!$A$14:$A$21,0))),Parámetros!$B$5))</f>
        <v/>
      </c>
      <c r="Q116" s="29" t="str">
        <f aca="false">IF(O116="","",(O116-P116)*100)</f>
        <v/>
      </c>
      <c r="R116" s="30" t="str">
        <f aca="false">IF(O116="","",MAX(0,M116*(P116-O116)))</f>
        <v/>
      </c>
      <c r="S116" s="31" t="str">
        <f aca="false">IF(OR(L116="",L116=0,N116=""),"",N116/1000/L116)</f>
        <v/>
      </c>
      <c r="T116" s="27"/>
      <c r="U116" s="27"/>
      <c r="V116" s="27"/>
      <c r="W116" s="27"/>
      <c r="X116" s="27"/>
      <c r="Y116" s="27"/>
      <c r="Z116" s="27"/>
      <c r="AA116" s="25"/>
      <c r="AB116" s="27"/>
      <c r="AC116" s="30" t="str">
        <f aca="false">IF(M116="","",IF(AB116="",M116*Parámetros!$B$6,AB116))</f>
        <v/>
      </c>
      <c r="AD116" s="30" t="str">
        <f aca="false">IF(M116="","",SUM(T116:Z116)+AC116)</f>
        <v/>
      </c>
      <c r="AE116" s="30" t="str">
        <f aca="false">IF(OR(M116="",N116=""),"",M116-N116)</f>
        <v/>
      </c>
      <c r="AF116" s="30" t="str">
        <f aca="false">IF(AE116="","",AE116-AD116)</f>
        <v/>
      </c>
      <c r="AG116" s="28" t="str">
        <f aca="false">IF(OR(AF116="",M116=0),"",AF116/M116)</f>
        <v/>
      </c>
      <c r="AH116" s="32" t="str">
        <f aca="false">IF(OR(AE116="",N116=0),"",AE116/(N116/1000))</f>
        <v/>
      </c>
      <c r="AI116" s="30" t="str">
        <f aca="false">IF(O116="","",M116*P116)</f>
        <v/>
      </c>
      <c r="AJ116" s="11" t="str">
        <f aca="false">IF(O116="","",IF(O116&gt;1,"Error: rend &gt; 100 %",IF(SUM(T116:Z116)=0,"Falta registrar pérdidas",IF(ABS(AG116)&gt;Parámetros!$B$7,"Revisar balance",IF(O116&lt;P116,"Bajo meta","OK")))))</f>
        <v/>
      </c>
      <c r="AK116" s="33"/>
      <c r="AL116" s="10"/>
      <c r="AM116" s="33"/>
      <c r="AN116" s="33"/>
      <c r="AO116" s="10"/>
    </row>
    <row r="117" customFormat="false" ht="15" hidden="false" customHeight="false" outlineLevel="0" collapsed="false">
      <c r="A117" s="22"/>
      <c r="B117" s="23" t="str">
        <f aca="false">IF(A117="","",YEAR(A117-WEEKDAY(A117,2)+4))</f>
        <v/>
      </c>
      <c r="C117" s="23" t="str">
        <f aca="false">IF(A117="","",WEEKNUM(A117,21))</f>
        <v/>
      </c>
      <c r="D117" s="24" t="str">
        <f aca="false">IF(A117="","",DATE(YEAR(A117),MONTH(A117),1))</f>
        <v/>
      </c>
      <c r="E117" s="10"/>
      <c r="F117" s="25"/>
      <c r="G117" s="25"/>
      <c r="H117" s="10"/>
      <c r="I117" s="10"/>
      <c r="J117" s="26"/>
      <c r="K117" s="25"/>
      <c r="L117" s="26"/>
      <c r="M117" s="27"/>
      <c r="N117" s="27"/>
      <c r="O117" s="28" t="str">
        <f aca="false">IF(OR(M117="",M117=0,N117=""),"",N117/M117)</f>
        <v/>
      </c>
      <c r="P117" s="28" t="str">
        <f aca="false">IF(M117="","",IFERROR(IF(INDEX(Parámetros!$B$14:$B$21,MATCH(I117,Parámetros!$A$14:$A$21,0))="",Parámetros!$B$5,INDEX(Parámetros!$B$14:$B$21,MATCH(I117,Parámetros!$A$14:$A$21,0))),Parámetros!$B$5))</f>
        <v/>
      </c>
      <c r="Q117" s="29" t="str">
        <f aca="false">IF(O117="","",(O117-P117)*100)</f>
        <v/>
      </c>
      <c r="R117" s="30" t="str">
        <f aca="false">IF(O117="","",MAX(0,M117*(P117-O117)))</f>
        <v/>
      </c>
      <c r="S117" s="31" t="str">
        <f aca="false">IF(OR(L117="",L117=0,N117=""),"",N117/1000/L117)</f>
        <v/>
      </c>
      <c r="T117" s="27"/>
      <c r="U117" s="27"/>
      <c r="V117" s="27"/>
      <c r="W117" s="27"/>
      <c r="X117" s="27"/>
      <c r="Y117" s="27"/>
      <c r="Z117" s="27"/>
      <c r="AA117" s="25"/>
      <c r="AB117" s="27"/>
      <c r="AC117" s="30" t="str">
        <f aca="false">IF(M117="","",IF(AB117="",M117*Parámetros!$B$6,AB117))</f>
        <v/>
      </c>
      <c r="AD117" s="30" t="str">
        <f aca="false">IF(M117="","",SUM(T117:Z117)+AC117)</f>
        <v/>
      </c>
      <c r="AE117" s="30" t="str">
        <f aca="false">IF(OR(M117="",N117=""),"",M117-N117)</f>
        <v/>
      </c>
      <c r="AF117" s="30" t="str">
        <f aca="false">IF(AE117="","",AE117-AD117)</f>
        <v/>
      </c>
      <c r="AG117" s="28" t="str">
        <f aca="false">IF(OR(AF117="",M117=0),"",AF117/M117)</f>
        <v/>
      </c>
      <c r="AH117" s="32" t="str">
        <f aca="false">IF(OR(AE117="",N117=0),"",AE117/(N117/1000))</f>
        <v/>
      </c>
      <c r="AI117" s="30" t="str">
        <f aca="false">IF(O117="","",M117*P117)</f>
        <v/>
      </c>
      <c r="AJ117" s="11" t="str">
        <f aca="false">IF(O117="","",IF(O117&gt;1,"Error: rend &gt; 100 %",IF(SUM(T117:Z117)=0,"Falta registrar pérdidas",IF(ABS(AG117)&gt;Parámetros!$B$7,"Revisar balance",IF(O117&lt;P117,"Bajo meta","OK")))))</f>
        <v/>
      </c>
      <c r="AK117" s="33"/>
      <c r="AL117" s="10"/>
      <c r="AM117" s="33"/>
      <c r="AN117" s="33"/>
      <c r="AO117" s="10"/>
    </row>
    <row r="118" customFormat="false" ht="15" hidden="false" customHeight="false" outlineLevel="0" collapsed="false">
      <c r="A118" s="22"/>
      <c r="B118" s="23" t="str">
        <f aca="false">IF(A118="","",YEAR(A118-WEEKDAY(A118,2)+4))</f>
        <v/>
      </c>
      <c r="C118" s="23" t="str">
        <f aca="false">IF(A118="","",WEEKNUM(A118,21))</f>
        <v/>
      </c>
      <c r="D118" s="24" t="str">
        <f aca="false">IF(A118="","",DATE(YEAR(A118),MONTH(A118),1))</f>
        <v/>
      </c>
      <c r="E118" s="10"/>
      <c r="F118" s="25"/>
      <c r="G118" s="25"/>
      <c r="H118" s="10"/>
      <c r="I118" s="10"/>
      <c r="J118" s="26"/>
      <c r="K118" s="25"/>
      <c r="L118" s="26"/>
      <c r="M118" s="27"/>
      <c r="N118" s="27"/>
      <c r="O118" s="28" t="str">
        <f aca="false">IF(OR(M118="",M118=0,N118=""),"",N118/M118)</f>
        <v/>
      </c>
      <c r="P118" s="28" t="str">
        <f aca="false">IF(M118="","",IFERROR(IF(INDEX(Parámetros!$B$14:$B$21,MATCH(I118,Parámetros!$A$14:$A$21,0))="",Parámetros!$B$5,INDEX(Parámetros!$B$14:$B$21,MATCH(I118,Parámetros!$A$14:$A$21,0))),Parámetros!$B$5))</f>
        <v/>
      </c>
      <c r="Q118" s="29" t="str">
        <f aca="false">IF(O118="","",(O118-P118)*100)</f>
        <v/>
      </c>
      <c r="R118" s="30" t="str">
        <f aca="false">IF(O118="","",MAX(0,M118*(P118-O118)))</f>
        <v/>
      </c>
      <c r="S118" s="31" t="str">
        <f aca="false">IF(OR(L118="",L118=0,N118=""),"",N118/1000/L118)</f>
        <v/>
      </c>
      <c r="T118" s="27"/>
      <c r="U118" s="27"/>
      <c r="V118" s="27"/>
      <c r="W118" s="27"/>
      <c r="X118" s="27"/>
      <c r="Y118" s="27"/>
      <c r="Z118" s="27"/>
      <c r="AA118" s="25"/>
      <c r="AB118" s="27"/>
      <c r="AC118" s="30" t="str">
        <f aca="false">IF(M118="","",IF(AB118="",M118*Parámetros!$B$6,AB118))</f>
        <v/>
      </c>
      <c r="AD118" s="30" t="str">
        <f aca="false">IF(M118="","",SUM(T118:Z118)+AC118)</f>
        <v/>
      </c>
      <c r="AE118" s="30" t="str">
        <f aca="false">IF(OR(M118="",N118=""),"",M118-N118)</f>
        <v/>
      </c>
      <c r="AF118" s="30" t="str">
        <f aca="false">IF(AE118="","",AE118-AD118)</f>
        <v/>
      </c>
      <c r="AG118" s="28" t="str">
        <f aca="false">IF(OR(AF118="",M118=0),"",AF118/M118)</f>
        <v/>
      </c>
      <c r="AH118" s="32" t="str">
        <f aca="false">IF(OR(AE118="",N118=0),"",AE118/(N118/1000))</f>
        <v/>
      </c>
      <c r="AI118" s="30" t="str">
        <f aca="false">IF(O118="","",M118*P118)</f>
        <v/>
      </c>
      <c r="AJ118" s="11" t="str">
        <f aca="false">IF(O118="","",IF(O118&gt;1,"Error: rend &gt; 100 %",IF(SUM(T118:Z118)=0,"Falta registrar pérdidas",IF(ABS(AG118)&gt;Parámetros!$B$7,"Revisar balance",IF(O118&lt;P118,"Bajo meta","OK")))))</f>
        <v/>
      </c>
      <c r="AK118" s="33"/>
      <c r="AL118" s="10"/>
      <c r="AM118" s="33"/>
      <c r="AN118" s="33"/>
      <c r="AO118" s="10"/>
    </row>
    <row r="119" customFormat="false" ht="15" hidden="false" customHeight="false" outlineLevel="0" collapsed="false">
      <c r="A119" s="22"/>
      <c r="B119" s="23" t="str">
        <f aca="false">IF(A119="","",YEAR(A119-WEEKDAY(A119,2)+4))</f>
        <v/>
      </c>
      <c r="C119" s="23" t="str">
        <f aca="false">IF(A119="","",WEEKNUM(A119,21))</f>
        <v/>
      </c>
      <c r="D119" s="24" t="str">
        <f aca="false">IF(A119="","",DATE(YEAR(A119),MONTH(A119),1))</f>
        <v/>
      </c>
      <c r="E119" s="10"/>
      <c r="F119" s="25"/>
      <c r="G119" s="25"/>
      <c r="H119" s="10"/>
      <c r="I119" s="10"/>
      <c r="J119" s="26"/>
      <c r="K119" s="25"/>
      <c r="L119" s="26"/>
      <c r="M119" s="27"/>
      <c r="N119" s="27"/>
      <c r="O119" s="28" t="str">
        <f aca="false">IF(OR(M119="",M119=0,N119=""),"",N119/M119)</f>
        <v/>
      </c>
      <c r="P119" s="28" t="str">
        <f aca="false">IF(M119="","",IFERROR(IF(INDEX(Parámetros!$B$14:$B$21,MATCH(I119,Parámetros!$A$14:$A$21,0))="",Parámetros!$B$5,INDEX(Parámetros!$B$14:$B$21,MATCH(I119,Parámetros!$A$14:$A$21,0))),Parámetros!$B$5))</f>
        <v/>
      </c>
      <c r="Q119" s="29" t="str">
        <f aca="false">IF(O119="","",(O119-P119)*100)</f>
        <v/>
      </c>
      <c r="R119" s="30" t="str">
        <f aca="false">IF(O119="","",MAX(0,M119*(P119-O119)))</f>
        <v/>
      </c>
      <c r="S119" s="31" t="str">
        <f aca="false">IF(OR(L119="",L119=0,N119=""),"",N119/1000/L119)</f>
        <v/>
      </c>
      <c r="T119" s="27"/>
      <c r="U119" s="27"/>
      <c r="V119" s="27"/>
      <c r="W119" s="27"/>
      <c r="X119" s="27"/>
      <c r="Y119" s="27"/>
      <c r="Z119" s="27"/>
      <c r="AA119" s="25"/>
      <c r="AB119" s="27"/>
      <c r="AC119" s="30" t="str">
        <f aca="false">IF(M119="","",IF(AB119="",M119*Parámetros!$B$6,AB119))</f>
        <v/>
      </c>
      <c r="AD119" s="30" t="str">
        <f aca="false">IF(M119="","",SUM(T119:Z119)+AC119)</f>
        <v/>
      </c>
      <c r="AE119" s="30" t="str">
        <f aca="false">IF(OR(M119="",N119=""),"",M119-N119)</f>
        <v/>
      </c>
      <c r="AF119" s="30" t="str">
        <f aca="false">IF(AE119="","",AE119-AD119)</f>
        <v/>
      </c>
      <c r="AG119" s="28" t="str">
        <f aca="false">IF(OR(AF119="",M119=0),"",AF119/M119)</f>
        <v/>
      </c>
      <c r="AH119" s="32" t="str">
        <f aca="false">IF(OR(AE119="",N119=0),"",AE119/(N119/1000))</f>
        <v/>
      </c>
      <c r="AI119" s="30" t="str">
        <f aca="false">IF(O119="","",M119*P119)</f>
        <v/>
      </c>
      <c r="AJ119" s="11" t="str">
        <f aca="false">IF(O119="","",IF(O119&gt;1,"Error: rend &gt; 100 %",IF(SUM(T119:Z119)=0,"Falta registrar pérdidas",IF(ABS(AG119)&gt;Parámetros!$B$7,"Revisar balance",IF(O119&lt;P119,"Bajo meta","OK")))))</f>
        <v/>
      </c>
      <c r="AK119" s="33"/>
      <c r="AL119" s="10"/>
      <c r="AM119" s="33"/>
      <c r="AN119" s="33"/>
      <c r="AO119" s="10"/>
    </row>
    <row r="120" customFormat="false" ht="15" hidden="false" customHeight="false" outlineLevel="0" collapsed="false">
      <c r="A120" s="22"/>
      <c r="B120" s="23" t="str">
        <f aca="false">IF(A120="","",YEAR(A120-WEEKDAY(A120,2)+4))</f>
        <v/>
      </c>
      <c r="C120" s="23" t="str">
        <f aca="false">IF(A120="","",WEEKNUM(A120,21))</f>
        <v/>
      </c>
      <c r="D120" s="24" t="str">
        <f aca="false">IF(A120="","",DATE(YEAR(A120),MONTH(A120),1))</f>
        <v/>
      </c>
      <c r="E120" s="10"/>
      <c r="F120" s="25"/>
      <c r="G120" s="25"/>
      <c r="H120" s="10"/>
      <c r="I120" s="10"/>
      <c r="J120" s="26"/>
      <c r="K120" s="25"/>
      <c r="L120" s="26"/>
      <c r="M120" s="27"/>
      <c r="N120" s="27"/>
      <c r="O120" s="28" t="str">
        <f aca="false">IF(OR(M120="",M120=0,N120=""),"",N120/M120)</f>
        <v/>
      </c>
      <c r="P120" s="28" t="str">
        <f aca="false">IF(M120="","",IFERROR(IF(INDEX(Parámetros!$B$14:$B$21,MATCH(I120,Parámetros!$A$14:$A$21,0))="",Parámetros!$B$5,INDEX(Parámetros!$B$14:$B$21,MATCH(I120,Parámetros!$A$14:$A$21,0))),Parámetros!$B$5))</f>
        <v/>
      </c>
      <c r="Q120" s="29" t="str">
        <f aca="false">IF(O120="","",(O120-P120)*100)</f>
        <v/>
      </c>
      <c r="R120" s="30" t="str">
        <f aca="false">IF(O120="","",MAX(0,M120*(P120-O120)))</f>
        <v/>
      </c>
      <c r="S120" s="31" t="str">
        <f aca="false">IF(OR(L120="",L120=0,N120=""),"",N120/1000/L120)</f>
        <v/>
      </c>
      <c r="T120" s="27"/>
      <c r="U120" s="27"/>
      <c r="V120" s="27"/>
      <c r="W120" s="27"/>
      <c r="X120" s="27"/>
      <c r="Y120" s="27"/>
      <c r="Z120" s="27"/>
      <c r="AA120" s="25"/>
      <c r="AB120" s="27"/>
      <c r="AC120" s="30" t="str">
        <f aca="false">IF(M120="","",IF(AB120="",M120*Parámetros!$B$6,AB120))</f>
        <v/>
      </c>
      <c r="AD120" s="30" t="str">
        <f aca="false">IF(M120="","",SUM(T120:Z120)+AC120)</f>
        <v/>
      </c>
      <c r="AE120" s="30" t="str">
        <f aca="false">IF(OR(M120="",N120=""),"",M120-N120)</f>
        <v/>
      </c>
      <c r="AF120" s="30" t="str">
        <f aca="false">IF(AE120="","",AE120-AD120)</f>
        <v/>
      </c>
      <c r="AG120" s="28" t="str">
        <f aca="false">IF(OR(AF120="",M120=0),"",AF120/M120)</f>
        <v/>
      </c>
      <c r="AH120" s="32" t="str">
        <f aca="false">IF(OR(AE120="",N120=0),"",AE120/(N120/1000))</f>
        <v/>
      </c>
      <c r="AI120" s="30" t="str">
        <f aca="false">IF(O120="","",M120*P120)</f>
        <v/>
      </c>
      <c r="AJ120" s="11" t="str">
        <f aca="false">IF(O120="","",IF(O120&gt;1,"Error: rend &gt; 100 %",IF(SUM(T120:Z120)=0,"Falta registrar pérdidas",IF(ABS(AG120)&gt;Parámetros!$B$7,"Revisar balance",IF(O120&lt;P120,"Bajo meta","OK")))))</f>
        <v/>
      </c>
      <c r="AK120" s="33"/>
      <c r="AL120" s="10"/>
      <c r="AM120" s="33"/>
      <c r="AN120" s="33"/>
      <c r="AO120" s="10"/>
    </row>
    <row r="121" customFormat="false" ht="15" hidden="false" customHeight="false" outlineLevel="0" collapsed="false">
      <c r="A121" s="22"/>
      <c r="B121" s="23" t="str">
        <f aca="false">IF(A121="","",YEAR(A121-WEEKDAY(A121,2)+4))</f>
        <v/>
      </c>
      <c r="C121" s="23" t="str">
        <f aca="false">IF(A121="","",WEEKNUM(A121,21))</f>
        <v/>
      </c>
      <c r="D121" s="24" t="str">
        <f aca="false">IF(A121="","",DATE(YEAR(A121),MONTH(A121),1))</f>
        <v/>
      </c>
      <c r="E121" s="10"/>
      <c r="F121" s="25"/>
      <c r="G121" s="25"/>
      <c r="H121" s="10"/>
      <c r="I121" s="10"/>
      <c r="J121" s="26"/>
      <c r="K121" s="25"/>
      <c r="L121" s="26"/>
      <c r="M121" s="27"/>
      <c r="N121" s="27"/>
      <c r="O121" s="28" t="str">
        <f aca="false">IF(OR(M121="",M121=0,N121=""),"",N121/M121)</f>
        <v/>
      </c>
      <c r="P121" s="28" t="str">
        <f aca="false">IF(M121="","",IFERROR(IF(INDEX(Parámetros!$B$14:$B$21,MATCH(I121,Parámetros!$A$14:$A$21,0))="",Parámetros!$B$5,INDEX(Parámetros!$B$14:$B$21,MATCH(I121,Parámetros!$A$14:$A$21,0))),Parámetros!$B$5))</f>
        <v/>
      </c>
      <c r="Q121" s="29" t="str">
        <f aca="false">IF(O121="","",(O121-P121)*100)</f>
        <v/>
      </c>
      <c r="R121" s="30" t="str">
        <f aca="false">IF(O121="","",MAX(0,M121*(P121-O121)))</f>
        <v/>
      </c>
      <c r="S121" s="31" t="str">
        <f aca="false">IF(OR(L121="",L121=0,N121=""),"",N121/1000/L121)</f>
        <v/>
      </c>
      <c r="T121" s="27"/>
      <c r="U121" s="27"/>
      <c r="V121" s="27"/>
      <c r="W121" s="27"/>
      <c r="X121" s="27"/>
      <c r="Y121" s="27"/>
      <c r="Z121" s="27"/>
      <c r="AA121" s="25"/>
      <c r="AB121" s="27"/>
      <c r="AC121" s="30" t="str">
        <f aca="false">IF(M121="","",IF(AB121="",M121*Parámetros!$B$6,AB121))</f>
        <v/>
      </c>
      <c r="AD121" s="30" t="str">
        <f aca="false">IF(M121="","",SUM(T121:Z121)+AC121)</f>
        <v/>
      </c>
      <c r="AE121" s="30" t="str">
        <f aca="false">IF(OR(M121="",N121=""),"",M121-N121)</f>
        <v/>
      </c>
      <c r="AF121" s="30" t="str">
        <f aca="false">IF(AE121="","",AE121-AD121)</f>
        <v/>
      </c>
      <c r="AG121" s="28" t="str">
        <f aca="false">IF(OR(AF121="",M121=0),"",AF121/M121)</f>
        <v/>
      </c>
      <c r="AH121" s="32" t="str">
        <f aca="false">IF(OR(AE121="",N121=0),"",AE121/(N121/1000))</f>
        <v/>
      </c>
      <c r="AI121" s="30" t="str">
        <f aca="false">IF(O121="","",M121*P121)</f>
        <v/>
      </c>
      <c r="AJ121" s="11" t="str">
        <f aca="false">IF(O121="","",IF(O121&gt;1,"Error: rend &gt; 100 %",IF(SUM(T121:Z121)=0,"Falta registrar pérdidas",IF(ABS(AG121)&gt;Parámetros!$B$7,"Revisar balance",IF(O121&lt;P121,"Bajo meta","OK")))))</f>
        <v/>
      </c>
      <c r="AK121" s="33"/>
      <c r="AL121" s="10"/>
      <c r="AM121" s="33"/>
      <c r="AN121" s="33"/>
      <c r="AO121" s="10"/>
    </row>
    <row r="122" customFormat="false" ht="15" hidden="false" customHeight="false" outlineLevel="0" collapsed="false">
      <c r="A122" s="22"/>
      <c r="B122" s="23" t="str">
        <f aca="false">IF(A122="","",YEAR(A122-WEEKDAY(A122,2)+4))</f>
        <v/>
      </c>
      <c r="C122" s="23" t="str">
        <f aca="false">IF(A122="","",WEEKNUM(A122,21))</f>
        <v/>
      </c>
      <c r="D122" s="24" t="str">
        <f aca="false">IF(A122="","",DATE(YEAR(A122),MONTH(A122),1))</f>
        <v/>
      </c>
      <c r="E122" s="10"/>
      <c r="F122" s="25"/>
      <c r="G122" s="25"/>
      <c r="H122" s="10"/>
      <c r="I122" s="10"/>
      <c r="J122" s="26"/>
      <c r="K122" s="25"/>
      <c r="L122" s="26"/>
      <c r="M122" s="27"/>
      <c r="N122" s="27"/>
      <c r="O122" s="28" t="str">
        <f aca="false">IF(OR(M122="",M122=0,N122=""),"",N122/M122)</f>
        <v/>
      </c>
      <c r="P122" s="28" t="str">
        <f aca="false">IF(M122="","",IFERROR(IF(INDEX(Parámetros!$B$14:$B$21,MATCH(I122,Parámetros!$A$14:$A$21,0))="",Parámetros!$B$5,INDEX(Parámetros!$B$14:$B$21,MATCH(I122,Parámetros!$A$14:$A$21,0))),Parámetros!$B$5))</f>
        <v/>
      </c>
      <c r="Q122" s="29" t="str">
        <f aca="false">IF(O122="","",(O122-P122)*100)</f>
        <v/>
      </c>
      <c r="R122" s="30" t="str">
        <f aca="false">IF(O122="","",MAX(0,M122*(P122-O122)))</f>
        <v/>
      </c>
      <c r="S122" s="31" t="str">
        <f aca="false">IF(OR(L122="",L122=0,N122=""),"",N122/1000/L122)</f>
        <v/>
      </c>
      <c r="T122" s="27"/>
      <c r="U122" s="27"/>
      <c r="V122" s="27"/>
      <c r="W122" s="27"/>
      <c r="X122" s="27"/>
      <c r="Y122" s="27"/>
      <c r="Z122" s="27"/>
      <c r="AA122" s="25"/>
      <c r="AB122" s="27"/>
      <c r="AC122" s="30" t="str">
        <f aca="false">IF(M122="","",IF(AB122="",M122*Parámetros!$B$6,AB122))</f>
        <v/>
      </c>
      <c r="AD122" s="30" t="str">
        <f aca="false">IF(M122="","",SUM(T122:Z122)+AC122)</f>
        <v/>
      </c>
      <c r="AE122" s="30" t="str">
        <f aca="false">IF(OR(M122="",N122=""),"",M122-N122)</f>
        <v/>
      </c>
      <c r="AF122" s="30" t="str">
        <f aca="false">IF(AE122="","",AE122-AD122)</f>
        <v/>
      </c>
      <c r="AG122" s="28" t="str">
        <f aca="false">IF(OR(AF122="",M122=0),"",AF122/M122)</f>
        <v/>
      </c>
      <c r="AH122" s="32" t="str">
        <f aca="false">IF(OR(AE122="",N122=0),"",AE122/(N122/1000))</f>
        <v/>
      </c>
      <c r="AI122" s="30" t="str">
        <f aca="false">IF(O122="","",M122*P122)</f>
        <v/>
      </c>
      <c r="AJ122" s="11" t="str">
        <f aca="false">IF(O122="","",IF(O122&gt;1,"Error: rend &gt; 100 %",IF(SUM(T122:Z122)=0,"Falta registrar pérdidas",IF(ABS(AG122)&gt;Parámetros!$B$7,"Revisar balance",IF(O122&lt;P122,"Bajo meta","OK")))))</f>
        <v/>
      </c>
      <c r="AK122" s="33"/>
      <c r="AL122" s="10"/>
      <c r="AM122" s="33"/>
      <c r="AN122" s="33"/>
      <c r="AO122" s="10"/>
    </row>
    <row r="123" customFormat="false" ht="15" hidden="false" customHeight="false" outlineLevel="0" collapsed="false">
      <c r="A123" s="22"/>
      <c r="B123" s="23" t="str">
        <f aca="false">IF(A123="","",YEAR(A123-WEEKDAY(A123,2)+4))</f>
        <v/>
      </c>
      <c r="C123" s="23" t="str">
        <f aca="false">IF(A123="","",WEEKNUM(A123,21))</f>
        <v/>
      </c>
      <c r="D123" s="24" t="str">
        <f aca="false">IF(A123="","",DATE(YEAR(A123),MONTH(A123),1))</f>
        <v/>
      </c>
      <c r="E123" s="10"/>
      <c r="F123" s="25"/>
      <c r="G123" s="25"/>
      <c r="H123" s="10"/>
      <c r="I123" s="10"/>
      <c r="J123" s="26"/>
      <c r="K123" s="25"/>
      <c r="L123" s="26"/>
      <c r="M123" s="27"/>
      <c r="N123" s="27"/>
      <c r="O123" s="28" t="str">
        <f aca="false">IF(OR(M123="",M123=0,N123=""),"",N123/M123)</f>
        <v/>
      </c>
      <c r="P123" s="28" t="str">
        <f aca="false">IF(M123="","",IFERROR(IF(INDEX(Parámetros!$B$14:$B$21,MATCH(I123,Parámetros!$A$14:$A$21,0))="",Parámetros!$B$5,INDEX(Parámetros!$B$14:$B$21,MATCH(I123,Parámetros!$A$14:$A$21,0))),Parámetros!$B$5))</f>
        <v/>
      </c>
      <c r="Q123" s="29" t="str">
        <f aca="false">IF(O123="","",(O123-P123)*100)</f>
        <v/>
      </c>
      <c r="R123" s="30" t="str">
        <f aca="false">IF(O123="","",MAX(0,M123*(P123-O123)))</f>
        <v/>
      </c>
      <c r="S123" s="31" t="str">
        <f aca="false">IF(OR(L123="",L123=0,N123=""),"",N123/1000/L123)</f>
        <v/>
      </c>
      <c r="T123" s="27"/>
      <c r="U123" s="27"/>
      <c r="V123" s="27"/>
      <c r="W123" s="27"/>
      <c r="X123" s="27"/>
      <c r="Y123" s="27"/>
      <c r="Z123" s="27"/>
      <c r="AA123" s="25"/>
      <c r="AB123" s="27"/>
      <c r="AC123" s="30" t="str">
        <f aca="false">IF(M123="","",IF(AB123="",M123*Parámetros!$B$6,AB123))</f>
        <v/>
      </c>
      <c r="AD123" s="30" t="str">
        <f aca="false">IF(M123="","",SUM(T123:Z123)+AC123)</f>
        <v/>
      </c>
      <c r="AE123" s="30" t="str">
        <f aca="false">IF(OR(M123="",N123=""),"",M123-N123)</f>
        <v/>
      </c>
      <c r="AF123" s="30" t="str">
        <f aca="false">IF(AE123="","",AE123-AD123)</f>
        <v/>
      </c>
      <c r="AG123" s="28" t="str">
        <f aca="false">IF(OR(AF123="",M123=0),"",AF123/M123)</f>
        <v/>
      </c>
      <c r="AH123" s="32" t="str">
        <f aca="false">IF(OR(AE123="",N123=0),"",AE123/(N123/1000))</f>
        <v/>
      </c>
      <c r="AI123" s="30" t="str">
        <f aca="false">IF(O123="","",M123*P123)</f>
        <v/>
      </c>
      <c r="AJ123" s="11" t="str">
        <f aca="false">IF(O123="","",IF(O123&gt;1,"Error: rend &gt; 100 %",IF(SUM(T123:Z123)=0,"Falta registrar pérdidas",IF(ABS(AG123)&gt;Parámetros!$B$7,"Revisar balance",IF(O123&lt;P123,"Bajo meta","OK")))))</f>
        <v/>
      </c>
      <c r="AK123" s="33"/>
      <c r="AL123" s="10"/>
      <c r="AM123" s="33"/>
      <c r="AN123" s="33"/>
      <c r="AO123" s="10"/>
    </row>
    <row r="124" customFormat="false" ht="15" hidden="false" customHeight="false" outlineLevel="0" collapsed="false">
      <c r="A124" s="22"/>
      <c r="B124" s="23" t="str">
        <f aca="false">IF(A124="","",YEAR(A124-WEEKDAY(A124,2)+4))</f>
        <v/>
      </c>
      <c r="C124" s="23" t="str">
        <f aca="false">IF(A124="","",WEEKNUM(A124,21))</f>
        <v/>
      </c>
      <c r="D124" s="24" t="str">
        <f aca="false">IF(A124="","",DATE(YEAR(A124),MONTH(A124),1))</f>
        <v/>
      </c>
      <c r="E124" s="10"/>
      <c r="F124" s="25"/>
      <c r="G124" s="25"/>
      <c r="H124" s="10"/>
      <c r="I124" s="10"/>
      <c r="J124" s="26"/>
      <c r="K124" s="25"/>
      <c r="L124" s="26"/>
      <c r="M124" s="27"/>
      <c r="N124" s="27"/>
      <c r="O124" s="28" t="str">
        <f aca="false">IF(OR(M124="",M124=0,N124=""),"",N124/M124)</f>
        <v/>
      </c>
      <c r="P124" s="28" t="str">
        <f aca="false">IF(M124="","",IFERROR(IF(INDEX(Parámetros!$B$14:$B$21,MATCH(I124,Parámetros!$A$14:$A$21,0))="",Parámetros!$B$5,INDEX(Parámetros!$B$14:$B$21,MATCH(I124,Parámetros!$A$14:$A$21,0))),Parámetros!$B$5))</f>
        <v/>
      </c>
      <c r="Q124" s="29" t="str">
        <f aca="false">IF(O124="","",(O124-P124)*100)</f>
        <v/>
      </c>
      <c r="R124" s="30" t="str">
        <f aca="false">IF(O124="","",MAX(0,M124*(P124-O124)))</f>
        <v/>
      </c>
      <c r="S124" s="31" t="str">
        <f aca="false">IF(OR(L124="",L124=0,N124=""),"",N124/1000/L124)</f>
        <v/>
      </c>
      <c r="T124" s="27"/>
      <c r="U124" s="27"/>
      <c r="V124" s="27"/>
      <c r="W124" s="27"/>
      <c r="X124" s="27"/>
      <c r="Y124" s="27"/>
      <c r="Z124" s="27"/>
      <c r="AA124" s="25"/>
      <c r="AB124" s="27"/>
      <c r="AC124" s="30" t="str">
        <f aca="false">IF(M124="","",IF(AB124="",M124*Parámetros!$B$6,AB124))</f>
        <v/>
      </c>
      <c r="AD124" s="30" t="str">
        <f aca="false">IF(M124="","",SUM(T124:Z124)+AC124)</f>
        <v/>
      </c>
      <c r="AE124" s="30" t="str">
        <f aca="false">IF(OR(M124="",N124=""),"",M124-N124)</f>
        <v/>
      </c>
      <c r="AF124" s="30" t="str">
        <f aca="false">IF(AE124="","",AE124-AD124)</f>
        <v/>
      </c>
      <c r="AG124" s="28" t="str">
        <f aca="false">IF(OR(AF124="",M124=0),"",AF124/M124)</f>
        <v/>
      </c>
      <c r="AH124" s="32" t="str">
        <f aca="false">IF(OR(AE124="",N124=0),"",AE124/(N124/1000))</f>
        <v/>
      </c>
      <c r="AI124" s="30" t="str">
        <f aca="false">IF(O124="","",M124*P124)</f>
        <v/>
      </c>
      <c r="AJ124" s="11" t="str">
        <f aca="false">IF(O124="","",IF(O124&gt;1,"Error: rend &gt; 100 %",IF(SUM(T124:Z124)=0,"Falta registrar pérdidas",IF(ABS(AG124)&gt;Parámetros!$B$7,"Revisar balance",IF(O124&lt;P124,"Bajo meta","OK")))))</f>
        <v/>
      </c>
      <c r="AK124" s="33"/>
      <c r="AL124" s="10"/>
      <c r="AM124" s="33"/>
      <c r="AN124" s="33"/>
      <c r="AO124" s="10"/>
    </row>
    <row r="125" customFormat="false" ht="15" hidden="false" customHeight="false" outlineLevel="0" collapsed="false">
      <c r="A125" s="22"/>
      <c r="B125" s="23" t="str">
        <f aca="false">IF(A125="","",YEAR(A125-WEEKDAY(A125,2)+4))</f>
        <v/>
      </c>
      <c r="C125" s="23" t="str">
        <f aca="false">IF(A125="","",WEEKNUM(A125,21))</f>
        <v/>
      </c>
      <c r="D125" s="24" t="str">
        <f aca="false">IF(A125="","",DATE(YEAR(A125),MONTH(A125),1))</f>
        <v/>
      </c>
      <c r="E125" s="10"/>
      <c r="F125" s="25"/>
      <c r="G125" s="25"/>
      <c r="H125" s="10"/>
      <c r="I125" s="10"/>
      <c r="J125" s="26"/>
      <c r="K125" s="25"/>
      <c r="L125" s="26"/>
      <c r="M125" s="27"/>
      <c r="N125" s="27"/>
      <c r="O125" s="28" t="str">
        <f aca="false">IF(OR(M125="",M125=0,N125=""),"",N125/M125)</f>
        <v/>
      </c>
      <c r="P125" s="28" t="str">
        <f aca="false">IF(M125="","",IFERROR(IF(INDEX(Parámetros!$B$14:$B$21,MATCH(I125,Parámetros!$A$14:$A$21,0))="",Parámetros!$B$5,INDEX(Parámetros!$B$14:$B$21,MATCH(I125,Parámetros!$A$14:$A$21,0))),Parámetros!$B$5))</f>
        <v/>
      </c>
      <c r="Q125" s="29" t="str">
        <f aca="false">IF(O125="","",(O125-P125)*100)</f>
        <v/>
      </c>
      <c r="R125" s="30" t="str">
        <f aca="false">IF(O125="","",MAX(0,M125*(P125-O125)))</f>
        <v/>
      </c>
      <c r="S125" s="31" t="str">
        <f aca="false">IF(OR(L125="",L125=0,N125=""),"",N125/1000/L125)</f>
        <v/>
      </c>
      <c r="T125" s="27"/>
      <c r="U125" s="27"/>
      <c r="V125" s="27"/>
      <c r="W125" s="27"/>
      <c r="X125" s="27"/>
      <c r="Y125" s="27"/>
      <c r="Z125" s="27"/>
      <c r="AA125" s="25"/>
      <c r="AB125" s="27"/>
      <c r="AC125" s="30" t="str">
        <f aca="false">IF(M125="","",IF(AB125="",M125*Parámetros!$B$6,AB125))</f>
        <v/>
      </c>
      <c r="AD125" s="30" t="str">
        <f aca="false">IF(M125="","",SUM(T125:Z125)+AC125)</f>
        <v/>
      </c>
      <c r="AE125" s="30" t="str">
        <f aca="false">IF(OR(M125="",N125=""),"",M125-N125)</f>
        <v/>
      </c>
      <c r="AF125" s="30" t="str">
        <f aca="false">IF(AE125="","",AE125-AD125)</f>
        <v/>
      </c>
      <c r="AG125" s="28" t="str">
        <f aca="false">IF(OR(AF125="",M125=0),"",AF125/M125)</f>
        <v/>
      </c>
      <c r="AH125" s="32" t="str">
        <f aca="false">IF(OR(AE125="",N125=0),"",AE125/(N125/1000))</f>
        <v/>
      </c>
      <c r="AI125" s="30" t="str">
        <f aca="false">IF(O125="","",M125*P125)</f>
        <v/>
      </c>
      <c r="AJ125" s="11" t="str">
        <f aca="false">IF(O125="","",IF(O125&gt;1,"Error: rend &gt; 100 %",IF(SUM(T125:Z125)=0,"Falta registrar pérdidas",IF(ABS(AG125)&gt;Parámetros!$B$7,"Revisar balance",IF(O125&lt;P125,"Bajo meta","OK")))))</f>
        <v/>
      </c>
      <c r="AK125" s="33"/>
      <c r="AL125" s="10"/>
      <c r="AM125" s="33"/>
      <c r="AN125" s="33"/>
      <c r="AO125" s="10"/>
    </row>
    <row r="126" customFormat="false" ht="15" hidden="false" customHeight="false" outlineLevel="0" collapsed="false">
      <c r="A126" s="22"/>
      <c r="B126" s="23" t="str">
        <f aca="false">IF(A126="","",YEAR(A126-WEEKDAY(A126,2)+4))</f>
        <v/>
      </c>
      <c r="C126" s="23" t="str">
        <f aca="false">IF(A126="","",WEEKNUM(A126,21))</f>
        <v/>
      </c>
      <c r="D126" s="24" t="str">
        <f aca="false">IF(A126="","",DATE(YEAR(A126),MONTH(A126),1))</f>
        <v/>
      </c>
      <c r="E126" s="10"/>
      <c r="F126" s="25"/>
      <c r="G126" s="25"/>
      <c r="H126" s="10"/>
      <c r="I126" s="10"/>
      <c r="J126" s="26"/>
      <c r="K126" s="25"/>
      <c r="L126" s="26"/>
      <c r="M126" s="27"/>
      <c r="N126" s="27"/>
      <c r="O126" s="28" t="str">
        <f aca="false">IF(OR(M126="",M126=0,N126=""),"",N126/M126)</f>
        <v/>
      </c>
      <c r="P126" s="28" t="str">
        <f aca="false">IF(M126="","",IFERROR(IF(INDEX(Parámetros!$B$14:$B$21,MATCH(I126,Parámetros!$A$14:$A$21,0))="",Parámetros!$B$5,INDEX(Parámetros!$B$14:$B$21,MATCH(I126,Parámetros!$A$14:$A$21,0))),Parámetros!$B$5))</f>
        <v/>
      </c>
      <c r="Q126" s="29" t="str">
        <f aca="false">IF(O126="","",(O126-P126)*100)</f>
        <v/>
      </c>
      <c r="R126" s="30" t="str">
        <f aca="false">IF(O126="","",MAX(0,M126*(P126-O126)))</f>
        <v/>
      </c>
      <c r="S126" s="31" t="str">
        <f aca="false">IF(OR(L126="",L126=0,N126=""),"",N126/1000/L126)</f>
        <v/>
      </c>
      <c r="T126" s="27"/>
      <c r="U126" s="27"/>
      <c r="V126" s="27"/>
      <c r="W126" s="27"/>
      <c r="X126" s="27"/>
      <c r="Y126" s="27"/>
      <c r="Z126" s="27"/>
      <c r="AA126" s="25"/>
      <c r="AB126" s="27"/>
      <c r="AC126" s="30" t="str">
        <f aca="false">IF(M126="","",IF(AB126="",M126*Parámetros!$B$6,AB126))</f>
        <v/>
      </c>
      <c r="AD126" s="30" t="str">
        <f aca="false">IF(M126="","",SUM(T126:Z126)+AC126)</f>
        <v/>
      </c>
      <c r="AE126" s="30" t="str">
        <f aca="false">IF(OR(M126="",N126=""),"",M126-N126)</f>
        <v/>
      </c>
      <c r="AF126" s="30" t="str">
        <f aca="false">IF(AE126="","",AE126-AD126)</f>
        <v/>
      </c>
      <c r="AG126" s="28" t="str">
        <f aca="false">IF(OR(AF126="",M126=0),"",AF126/M126)</f>
        <v/>
      </c>
      <c r="AH126" s="32" t="str">
        <f aca="false">IF(OR(AE126="",N126=0),"",AE126/(N126/1000))</f>
        <v/>
      </c>
      <c r="AI126" s="30" t="str">
        <f aca="false">IF(O126="","",M126*P126)</f>
        <v/>
      </c>
      <c r="AJ126" s="11" t="str">
        <f aca="false">IF(O126="","",IF(O126&gt;1,"Error: rend &gt; 100 %",IF(SUM(T126:Z126)=0,"Falta registrar pérdidas",IF(ABS(AG126)&gt;Parámetros!$B$7,"Revisar balance",IF(O126&lt;P126,"Bajo meta","OK")))))</f>
        <v/>
      </c>
      <c r="AK126" s="33"/>
      <c r="AL126" s="10"/>
      <c r="AM126" s="33"/>
      <c r="AN126" s="33"/>
      <c r="AO126" s="10"/>
    </row>
    <row r="127" customFormat="false" ht="15" hidden="false" customHeight="false" outlineLevel="0" collapsed="false">
      <c r="A127" s="22"/>
      <c r="B127" s="23" t="str">
        <f aca="false">IF(A127="","",YEAR(A127-WEEKDAY(A127,2)+4))</f>
        <v/>
      </c>
      <c r="C127" s="23" t="str">
        <f aca="false">IF(A127="","",WEEKNUM(A127,21))</f>
        <v/>
      </c>
      <c r="D127" s="24" t="str">
        <f aca="false">IF(A127="","",DATE(YEAR(A127),MONTH(A127),1))</f>
        <v/>
      </c>
      <c r="E127" s="10"/>
      <c r="F127" s="25"/>
      <c r="G127" s="25"/>
      <c r="H127" s="10"/>
      <c r="I127" s="10"/>
      <c r="J127" s="26"/>
      <c r="K127" s="25"/>
      <c r="L127" s="26"/>
      <c r="M127" s="27"/>
      <c r="N127" s="27"/>
      <c r="O127" s="28" t="str">
        <f aca="false">IF(OR(M127="",M127=0,N127=""),"",N127/M127)</f>
        <v/>
      </c>
      <c r="P127" s="28" t="str">
        <f aca="false">IF(M127="","",IFERROR(IF(INDEX(Parámetros!$B$14:$B$21,MATCH(I127,Parámetros!$A$14:$A$21,0))="",Parámetros!$B$5,INDEX(Parámetros!$B$14:$B$21,MATCH(I127,Parámetros!$A$14:$A$21,0))),Parámetros!$B$5))</f>
        <v/>
      </c>
      <c r="Q127" s="29" t="str">
        <f aca="false">IF(O127="","",(O127-P127)*100)</f>
        <v/>
      </c>
      <c r="R127" s="30" t="str">
        <f aca="false">IF(O127="","",MAX(0,M127*(P127-O127)))</f>
        <v/>
      </c>
      <c r="S127" s="31" t="str">
        <f aca="false">IF(OR(L127="",L127=0,N127=""),"",N127/1000/L127)</f>
        <v/>
      </c>
      <c r="T127" s="27"/>
      <c r="U127" s="27"/>
      <c r="V127" s="27"/>
      <c r="W127" s="27"/>
      <c r="X127" s="27"/>
      <c r="Y127" s="27"/>
      <c r="Z127" s="27"/>
      <c r="AA127" s="25"/>
      <c r="AB127" s="27"/>
      <c r="AC127" s="30" t="str">
        <f aca="false">IF(M127="","",IF(AB127="",M127*Parámetros!$B$6,AB127))</f>
        <v/>
      </c>
      <c r="AD127" s="30" t="str">
        <f aca="false">IF(M127="","",SUM(T127:Z127)+AC127)</f>
        <v/>
      </c>
      <c r="AE127" s="30" t="str">
        <f aca="false">IF(OR(M127="",N127=""),"",M127-N127)</f>
        <v/>
      </c>
      <c r="AF127" s="30" t="str">
        <f aca="false">IF(AE127="","",AE127-AD127)</f>
        <v/>
      </c>
      <c r="AG127" s="28" t="str">
        <f aca="false">IF(OR(AF127="",M127=0),"",AF127/M127)</f>
        <v/>
      </c>
      <c r="AH127" s="32" t="str">
        <f aca="false">IF(OR(AE127="",N127=0),"",AE127/(N127/1000))</f>
        <v/>
      </c>
      <c r="AI127" s="30" t="str">
        <f aca="false">IF(O127="","",M127*P127)</f>
        <v/>
      </c>
      <c r="AJ127" s="11" t="str">
        <f aca="false">IF(O127="","",IF(O127&gt;1,"Error: rend &gt; 100 %",IF(SUM(T127:Z127)=0,"Falta registrar pérdidas",IF(ABS(AG127)&gt;Parámetros!$B$7,"Revisar balance",IF(O127&lt;P127,"Bajo meta","OK")))))</f>
        <v/>
      </c>
      <c r="AK127" s="33"/>
      <c r="AL127" s="10"/>
      <c r="AM127" s="33"/>
      <c r="AN127" s="33"/>
      <c r="AO127" s="10"/>
    </row>
    <row r="128" customFormat="false" ht="15" hidden="false" customHeight="false" outlineLevel="0" collapsed="false">
      <c r="A128" s="22"/>
      <c r="B128" s="23" t="str">
        <f aca="false">IF(A128="","",YEAR(A128-WEEKDAY(A128,2)+4))</f>
        <v/>
      </c>
      <c r="C128" s="23" t="str">
        <f aca="false">IF(A128="","",WEEKNUM(A128,21))</f>
        <v/>
      </c>
      <c r="D128" s="24" t="str">
        <f aca="false">IF(A128="","",DATE(YEAR(A128),MONTH(A128),1))</f>
        <v/>
      </c>
      <c r="E128" s="10"/>
      <c r="F128" s="25"/>
      <c r="G128" s="25"/>
      <c r="H128" s="10"/>
      <c r="I128" s="10"/>
      <c r="J128" s="26"/>
      <c r="K128" s="25"/>
      <c r="L128" s="26"/>
      <c r="M128" s="27"/>
      <c r="N128" s="27"/>
      <c r="O128" s="28" t="str">
        <f aca="false">IF(OR(M128="",M128=0,N128=""),"",N128/M128)</f>
        <v/>
      </c>
      <c r="P128" s="28" t="str">
        <f aca="false">IF(M128="","",IFERROR(IF(INDEX(Parámetros!$B$14:$B$21,MATCH(I128,Parámetros!$A$14:$A$21,0))="",Parámetros!$B$5,INDEX(Parámetros!$B$14:$B$21,MATCH(I128,Parámetros!$A$14:$A$21,0))),Parámetros!$B$5))</f>
        <v/>
      </c>
      <c r="Q128" s="29" t="str">
        <f aca="false">IF(O128="","",(O128-P128)*100)</f>
        <v/>
      </c>
      <c r="R128" s="30" t="str">
        <f aca="false">IF(O128="","",MAX(0,M128*(P128-O128)))</f>
        <v/>
      </c>
      <c r="S128" s="31" t="str">
        <f aca="false">IF(OR(L128="",L128=0,N128=""),"",N128/1000/L128)</f>
        <v/>
      </c>
      <c r="T128" s="27"/>
      <c r="U128" s="27"/>
      <c r="V128" s="27"/>
      <c r="W128" s="27"/>
      <c r="X128" s="27"/>
      <c r="Y128" s="27"/>
      <c r="Z128" s="27"/>
      <c r="AA128" s="25"/>
      <c r="AB128" s="27"/>
      <c r="AC128" s="30" t="str">
        <f aca="false">IF(M128="","",IF(AB128="",M128*Parámetros!$B$6,AB128))</f>
        <v/>
      </c>
      <c r="AD128" s="30" t="str">
        <f aca="false">IF(M128="","",SUM(T128:Z128)+AC128)</f>
        <v/>
      </c>
      <c r="AE128" s="30" t="str">
        <f aca="false">IF(OR(M128="",N128=""),"",M128-N128)</f>
        <v/>
      </c>
      <c r="AF128" s="30" t="str">
        <f aca="false">IF(AE128="","",AE128-AD128)</f>
        <v/>
      </c>
      <c r="AG128" s="28" t="str">
        <f aca="false">IF(OR(AF128="",M128=0),"",AF128/M128)</f>
        <v/>
      </c>
      <c r="AH128" s="32" t="str">
        <f aca="false">IF(OR(AE128="",N128=0),"",AE128/(N128/1000))</f>
        <v/>
      </c>
      <c r="AI128" s="30" t="str">
        <f aca="false">IF(O128="","",M128*P128)</f>
        <v/>
      </c>
      <c r="AJ128" s="11" t="str">
        <f aca="false">IF(O128="","",IF(O128&gt;1,"Error: rend &gt; 100 %",IF(SUM(T128:Z128)=0,"Falta registrar pérdidas",IF(ABS(AG128)&gt;Parámetros!$B$7,"Revisar balance",IF(O128&lt;P128,"Bajo meta","OK")))))</f>
        <v/>
      </c>
      <c r="AK128" s="33"/>
      <c r="AL128" s="10"/>
      <c r="AM128" s="33"/>
      <c r="AN128" s="33"/>
      <c r="AO128" s="10"/>
    </row>
    <row r="129" customFormat="false" ht="15" hidden="false" customHeight="false" outlineLevel="0" collapsed="false">
      <c r="A129" s="22"/>
      <c r="B129" s="23" t="str">
        <f aca="false">IF(A129="","",YEAR(A129-WEEKDAY(A129,2)+4))</f>
        <v/>
      </c>
      <c r="C129" s="23" t="str">
        <f aca="false">IF(A129="","",WEEKNUM(A129,21))</f>
        <v/>
      </c>
      <c r="D129" s="24" t="str">
        <f aca="false">IF(A129="","",DATE(YEAR(A129),MONTH(A129),1))</f>
        <v/>
      </c>
      <c r="E129" s="10"/>
      <c r="F129" s="25"/>
      <c r="G129" s="25"/>
      <c r="H129" s="10"/>
      <c r="I129" s="10"/>
      <c r="J129" s="26"/>
      <c r="K129" s="25"/>
      <c r="L129" s="26"/>
      <c r="M129" s="27"/>
      <c r="N129" s="27"/>
      <c r="O129" s="28" t="str">
        <f aca="false">IF(OR(M129="",M129=0,N129=""),"",N129/M129)</f>
        <v/>
      </c>
      <c r="P129" s="28" t="str">
        <f aca="false">IF(M129="","",IFERROR(IF(INDEX(Parámetros!$B$14:$B$21,MATCH(I129,Parámetros!$A$14:$A$21,0))="",Parámetros!$B$5,INDEX(Parámetros!$B$14:$B$21,MATCH(I129,Parámetros!$A$14:$A$21,0))),Parámetros!$B$5))</f>
        <v/>
      </c>
      <c r="Q129" s="29" t="str">
        <f aca="false">IF(O129="","",(O129-P129)*100)</f>
        <v/>
      </c>
      <c r="R129" s="30" t="str">
        <f aca="false">IF(O129="","",MAX(0,M129*(P129-O129)))</f>
        <v/>
      </c>
      <c r="S129" s="31" t="str">
        <f aca="false">IF(OR(L129="",L129=0,N129=""),"",N129/1000/L129)</f>
        <v/>
      </c>
      <c r="T129" s="27"/>
      <c r="U129" s="27"/>
      <c r="V129" s="27"/>
      <c r="W129" s="27"/>
      <c r="X129" s="27"/>
      <c r="Y129" s="27"/>
      <c r="Z129" s="27"/>
      <c r="AA129" s="25"/>
      <c r="AB129" s="27"/>
      <c r="AC129" s="30" t="str">
        <f aca="false">IF(M129="","",IF(AB129="",M129*Parámetros!$B$6,AB129))</f>
        <v/>
      </c>
      <c r="AD129" s="30" t="str">
        <f aca="false">IF(M129="","",SUM(T129:Z129)+AC129)</f>
        <v/>
      </c>
      <c r="AE129" s="30" t="str">
        <f aca="false">IF(OR(M129="",N129=""),"",M129-N129)</f>
        <v/>
      </c>
      <c r="AF129" s="30" t="str">
        <f aca="false">IF(AE129="","",AE129-AD129)</f>
        <v/>
      </c>
      <c r="AG129" s="28" t="str">
        <f aca="false">IF(OR(AF129="",M129=0),"",AF129/M129)</f>
        <v/>
      </c>
      <c r="AH129" s="32" t="str">
        <f aca="false">IF(OR(AE129="",N129=0),"",AE129/(N129/1000))</f>
        <v/>
      </c>
      <c r="AI129" s="30" t="str">
        <f aca="false">IF(O129="","",M129*P129)</f>
        <v/>
      </c>
      <c r="AJ129" s="11" t="str">
        <f aca="false">IF(O129="","",IF(O129&gt;1,"Error: rend &gt; 100 %",IF(SUM(T129:Z129)=0,"Falta registrar pérdidas",IF(ABS(AG129)&gt;Parámetros!$B$7,"Revisar balance",IF(O129&lt;P129,"Bajo meta","OK")))))</f>
        <v/>
      </c>
      <c r="AK129" s="33"/>
      <c r="AL129" s="10"/>
      <c r="AM129" s="33"/>
      <c r="AN129" s="33"/>
      <c r="AO129" s="10"/>
    </row>
    <row r="130" customFormat="false" ht="15" hidden="false" customHeight="false" outlineLevel="0" collapsed="false">
      <c r="A130" s="22"/>
      <c r="B130" s="23" t="str">
        <f aca="false">IF(A130="","",YEAR(A130-WEEKDAY(A130,2)+4))</f>
        <v/>
      </c>
      <c r="C130" s="23" t="str">
        <f aca="false">IF(A130="","",WEEKNUM(A130,21))</f>
        <v/>
      </c>
      <c r="D130" s="24" t="str">
        <f aca="false">IF(A130="","",DATE(YEAR(A130),MONTH(A130),1))</f>
        <v/>
      </c>
      <c r="E130" s="10"/>
      <c r="F130" s="25"/>
      <c r="G130" s="25"/>
      <c r="H130" s="10"/>
      <c r="I130" s="10"/>
      <c r="J130" s="26"/>
      <c r="K130" s="25"/>
      <c r="L130" s="26"/>
      <c r="M130" s="27"/>
      <c r="N130" s="27"/>
      <c r="O130" s="28" t="str">
        <f aca="false">IF(OR(M130="",M130=0,N130=""),"",N130/M130)</f>
        <v/>
      </c>
      <c r="P130" s="28" t="str">
        <f aca="false">IF(M130="","",IFERROR(IF(INDEX(Parámetros!$B$14:$B$21,MATCH(I130,Parámetros!$A$14:$A$21,0))="",Parámetros!$B$5,INDEX(Parámetros!$B$14:$B$21,MATCH(I130,Parámetros!$A$14:$A$21,0))),Parámetros!$B$5))</f>
        <v/>
      </c>
      <c r="Q130" s="29" t="str">
        <f aca="false">IF(O130="","",(O130-P130)*100)</f>
        <v/>
      </c>
      <c r="R130" s="30" t="str">
        <f aca="false">IF(O130="","",MAX(0,M130*(P130-O130)))</f>
        <v/>
      </c>
      <c r="S130" s="31" t="str">
        <f aca="false">IF(OR(L130="",L130=0,N130=""),"",N130/1000/L130)</f>
        <v/>
      </c>
      <c r="T130" s="27"/>
      <c r="U130" s="27"/>
      <c r="V130" s="27"/>
      <c r="W130" s="27"/>
      <c r="X130" s="27"/>
      <c r="Y130" s="27"/>
      <c r="Z130" s="27"/>
      <c r="AA130" s="25"/>
      <c r="AB130" s="27"/>
      <c r="AC130" s="30" t="str">
        <f aca="false">IF(M130="","",IF(AB130="",M130*Parámetros!$B$6,AB130))</f>
        <v/>
      </c>
      <c r="AD130" s="30" t="str">
        <f aca="false">IF(M130="","",SUM(T130:Z130)+AC130)</f>
        <v/>
      </c>
      <c r="AE130" s="30" t="str">
        <f aca="false">IF(OR(M130="",N130=""),"",M130-N130)</f>
        <v/>
      </c>
      <c r="AF130" s="30" t="str">
        <f aca="false">IF(AE130="","",AE130-AD130)</f>
        <v/>
      </c>
      <c r="AG130" s="28" t="str">
        <f aca="false">IF(OR(AF130="",M130=0),"",AF130/M130)</f>
        <v/>
      </c>
      <c r="AH130" s="32" t="str">
        <f aca="false">IF(OR(AE130="",N130=0),"",AE130/(N130/1000))</f>
        <v/>
      </c>
      <c r="AI130" s="30" t="str">
        <f aca="false">IF(O130="","",M130*P130)</f>
        <v/>
      </c>
      <c r="AJ130" s="11" t="str">
        <f aca="false">IF(O130="","",IF(O130&gt;1,"Error: rend &gt; 100 %",IF(SUM(T130:Z130)=0,"Falta registrar pérdidas",IF(ABS(AG130)&gt;Parámetros!$B$7,"Revisar balance",IF(O130&lt;P130,"Bajo meta","OK")))))</f>
        <v/>
      </c>
      <c r="AK130" s="33"/>
      <c r="AL130" s="10"/>
      <c r="AM130" s="33"/>
      <c r="AN130" s="33"/>
      <c r="AO130" s="10"/>
    </row>
    <row r="131" customFormat="false" ht="15" hidden="false" customHeight="false" outlineLevel="0" collapsed="false">
      <c r="A131" s="22"/>
      <c r="B131" s="23" t="str">
        <f aca="false">IF(A131="","",YEAR(A131-WEEKDAY(A131,2)+4))</f>
        <v/>
      </c>
      <c r="C131" s="23" t="str">
        <f aca="false">IF(A131="","",WEEKNUM(A131,21))</f>
        <v/>
      </c>
      <c r="D131" s="24" t="str">
        <f aca="false">IF(A131="","",DATE(YEAR(A131),MONTH(A131),1))</f>
        <v/>
      </c>
      <c r="E131" s="10"/>
      <c r="F131" s="25"/>
      <c r="G131" s="25"/>
      <c r="H131" s="10"/>
      <c r="I131" s="10"/>
      <c r="J131" s="26"/>
      <c r="K131" s="25"/>
      <c r="L131" s="26"/>
      <c r="M131" s="27"/>
      <c r="N131" s="27"/>
      <c r="O131" s="28" t="str">
        <f aca="false">IF(OR(M131="",M131=0,N131=""),"",N131/M131)</f>
        <v/>
      </c>
      <c r="P131" s="28" t="str">
        <f aca="false">IF(M131="","",IFERROR(IF(INDEX(Parámetros!$B$14:$B$21,MATCH(I131,Parámetros!$A$14:$A$21,0))="",Parámetros!$B$5,INDEX(Parámetros!$B$14:$B$21,MATCH(I131,Parámetros!$A$14:$A$21,0))),Parámetros!$B$5))</f>
        <v/>
      </c>
      <c r="Q131" s="29" t="str">
        <f aca="false">IF(O131="","",(O131-P131)*100)</f>
        <v/>
      </c>
      <c r="R131" s="30" t="str">
        <f aca="false">IF(O131="","",MAX(0,M131*(P131-O131)))</f>
        <v/>
      </c>
      <c r="S131" s="31" t="str">
        <f aca="false">IF(OR(L131="",L131=0,N131=""),"",N131/1000/L131)</f>
        <v/>
      </c>
      <c r="T131" s="27"/>
      <c r="U131" s="27"/>
      <c r="V131" s="27"/>
      <c r="W131" s="27"/>
      <c r="X131" s="27"/>
      <c r="Y131" s="27"/>
      <c r="Z131" s="27"/>
      <c r="AA131" s="25"/>
      <c r="AB131" s="27"/>
      <c r="AC131" s="30" t="str">
        <f aca="false">IF(M131="","",IF(AB131="",M131*Parámetros!$B$6,AB131))</f>
        <v/>
      </c>
      <c r="AD131" s="30" t="str">
        <f aca="false">IF(M131="","",SUM(T131:Z131)+AC131)</f>
        <v/>
      </c>
      <c r="AE131" s="30" t="str">
        <f aca="false">IF(OR(M131="",N131=""),"",M131-N131)</f>
        <v/>
      </c>
      <c r="AF131" s="30" t="str">
        <f aca="false">IF(AE131="","",AE131-AD131)</f>
        <v/>
      </c>
      <c r="AG131" s="28" t="str">
        <f aca="false">IF(OR(AF131="",M131=0),"",AF131/M131)</f>
        <v/>
      </c>
      <c r="AH131" s="32" t="str">
        <f aca="false">IF(OR(AE131="",N131=0),"",AE131/(N131/1000))</f>
        <v/>
      </c>
      <c r="AI131" s="30" t="str">
        <f aca="false">IF(O131="","",M131*P131)</f>
        <v/>
      </c>
      <c r="AJ131" s="11" t="str">
        <f aca="false">IF(O131="","",IF(O131&gt;1,"Error: rend &gt; 100 %",IF(SUM(T131:Z131)=0,"Falta registrar pérdidas",IF(ABS(AG131)&gt;Parámetros!$B$7,"Revisar balance",IF(O131&lt;P131,"Bajo meta","OK")))))</f>
        <v/>
      </c>
      <c r="AK131" s="33"/>
      <c r="AL131" s="10"/>
      <c r="AM131" s="33"/>
      <c r="AN131" s="33"/>
      <c r="AO131" s="10"/>
    </row>
    <row r="132" customFormat="false" ht="15" hidden="false" customHeight="false" outlineLevel="0" collapsed="false">
      <c r="A132" s="22"/>
      <c r="B132" s="23" t="str">
        <f aca="false">IF(A132="","",YEAR(A132-WEEKDAY(A132,2)+4))</f>
        <v/>
      </c>
      <c r="C132" s="23" t="str">
        <f aca="false">IF(A132="","",WEEKNUM(A132,21))</f>
        <v/>
      </c>
      <c r="D132" s="24" t="str">
        <f aca="false">IF(A132="","",DATE(YEAR(A132),MONTH(A132),1))</f>
        <v/>
      </c>
      <c r="E132" s="10"/>
      <c r="F132" s="25"/>
      <c r="G132" s="25"/>
      <c r="H132" s="10"/>
      <c r="I132" s="10"/>
      <c r="J132" s="26"/>
      <c r="K132" s="25"/>
      <c r="L132" s="26"/>
      <c r="M132" s="27"/>
      <c r="N132" s="27"/>
      <c r="O132" s="28" t="str">
        <f aca="false">IF(OR(M132="",M132=0,N132=""),"",N132/M132)</f>
        <v/>
      </c>
      <c r="P132" s="28" t="str">
        <f aca="false">IF(M132="","",IFERROR(IF(INDEX(Parámetros!$B$14:$B$21,MATCH(I132,Parámetros!$A$14:$A$21,0))="",Parámetros!$B$5,INDEX(Parámetros!$B$14:$B$21,MATCH(I132,Parámetros!$A$14:$A$21,0))),Parámetros!$B$5))</f>
        <v/>
      </c>
      <c r="Q132" s="29" t="str">
        <f aca="false">IF(O132="","",(O132-P132)*100)</f>
        <v/>
      </c>
      <c r="R132" s="30" t="str">
        <f aca="false">IF(O132="","",MAX(0,M132*(P132-O132)))</f>
        <v/>
      </c>
      <c r="S132" s="31" t="str">
        <f aca="false">IF(OR(L132="",L132=0,N132=""),"",N132/1000/L132)</f>
        <v/>
      </c>
      <c r="T132" s="27"/>
      <c r="U132" s="27"/>
      <c r="V132" s="27"/>
      <c r="W132" s="27"/>
      <c r="X132" s="27"/>
      <c r="Y132" s="27"/>
      <c r="Z132" s="27"/>
      <c r="AA132" s="25"/>
      <c r="AB132" s="27"/>
      <c r="AC132" s="30" t="str">
        <f aca="false">IF(M132="","",IF(AB132="",M132*Parámetros!$B$6,AB132))</f>
        <v/>
      </c>
      <c r="AD132" s="30" t="str">
        <f aca="false">IF(M132="","",SUM(T132:Z132)+AC132)</f>
        <v/>
      </c>
      <c r="AE132" s="30" t="str">
        <f aca="false">IF(OR(M132="",N132=""),"",M132-N132)</f>
        <v/>
      </c>
      <c r="AF132" s="30" t="str">
        <f aca="false">IF(AE132="","",AE132-AD132)</f>
        <v/>
      </c>
      <c r="AG132" s="28" t="str">
        <f aca="false">IF(OR(AF132="",M132=0),"",AF132/M132)</f>
        <v/>
      </c>
      <c r="AH132" s="32" t="str">
        <f aca="false">IF(OR(AE132="",N132=0),"",AE132/(N132/1000))</f>
        <v/>
      </c>
      <c r="AI132" s="30" t="str">
        <f aca="false">IF(O132="","",M132*P132)</f>
        <v/>
      </c>
      <c r="AJ132" s="11" t="str">
        <f aca="false">IF(O132="","",IF(O132&gt;1,"Error: rend &gt; 100 %",IF(SUM(T132:Z132)=0,"Falta registrar pérdidas",IF(ABS(AG132)&gt;Parámetros!$B$7,"Revisar balance",IF(O132&lt;P132,"Bajo meta","OK")))))</f>
        <v/>
      </c>
      <c r="AK132" s="33"/>
      <c r="AL132" s="10"/>
      <c r="AM132" s="33"/>
      <c r="AN132" s="33"/>
      <c r="AO132" s="10"/>
    </row>
    <row r="133" customFormat="false" ht="15" hidden="false" customHeight="false" outlineLevel="0" collapsed="false">
      <c r="A133" s="22"/>
      <c r="B133" s="23" t="str">
        <f aca="false">IF(A133="","",YEAR(A133-WEEKDAY(A133,2)+4))</f>
        <v/>
      </c>
      <c r="C133" s="23" t="str">
        <f aca="false">IF(A133="","",WEEKNUM(A133,21))</f>
        <v/>
      </c>
      <c r="D133" s="24" t="str">
        <f aca="false">IF(A133="","",DATE(YEAR(A133),MONTH(A133),1))</f>
        <v/>
      </c>
      <c r="E133" s="10"/>
      <c r="F133" s="25"/>
      <c r="G133" s="25"/>
      <c r="H133" s="10"/>
      <c r="I133" s="10"/>
      <c r="J133" s="26"/>
      <c r="K133" s="25"/>
      <c r="L133" s="26"/>
      <c r="M133" s="27"/>
      <c r="N133" s="27"/>
      <c r="O133" s="28" t="str">
        <f aca="false">IF(OR(M133="",M133=0,N133=""),"",N133/M133)</f>
        <v/>
      </c>
      <c r="P133" s="28" t="str">
        <f aca="false">IF(M133="","",IFERROR(IF(INDEX(Parámetros!$B$14:$B$21,MATCH(I133,Parámetros!$A$14:$A$21,0))="",Parámetros!$B$5,INDEX(Parámetros!$B$14:$B$21,MATCH(I133,Parámetros!$A$14:$A$21,0))),Parámetros!$B$5))</f>
        <v/>
      </c>
      <c r="Q133" s="29" t="str">
        <f aca="false">IF(O133="","",(O133-P133)*100)</f>
        <v/>
      </c>
      <c r="R133" s="30" t="str">
        <f aca="false">IF(O133="","",MAX(0,M133*(P133-O133)))</f>
        <v/>
      </c>
      <c r="S133" s="31" t="str">
        <f aca="false">IF(OR(L133="",L133=0,N133=""),"",N133/1000/L133)</f>
        <v/>
      </c>
      <c r="T133" s="27"/>
      <c r="U133" s="27"/>
      <c r="V133" s="27"/>
      <c r="W133" s="27"/>
      <c r="X133" s="27"/>
      <c r="Y133" s="27"/>
      <c r="Z133" s="27"/>
      <c r="AA133" s="25"/>
      <c r="AB133" s="27"/>
      <c r="AC133" s="30" t="str">
        <f aca="false">IF(M133="","",IF(AB133="",M133*Parámetros!$B$6,AB133))</f>
        <v/>
      </c>
      <c r="AD133" s="30" t="str">
        <f aca="false">IF(M133="","",SUM(T133:Z133)+AC133)</f>
        <v/>
      </c>
      <c r="AE133" s="30" t="str">
        <f aca="false">IF(OR(M133="",N133=""),"",M133-N133)</f>
        <v/>
      </c>
      <c r="AF133" s="30" t="str">
        <f aca="false">IF(AE133="","",AE133-AD133)</f>
        <v/>
      </c>
      <c r="AG133" s="28" t="str">
        <f aca="false">IF(OR(AF133="",M133=0),"",AF133/M133)</f>
        <v/>
      </c>
      <c r="AH133" s="32" t="str">
        <f aca="false">IF(OR(AE133="",N133=0),"",AE133/(N133/1000))</f>
        <v/>
      </c>
      <c r="AI133" s="30" t="str">
        <f aca="false">IF(O133="","",M133*P133)</f>
        <v/>
      </c>
      <c r="AJ133" s="11" t="str">
        <f aca="false">IF(O133="","",IF(O133&gt;1,"Error: rend &gt; 100 %",IF(SUM(T133:Z133)=0,"Falta registrar pérdidas",IF(ABS(AG133)&gt;Parámetros!$B$7,"Revisar balance",IF(O133&lt;P133,"Bajo meta","OK")))))</f>
        <v/>
      </c>
      <c r="AK133" s="33"/>
      <c r="AL133" s="10"/>
      <c r="AM133" s="33"/>
      <c r="AN133" s="33"/>
      <c r="AO133" s="10"/>
    </row>
    <row r="134" customFormat="false" ht="15" hidden="false" customHeight="false" outlineLevel="0" collapsed="false">
      <c r="A134" s="22"/>
      <c r="B134" s="23" t="str">
        <f aca="false">IF(A134="","",YEAR(A134-WEEKDAY(A134,2)+4))</f>
        <v/>
      </c>
      <c r="C134" s="23" t="str">
        <f aca="false">IF(A134="","",WEEKNUM(A134,21))</f>
        <v/>
      </c>
      <c r="D134" s="24" t="str">
        <f aca="false">IF(A134="","",DATE(YEAR(A134),MONTH(A134),1))</f>
        <v/>
      </c>
      <c r="E134" s="10"/>
      <c r="F134" s="25"/>
      <c r="G134" s="25"/>
      <c r="H134" s="10"/>
      <c r="I134" s="10"/>
      <c r="J134" s="26"/>
      <c r="K134" s="25"/>
      <c r="L134" s="26"/>
      <c r="M134" s="27"/>
      <c r="N134" s="27"/>
      <c r="O134" s="28" t="str">
        <f aca="false">IF(OR(M134="",M134=0,N134=""),"",N134/M134)</f>
        <v/>
      </c>
      <c r="P134" s="28" t="str">
        <f aca="false">IF(M134="","",IFERROR(IF(INDEX(Parámetros!$B$14:$B$21,MATCH(I134,Parámetros!$A$14:$A$21,0))="",Parámetros!$B$5,INDEX(Parámetros!$B$14:$B$21,MATCH(I134,Parámetros!$A$14:$A$21,0))),Parámetros!$B$5))</f>
        <v/>
      </c>
      <c r="Q134" s="29" t="str">
        <f aca="false">IF(O134="","",(O134-P134)*100)</f>
        <v/>
      </c>
      <c r="R134" s="30" t="str">
        <f aca="false">IF(O134="","",MAX(0,M134*(P134-O134)))</f>
        <v/>
      </c>
      <c r="S134" s="31" t="str">
        <f aca="false">IF(OR(L134="",L134=0,N134=""),"",N134/1000/L134)</f>
        <v/>
      </c>
      <c r="T134" s="27"/>
      <c r="U134" s="27"/>
      <c r="V134" s="27"/>
      <c r="W134" s="27"/>
      <c r="X134" s="27"/>
      <c r="Y134" s="27"/>
      <c r="Z134" s="27"/>
      <c r="AA134" s="25"/>
      <c r="AB134" s="27"/>
      <c r="AC134" s="30" t="str">
        <f aca="false">IF(M134="","",IF(AB134="",M134*Parámetros!$B$6,AB134))</f>
        <v/>
      </c>
      <c r="AD134" s="30" t="str">
        <f aca="false">IF(M134="","",SUM(T134:Z134)+AC134)</f>
        <v/>
      </c>
      <c r="AE134" s="30" t="str">
        <f aca="false">IF(OR(M134="",N134=""),"",M134-N134)</f>
        <v/>
      </c>
      <c r="AF134" s="30" t="str">
        <f aca="false">IF(AE134="","",AE134-AD134)</f>
        <v/>
      </c>
      <c r="AG134" s="28" t="str">
        <f aca="false">IF(OR(AF134="",M134=0),"",AF134/M134)</f>
        <v/>
      </c>
      <c r="AH134" s="32" t="str">
        <f aca="false">IF(OR(AE134="",N134=0),"",AE134/(N134/1000))</f>
        <v/>
      </c>
      <c r="AI134" s="30" t="str">
        <f aca="false">IF(O134="","",M134*P134)</f>
        <v/>
      </c>
      <c r="AJ134" s="11" t="str">
        <f aca="false">IF(O134="","",IF(O134&gt;1,"Error: rend &gt; 100 %",IF(SUM(T134:Z134)=0,"Falta registrar pérdidas",IF(ABS(AG134)&gt;Parámetros!$B$7,"Revisar balance",IF(O134&lt;P134,"Bajo meta","OK")))))</f>
        <v/>
      </c>
      <c r="AK134" s="33"/>
      <c r="AL134" s="10"/>
      <c r="AM134" s="33"/>
      <c r="AN134" s="33"/>
      <c r="AO134" s="10"/>
    </row>
    <row r="135" customFormat="false" ht="15" hidden="false" customHeight="false" outlineLevel="0" collapsed="false">
      <c r="A135" s="22"/>
      <c r="B135" s="23" t="str">
        <f aca="false">IF(A135="","",YEAR(A135-WEEKDAY(A135,2)+4))</f>
        <v/>
      </c>
      <c r="C135" s="23" t="str">
        <f aca="false">IF(A135="","",WEEKNUM(A135,21))</f>
        <v/>
      </c>
      <c r="D135" s="24" t="str">
        <f aca="false">IF(A135="","",DATE(YEAR(A135),MONTH(A135),1))</f>
        <v/>
      </c>
      <c r="E135" s="10"/>
      <c r="F135" s="25"/>
      <c r="G135" s="25"/>
      <c r="H135" s="10"/>
      <c r="I135" s="10"/>
      <c r="J135" s="26"/>
      <c r="K135" s="25"/>
      <c r="L135" s="26"/>
      <c r="M135" s="27"/>
      <c r="N135" s="27"/>
      <c r="O135" s="28" t="str">
        <f aca="false">IF(OR(M135="",M135=0,N135=""),"",N135/M135)</f>
        <v/>
      </c>
      <c r="P135" s="28" t="str">
        <f aca="false">IF(M135="","",IFERROR(IF(INDEX(Parámetros!$B$14:$B$21,MATCH(I135,Parámetros!$A$14:$A$21,0))="",Parámetros!$B$5,INDEX(Parámetros!$B$14:$B$21,MATCH(I135,Parámetros!$A$14:$A$21,0))),Parámetros!$B$5))</f>
        <v/>
      </c>
      <c r="Q135" s="29" t="str">
        <f aca="false">IF(O135="","",(O135-P135)*100)</f>
        <v/>
      </c>
      <c r="R135" s="30" t="str">
        <f aca="false">IF(O135="","",MAX(0,M135*(P135-O135)))</f>
        <v/>
      </c>
      <c r="S135" s="31" t="str">
        <f aca="false">IF(OR(L135="",L135=0,N135=""),"",N135/1000/L135)</f>
        <v/>
      </c>
      <c r="T135" s="27"/>
      <c r="U135" s="27"/>
      <c r="V135" s="27"/>
      <c r="W135" s="27"/>
      <c r="X135" s="27"/>
      <c r="Y135" s="27"/>
      <c r="Z135" s="27"/>
      <c r="AA135" s="25"/>
      <c r="AB135" s="27"/>
      <c r="AC135" s="30" t="str">
        <f aca="false">IF(M135="","",IF(AB135="",M135*Parámetros!$B$6,AB135))</f>
        <v/>
      </c>
      <c r="AD135" s="30" t="str">
        <f aca="false">IF(M135="","",SUM(T135:Z135)+AC135)</f>
        <v/>
      </c>
      <c r="AE135" s="30" t="str">
        <f aca="false">IF(OR(M135="",N135=""),"",M135-N135)</f>
        <v/>
      </c>
      <c r="AF135" s="30" t="str">
        <f aca="false">IF(AE135="","",AE135-AD135)</f>
        <v/>
      </c>
      <c r="AG135" s="28" t="str">
        <f aca="false">IF(OR(AF135="",M135=0),"",AF135/M135)</f>
        <v/>
      </c>
      <c r="AH135" s="32" t="str">
        <f aca="false">IF(OR(AE135="",N135=0),"",AE135/(N135/1000))</f>
        <v/>
      </c>
      <c r="AI135" s="30" t="str">
        <f aca="false">IF(O135="","",M135*P135)</f>
        <v/>
      </c>
      <c r="AJ135" s="11" t="str">
        <f aca="false">IF(O135="","",IF(O135&gt;1,"Error: rend &gt; 100 %",IF(SUM(T135:Z135)=0,"Falta registrar pérdidas",IF(ABS(AG135)&gt;Parámetros!$B$7,"Revisar balance",IF(O135&lt;P135,"Bajo meta","OK")))))</f>
        <v/>
      </c>
      <c r="AK135" s="33"/>
      <c r="AL135" s="10"/>
      <c r="AM135" s="33"/>
      <c r="AN135" s="33"/>
      <c r="AO135" s="10"/>
    </row>
    <row r="136" customFormat="false" ht="15" hidden="false" customHeight="false" outlineLevel="0" collapsed="false">
      <c r="A136" s="22"/>
      <c r="B136" s="23" t="str">
        <f aca="false">IF(A136="","",YEAR(A136-WEEKDAY(A136,2)+4))</f>
        <v/>
      </c>
      <c r="C136" s="23" t="str">
        <f aca="false">IF(A136="","",WEEKNUM(A136,21))</f>
        <v/>
      </c>
      <c r="D136" s="24" t="str">
        <f aca="false">IF(A136="","",DATE(YEAR(A136),MONTH(A136),1))</f>
        <v/>
      </c>
      <c r="E136" s="10"/>
      <c r="F136" s="25"/>
      <c r="G136" s="25"/>
      <c r="H136" s="10"/>
      <c r="I136" s="10"/>
      <c r="J136" s="26"/>
      <c r="K136" s="25"/>
      <c r="L136" s="26"/>
      <c r="M136" s="27"/>
      <c r="N136" s="27"/>
      <c r="O136" s="28" t="str">
        <f aca="false">IF(OR(M136="",M136=0,N136=""),"",N136/M136)</f>
        <v/>
      </c>
      <c r="P136" s="28" t="str">
        <f aca="false">IF(M136="","",IFERROR(IF(INDEX(Parámetros!$B$14:$B$21,MATCH(I136,Parámetros!$A$14:$A$21,0))="",Parámetros!$B$5,INDEX(Parámetros!$B$14:$B$21,MATCH(I136,Parámetros!$A$14:$A$21,0))),Parámetros!$B$5))</f>
        <v/>
      </c>
      <c r="Q136" s="29" t="str">
        <f aca="false">IF(O136="","",(O136-P136)*100)</f>
        <v/>
      </c>
      <c r="R136" s="30" t="str">
        <f aca="false">IF(O136="","",MAX(0,M136*(P136-O136)))</f>
        <v/>
      </c>
      <c r="S136" s="31" t="str">
        <f aca="false">IF(OR(L136="",L136=0,N136=""),"",N136/1000/L136)</f>
        <v/>
      </c>
      <c r="T136" s="27"/>
      <c r="U136" s="27"/>
      <c r="V136" s="27"/>
      <c r="W136" s="27"/>
      <c r="X136" s="27"/>
      <c r="Y136" s="27"/>
      <c r="Z136" s="27"/>
      <c r="AA136" s="25"/>
      <c r="AB136" s="27"/>
      <c r="AC136" s="30" t="str">
        <f aca="false">IF(M136="","",IF(AB136="",M136*Parámetros!$B$6,AB136))</f>
        <v/>
      </c>
      <c r="AD136" s="30" t="str">
        <f aca="false">IF(M136="","",SUM(T136:Z136)+AC136)</f>
        <v/>
      </c>
      <c r="AE136" s="30" t="str">
        <f aca="false">IF(OR(M136="",N136=""),"",M136-N136)</f>
        <v/>
      </c>
      <c r="AF136" s="30" t="str">
        <f aca="false">IF(AE136="","",AE136-AD136)</f>
        <v/>
      </c>
      <c r="AG136" s="28" t="str">
        <f aca="false">IF(OR(AF136="",M136=0),"",AF136/M136)</f>
        <v/>
      </c>
      <c r="AH136" s="32" t="str">
        <f aca="false">IF(OR(AE136="",N136=0),"",AE136/(N136/1000))</f>
        <v/>
      </c>
      <c r="AI136" s="30" t="str">
        <f aca="false">IF(O136="","",M136*P136)</f>
        <v/>
      </c>
      <c r="AJ136" s="11" t="str">
        <f aca="false">IF(O136="","",IF(O136&gt;1,"Error: rend &gt; 100 %",IF(SUM(T136:Z136)=0,"Falta registrar pérdidas",IF(ABS(AG136)&gt;Parámetros!$B$7,"Revisar balance",IF(O136&lt;P136,"Bajo meta","OK")))))</f>
        <v/>
      </c>
      <c r="AK136" s="33"/>
      <c r="AL136" s="10"/>
      <c r="AM136" s="33"/>
      <c r="AN136" s="33"/>
      <c r="AO136" s="10"/>
    </row>
    <row r="137" customFormat="false" ht="15" hidden="false" customHeight="false" outlineLevel="0" collapsed="false">
      <c r="A137" s="22"/>
      <c r="B137" s="23" t="str">
        <f aca="false">IF(A137="","",YEAR(A137-WEEKDAY(A137,2)+4))</f>
        <v/>
      </c>
      <c r="C137" s="23" t="str">
        <f aca="false">IF(A137="","",WEEKNUM(A137,21))</f>
        <v/>
      </c>
      <c r="D137" s="24" t="str">
        <f aca="false">IF(A137="","",DATE(YEAR(A137),MONTH(A137),1))</f>
        <v/>
      </c>
      <c r="E137" s="10"/>
      <c r="F137" s="25"/>
      <c r="G137" s="25"/>
      <c r="H137" s="10"/>
      <c r="I137" s="10"/>
      <c r="J137" s="26"/>
      <c r="K137" s="25"/>
      <c r="L137" s="26"/>
      <c r="M137" s="27"/>
      <c r="N137" s="27"/>
      <c r="O137" s="28" t="str">
        <f aca="false">IF(OR(M137="",M137=0,N137=""),"",N137/M137)</f>
        <v/>
      </c>
      <c r="P137" s="28" t="str">
        <f aca="false">IF(M137="","",IFERROR(IF(INDEX(Parámetros!$B$14:$B$21,MATCH(I137,Parámetros!$A$14:$A$21,0))="",Parámetros!$B$5,INDEX(Parámetros!$B$14:$B$21,MATCH(I137,Parámetros!$A$14:$A$21,0))),Parámetros!$B$5))</f>
        <v/>
      </c>
      <c r="Q137" s="29" t="str">
        <f aca="false">IF(O137="","",(O137-P137)*100)</f>
        <v/>
      </c>
      <c r="R137" s="30" t="str">
        <f aca="false">IF(O137="","",MAX(0,M137*(P137-O137)))</f>
        <v/>
      </c>
      <c r="S137" s="31" t="str">
        <f aca="false">IF(OR(L137="",L137=0,N137=""),"",N137/1000/L137)</f>
        <v/>
      </c>
      <c r="T137" s="27"/>
      <c r="U137" s="27"/>
      <c r="V137" s="27"/>
      <c r="W137" s="27"/>
      <c r="X137" s="27"/>
      <c r="Y137" s="27"/>
      <c r="Z137" s="27"/>
      <c r="AA137" s="25"/>
      <c r="AB137" s="27"/>
      <c r="AC137" s="30" t="str">
        <f aca="false">IF(M137="","",IF(AB137="",M137*Parámetros!$B$6,AB137))</f>
        <v/>
      </c>
      <c r="AD137" s="30" t="str">
        <f aca="false">IF(M137="","",SUM(T137:Z137)+AC137)</f>
        <v/>
      </c>
      <c r="AE137" s="30" t="str">
        <f aca="false">IF(OR(M137="",N137=""),"",M137-N137)</f>
        <v/>
      </c>
      <c r="AF137" s="30" t="str">
        <f aca="false">IF(AE137="","",AE137-AD137)</f>
        <v/>
      </c>
      <c r="AG137" s="28" t="str">
        <f aca="false">IF(OR(AF137="",M137=0),"",AF137/M137)</f>
        <v/>
      </c>
      <c r="AH137" s="32" t="str">
        <f aca="false">IF(OR(AE137="",N137=0),"",AE137/(N137/1000))</f>
        <v/>
      </c>
      <c r="AI137" s="30" t="str">
        <f aca="false">IF(O137="","",M137*P137)</f>
        <v/>
      </c>
      <c r="AJ137" s="11" t="str">
        <f aca="false">IF(O137="","",IF(O137&gt;1,"Error: rend &gt; 100 %",IF(SUM(T137:Z137)=0,"Falta registrar pérdidas",IF(ABS(AG137)&gt;Parámetros!$B$7,"Revisar balance",IF(O137&lt;P137,"Bajo meta","OK")))))</f>
        <v/>
      </c>
      <c r="AK137" s="33"/>
      <c r="AL137" s="10"/>
      <c r="AM137" s="33"/>
      <c r="AN137" s="33"/>
      <c r="AO137" s="10"/>
    </row>
    <row r="138" customFormat="false" ht="15" hidden="false" customHeight="false" outlineLevel="0" collapsed="false">
      <c r="A138" s="22"/>
      <c r="B138" s="23" t="str">
        <f aca="false">IF(A138="","",YEAR(A138-WEEKDAY(A138,2)+4))</f>
        <v/>
      </c>
      <c r="C138" s="23" t="str">
        <f aca="false">IF(A138="","",WEEKNUM(A138,21))</f>
        <v/>
      </c>
      <c r="D138" s="24" t="str">
        <f aca="false">IF(A138="","",DATE(YEAR(A138),MONTH(A138),1))</f>
        <v/>
      </c>
      <c r="E138" s="10"/>
      <c r="F138" s="25"/>
      <c r="G138" s="25"/>
      <c r="H138" s="10"/>
      <c r="I138" s="10"/>
      <c r="J138" s="26"/>
      <c r="K138" s="25"/>
      <c r="L138" s="26"/>
      <c r="M138" s="27"/>
      <c r="N138" s="27"/>
      <c r="O138" s="28" t="str">
        <f aca="false">IF(OR(M138="",M138=0,N138=""),"",N138/M138)</f>
        <v/>
      </c>
      <c r="P138" s="28" t="str">
        <f aca="false">IF(M138="","",IFERROR(IF(INDEX(Parámetros!$B$14:$B$21,MATCH(I138,Parámetros!$A$14:$A$21,0))="",Parámetros!$B$5,INDEX(Parámetros!$B$14:$B$21,MATCH(I138,Parámetros!$A$14:$A$21,0))),Parámetros!$B$5))</f>
        <v/>
      </c>
      <c r="Q138" s="29" t="str">
        <f aca="false">IF(O138="","",(O138-P138)*100)</f>
        <v/>
      </c>
      <c r="R138" s="30" t="str">
        <f aca="false">IF(O138="","",MAX(0,M138*(P138-O138)))</f>
        <v/>
      </c>
      <c r="S138" s="31" t="str">
        <f aca="false">IF(OR(L138="",L138=0,N138=""),"",N138/1000/L138)</f>
        <v/>
      </c>
      <c r="T138" s="27"/>
      <c r="U138" s="27"/>
      <c r="V138" s="27"/>
      <c r="W138" s="27"/>
      <c r="X138" s="27"/>
      <c r="Y138" s="27"/>
      <c r="Z138" s="27"/>
      <c r="AA138" s="25"/>
      <c r="AB138" s="27"/>
      <c r="AC138" s="30" t="str">
        <f aca="false">IF(M138="","",IF(AB138="",M138*Parámetros!$B$6,AB138))</f>
        <v/>
      </c>
      <c r="AD138" s="30" t="str">
        <f aca="false">IF(M138="","",SUM(T138:Z138)+AC138)</f>
        <v/>
      </c>
      <c r="AE138" s="30" t="str">
        <f aca="false">IF(OR(M138="",N138=""),"",M138-N138)</f>
        <v/>
      </c>
      <c r="AF138" s="30" t="str">
        <f aca="false">IF(AE138="","",AE138-AD138)</f>
        <v/>
      </c>
      <c r="AG138" s="28" t="str">
        <f aca="false">IF(OR(AF138="",M138=0),"",AF138/M138)</f>
        <v/>
      </c>
      <c r="AH138" s="32" t="str">
        <f aca="false">IF(OR(AE138="",N138=0),"",AE138/(N138/1000))</f>
        <v/>
      </c>
      <c r="AI138" s="30" t="str">
        <f aca="false">IF(O138="","",M138*P138)</f>
        <v/>
      </c>
      <c r="AJ138" s="11" t="str">
        <f aca="false">IF(O138="","",IF(O138&gt;1,"Error: rend &gt; 100 %",IF(SUM(T138:Z138)=0,"Falta registrar pérdidas",IF(ABS(AG138)&gt;Parámetros!$B$7,"Revisar balance",IF(O138&lt;P138,"Bajo meta","OK")))))</f>
        <v/>
      </c>
      <c r="AK138" s="33"/>
      <c r="AL138" s="10"/>
      <c r="AM138" s="33"/>
      <c r="AN138" s="33"/>
      <c r="AO138" s="10"/>
    </row>
    <row r="139" customFormat="false" ht="15" hidden="false" customHeight="false" outlineLevel="0" collapsed="false">
      <c r="A139" s="22"/>
      <c r="B139" s="23" t="str">
        <f aca="false">IF(A139="","",YEAR(A139-WEEKDAY(A139,2)+4))</f>
        <v/>
      </c>
      <c r="C139" s="23" t="str">
        <f aca="false">IF(A139="","",WEEKNUM(A139,21))</f>
        <v/>
      </c>
      <c r="D139" s="24" t="str">
        <f aca="false">IF(A139="","",DATE(YEAR(A139),MONTH(A139),1))</f>
        <v/>
      </c>
      <c r="E139" s="10"/>
      <c r="F139" s="25"/>
      <c r="G139" s="25"/>
      <c r="H139" s="10"/>
      <c r="I139" s="10"/>
      <c r="J139" s="26"/>
      <c r="K139" s="25"/>
      <c r="L139" s="26"/>
      <c r="M139" s="27"/>
      <c r="N139" s="27"/>
      <c r="O139" s="28" t="str">
        <f aca="false">IF(OR(M139="",M139=0,N139=""),"",N139/M139)</f>
        <v/>
      </c>
      <c r="P139" s="28" t="str">
        <f aca="false">IF(M139="","",IFERROR(IF(INDEX(Parámetros!$B$14:$B$21,MATCH(I139,Parámetros!$A$14:$A$21,0))="",Parámetros!$B$5,INDEX(Parámetros!$B$14:$B$21,MATCH(I139,Parámetros!$A$14:$A$21,0))),Parámetros!$B$5))</f>
        <v/>
      </c>
      <c r="Q139" s="29" t="str">
        <f aca="false">IF(O139="","",(O139-P139)*100)</f>
        <v/>
      </c>
      <c r="R139" s="30" t="str">
        <f aca="false">IF(O139="","",MAX(0,M139*(P139-O139)))</f>
        <v/>
      </c>
      <c r="S139" s="31" t="str">
        <f aca="false">IF(OR(L139="",L139=0,N139=""),"",N139/1000/L139)</f>
        <v/>
      </c>
      <c r="T139" s="27"/>
      <c r="U139" s="27"/>
      <c r="V139" s="27"/>
      <c r="W139" s="27"/>
      <c r="X139" s="27"/>
      <c r="Y139" s="27"/>
      <c r="Z139" s="27"/>
      <c r="AA139" s="25"/>
      <c r="AB139" s="27"/>
      <c r="AC139" s="30" t="str">
        <f aca="false">IF(M139="","",IF(AB139="",M139*Parámetros!$B$6,AB139))</f>
        <v/>
      </c>
      <c r="AD139" s="30" t="str">
        <f aca="false">IF(M139="","",SUM(T139:Z139)+AC139)</f>
        <v/>
      </c>
      <c r="AE139" s="30" t="str">
        <f aca="false">IF(OR(M139="",N139=""),"",M139-N139)</f>
        <v/>
      </c>
      <c r="AF139" s="30" t="str">
        <f aca="false">IF(AE139="","",AE139-AD139)</f>
        <v/>
      </c>
      <c r="AG139" s="28" t="str">
        <f aca="false">IF(OR(AF139="",M139=0),"",AF139/M139)</f>
        <v/>
      </c>
      <c r="AH139" s="32" t="str">
        <f aca="false">IF(OR(AE139="",N139=0),"",AE139/(N139/1000))</f>
        <v/>
      </c>
      <c r="AI139" s="30" t="str">
        <f aca="false">IF(O139="","",M139*P139)</f>
        <v/>
      </c>
      <c r="AJ139" s="11" t="str">
        <f aca="false">IF(O139="","",IF(O139&gt;1,"Error: rend &gt; 100 %",IF(SUM(T139:Z139)=0,"Falta registrar pérdidas",IF(ABS(AG139)&gt;Parámetros!$B$7,"Revisar balance",IF(O139&lt;P139,"Bajo meta","OK")))))</f>
        <v/>
      </c>
      <c r="AK139" s="33"/>
      <c r="AL139" s="10"/>
      <c r="AM139" s="33"/>
      <c r="AN139" s="33"/>
      <c r="AO139" s="10"/>
    </row>
    <row r="140" customFormat="false" ht="15" hidden="false" customHeight="false" outlineLevel="0" collapsed="false">
      <c r="A140" s="22"/>
      <c r="B140" s="23" t="str">
        <f aca="false">IF(A140="","",YEAR(A140-WEEKDAY(A140,2)+4))</f>
        <v/>
      </c>
      <c r="C140" s="23" t="str">
        <f aca="false">IF(A140="","",WEEKNUM(A140,21))</f>
        <v/>
      </c>
      <c r="D140" s="24" t="str">
        <f aca="false">IF(A140="","",DATE(YEAR(A140),MONTH(A140),1))</f>
        <v/>
      </c>
      <c r="E140" s="10"/>
      <c r="F140" s="25"/>
      <c r="G140" s="25"/>
      <c r="H140" s="10"/>
      <c r="I140" s="10"/>
      <c r="J140" s="26"/>
      <c r="K140" s="25"/>
      <c r="L140" s="26"/>
      <c r="M140" s="27"/>
      <c r="N140" s="27"/>
      <c r="O140" s="28" t="str">
        <f aca="false">IF(OR(M140="",M140=0,N140=""),"",N140/M140)</f>
        <v/>
      </c>
      <c r="P140" s="28" t="str">
        <f aca="false">IF(M140="","",IFERROR(IF(INDEX(Parámetros!$B$14:$B$21,MATCH(I140,Parámetros!$A$14:$A$21,0))="",Parámetros!$B$5,INDEX(Parámetros!$B$14:$B$21,MATCH(I140,Parámetros!$A$14:$A$21,0))),Parámetros!$B$5))</f>
        <v/>
      </c>
      <c r="Q140" s="29" t="str">
        <f aca="false">IF(O140="","",(O140-P140)*100)</f>
        <v/>
      </c>
      <c r="R140" s="30" t="str">
        <f aca="false">IF(O140="","",MAX(0,M140*(P140-O140)))</f>
        <v/>
      </c>
      <c r="S140" s="31" t="str">
        <f aca="false">IF(OR(L140="",L140=0,N140=""),"",N140/1000/L140)</f>
        <v/>
      </c>
      <c r="T140" s="27"/>
      <c r="U140" s="27"/>
      <c r="V140" s="27"/>
      <c r="W140" s="27"/>
      <c r="X140" s="27"/>
      <c r="Y140" s="27"/>
      <c r="Z140" s="27"/>
      <c r="AA140" s="25"/>
      <c r="AB140" s="27"/>
      <c r="AC140" s="30" t="str">
        <f aca="false">IF(M140="","",IF(AB140="",M140*Parámetros!$B$6,AB140))</f>
        <v/>
      </c>
      <c r="AD140" s="30" t="str">
        <f aca="false">IF(M140="","",SUM(T140:Z140)+AC140)</f>
        <v/>
      </c>
      <c r="AE140" s="30" t="str">
        <f aca="false">IF(OR(M140="",N140=""),"",M140-N140)</f>
        <v/>
      </c>
      <c r="AF140" s="30" t="str">
        <f aca="false">IF(AE140="","",AE140-AD140)</f>
        <v/>
      </c>
      <c r="AG140" s="28" t="str">
        <f aca="false">IF(OR(AF140="",M140=0),"",AF140/M140)</f>
        <v/>
      </c>
      <c r="AH140" s="32" t="str">
        <f aca="false">IF(OR(AE140="",N140=0),"",AE140/(N140/1000))</f>
        <v/>
      </c>
      <c r="AI140" s="30" t="str">
        <f aca="false">IF(O140="","",M140*P140)</f>
        <v/>
      </c>
      <c r="AJ140" s="11" t="str">
        <f aca="false">IF(O140="","",IF(O140&gt;1,"Error: rend &gt; 100 %",IF(SUM(T140:Z140)=0,"Falta registrar pérdidas",IF(ABS(AG140)&gt;Parámetros!$B$7,"Revisar balance",IF(O140&lt;P140,"Bajo meta","OK")))))</f>
        <v/>
      </c>
      <c r="AK140" s="33"/>
      <c r="AL140" s="10"/>
      <c r="AM140" s="33"/>
      <c r="AN140" s="33"/>
      <c r="AO140" s="10"/>
    </row>
    <row r="141" customFormat="false" ht="15" hidden="false" customHeight="false" outlineLevel="0" collapsed="false">
      <c r="A141" s="22"/>
      <c r="B141" s="23" t="str">
        <f aca="false">IF(A141="","",YEAR(A141-WEEKDAY(A141,2)+4))</f>
        <v/>
      </c>
      <c r="C141" s="23" t="str">
        <f aca="false">IF(A141="","",WEEKNUM(A141,21))</f>
        <v/>
      </c>
      <c r="D141" s="24" t="str">
        <f aca="false">IF(A141="","",DATE(YEAR(A141),MONTH(A141),1))</f>
        <v/>
      </c>
      <c r="E141" s="10"/>
      <c r="F141" s="25"/>
      <c r="G141" s="25"/>
      <c r="H141" s="10"/>
      <c r="I141" s="10"/>
      <c r="J141" s="26"/>
      <c r="K141" s="25"/>
      <c r="L141" s="26"/>
      <c r="M141" s="27"/>
      <c r="N141" s="27"/>
      <c r="O141" s="28" t="str">
        <f aca="false">IF(OR(M141="",M141=0,N141=""),"",N141/M141)</f>
        <v/>
      </c>
      <c r="P141" s="28" t="str">
        <f aca="false">IF(M141="","",IFERROR(IF(INDEX(Parámetros!$B$14:$B$21,MATCH(I141,Parámetros!$A$14:$A$21,0))="",Parámetros!$B$5,INDEX(Parámetros!$B$14:$B$21,MATCH(I141,Parámetros!$A$14:$A$21,0))),Parámetros!$B$5))</f>
        <v/>
      </c>
      <c r="Q141" s="29" t="str">
        <f aca="false">IF(O141="","",(O141-P141)*100)</f>
        <v/>
      </c>
      <c r="R141" s="30" t="str">
        <f aca="false">IF(O141="","",MAX(0,M141*(P141-O141)))</f>
        <v/>
      </c>
      <c r="S141" s="31" t="str">
        <f aca="false">IF(OR(L141="",L141=0,N141=""),"",N141/1000/L141)</f>
        <v/>
      </c>
      <c r="T141" s="27"/>
      <c r="U141" s="27"/>
      <c r="V141" s="27"/>
      <c r="W141" s="27"/>
      <c r="X141" s="27"/>
      <c r="Y141" s="27"/>
      <c r="Z141" s="27"/>
      <c r="AA141" s="25"/>
      <c r="AB141" s="27"/>
      <c r="AC141" s="30" t="str">
        <f aca="false">IF(M141="","",IF(AB141="",M141*Parámetros!$B$6,AB141))</f>
        <v/>
      </c>
      <c r="AD141" s="30" t="str">
        <f aca="false">IF(M141="","",SUM(T141:Z141)+AC141)</f>
        <v/>
      </c>
      <c r="AE141" s="30" t="str">
        <f aca="false">IF(OR(M141="",N141=""),"",M141-N141)</f>
        <v/>
      </c>
      <c r="AF141" s="30" t="str">
        <f aca="false">IF(AE141="","",AE141-AD141)</f>
        <v/>
      </c>
      <c r="AG141" s="28" t="str">
        <f aca="false">IF(OR(AF141="",M141=0),"",AF141/M141)</f>
        <v/>
      </c>
      <c r="AH141" s="32" t="str">
        <f aca="false">IF(OR(AE141="",N141=0),"",AE141/(N141/1000))</f>
        <v/>
      </c>
      <c r="AI141" s="30" t="str">
        <f aca="false">IF(O141="","",M141*P141)</f>
        <v/>
      </c>
      <c r="AJ141" s="11" t="str">
        <f aca="false">IF(O141="","",IF(O141&gt;1,"Error: rend &gt; 100 %",IF(SUM(T141:Z141)=0,"Falta registrar pérdidas",IF(ABS(AG141)&gt;Parámetros!$B$7,"Revisar balance",IF(O141&lt;P141,"Bajo meta","OK")))))</f>
        <v/>
      </c>
      <c r="AK141" s="33"/>
      <c r="AL141" s="10"/>
      <c r="AM141" s="33"/>
      <c r="AN141" s="33"/>
      <c r="AO141" s="10"/>
    </row>
    <row r="142" customFormat="false" ht="15" hidden="false" customHeight="false" outlineLevel="0" collapsed="false">
      <c r="A142" s="22"/>
      <c r="B142" s="23" t="str">
        <f aca="false">IF(A142="","",YEAR(A142-WEEKDAY(A142,2)+4))</f>
        <v/>
      </c>
      <c r="C142" s="23" t="str">
        <f aca="false">IF(A142="","",WEEKNUM(A142,21))</f>
        <v/>
      </c>
      <c r="D142" s="24" t="str">
        <f aca="false">IF(A142="","",DATE(YEAR(A142),MONTH(A142),1))</f>
        <v/>
      </c>
      <c r="E142" s="10"/>
      <c r="F142" s="25"/>
      <c r="G142" s="25"/>
      <c r="H142" s="10"/>
      <c r="I142" s="10"/>
      <c r="J142" s="26"/>
      <c r="K142" s="25"/>
      <c r="L142" s="26"/>
      <c r="M142" s="27"/>
      <c r="N142" s="27"/>
      <c r="O142" s="28" t="str">
        <f aca="false">IF(OR(M142="",M142=0,N142=""),"",N142/M142)</f>
        <v/>
      </c>
      <c r="P142" s="28" t="str">
        <f aca="false">IF(M142="","",IFERROR(IF(INDEX(Parámetros!$B$14:$B$21,MATCH(I142,Parámetros!$A$14:$A$21,0))="",Parámetros!$B$5,INDEX(Parámetros!$B$14:$B$21,MATCH(I142,Parámetros!$A$14:$A$21,0))),Parámetros!$B$5))</f>
        <v/>
      </c>
      <c r="Q142" s="29" t="str">
        <f aca="false">IF(O142="","",(O142-P142)*100)</f>
        <v/>
      </c>
      <c r="R142" s="30" t="str">
        <f aca="false">IF(O142="","",MAX(0,M142*(P142-O142)))</f>
        <v/>
      </c>
      <c r="S142" s="31" t="str">
        <f aca="false">IF(OR(L142="",L142=0,N142=""),"",N142/1000/L142)</f>
        <v/>
      </c>
      <c r="T142" s="27"/>
      <c r="U142" s="27"/>
      <c r="V142" s="27"/>
      <c r="W142" s="27"/>
      <c r="X142" s="27"/>
      <c r="Y142" s="27"/>
      <c r="Z142" s="27"/>
      <c r="AA142" s="25"/>
      <c r="AB142" s="27"/>
      <c r="AC142" s="30" t="str">
        <f aca="false">IF(M142="","",IF(AB142="",M142*Parámetros!$B$6,AB142))</f>
        <v/>
      </c>
      <c r="AD142" s="30" t="str">
        <f aca="false">IF(M142="","",SUM(T142:Z142)+AC142)</f>
        <v/>
      </c>
      <c r="AE142" s="30" t="str">
        <f aca="false">IF(OR(M142="",N142=""),"",M142-N142)</f>
        <v/>
      </c>
      <c r="AF142" s="30" t="str">
        <f aca="false">IF(AE142="","",AE142-AD142)</f>
        <v/>
      </c>
      <c r="AG142" s="28" t="str">
        <f aca="false">IF(OR(AF142="",M142=0),"",AF142/M142)</f>
        <v/>
      </c>
      <c r="AH142" s="32" t="str">
        <f aca="false">IF(OR(AE142="",N142=0),"",AE142/(N142/1000))</f>
        <v/>
      </c>
      <c r="AI142" s="30" t="str">
        <f aca="false">IF(O142="","",M142*P142)</f>
        <v/>
      </c>
      <c r="AJ142" s="11" t="str">
        <f aca="false">IF(O142="","",IF(O142&gt;1,"Error: rend &gt; 100 %",IF(SUM(T142:Z142)=0,"Falta registrar pérdidas",IF(ABS(AG142)&gt;Parámetros!$B$7,"Revisar balance",IF(O142&lt;P142,"Bajo meta","OK")))))</f>
        <v/>
      </c>
      <c r="AK142" s="33"/>
      <c r="AL142" s="10"/>
      <c r="AM142" s="33"/>
      <c r="AN142" s="33"/>
      <c r="AO142" s="10"/>
    </row>
    <row r="143" customFormat="false" ht="15" hidden="false" customHeight="false" outlineLevel="0" collapsed="false">
      <c r="A143" s="22"/>
      <c r="B143" s="23" t="str">
        <f aca="false">IF(A143="","",YEAR(A143-WEEKDAY(A143,2)+4))</f>
        <v/>
      </c>
      <c r="C143" s="23" t="str">
        <f aca="false">IF(A143="","",WEEKNUM(A143,21))</f>
        <v/>
      </c>
      <c r="D143" s="24" t="str">
        <f aca="false">IF(A143="","",DATE(YEAR(A143),MONTH(A143),1))</f>
        <v/>
      </c>
      <c r="E143" s="10"/>
      <c r="F143" s="25"/>
      <c r="G143" s="25"/>
      <c r="H143" s="10"/>
      <c r="I143" s="10"/>
      <c r="J143" s="26"/>
      <c r="K143" s="25"/>
      <c r="L143" s="26"/>
      <c r="M143" s="27"/>
      <c r="N143" s="27"/>
      <c r="O143" s="28" t="str">
        <f aca="false">IF(OR(M143="",M143=0,N143=""),"",N143/M143)</f>
        <v/>
      </c>
      <c r="P143" s="28" t="str">
        <f aca="false">IF(M143="","",IFERROR(IF(INDEX(Parámetros!$B$14:$B$21,MATCH(I143,Parámetros!$A$14:$A$21,0))="",Parámetros!$B$5,INDEX(Parámetros!$B$14:$B$21,MATCH(I143,Parámetros!$A$14:$A$21,0))),Parámetros!$B$5))</f>
        <v/>
      </c>
      <c r="Q143" s="29" t="str">
        <f aca="false">IF(O143="","",(O143-P143)*100)</f>
        <v/>
      </c>
      <c r="R143" s="30" t="str">
        <f aca="false">IF(O143="","",MAX(0,M143*(P143-O143)))</f>
        <v/>
      </c>
      <c r="S143" s="31" t="str">
        <f aca="false">IF(OR(L143="",L143=0,N143=""),"",N143/1000/L143)</f>
        <v/>
      </c>
      <c r="T143" s="27"/>
      <c r="U143" s="27"/>
      <c r="V143" s="27"/>
      <c r="W143" s="27"/>
      <c r="X143" s="27"/>
      <c r="Y143" s="27"/>
      <c r="Z143" s="27"/>
      <c r="AA143" s="25"/>
      <c r="AB143" s="27"/>
      <c r="AC143" s="30" t="str">
        <f aca="false">IF(M143="","",IF(AB143="",M143*Parámetros!$B$6,AB143))</f>
        <v/>
      </c>
      <c r="AD143" s="30" t="str">
        <f aca="false">IF(M143="","",SUM(T143:Z143)+AC143)</f>
        <v/>
      </c>
      <c r="AE143" s="30" t="str">
        <f aca="false">IF(OR(M143="",N143=""),"",M143-N143)</f>
        <v/>
      </c>
      <c r="AF143" s="30" t="str">
        <f aca="false">IF(AE143="","",AE143-AD143)</f>
        <v/>
      </c>
      <c r="AG143" s="28" t="str">
        <f aca="false">IF(OR(AF143="",M143=0),"",AF143/M143)</f>
        <v/>
      </c>
      <c r="AH143" s="32" t="str">
        <f aca="false">IF(OR(AE143="",N143=0),"",AE143/(N143/1000))</f>
        <v/>
      </c>
      <c r="AI143" s="30" t="str">
        <f aca="false">IF(O143="","",M143*P143)</f>
        <v/>
      </c>
      <c r="AJ143" s="11" t="str">
        <f aca="false">IF(O143="","",IF(O143&gt;1,"Error: rend &gt; 100 %",IF(SUM(T143:Z143)=0,"Falta registrar pérdidas",IF(ABS(AG143)&gt;Parámetros!$B$7,"Revisar balance",IF(O143&lt;P143,"Bajo meta","OK")))))</f>
        <v/>
      </c>
      <c r="AK143" s="33"/>
      <c r="AL143" s="10"/>
      <c r="AM143" s="33"/>
      <c r="AN143" s="33"/>
      <c r="AO143" s="10"/>
    </row>
    <row r="144" customFormat="false" ht="15" hidden="false" customHeight="false" outlineLevel="0" collapsed="false">
      <c r="A144" s="22"/>
      <c r="B144" s="23" t="str">
        <f aca="false">IF(A144="","",YEAR(A144-WEEKDAY(A144,2)+4))</f>
        <v/>
      </c>
      <c r="C144" s="23" t="str">
        <f aca="false">IF(A144="","",WEEKNUM(A144,21))</f>
        <v/>
      </c>
      <c r="D144" s="24" t="str">
        <f aca="false">IF(A144="","",DATE(YEAR(A144),MONTH(A144),1))</f>
        <v/>
      </c>
      <c r="E144" s="10"/>
      <c r="F144" s="25"/>
      <c r="G144" s="25"/>
      <c r="H144" s="10"/>
      <c r="I144" s="10"/>
      <c r="J144" s="26"/>
      <c r="K144" s="25"/>
      <c r="L144" s="26"/>
      <c r="M144" s="27"/>
      <c r="N144" s="27"/>
      <c r="O144" s="28" t="str">
        <f aca="false">IF(OR(M144="",M144=0,N144=""),"",N144/M144)</f>
        <v/>
      </c>
      <c r="P144" s="28" t="str">
        <f aca="false">IF(M144="","",IFERROR(IF(INDEX(Parámetros!$B$14:$B$21,MATCH(I144,Parámetros!$A$14:$A$21,0))="",Parámetros!$B$5,INDEX(Parámetros!$B$14:$B$21,MATCH(I144,Parámetros!$A$14:$A$21,0))),Parámetros!$B$5))</f>
        <v/>
      </c>
      <c r="Q144" s="29" t="str">
        <f aca="false">IF(O144="","",(O144-P144)*100)</f>
        <v/>
      </c>
      <c r="R144" s="30" t="str">
        <f aca="false">IF(O144="","",MAX(0,M144*(P144-O144)))</f>
        <v/>
      </c>
      <c r="S144" s="31" t="str">
        <f aca="false">IF(OR(L144="",L144=0,N144=""),"",N144/1000/L144)</f>
        <v/>
      </c>
      <c r="T144" s="27"/>
      <c r="U144" s="27"/>
      <c r="V144" s="27"/>
      <c r="W144" s="27"/>
      <c r="X144" s="27"/>
      <c r="Y144" s="27"/>
      <c r="Z144" s="27"/>
      <c r="AA144" s="25"/>
      <c r="AB144" s="27"/>
      <c r="AC144" s="30" t="str">
        <f aca="false">IF(M144="","",IF(AB144="",M144*Parámetros!$B$6,AB144))</f>
        <v/>
      </c>
      <c r="AD144" s="30" t="str">
        <f aca="false">IF(M144="","",SUM(T144:Z144)+AC144)</f>
        <v/>
      </c>
      <c r="AE144" s="30" t="str">
        <f aca="false">IF(OR(M144="",N144=""),"",M144-N144)</f>
        <v/>
      </c>
      <c r="AF144" s="30" t="str">
        <f aca="false">IF(AE144="","",AE144-AD144)</f>
        <v/>
      </c>
      <c r="AG144" s="28" t="str">
        <f aca="false">IF(OR(AF144="",M144=0),"",AF144/M144)</f>
        <v/>
      </c>
      <c r="AH144" s="32" t="str">
        <f aca="false">IF(OR(AE144="",N144=0),"",AE144/(N144/1000))</f>
        <v/>
      </c>
      <c r="AI144" s="30" t="str">
        <f aca="false">IF(O144="","",M144*P144)</f>
        <v/>
      </c>
      <c r="AJ144" s="11" t="str">
        <f aca="false">IF(O144="","",IF(O144&gt;1,"Error: rend &gt; 100 %",IF(SUM(T144:Z144)=0,"Falta registrar pérdidas",IF(ABS(AG144)&gt;Parámetros!$B$7,"Revisar balance",IF(O144&lt;P144,"Bajo meta","OK")))))</f>
        <v/>
      </c>
      <c r="AK144" s="33"/>
      <c r="AL144" s="10"/>
      <c r="AM144" s="33"/>
      <c r="AN144" s="33"/>
      <c r="AO144" s="10"/>
    </row>
    <row r="145" customFormat="false" ht="15" hidden="false" customHeight="false" outlineLevel="0" collapsed="false">
      <c r="A145" s="22"/>
      <c r="B145" s="23" t="str">
        <f aca="false">IF(A145="","",YEAR(A145-WEEKDAY(A145,2)+4))</f>
        <v/>
      </c>
      <c r="C145" s="23" t="str">
        <f aca="false">IF(A145="","",WEEKNUM(A145,21))</f>
        <v/>
      </c>
      <c r="D145" s="24" t="str">
        <f aca="false">IF(A145="","",DATE(YEAR(A145),MONTH(A145),1))</f>
        <v/>
      </c>
      <c r="E145" s="10"/>
      <c r="F145" s="25"/>
      <c r="G145" s="25"/>
      <c r="H145" s="10"/>
      <c r="I145" s="10"/>
      <c r="J145" s="26"/>
      <c r="K145" s="25"/>
      <c r="L145" s="26"/>
      <c r="M145" s="27"/>
      <c r="N145" s="27"/>
      <c r="O145" s="28" t="str">
        <f aca="false">IF(OR(M145="",M145=0,N145=""),"",N145/M145)</f>
        <v/>
      </c>
      <c r="P145" s="28" t="str">
        <f aca="false">IF(M145="","",IFERROR(IF(INDEX(Parámetros!$B$14:$B$21,MATCH(I145,Parámetros!$A$14:$A$21,0))="",Parámetros!$B$5,INDEX(Parámetros!$B$14:$B$21,MATCH(I145,Parámetros!$A$14:$A$21,0))),Parámetros!$B$5))</f>
        <v/>
      </c>
      <c r="Q145" s="29" t="str">
        <f aca="false">IF(O145="","",(O145-P145)*100)</f>
        <v/>
      </c>
      <c r="R145" s="30" t="str">
        <f aca="false">IF(O145="","",MAX(0,M145*(P145-O145)))</f>
        <v/>
      </c>
      <c r="S145" s="31" t="str">
        <f aca="false">IF(OR(L145="",L145=0,N145=""),"",N145/1000/L145)</f>
        <v/>
      </c>
      <c r="T145" s="27"/>
      <c r="U145" s="27"/>
      <c r="V145" s="27"/>
      <c r="W145" s="27"/>
      <c r="X145" s="27"/>
      <c r="Y145" s="27"/>
      <c r="Z145" s="27"/>
      <c r="AA145" s="25"/>
      <c r="AB145" s="27"/>
      <c r="AC145" s="30" t="str">
        <f aca="false">IF(M145="","",IF(AB145="",M145*Parámetros!$B$6,AB145))</f>
        <v/>
      </c>
      <c r="AD145" s="30" t="str">
        <f aca="false">IF(M145="","",SUM(T145:Z145)+AC145)</f>
        <v/>
      </c>
      <c r="AE145" s="30" t="str">
        <f aca="false">IF(OR(M145="",N145=""),"",M145-N145)</f>
        <v/>
      </c>
      <c r="AF145" s="30" t="str">
        <f aca="false">IF(AE145="","",AE145-AD145)</f>
        <v/>
      </c>
      <c r="AG145" s="28" t="str">
        <f aca="false">IF(OR(AF145="",M145=0),"",AF145/M145)</f>
        <v/>
      </c>
      <c r="AH145" s="32" t="str">
        <f aca="false">IF(OR(AE145="",N145=0),"",AE145/(N145/1000))</f>
        <v/>
      </c>
      <c r="AI145" s="30" t="str">
        <f aca="false">IF(O145="","",M145*P145)</f>
        <v/>
      </c>
      <c r="AJ145" s="11" t="str">
        <f aca="false">IF(O145="","",IF(O145&gt;1,"Error: rend &gt; 100 %",IF(SUM(T145:Z145)=0,"Falta registrar pérdidas",IF(ABS(AG145)&gt;Parámetros!$B$7,"Revisar balance",IF(O145&lt;P145,"Bajo meta","OK")))))</f>
        <v/>
      </c>
      <c r="AK145" s="33"/>
      <c r="AL145" s="10"/>
      <c r="AM145" s="33"/>
      <c r="AN145" s="33"/>
      <c r="AO145" s="10"/>
    </row>
    <row r="146" customFormat="false" ht="15" hidden="false" customHeight="false" outlineLevel="0" collapsed="false">
      <c r="A146" s="22"/>
      <c r="B146" s="23" t="str">
        <f aca="false">IF(A146="","",YEAR(A146-WEEKDAY(A146,2)+4))</f>
        <v/>
      </c>
      <c r="C146" s="23" t="str">
        <f aca="false">IF(A146="","",WEEKNUM(A146,21))</f>
        <v/>
      </c>
      <c r="D146" s="24" t="str">
        <f aca="false">IF(A146="","",DATE(YEAR(A146),MONTH(A146),1))</f>
        <v/>
      </c>
      <c r="E146" s="10"/>
      <c r="F146" s="25"/>
      <c r="G146" s="25"/>
      <c r="H146" s="10"/>
      <c r="I146" s="10"/>
      <c r="J146" s="26"/>
      <c r="K146" s="25"/>
      <c r="L146" s="26"/>
      <c r="M146" s="27"/>
      <c r="N146" s="27"/>
      <c r="O146" s="28" t="str">
        <f aca="false">IF(OR(M146="",M146=0,N146=""),"",N146/M146)</f>
        <v/>
      </c>
      <c r="P146" s="28" t="str">
        <f aca="false">IF(M146="","",IFERROR(IF(INDEX(Parámetros!$B$14:$B$21,MATCH(I146,Parámetros!$A$14:$A$21,0))="",Parámetros!$B$5,INDEX(Parámetros!$B$14:$B$21,MATCH(I146,Parámetros!$A$14:$A$21,0))),Parámetros!$B$5))</f>
        <v/>
      </c>
      <c r="Q146" s="29" t="str">
        <f aca="false">IF(O146="","",(O146-P146)*100)</f>
        <v/>
      </c>
      <c r="R146" s="30" t="str">
        <f aca="false">IF(O146="","",MAX(0,M146*(P146-O146)))</f>
        <v/>
      </c>
      <c r="S146" s="31" t="str">
        <f aca="false">IF(OR(L146="",L146=0,N146=""),"",N146/1000/L146)</f>
        <v/>
      </c>
      <c r="T146" s="27"/>
      <c r="U146" s="27"/>
      <c r="V146" s="27"/>
      <c r="W146" s="27"/>
      <c r="X146" s="27"/>
      <c r="Y146" s="27"/>
      <c r="Z146" s="27"/>
      <c r="AA146" s="25"/>
      <c r="AB146" s="27"/>
      <c r="AC146" s="30" t="str">
        <f aca="false">IF(M146="","",IF(AB146="",M146*Parámetros!$B$6,AB146))</f>
        <v/>
      </c>
      <c r="AD146" s="30" t="str">
        <f aca="false">IF(M146="","",SUM(T146:Z146)+AC146)</f>
        <v/>
      </c>
      <c r="AE146" s="30" t="str">
        <f aca="false">IF(OR(M146="",N146=""),"",M146-N146)</f>
        <v/>
      </c>
      <c r="AF146" s="30" t="str">
        <f aca="false">IF(AE146="","",AE146-AD146)</f>
        <v/>
      </c>
      <c r="AG146" s="28" t="str">
        <f aca="false">IF(OR(AF146="",M146=0),"",AF146/M146)</f>
        <v/>
      </c>
      <c r="AH146" s="32" t="str">
        <f aca="false">IF(OR(AE146="",N146=0),"",AE146/(N146/1000))</f>
        <v/>
      </c>
      <c r="AI146" s="30" t="str">
        <f aca="false">IF(O146="","",M146*P146)</f>
        <v/>
      </c>
      <c r="AJ146" s="11" t="str">
        <f aca="false">IF(O146="","",IF(O146&gt;1,"Error: rend &gt; 100 %",IF(SUM(T146:Z146)=0,"Falta registrar pérdidas",IF(ABS(AG146)&gt;Parámetros!$B$7,"Revisar balance",IF(O146&lt;P146,"Bajo meta","OK")))))</f>
        <v/>
      </c>
      <c r="AK146" s="33"/>
      <c r="AL146" s="10"/>
      <c r="AM146" s="33"/>
      <c r="AN146" s="33"/>
      <c r="AO146" s="10"/>
    </row>
    <row r="147" customFormat="false" ht="15" hidden="false" customHeight="false" outlineLevel="0" collapsed="false">
      <c r="A147" s="22"/>
      <c r="B147" s="23" t="str">
        <f aca="false">IF(A147="","",YEAR(A147-WEEKDAY(A147,2)+4))</f>
        <v/>
      </c>
      <c r="C147" s="23" t="str">
        <f aca="false">IF(A147="","",WEEKNUM(A147,21))</f>
        <v/>
      </c>
      <c r="D147" s="24" t="str">
        <f aca="false">IF(A147="","",DATE(YEAR(A147),MONTH(A147),1))</f>
        <v/>
      </c>
      <c r="E147" s="10"/>
      <c r="F147" s="25"/>
      <c r="G147" s="25"/>
      <c r="H147" s="10"/>
      <c r="I147" s="10"/>
      <c r="J147" s="26"/>
      <c r="K147" s="25"/>
      <c r="L147" s="26"/>
      <c r="M147" s="27"/>
      <c r="N147" s="27"/>
      <c r="O147" s="28" t="str">
        <f aca="false">IF(OR(M147="",M147=0,N147=""),"",N147/M147)</f>
        <v/>
      </c>
      <c r="P147" s="28" t="str">
        <f aca="false">IF(M147="","",IFERROR(IF(INDEX(Parámetros!$B$14:$B$21,MATCH(I147,Parámetros!$A$14:$A$21,0))="",Parámetros!$B$5,INDEX(Parámetros!$B$14:$B$21,MATCH(I147,Parámetros!$A$14:$A$21,0))),Parámetros!$B$5))</f>
        <v/>
      </c>
      <c r="Q147" s="29" t="str">
        <f aca="false">IF(O147="","",(O147-P147)*100)</f>
        <v/>
      </c>
      <c r="R147" s="30" t="str">
        <f aca="false">IF(O147="","",MAX(0,M147*(P147-O147)))</f>
        <v/>
      </c>
      <c r="S147" s="31" t="str">
        <f aca="false">IF(OR(L147="",L147=0,N147=""),"",N147/1000/L147)</f>
        <v/>
      </c>
      <c r="T147" s="27"/>
      <c r="U147" s="27"/>
      <c r="V147" s="27"/>
      <c r="W147" s="27"/>
      <c r="X147" s="27"/>
      <c r="Y147" s="27"/>
      <c r="Z147" s="27"/>
      <c r="AA147" s="25"/>
      <c r="AB147" s="27"/>
      <c r="AC147" s="30" t="str">
        <f aca="false">IF(M147="","",IF(AB147="",M147*Parámetros!$B$6,AB147))</f>
        <v/>
      </c>
      <c r="AD147" s="30" t="str">
        <f aca="false">IF(M147="","",SUM(T147:Z147)+AC147)</f>
        <v/>
      </c>
      <c r="AE147" s="30" t="str">
        <f aca="false">IF(OR(M147="",N147=""),"",M147-N147)</f>
        <v/>
      </c>
      <c r="AF147" s="30" t="str">
        <f aca="false">IF(AE147="","",AE147-AD147)</f>
        <v/>
      </c>
      <c r="AG147" s="28" t="str">
        <f aca="false">IF(OR(AF147="",M147=0),"",AF147/M147)</f>
        <v/>
      </c>
      <c r="AH147" s="32" t="str">
        <f aca="false">IF(OR(AE147="",N147=0),"",AE147/(N147/1000))</f>
        <v/>
      </c>
      <c r="AI147" s="30" t="str">
        <f aca="false">IF(O147="","",M147*P147)</f>
        <v/>
      </c>
      <c r="AJ147" s="11" t="str">
        <f aca="false">IF(O147="","",IF(O147&gt;1,"Error: rend &gt; 100 %",IF(SUM(T147:Z147)=0,"Falta registrar pérdidas",IF(ABS(AG147)&gt;Parámetros!$B$7,"Revisar balance",IF(O147&lt;P147,"Bajo meta","OK")))))</f>
        <v/>
      </c>
      <c r="AK147" s="33"/>
      <c r="AL147" s="10"/>
      <c r="AM147" s="33"/>
      <c r="AN147" s="33"/>
      <c r="AO147" s="10"/>
    </row>
    <row r="148" customFormat="false" ht="15" hidden="false" customHeight="false" outlineLevel="0" collapsed="false">
      <c r="A148" s="22"/>
      <c r="B148" s="23" t="str">
        <f aca="false">IF(A148="","",YEAR(A148-WEEKDAY(A148,2)+4))</f>
        <v/>
      </c>
      <c r="C148" s="23" t="str">
        <f aca="false">IF(A148="","",WEEKNUM(A148,21))</f>
        <v/>
      </c>
      <c r="D148" s="24" t="str">
        <f aca="false">IF(A148="","",DATE(YEAR(A148),MONTH(A148),1))</f>
        <v/>
      </c>
      <c r="E148" s="10"/>
      <c r="F148" s="25"/>
      <c r="G148" s="25"/>
      <c r="H148" s="10"/>
      <c r="I148" s="10"/>
      <c r="J148" s="26"/>
      <c r="K148" s="25"/>
      <c r="L148" s="26"/>
      <c r="M148" s="27"/>
      <c r="N148" s="27"/>
      <c r="O148" s="28" t="str">
        <f aca="false">IF(OR(M148="",M148=0,N148=""),"",N148/M148)</f>
        <v/>
      </c>
      <c r="P148" s="28" t="str">
        <f aca="false">IF(M148="","",IFERROR(IF(INDEX(Parámetros!$B$14:$B$21,MATCH(I148,Parámetros!$A$14:$A$21,0))="",Parámetros!$B$5,INDEX(Parámetros!$B$14:$B$21,MATCH(I148,Parámetros!$A$14:$A$21,0))),Parámetros!$B$5))</f>
        <v/>
      </c>
      <c r="Q148" s="29" t="str">
        <f aca="false">IF(O148="","",(O148-P148)*100)</f>
        <v/>
      </c>
      <c r="R148" s="30" t="str">
        <f aca="false">IF(O148="","",MAX(0,M148*(P148-O148)))</f>
        <v/>
      </c>
      <c r="S148" s="31" t="str">
        <f aca="false">IF(OR(L148="",L148=0,N148=""),"",N148/1000/L148)</f>
        <v/>
      </c>
      <c r="T148" s="27"/>
      <c r="U148" s="27"/>
      <c r="V148" s="27"/>
      <c r="W148" s="27"/>
      <c r="X148" s="27"/>
      <c r="Y148" s="27"/>
      <c r="Z148" s="27"/>
      <c r="AA148" s="25"/>
      <c r="AB148" s="27"/>
      <c r="AC148" s="30" t="str">
        <f aca="false">IF(M148="","",IF(AB148="",M148*Parámetros!$B$6,AB148))</f>
        <v/>
      </c>
      <c r="AD148" s="30" t="str">
        <f aca="false">IF(M148="","",SUM(T148:Z148)+AC148)</f>
        <v/>
      </c>
      <c r="AE148" s="30" t="str">
        <f aca="false">IF(OR(M148="",N148=""),"",M148-N148)</f>
        <v/>
      </c>
      <c r="AF148" s="30" t="str">
        <f aca="false">IF(AE148="","",AE148-AD148)</f>
        <v/>
      </c>
      <c r="AG148" s="28" t="str">
        <f aca="false">IF(OR(AF148="",M148=0),"",AF148/M148)</f>
        <v/>
      </c>
      <c r="AH148" s="32" t="str">
        <f aca="false">IF(OR(AE148="",N148=0),"",AE148/(N148/1000))</f>
        <v/>
      </c>
      <c r="AI148" s="30" t="str">
        <f aca="false">IF(O148="","",M148*P148)</f>
        <v/>
      </c>
      <c r="AJ148" s="11" t="str">
        <f aca="false">IF(O148="","",IF(O148&gt;1,"Error: rend &gt; 100 %",IF(SUM(T148:Z148)=0,"Falta registrar pérdidas",IF(ABS(AG148)&gt;Parámetros!$B$7,"Revisar balance",IF(O148&lt;P148,"Bajo meta","OK")))))</f>
        <v/>
      </c>
      <c r="AK148" s="33"/>
      <c r="AL148" s="10"/>
      <c r="AM148" s="33"/>
      <c r="AN148" s="33"/>
      <c r="AO148" s="10"/>
    </row>
    <row r="149" customFormat="false" ht="15" hidden="false" customHeight="false" outlineLevel="0" collapsed="false">
      <c r="A149" s="22"/>
      <c r="B149" s="23" t="str">
        <f aca="false">IF(A149="","",YEAR(A149-WEEKDAY(A149,2)+4))</f>
        <v/>
      </c>
      <c r="C149" s="23" t="str">
        <f aca="false">IF(A149="","",WEEKNUM(A149,21))</f>
        <v/>
      </c>
      <c r="D149" s="24" t="str">
        <f aca="false">IF(A149="","",DATE(YEAR(A149),MONTH(A149),1))</f>
        <v/>
      </c>
      <c r="E149" s="10"/>
      <c r="F149" s="25"/>
      <c r="G149" s="25"/>
      <c r="H149" s="10"/>
      <c r="I149" s="10"/>
      <c r="J149" s="26"/>
      <c r="K149" s="25"/>
      <c r="L149" s="26"/>
      <c r="M149" s="27"/>
      <c r="N149" s="27"/>
      <c r="O149" s="28" t="str">
        <f aca="false">IF(OR(M149="",M149=0,N149=""),"",N149/M149)</f>
        <v/>
      </c>
      <c r="P149" s="28" t="str">
        <f aca="false">IF(M149="","",IFERROR(IF(INDEX(Parámetros!$B$14:$B$21,MATCH(I149,Parámetros!$A$14:$A$21,0))="",Parámetros!$B$5,INDEX(Parámetros!$B$14:$B$21,MATCH(I149,Parámetros!$A$14:$A$21,0))),Parámetros!$B$5))</f>
        <v/>
      </c>
      <c r="Q149" s="29" t="str">
        <f aca="false">IF(O149="","",(O149-P149)*100)</f>
        <v/>
      </c>
      <c r="R149" s="30" t="str">
        <f aca="false">IF(O149="","",MAX(0,M149*(P149-O149)))</f>
        <v/>
      </c>
      <c r="S149" s="31" t="str">
        <f aca="false">IF(OR(L149="",L149=0,N149=""),"",N149/1000/L149)</f>
        <v/>
      </c>
      <c r="T149" s="27"/>
      <c r="U149" s="27"/>
      <c r="V149" s="27"/>
      <c r="W149" s="27"/>
      <c r="X149" s="27"/>
      <c r="Y149" s="27"/>
      <c r="Z149" s="27"/>
      <c r="AA149" s="25"/>
      <c r="AB149" s="27"/>
      <c r="AC149" s="30" t="str">
        <f aca="false">IF(M149="","",IF(AB149="",M149*Parámetros!$B$6,AB149))</f>
        <v/>
      </c>
      <c r="AD149" s="30" t="str">
        <f aca="false">IF(M149="","",SUM(T149:Z149)+AC149)</f>
        <v/>
      </c>
      <c r="AE149" s="30" t="str">
        <f aca="false">IF(OR(M149="",N149=""),"",M149-N149)</f>
        <v/>
      </c>
      <c r="AF149" s="30" t="str">
        <f aca="false">IF(AE149="","",AE149-AD149)</f>
        <v/>
      </c>
      <c r="AG149" s="28" t="str">
        <f aca="false">IF(OR(AF149="",M149=0),"",AF149/M149)</f>
        <v/>
      </c>
      <c r="AH149" s="32" t="str">
        <f aca="false">IF(OR(AE149="",N149=0),"",AE149/(N149/1000))</f>
        <v/>
      </c>
      <c r="AI149" s="30" t="str">
        <f aca="false">IF(O149="","",M149*P149)</f>
        <v/>
      </c>
      <c r="AJ149" s="11" t="str">
        <f aca="false">IF(O149="","",IF(O149&gt;1,"Error: rend &gt; 100 %",IF(SUM(T149:Z149)=0,"Falta registrar pérdidas",IF(ABS(AG149)&gt;Parámetros!$B$7,"Revisar balance",IF(O149&lt;P149,"Bajo meta","OK")))))</f>
        <v/>
      </c>
      <c r="AK149" s="33"/>
      <c r="AL149" s="10"/>
      <c r="AM149" s="33"/>
      <c r="AN149" s="33"/>
      <c r="AO149" s="10"/>
    </row>
    <row r="150" customFormat="false" ht="15" hidden="false" customHeight="false" outlineLevel="0" collapsed="false">
      <c r="A150" s="22"/>
      <c r="B150" s="23" t="str">
        <f aca="false">IF(A150="","",YEAR(A150-WEEKDAY(A150,2)+4))</f>
        <v/>
      </c>
      <c r="C150" s="23" t="str">
        <f aca="false">IF(A150="","",WEEKNUM(A150,21))</f>
        <v/>
      </c>
      <c r="D150" s="24" t="str">
        <f aca="false">IF(A150="","",DATE(YEAR(A150),MONTH(A150),1))</f>
        <v/>
      </c>
      <c r="E150" s="10"/>
      <c r="F150" s="25"/>
      <c r="G150" s="25"/>
      <c r="H150" s="10"/>
      <c r="I150" s="10"/>
      <c r="J150" s="26"/>
      <c r="K150" s="25"/>
      <c r="L150" s="26"/>
      <c r="M150" s="27"/>
      <c r="N150" s="27"/>
      <c r="O150" s="28" t="str">
        <f aca="false">IF(OR(M150="",M150=0,N150=""),"",N150/M150)</f>
        <v/>
      </c>
      <c r="P150" s="28" t="str">
        <f aca="false">IF(M150="","",IFERROR(IF(INDEX(Parámetros!$B$14:$B$21,MATCH(I150,Parámetros!$A$14:$A$21,0))="",Parámetros!$B$5,INDEX(Parámetros!$B$14:$B$21,MATCH(I150,Parámetros!$A$14:$A$21,0))),Parámetros!$B$5))</f>
        <v/>
      </c>
      <c r="Q150" s="29" t="str">
        <f aca="false">IF(O150="","",(O150-P150)*100)</f>
        <v/>
      </c>
      <c r="R150" s="30" t="str">
        <f aca="false">IF(O150="","",MAX(0,M150*(P150-O150)))</f>
        <v/>
      </c>
      <c r="S150" s="31" t="str">
        <f aca="false">IF(OR(L150="",L150=0,N150=""),"",N150/1000/L150)</f>
        <v/>
      </c>
      <c r="T150" s="27"/>
      <c r="U150" s="27"/>
      <c r="V150" s="27"/>
      <c r="W150" s="27"/>
      <c r="X150" s="27"/>
      <c r="Y150" s="27"/>
      <c r="Z150" s="27"/>
      <c r="AA150" s="25"/>
      <c r="AB150" s="27"/>
      <c r="AC150" s="30" t="str">
        <f aca="false">IF(M150="","",IF(AB150="",M150*Parámetros!$B$6,AB150))</f>
        <v/>
      </c>
      <c r="AD150" s="30" t="str">
        <f aca="false">IF(M150="","",SUM(T150:Z150)+AC150)</f>
        <v/>
      </c>
      <c r="AE150" s="30" t="str">
        <f aca="false">IF(OR(M150="",N150=""),"",M150-N150)</f>
        <v/>
      </c>
      <c r="AF150" s="30" t="str">
        <f aca="false">IF(AE150="","",AE150-AD150)</f>
        <v/>
      </c>
      <c r="AG150" s="28" t="str">
        <f aca="false">IF(OR(AF150="",M150=0),"",AF150/M150)</f>
        <v/>
      </c>
      <c r="AH150" s="32" t="str">
        <f aca="false">IF(OR(AE150="",N150=0),"",AE150/(N150/1000))</f>
        <v/>
      </c>
      <c r="AI150" s="30" t="str">
        <f aca="false">IF(O150="","",M150*P150)</f>
        <v/>
      </c>
      <c r="AJ150" s="11" t="str">
        <f aca="false">IF(O150="","",IF(O150&gt;1,"Error: rend &gt; 100 %",IF(SUM(T150:Z150)=0,"Falta registrar pérdidas",IF(ABS(AG150)&gt;Parámetros!$B$7,"Revisar balance",IF(O150&lt;P150,"Bajo meta","OK")))))</f>
        <v/>
      </c>
      <c r="AK150" s="33"/>
      <c r="AL150" s="10"/>
      <c r="AM150" s="33"/>
      <c r="AN150" s="33"/>
      <c r="AO150" s="10"/>
    </row>
    <row r="151" customFormat="false" ht="15" hidden="false" customHeight="false" outlineLevel="0" collapsed="false">
      <c r="A151" s="22"/>
      <c r="B151" s="23" t="str">
        <f aca="false">IF(A151="","",YEAR(A151-WEEKDAY(A151,2)+4))</f>
        <v/>
      </c>
      <c r="C151" s="23" t="str">
        <f aca="false">IF(A151="","",WEEKNUM(A151,21))</f>
        <v/>
      </c>
      <c r="D151" s="24" t="str">
        <f aca="false">IF(A151="","",DATE(YEAR(A151),MONTH(A151),1))</f>
        <v/>
      </c>
      <c r="E151" s="10"/>
      <c r="F151" s="25"/>
      <c r="G151" s="25"/>
      <c r="H151" s="10"/>
      <c r="I151" s="10"/>
      <c r="J151" s="26"/>
      <c r="K151" s="25"/>
      <c r="L151" s="26"/>
      <c r="M151" s="27"/>
      <c r="N151" s="27"/>
      <c r="O151" s="28" t="str">
        <f aca="false">IF(OR(M151="",M151=0,N151=""),"",N151/M151)</f>
        <v/>
      </c>
      <c r="P151" s="28" t="str">
        <f aca="false">IF(M151="","",IFERROR(IF(INDEX(Parámetros!$B$14:$B$21,MATCH(I151,Parámetros!$A$14:$A$21,0))="",Parámetros!$B$5,INDEX(Parámetros!$B$14:$B$21,MATCH(I151,Parámetros!$A$14:$A$21,0))),Parámetros!$B$5))</f>
        <v/>
      </c>
      <c r="Q151" s="29" t="str">
        <f aca="false">IF(O151="","",(O151-P151)*100)</f>
        <v/>
      </c>
      <c r="R151" s="30" t="str">
        <f aca="false">IF(O151="","",MAX(0,M151*(P151-O151)))</f>
        <v/>
      </c>
      <c r="S151" s="31" t="str">
        <f aca="false">IF(OR(L151="",L151=0,N151=""),"",N151/1000/L151)</f>
        <v/>
      </c>
      <c r="T151" s="27"/>
      <c r="U151" s="27"/>
      <c r="V151" s="27"/>
      <c r="W151" s="27"/>
      <c r="X151" s="27"/>
      <c r="Y151" s="27"/>
      <c r="Z151" s="27"/>
      <c r="AA151" s="25"/>
      <c r="AB151" s="27"/>
      <c r="AC151" s="30" t="str">
        <f aca="false">IF(M151="","",IF(AB151="",M151*Parámetros!$B$6,AB151))</f>
        <v/>
      </c>
      <c r="AD151" s="30" t="str">
        <f aca="false">IF(M151="","",SUM(T151:Z151)+AC151)</f>
        <v/>
      </c>
      <c r="AE151" s="30" t="str">
        <f aca="false">IF(OR(M151="",N151=""),"",M151-N151)</f>
        <v/>
      </c>
      <c r="AF151" s="30" t="str">
        <f aca="false">IF(AE151="","",AE151-AD151)</f>
        <v/>
      </c>
      <c r="AG151" s="28" t="str">
        <f aca="false">IF(OR(AF151="",M151=0),"",AF151/M151)</f>
        <v/>
      </c>
      <c r="AH151" s="32" t="str">
        <f aca="false">IF(OR(AE151="",N151=0),"",AE151/(N151/1000))</f>
        <v/>
      </c>
      <c r="AI151" s="30" t="str">
        <f aca="false">IF(O151="","",M151*P151)</f>
        <v/>
      </c>
      <c r="AJ151" s="11" t="str">
        <f aca="false">IF(O151="","",IF(O151&gt;1,"Error: rend &gt; 100 %",IF(SUM(T151:Z151)=0,"Falta registrar pérdidas",IF(ABS(AG151)&gt;Parámetros!$B$7,"Revisar balance",IF(O151&lt;P151,"Bajo meta","OK")))))</f>
        <v/>
      </c>
      <c r="AK151" s="33"/>
      <c r="AL151" s="10"/>
      <c r="AM151" s="33"/>
      <c r="AN151" s="33"/>
      <c r="AO151" s="10"/>
    </row>
    <row r="152" customFormat="false" ht="15" hidden="false" customHeight="false" outlineLevel="0" collapsed="false">
      <c r="A152" s="22"/>
      <c r="B152" s="23" t="str">
        <f aca="false">IF(A152="","",YEAR(A152-WEEKDAY(A152,2)+4))</f>
        <v/>
      </c>
      <c r="C152" s="23" t="str">
        <f aca="false">IF(A152="","",WEEKNUM(A152,21))</f>
        <v/>
      </c>
      <c r="D152" s="24" t="str">
        <f aca="false">IF(A152="","",DATE(YEAR(A152),MONTH(A152),1))</f>
        <v/>
      </c>
      <c r="E152" s="10"/>
      <c r="F152" s="25"/>
      <c r="G152" s="25"/>
      <c r="H152" s="10"/>
      <c r="I152" s="10"/>
      <c r="J152" s="26"/>
      <c r="K152" s="25"/>
      <c r="L152" s="26"/>
      <c r="M152" s="27"/>
      <c r="N152" s="27"/>
      <c r="O152" s="28" t="str">
        <f aca="false">IF(OR(M152="",M152=0,N152=""),"",N152/M152)</f>
        <v/>
      </c>
      <c r="P152" s="28" t="str">
        <f aca="false">IF(M152="","",IFERROR(IF(INDEX(Parámetros!$B$14:$B$21,MATCH(I152,Parámetros!$A$14:$A$21,0))="",Parámetros!$B$5,INDEX(Parámetros!$B$14:$B$21,MATCH(I152,Parámetros!$A$14:$A$21,0))),Parámetros!$B$5))</f>
        <v/>
      </c>
      <c r="Q152" s="29" t="str">
        <f aca="false">IF(O152="","",(O152-P152)*100)</f>
        <v/>
      </c>
      <c r="R152" s="30" t="str">
        <f aca="false">IF(O152="","",MAX(0,M152*(P152-O152)))</f>
        <v/>
      </c>
      <c r="S152" s="31" t="str">
        <f aca="false">IF(OR(L152="",L152=0,N152=""),"",N152/1000/L152)</f>
        <v/>
      </c>
      <c r="T152" s="27"/>
      <c r="U152" s="27"/>
      <c r="V152" s="27"/>
      <c r="W152" s="27"/>
      <c r="X152" s="27"/>
      <c r="Y152" s="27"/>
      <c r="Z152" s="27"/>
      <c r="AA152" s="25"/>
      <c r="AB152" s="27"/>
      <c r="AC152" s="30" t="str">
        <f aca="false">IF(M152="","",IF(AB152="",M152*Parámetros!$B$6,AB152))</f>
        <v/>
      </c>
      <c r="AD152" s="30" t="str">
        <f aca="false">IF(M152="","",SUM(T152:Z152)+AC152)</f>
        <v/>
      </c>
      <c r="AE152" s="30" t="str">
        <f aca="false">IF(OR(M152="",N152=""),"",M152-N152)</f>
        <v/>
      </c>
      <c r="AF152" s="30" t="str">
        <f aca="false">IF(AE152="","",AE152-AD152)</f>
        <v/>
      </c>
      <c r="AG152" s="28" t="str">
        <f aca="false">IF(OR(AF152="",M152=0),"",AF152/M152)</f>
        <v/>
      </c>
      <c r="AH152" s="32" t="str">
        <f aca="false">IF(OR(AE152="",N152=0),"",AE152/(N152/1000))</f>
        <v/>
      </c>
      <c r="AI152" s="30" t="str">
        <f aca="false">IF(O152="","",M152*P152)</f>
        <v/>
      </c>
      <c r="AJ152" s="11" t="str">
        <f aca="false">IF(O152="","",IF(O152&gt;1,"Error: rend &gt; 100 %",IF(SUM(T152:Z152)=0,"Falta registrar pérdidas",IF(ABS(AG152)&gt;Parámetros!$B$7,"Revisar balance",IF(O152&lt;P152,"Bajo meta","OK")))))</f>
        <v/>
      </c>
      <c r="AK152" s="33"/>
      <c r="AL152" s="10"/>
      <c r="AM152" s="33"/>
      <c r="AN152" s="33"/>
      <c r="AO152" s="10"/>
    </row>
    <row r="153" customFormat="false" ht="15" hidden="false" customHeight="false" outlineLevel="0" collapsed="false">
      <c r="A153" s="22"/>
      <c r="B153" s="23" t="str">
        <f aca="false">IF(A153="","",YEAR(A153-WEEKDAY(A153,2)+4))</f>
        <v/>
      </c>
      <c r="C153" s="23" t="str">
        <f aca="false">IF(A153="","",WEEKNUM(A153,21))</f>
        <v/>
      </c>
      <c r="D153" s="24" t="str">
        <f aca="false">IF(A153="","",DATE(YEAR(A153),MONTH(A153),1))</f>
        <v/>
      </c>
      <c r="E153" s="10"/>
      <c r="F153" s="25"/>
      <c r="G153" s="25"/>
      <c r="H153" s="10"/>
      <c r="I153" s="10"/>
      <c r="J153" s="26"/>
      <c r="K153" s="25"/>
      <c r="L153" s="26"/>
      <c r="M153" s="27"/>
      <c r="N153" s="27"/>
      <c r="O153" s="28" t="str">
        <f aca="false">IF(OR(M153="",M153=0,N153=""),"",N153/M153)</f>
        <v/>
      </c>
      <c r="P153" s="28" t="str">
        <f aca="false">IF(M153="","",IFERROR(IF(INDEX(Parámetros!$B$14:$B$21,MATCH(I153,Parámetros!$A$14:$A$21,0))="",Parámetros!$B$5,INDEX(Parámetros!$B$14:$B$21,MATCH(I153,Parámetros!$A$14:$A$21,0))),Parámetros!$B$5))</f>
        <v/>
      </c>
      <c r="Q153" s="29" t="str">
        <f aca="false">IF(O153="","",(O153-P153)*100)</f>
        <v/>
      </c>
      <c r="R153" s="30" t="str">
        <f aca="false">IF(O153="","",MAX(0,M153*(P153-O153)))</f>
        <v/>
      </c>
      <c r="S153" s="31" t="str">
        <f aca="false">IF(OR(L153="",L153=0,N153=""),"",N153/1000/L153)</f>
        <v/>
      </c>
      <c r="T153" s="27"/>
      <c r="U153" s="27"/>
      <c r="V153" s="27"/>
      <c r="W153" s="27"/>
      <c r="X153" s="27"/>
      <c r="Y153" s="27"/>
      <c r="Z153" s="27"/>
      <c r="AA153" s="25"/>
      <c r="AB153" s="27"/>
      <c r="AC153" s="30" t="str">
        <f aca="false">IF(M153="","",IF(AB153="",M153*Parámetros!$B$6,AB153))</f>
        <v/>
      </c>
      <c r="AD153" s="30" t="str">
        <f aca="false">IF(M153="","",SUM(T153:Z153)+AC153)</f>
        <v/>
      </c>
      <c r="AE153" s="30" t="str">
        <f aca="false">IF(OR(M153="",N153=""),"",M153-N153)</f>
        <v/>
      </c>
      <c r="AF153" s="30" t="str">
        <f aca="false">IF(AE153="","",AE153-AD153)</f>
        <v/>
      </c>
      <c r="AG153" s="28" t="str">
        <f aca="false">IF(OR(AF153="",M153=0),"",AF153/M153)</f>
        <v/>
      </c>
      <c r="AH153" s="32" t="str">
        <f aca="false">IF(OR(AE153="",N153=0),"",AE153/(N153/1000))</f>
        <v/>
      </c>
      <c r="AI153" s="30" t="str">
        <f aca="false">IF(O153="","",M153*P153)</f>
        <v/>
      </c>
      <c r="AJ153" s="11" t="str">
        <f aca="false">IF(O153="","",IF(O153&gt;1,"Error: rend &gt; 100 %",IF(SUM(T153:Z153)=0,"Falta registrar pérdidas",IF(ABS(AG153)&gt;Parámetros!$B$7,"Revisar balance",IF(O153&lt;P153,"Bajo meta","OK")))))</f>
        <v/>
      </c>
      <c r="AK153" s="33"/>
      <c r="AL153" s="10"/>
      <c r="AM153" s="33"/>
      <c r="AN153" s="33"/>
      <c r="AO153" s="10"/>
    </row>
    <row r="154" customFormat="false" ht="15" hidden="false" customHeight="false" outlineLevel="0" collapsed="false">
      <c r="A154" s="22"/>
      <c r="B154" s="23" t="str">
        <f aca="false">IF(A154="","",YEAR(A154-WEEKDAY(A154,2)+4))</f>
        <v/>
      </c>
      <c r="C154" s="23" t="str">
        <f aca="false">IF(A154="","",WEEKNUM(A154,21))</f>
        <v/>
      </c>
      <c r="D154" s="24" t="str">
        <f aca="false">IF(A154="","",DATE(YEAR(A154),MONTH(A154),1))</f>
        <v/>
      </c>
      <c r="E154" s="10"/>
      <c r="F154" s="25"/>
      <c r="G154" s="25"/>
      <c r="H154" s="10"/>
      <c r="I154" s="10"/>
      <c r="J154" s="26"/>
      <c r="K154" s="25"/>
      <c r="L154" s="26"/>
      <c r="M154" s="27"/>
      <c r="N154" s="27"/>
      <c r="O154" s="28" t="str">
        <f aca="false">IF(OR(M154="",M154=0,N154=""),"",N154/M154)</f>
        <v/>
      </c>
      <c r="P154" s="28" t="str">
        <f aca="false">IF(M154="","",IFERROR(IF(INDEX(Parámetros!$B$14:$B$21,MATCH(I154,Parámetros!$A$14:$A$21,0))="",Parámetros!$B$5,INDEX(Parámetros!$B$14:$B$21,MATCH(I154,Parámetros!$A$14:$A$21,0))),Parámetros!$B$5))</f>
        <v/>
      </c>
      <c r="Q154" s="29" t="str">
        <f aca="false">IF(O154="","",(O154-P154)*100)</f>
        <v/>
      </c>
      <c r="R154" s="30" t="str">
        <f aca="false">IF(O154="","",MAX(0,M154*(P154-O154)))</f>
        <v/>
      </c>
      <c r="S154" s="31" t="str">
        <f aca="false">IF(OR(L154="",L154=0,N154=""),"",N154/1000/L154)</f>
        <v/>
      </c>
      <c r="T154" s="27"/>
      <c r="U154" s="27"/>
      <c r="V154" s="27"/>
      <c r="W154" s="27"/>
      <c r="X154" s="27"/>
      <c r="Y154" s="27"/>
      <c r="Z154" s="27"/>
      <c r="AA154" s="25"/>
      <c r="AB154" s="27"/>
      <c r="AC154" s="30" t="str">
        <f aca="false">IF(M154="","",IF(AB154="",M154*Parámetros!$B$6,AB154))</f>
        <v/>
      </c>
      <c r="AD154" s="30" t="str">
        <f aca="false">IF(M154="","",SUM(T154:Z154)+AC154)</f>
        <v/>
      </c>
      <c r="AE154" s="30" t="str">
        <f aca="false">IF(OR(M154="",N154=""),"",M154-N154)</f>
        <v/>
      </c>
      <c r="AF154" s="30" t="str">
        <f aca="false">IF(AE154="","",AE154-AD154)</f>
        <v/>
      </c>
      <c r="AG154" s="28" t="str">
        <f aca="false">IF(OR(AF154="",M154=0),"",AF154/M154)</f>
        <v/>
      </c>
      <c r="AH154" s="32" t="str">
        <f aca="false">IF(OR(AE154="",N154=0),"",AE154/(N154/1000))</f>
        <v/>
      </c>
      <c r="AI154" s="30" t="str">
        <f aca="false">IF(O154="","",M154*P154)</f>
        <v/>
      </c>
      <c r="AJ154" s="11" t="str">
        <f aca="false">IF(O154="","",IF(O154&gt;1,"Error: rend &gt; 100 %",IF(SUM(T154:Z154)=0,"Falta registrar pérdidas",IF(ABS(AG154)&gt;Parámetros!$B$7,"Revisar balance",IF(O154&lt;P154,"Bajo meta","OK")))))</f>
        <v/>
      </c>
      <c r="AK154" s="33"/>
      <c r="AL154" s="10"/>
      <c r="AM154" s="33"/>
      <c r="AN154" s="33"/>
      <c r="AO154" s="10"/>
    </row>
    <row r="155" customFormat="false" ht="15" hidden="false" customHeight="false" outlineLevel="0" collapsed="false">
      <c r="A155" s="22"/>
      <c r="B155" s="23" t="str">
        <f aca="false">IF(A155="","",YEAR(A155-WEEKDAY(A155,2)+4))</f>
        <v/>
      </c>
      <c r="C155" s="23" t="str">
        <f aca="false">IF(A155="","",WEEKNUM(A155,21))</f>
        <v/>
      </c>
      <c r="D155" s="24" t="str">
        <f aca="false">IF(A155="","",DATE(YEAR(A155),MONTH(A155),1))</f>
        <v/>
      </c>
      <c r="E155" s="10"/>
      <c r="F155" s="25"/>
      <c r="G155" s="25"/>
      <c r="H155" s="10"/>
      <c r="I155" s="10"/>
      <c r="J155" s="26"/>
      <c r="K155" s="25"/>
      <c r="L155" s="26"/>
      <c r="M155" s="27"/>
      <c r="N155" s="27"/>
      <c r="O155" s="28" t="str">
        <f aca="false">IF(OR(M155="",M155=0,N155=""),"",N155/M155)</f>
        <v/>
      </c>
      <c r="P155" s="28" t="str">
        <f aca="false">IF(M155="","",IFERROR(IF(INDEX(Parámetros!$B$14:$B$21,MATCH(I155,Parámetros!$A$14:$A$21,0))="",Parámetros!$B$5,INDEX(Parámetros!$B$14:$B$21,MATCH(I155,Parámetros!$A$14:$A$21,0))),Parámetros!$B$5))</f>
        <v/>
      </c>
      <c r="Q155" s="29" t="str">
        <f aca="false">IF(O155="","",(O155-P155)*100)</f>
        <v/>
      </c>
      <c r="R155" s="30" t="str">
        <f aca="false">IF(O155="","",MAX(0,M155*(P155-O155)))</f>
        <v/>
      </c>
      <c r="S155" s="31" t="str">
        <f aca="false">IF(OR(L155="",L155=0,N155=""),"",N155/1000/L155)</f>
        <v/>
      </c>
      <c r="T155" s="27"/>
      <c r="U155" s="27"/>
      <c r="V155" s="27"/>
      <c r="W155" s="27"/>
      <c r="X155" s="27"/>
      <c r="Y155" s="27"/>
      <c r="Z155" s="27"/>
      <c r="AA155" s="25"/>
      <c r="AB155" s="27"/>
      <c r="AC155" s="30" t="str">
        <f aca="false">IF(M155="","",IF(AB155="",M155*Parámetros!$B$6,AB155))</f>
        <v/>
      </c>
      <c r="AD155" s="30" t="str">
        <f aca="false">IF(M155="","",SUM(T155:Z155)+AC155)</f>
        <v/>
      </c>
      <c r="AE155" s="30" t="str">
        <f aca="false">IF(OR(M155="",N155=""),"",M155-N155)</f>
        <v/>
      </c>
      <c r="AF155" s="30" t="str">
        <f aca="false">IF(AE155="","",AE155-AD155)</f>
        <v/>
      </c>
      <c r="AG155" s="28" t="str">
        <f aca="false">IF(OR(AF155="",M155=0),"",AF155/M155)</f>
        <v/>
      </c>
      <c r="AH155" s="32" t="str">
        <f aca="false">IF(OR(AE155="",N155=0),"",AE155/(N155/1000))</f>
        <v/>
      </c>
      <c r="AI155" s="30" t="str">
        <f aca="false">IF(O155="","",M155*P155)</f>
        <v/>
      </c>
      <c r="AJ155" s="11" t="str">
        <f aca="false">IF(O155="","",IF(O155&gt;1,"Error: rend &gt; 100 %",IF(SUM(T155:Z155)=0,"Falta registrar pérdidas",IF(ABS(AG155)&gt;Parámetros!$B$7,"Revisar balance",IF(O155&lt;P155,"Bajo meta","OK")))))</f>
        <v/>
      </c>
      <c r="AK155" s="33"/>
      <c r="AL155" s="10"/>
      <c r="AM155" s="33"/>
      <c r="AN155" s="33"/>
      <c r="AO155" s="10"/>
    </row>
    <row r="156" customFormat="false" ht="15" hidden="false" customHeight="false" outlineLevel="0" collapsed="false">
      <c r="A156" s="22"/>
      <c r="B156" s="23" t="str">
        <f aca="false">IF(A156="","",YEAR(A156-WEEKDAY(A156,2)+4))</f>
        <v/>
      </c>
      <c r="C156" s="23" t="str">
        <f aca="false">IF(A156="","",WEEKNUM(A156,21))</f>
        <v/>
      </c>
      <c r="D156" s="24" t="str">
        <f aca="false">IF(A156="","",DATE(YEAR(A156),MONTH(A156),1))</f>
        <v/>
      </c>
      <c r="E156" s="10"/>
      <c r="F156" s="25"/>
      <c r="G156" s="25"/>
      <c r="H156" s="10"/>
      <c r="I156" s="10"/>
      <c r="J156" s="26"/>
      <c r="K156" s="25"/>
      <c r="L156" s="26"/>
      <c r="M156" s="27"/>
      <c r="N156" s="27"/>
      <c r="O156" s="28" t="str">
        <f aca="false">IF(OR(M156="",M156=0,N156=""),"",N156/M156)</f>
        <v/>
      </c>
      <c r="P156" s="28" t="str">
        <f aca="false">IF(M156="","",IFERROR(IF(INDEX(Parámetros!$B$14:$B$21,MATCH(I156,Parámetros!$A$14:$A$21,0))="",Parámetros!$B$5,INDEX(Parámetros!$B$14:$B$21,MATCH(I156,Parámetros!$A$14:$A$21,0))),Parámetros!$B$5))</f>
        <v/>
      </c>
      <c r="Q156" s="29" t="str">
        <f aca="false">IF(O156="","",(O156-P156)*100)</f>
        <v/>
      </c>
      <c r="R156" s="30" t="str">
        <f aca="false">IF(O156="","",MAX(0,M156*(P156-O156)))</f>
        <v/>
      </c>
      <c r="S156" s="31" t="str">
        <f aca="false">IF(OR(L156="",L156=0,N156=""),"",N156/1000/L156)</f>
        <v/>
      </c>
      <c r="T156" s="27"/>
      <c r="U156" s="27"/>
      <c r="V156" s="27"/>
      <c r="W156" s="27"/>
      <c r="X156" s="27"/>
      <c r="Y156" s="27"/>
      <c r="Z156" s="27"/>
      <c r="AA156" s="25"/>
      <c r="AB156" s="27"/>
      <c r="AC156" s="30" t="str">
        <f aca="false">IF(M156="","",IF(AB156="",M156*Parámetros!$B$6,AB156))</f>
        <v/>
      </c>
      <c r="AD156" s="30" t="str">
        <f aca="false">IF(M156="","",SUM(T156:Z156)+AC156)</f>
        <v/>
      </c>
      <c r="AE156" s="30" t="str">
        <f aca="false">IF(OR(M156="",N156=""),"",M156-N156)</f>
        <v/>
      </c>
      <c r="AF156" s="30" t="str">
        <f aca="false">IF(AE156="","",AE156-AD156)</f>
        <v/>
      </c>
      <c r="AG156" s="28" t="str">
        <f aca="false">IF(OR(AF156="",M156=0),"",AF156/M156)</f>
        <v/>
      </c>
      <c r="AH156" s="32" t="str">
        <f aca="false">IF(OR(AE156="",N156=0),"",AE156/(N156/1000))</f>
        <v/>
      </c>
      <c r="AI156" s="30" t="str">
        <f aca="false">IF(O156="","",M156*P156)</f>
        <v/>
      </c>
      <c r="AJ156" s="11" t="str">
        <f aca="false">IF(O156="","",IF(O156&gt;1,"Error: rend &gt; 100 %",IF(SUM(T156:Z156)=0,"Falta registrar pérdidas",IF(ABS(AG156)&gt;Parámetros!$B$7,"Revisar balance",IF(O156&lt;P156,"Bajo meta","OK")))))</f>
        <v/>
      </c>
      <c r="AK156" s="33"/>
      <c r="AL156" s="10"/>
      <c r="AM156" s="33"/>
      <c r="AN156" s="33"/>
      <c r="AO156" s="10"/>
    </row>
    <row r="157" customFormat="false" ht="15" hidden="false" customHeight="false" outlineLevel="0" collapsed="false">
      <c r="A157" s="22"/>
      <c r="B157" s="23" t="str">
        <f aca="false">IF(A157="","",YEAR(A157-WEEKDAY(A157,2)+4))</f>
        <v/>
      </c>
      <c r="C157" s="23" t="str">
        <f aca="false">IF(A157="","",WEEKNUM(A157,21))</f>
        <v/>
      </c>
      <c r="D157" s="24" t="str">
        <f aca="false">IF(A157="","",DATE(YEAR(A157),MONTH(A157),1))</f>
        <v/>
      </c>
      <c r="E157" s="10"/>
      <c r="F157" s="25"/>
      <c r="G157" s="25"/>
      <c r="H157" s="10"/>
      <c r="I157" s="10"/>
      <c r="J157" s="26"/>
      <c r="K157" s="25"/>
      <c r="L157" s="26"/>
      <c r="M157" s="27"/>
      <c r="N157" s="27"/>
      <c r="O157" s="28" t="str">
        <f aca="false">IF(OR(M157="",M157=0,N157=""),"",N157/M157)</f>
        <v/>
      </c>
      <c r="P157" s="28" t="str">
        <f aca="false">IF(M157="","",IFERROR(IF(INDEX(Parámetros!$B$14:$B$21,MATCH(I157,Parámetros!$A$14:$A$21,0))="",Parámetros!$B$5,INDEX(Parámetros!$B$14:$B$21,MATCH(I157,Parámetros!$A$14:$A$21,0))),Parámetros!$B$5))</f>
        <v/>
      </c>
      <c r="Q157" s="29" t="str">
        <f aca="false">IF(O157="","",(O157-P157)*100)</f>
        <v/>
      </c>
      <c r="R157" s="30" t="str">
        <f aca="false">IF(O157="","",MAX(0,M157*(P157-O157)))</f>
        <v/>
      </c>
      <c r="S157" s="31" t="str">
        <f aca="false">IF(OR(L157="",L157=0,N157=""),"",N157/1000/L157)</f>
        <v/>
      </c>
      <c r="T157" s="27"/>
      <c r="U157" s="27"/>
      <c r="V157" s="27"/>
      <c r="W157" s="27"/>
      <c r="X157" s="27"/>
      <c r="Y157" s="27"/>
      <c r="Z157" s="27"/>
      <c r="AA157" s="25"/>
      <c r="AB157" s="27"/>
      <c r="AC157" s="30" t="str">
        <f aca="false">IF(M157="","",IF(AB157="",M157*Parámetros!$B$6,AB157))</f>
        <v/>
      </c>
      <c r="AD157" s="30" t="str">
        <f aca="false">IF(M157="","",SUM(T157:Z157)+AC157)</f>
        <v/>
      </c>
      <c r="AE157" s="30" t="str">
        <f aca="false">IF(OR(M157="",N157=""),"",M157-N157)</f>
        <v/>
      </c>
      <c r="AF157" s="30" t="str">
        <f aca="false">IF(AE157="","",AE157-AD157)</f>
        <v/>
      </c>
      <c r="AG157" s="28" t="str">
        <f aca="false">IF(OR(AF157="",M157=0),"",AF157/M157)</f>
        <v/>
      </c>
      <c r="AH157" s="32" t="str">
        <f aca="false">IF(OR(AE157="",N157=0),"",AE157/(N157/1000))</f>
        <v/>
      </c>
      <c r="AI157" s="30" t="str">
        <f aca="false">IF(O157="","",M157*P157)</f>
        <v/>
      </c>
      <c r="AJ157" s="11" t="str">
        <f aca="false">IF(O157="","",IF(O157&gt;1,"Error: rend &gt; 100 %",IF(SUM(T157:Z157)=0,"Falta registrar pérdidas",IF(ABS(AG157)&gt;Parámetros!$B$7,"Revisar balance",IF(O157&lt;P157,"Bajo meta","OK")))))</f>
        <v/>
      </c>
      <c r="AK157" s="33"/>
      <c r="AL157" s="10"/>
      <c r="AM157" s="33"/>
      <c r="AN157" s="33"/>
      <c r="AO157" s="10"/>
    </row>
    <row r="158" customFormat="false" ht="15" hidden="false" customHeight="false" outlineLevel="0" collapsed="false">
      <c r="A158" s="22"/>
      <c r="B158" s="23" t="str">
        <f aca="false">IF(A158="","",YEAR(A158-WEEKDAY(A158,2)+4))</f>
        <v/>
      </c>
      <c r="C158" s="23" t="str">
        <f aca="false">IF(A158="","",WEEKNUM(A158,21))</f>
        <v/>
      </c>
      <c r="D158" s="24" t="str">
        <f aca="false">IF(A158="","",DATE(YEAR(A158),MONTH(A158),1))</f>
        <v/>
      </c>
      <c r="E158" s="10"/>
      <c r="F158" s="25"/>
      <c r="G158" s="25"/>
      <c r="H158" s="10"/>
      <c r="I158" s="10"/>
      <c r="J158" s="26"/>
      <c r="K158" s="25"/>
      <c r="L158" s="26"/>
      <c r="M158" s="27"/>
      <c r="N158" s="27"/>
      <c r="O158" s="28" t="str">
        <f aca="false">IF(OR(M158="",M158=0,N158=""),"",N158/M158)</f>
        <v/>
      </c>
      <c r="P158" s="28" t="str">
        <f aca="false">IF(M158="","",IFERROR(IF(INDEX(Parámetros!$B$14:$B$21,MATCH(I158,Parámetros!$A$14:$A$21,0))="",Parámetros!$B$5,INDEX(Parámetros!$B$14:$B$21,MATCH(I158,Parámetros!$A$14:$A$21,0))),Parámetros!$B$5))</f>
        <v/>
      </c>
      <c r="Q158" s="29" t="str">
        <f aca="false">IF(O158="","",(O158-P158)*100)</f>
        <v/>
      </c>
      <c r="R158" s="30" t="str">
        <f aca="false">IF(O158="","",MAX(0,M158*(P158-O158)))</f>
        <v/>
      </c>
      <c r="S158" s="31" t="str">
        <f aca="false">IF(OR(L158="",L158=0,N158=""),"",N158/1000/L158)</f>
        <v/>
      </c>
      <c r="T158" s="27"/>
      <c r="U158" s="27"/>
      <c r="V158" s="27"/>
      <c r="W158" s="27"/>
      <c r="X158" s="27"/>
      <c r="Y158" s="27"/>
      <c r="Z158" s="27"/>
      <c r="AA158" s="25"/>
      <c r="AB158" s="27"/>
      <c r="AC158" s="30" t="str">
        <f aca="false">IF(M158="","",IF(AB158="",M158*Parámetros!$B$6,AB158))</f>
        <v/>
      </c>
      <c r="AD158" s="30" t="str">
        <f aca="false">IF(M158="","",SUM(T158:Z158)+AC158)</f>
        <v/>
      </c>
      <c r="AE158" s="30" t="str">
        <f aca="false">IF(OR(M158="",N158=""),"",M158-N158)</f>
        <v/>
      </c>
      <c r="AF158" s="30" t="str">
        <f aca="false">IF(AE158="","",AE158-AD158)</f>
        <v/>
      </c>
      <c r="AG158" s="28" t="str">
        <f aca="false">IF(OR(AF158="",M158=0),"",AF158/M158)</f>
        <v/>
      </c>
      <c r="AH158" s="32" t="str">
        <f aca="false">IF(OR(AE158="",N158=0),"",AE158/(N158/1000))</f>
        <v/>
      </c>
      <c r="AI158" s="30" t="str">
        <f aca="false">IF(O158="","",M158*P158)</f>
        <v/>
      </c>
      <c r="AJ158" s="11" t="str">
        <f aca="false">IF(O158="","",IF(O158&gt;1,"Error: rend &gt; 100 %",IF(SUM(T158:Z158)=0,"Falta registrar pérdidas",IF(ABS(AG158)&gt;Parámetros!$B$7,"Revisar balance",IF(O158&lt;P158,"Bajo meta","OK")))))</f>
        <v/>
      </c>
      <c r="AK158" s="33"/>
      <c r="AL158" s="10"/>
      <c r="AM158" s="33"/>
      <c r="AN158" s="33"/>
      <c r="AO158" s="10"/>
    </row>
    <row r="159" customFormat="false" ht="15" hidden="false" customHeight="false" outlineLevel="0" collapsed="false">
      <c r="A159" s="22"/>
      <c r="B159" s="23" t="str">
        <f aca="false">IF(A159="","",YEAR(A159-WEEKDAY(A159,2)+4))</f>
        <v/>
      </c>
      <c r="C159" s="23" t="str">
        <f aca="false">IF(A159="","",WEEKNUM(A159,21))</f>
        <v/>
      </c>
      <c r="D159" s="24" t="str">
        <f aca="false">IF(A159="","",DATE(YEAR(A159),MONTH(A159),1))</f>
        <v/>
      </c>
      <c r="E159" s="10"/>
      <c r="F159" s="25"/>
      <c r="G159" s="25"/>
      <c r="H159" s="10"/>
      <c r="I159" s="10"/>
      <c r="J159" s="26"/>
      <c r="K159" s="25"/>
      <c r="L159" s="26"/>
      <c r="M159" s="27"/>
      <c r="N159" s="27"/>
      <c r="O159" s="28" t="str">
        <f aca="false">IF(OR(M159="",M159=0,N159=""),"",N159/M159)</f>
        <v/>
      </c>
      <c r="P159" s="28" t="str">
        <f aca="false">IF(M159="","",IFERROR(IF(INDEX(Parámetros!$B$14:$B$21,MATCH(I159,Parámetros!$A$14:$A$21,0))="",Parámetros!$B$5,INDEX(Parámetros!$B$14:$B$21,MATCH(I159,Parámetros!$A$14:$A$21,0))),Parámetros!$B$5))</f>
        <v/>
      </c>
      <c r="Q159" s="29" t="str">
        <f aca="false">IF(O159="","",(O159-P159)*100)</f>
        <v/>
      </c>
      <c r="R159" s="30" t="str">
        <f aca="false">IF(O159="","",MAX(0,M159*(P159-O159)))</f>
        <v/>
      </c>
      <c r="S159" s="31" t="str">
        <f aca="false">IF(OR(L159="",L159=0,N159=""),"",N159/1000/L159)</f>
        <v/>
      </c>
      <c r="T159" s="27"/>
      <c r="U159" s="27"/>
      <c r="V159" s="27"/>
      <c r="W159" s="27"/>
      <c r="X159" s="27"/>
      <c r="Y159" s="27"/>
      <c r="Z159" s="27"/>
      <c r="AA159" s="25"/>
      <c r="AB159" s="27"/>
      <c r="AC159" s="30" t="str">
        <f aca="false">IF(M159="","",IF(AB159="",M159*Parámetros!$B$6,AB159))</f>
        <v/>
      </c>
      <c r="AD159" s="30" t="str">
        <f aca="false">IF(M159="","",SUM(T159:Z159)+AC159)</f>
        <v/>
      </c>
      <c r="AE159" s="30" t="str">
        <f aca="false">IF(OR(M159="",N159=""),"",M159-N159)</f>
        <v/>
      </c>
      <c r="AF159" s="30" t="str">
        <f aca="false">IF(AE159="","",AE159-AD159)</f>
        <v/>
      </c>
      <c r="AG159" s="28" t="str">
        <f aca="false">IF(OR(AF159="",M159=0),"",AF159/M159)</f>
        <v/>
      </c>
      <c r="AH159" s="32" t="str">
        <f aca="false">IF(OR(AE159="",N159=0),"",AE159/(N159/1000))</f>
        <v/>
      </c>
      <c r="AI159" s="30" t="str">
        <f aca="false">IF(O159="","",M159*P159)</f>
        <v/>
      </c>
      <c r="AJ159" s="11" t="str">
        <f aca="false">IF(O159="","",IF(O159&gt;1,"Error: rend &gt; 100 %",IF(SUM(T159:Z159)=0,"Falta registrar pérdidas",IF(ABS(AG159)&gt;Parámetros!$B$7,"Revisar balance",IF(O159&lt;P159,"Bajo meta","OK")))))</f>
        <v/>
      </c>
      <c r="AK159" s="33"/>
      <c r="AL159" s="10"/>
      <c r="AM159" s="33"/>
      <c r="AN159" s="33"/>
      <c r="AO159" s="10"/>
    </row>
    <row r="160" customFormat="false" ht="15" hidden="false" customHeight="false" outlineLevel="0" collapsed="false">
      <c r="A160" s="22"/>
      <c r="B160" s="23" t="str">
        <f aca="false">IF(A160="","",YEAR(A160-WEEKDAY(A160,2)+4))</f>
        <v/>
      </c>
      <c r="C160" s="23" t="str">
        <f aca="false">IF(A160="","",WEEKNUM(A160,21))</f>
        <v/>
      </c>
      <c r="D160" s="24" t="str">
        <f aca="false">IF(A160="","",DATE(YEAR(A160),MONTH(A160),1))</f>
        <v/>
      </c>
      <c r="E160" s="10"/>
      <c r="F160" s="25"/>
      <c r="G160" s="25"/>
      <c r="H160" s="10"/>
      <c r="I160" s="10"/>
      <c r="J160" s="26"/>
      <c r="K160" s="25"/>
      <c r="L160" s="26"/>
      <c r="M160" s="27"/>
      <c r="N160" s="27"/>
      <c r="O160" s="28" t="str">
        <f aca="false">IF(OR(M160="",M160=0,N160=""),"",N160/M160)</f>
        <v/>
      </c>
      <c r="P160" s="28" t="str">
        <f aca="false">IF(M160="","",IFERROR(IF(INDEX(Parámetros!$B$14:$B$21,MATCH(I160,Parámetros!$A$14:$A$21,0))="",Parámetros!$B$5,INDEX(Parámetros!$B$14:$B$21,MATCH(I160,Parámetros!$A$14:$A$21,0))),Parámetros!$B$5))</f>
        <v/>
      </c>
      <c r="Q160" s="29" t="str">
        <f aca="false">IF(O160="","",(O160-P160)*100)</f>
        <v/>
      </c>
      <c r="R160" s="30" t="str">
        <f aca="false">IF(O160="","",MAX(0,M160*(P160-O160)))</f>
        <v/>
      </c>
      <c r="S160" s="31" t="str">
        <f aca="false">IF(OR(L160="",L160=0,N160=""),"",N160/1000/L160)</f>
        <v/>
      </c>
      <c r="T160" s="27"/>
      <c r="U160" s="27"/>
      <c r="V160" s="27"/>
      <c r="W160" s="27"/>
      <c r="X160" s="27"/>
      <c r="Y160" s="27"/>
      <c r="Z160" s="27"/>
      <c r="AA160" s="25"/>
      <c r="AB160" s="27"/>
      <c r="AC160" s="30" t="str">
        <f aca="false">IF(M160="","",IF(AB160="",M160*Parámetros!$B$6,AB160))</f>
        <v/>
      </c>
      <c r="AD160" s="30" t="str">
        <f aca="false">IF(M160="","",SUM(T160:Z160)+AC160)</f>
        <v/>
      </c>
      <c r="AE160" s="30" t="str">
        <f aca="false">IF(OR(M160="",N160=""),"",M160-N160)</f>
        <v/>
      </c>
      <c r="AF160" s="30" t="str">
        <f aca="false">IF(AE160="","",AE160-AD160)</f>
        <v/>
      </c>
      <c r="AG160" s="28" t="str">
        <f aca="false">IF(OR(AF160="",M160=0),"",AF160/M160)</f>
        <v/>
      </c>
      <c r="AH160" s="32" t="str">
        <f aca="false">IF(OR(AE160="",N160=0),"",AE160/(N160/1000))</f>
        <v/>
      </c>
      <c r="AI160" s="30" t="str">
        <f aca="false">IF(O160="","",M160*P160)</f>
        <v/>
      </c>
      <c r="AJ160" s="11" t="str">
        <f aca="false">IF(O160="","",IF(O160&gt;1,"Error: rend &gt; 100 %",IF(SUM(T160:Z160)=0,"Falta registrar pérdidas",IF(ABS(AG160)&gt;Parámetros!$B$7,"Revisar balance",IF(O160&lt;P160,"Bajo meta","OK")))))</f>
        <v/>
      </c>
      <c r="AK160" s="33"/>
      <c r="AL160" s="10"/>
      <c r="AM160" s="33"/>
      <c r="AN160" s="33"/>
      <c r="AO160" s="10"/>
    </row>
    <row r="161" customFormat="false" ht="15" hidden="false" customHeight="false" outlineLevel="0" collapsed="false">
      <c r="A161" s="22"/>
      <c r="B161" s="23" t="str">
        <f aca="false">IF(A161="","",YEAR(A161-WEEKDAY(A161,2)+4))</f>
        <v/>
      </c>
      <c r="C161" s="23" t="str">
        <f aca="false">IF(A161="","",WEEKNUM(A161,21))</f>
        <v/>
      </c>
      <c r="D161" s="24" t="str">
        <f aca="false">IF(A161="","",DATE(YEAR(A161),MONTH(A161),1))</f>
        <v/>
      </c>
      <c r="E161" s="10"/>
      <c r="F161" s="25"/>
      <c r="G161" s="25"/>
      <c r="H161" s="10"/>
      <c r="I161" s="10"/>
      <c r="J161" s="26"/>
      <c r="K161" s="25"/>
      <c r="L161" s="26"/>
      <c r="M161" s="27"/>
      <c r="N161" s="27"/>
      <c r="O161" s="28" t="str">
        <f aca="false">IF(OR(M161="",M161=0,N161=""),"",N161/M161)</f>
        <v/>
      </c>
      <c r="P161" s="28" t="str">
        <f aca="false">IF(M161="","",IFERROR(IF(INDEX(Parámetros!$B$14:$B$21,MATCH(I161,Parámetros!$A$14:$A$21,0))="",Parámetros!$B$5,INDEX(Parámetros!$B$14:$B$21,MATCH(I161,Parámetros!$A$14:$A$21,0))),Parámetros!$B$5))</f>
        <v/>
      </c>
      <c r="Q161" s="29" t="str">
        <f aca="false">IF(O161="","",(O161-P161)*100)</f>
        <v/>
      </c>
      <c r="R161" s="30" t="str">
        <f aca="false">IF(O161="","",MAX(0,M161*(P161-O161)))</f>
        <v/>
      </c>
      <c r="S161" s="31" t="str">
        <f aca="false">IF(OR(L161="",L161=0,N161=""),"",N161/1000/L161)</f>
        <v/>
      </c>
      <c r="T161" s="27"/>
      <c r="U161" s="27"/>
      <c r="V161" s="27"/>
      <c r="W161" s="27"/>
      <c r="X161" s="27"/>
      <c r="Y161" s="27"/>
      <c r="Z161" s="27"/>
      <c r="AA161" s="25"/>
      <c r="AB161" s="27"/>
      <c r="AC161" s="30" t="str">
        <f aca="false">IF(M161="","",IF(AB161="",M161*Parámetros!$B$6,AB161))</f>
        <v/>
      </c>
      <c r="AD161" s="30" t="str">
        <f aca="false">IF(M161="","",SUM(T161:Z161)+AC161)</f>
        <v/>
      </c>
      <c r="AE161" s="30" t="str">
        <f aca="false">IF(OR(M161="",N161=""),"",M161-N161)</f>
        <v/>
      </c>
      <c r="AF161" s="30" t="str">
        <f aca="false">IF(AE161="","",AE161-AD161)</f>
        <v/>
      </c>
      <c r="AG161" s="28" t="str">
        <f aca="false">IF(OR(AF161="",M161=0),"",AF161/M161)</f>
        <v/>
      </c>
      <c r="AH161" s="32" t="str">
        <f aca="false">IF(OR(AE161="",N161=0),"",AE161/(N161/1000))</f>
        <v/>
      </c>
      <c r="AI161" s="30" t="str">
        <f aca="false">IF(O161="","",M161*P161)</f>
        <v/>
      </c>
      <c r="AJ161" s="11" t="str">
        <f aca="false">IF(O161="","",IF(O161&gt;1,"Error: rend &gt; 100 %",IF(SUM(T161:Z161)=0,"Falta registrar pérdidas",IF(ABS(AG161)&gt;Parámetros!$B$7,"Revisar balance",IF(O161&lt;P161,"Bajo meta","OK")))))</f>
        <v/>
      </c>
      <c r="AK161" s="33"/>
      <c r="AL161" s="10"/>
      <c r="AM161" s="33"/>
      <c r="AN161" s="33"/>
      <c r="AO161" s="10"/>
    </row>
    <row r="162" customFormat="false" ht="15" hidden="false" customHeight="false" outlineLevel="0" collapsed="false">
      <c r="A162" s="22"/>
      <c r="B162" s="23" t="str">
        <f aca="false">IF(A162="","",YEAR(A162-WEEKDAY(A162,2)+4))</f>
        <v/>
      </c>
      <c r="C162" s="23" t="str">
        <f aca="false">IF(A162="","",WEEKNUM(A162,21))</f>
        <v/>
      </c>
      <c r="D162" s="24" t="str">
        <f aca="false">IF(A162="","",DATE(YEAR(A162),MONTH(A162),1))</f>
        <v/>
      </c>
      <c r="E162" s="10"/>
      <c r="F162" s="25"/>
      <c r="G162" s="25"/>
      <c r="H162" s="10"/>
      <c r="I162" s="10"/>
      <c r="J162" s="26"/>
      <c r="K162" s="25"/>
      <c r="L162" s="26"/>
      <c r="M162" s="27"/>
      <c r="N162" s="27"/>
      <c r="O162" s="28" t="str">
        <f aca="false">IF(OR(M162="",M162=0,N162=""),"",N162/M162)</f>
        <v/>
      </c>
      <c r="P162" s="28" t="str">
        <f aca="false">IF(M162="","",IFERROR(IF(INDEX(Parámetros!$B$14:$B$21,MATCH(I162,Parámetros!$A$14:$A$21,0))="",Parámetros!$B$5,INDEX(Parámetros!$B$14:$B$21,MATCH(I162,Parámetros!$A$14:$A$21,0))),Parámetros!$B$5))</f>
        <v/>
      </c>
      <c r="Q162" s="29" t="str">
        <f aca="false">IF(O162="","",(O162-P162)*100)</f>
        <v/>
      </c>
      <c r="R162" s="30" t="str">
        <f aca="false">IF(O162="","",MAX(0,M162*(P162-O162)))</f>
        <v/>
      </c>
      <c r="S162" s="31" t="str">
        <f aca="false">IF(OR(L162="",L162=0,N162=""),"",N162/1000/L162)</f>
        <v/>
      </c>
      <c r="T162" s="27"/>
      <c r="U162" s="27"/>
      <c r="V162" s="27"/>
      <c r="W162" s="27"/>
      <c r="X162" s="27"/>
      <c r="Y162" s="27"/>
      <c r="Z162" s="27"/>
      <c r="AA162" s="25"/>
      <c r="AB162" s="27"/>
      <c r="AC162" s="30" t="str">
        <f aca="false">IF(M162="","",IF(AB162="",M162*Parámetros!$B$6,AB162))</f>
        <v/>
      </c>
      <c r="AD162" s="30" t="str">
        <f aca="false">IF(M162="","",SUM(T162:Z162)+AC162)</f>
        <v/>
      </c>
      <c r="AE162" s="30" t="str">
        <f aca="false">IF(OR(M162="",N162=""),"",M162-N162)</f>
        <v/>
      </c>
      <c r="AF162" s="30" t="str">
        <f aca="false">IF(AE162="","",AE162-AD162)</f>
        <v/>
      </c>
      <c r="AG162" s="28" t="str">
        <f aca="false">IF(OR(AF162="",M162=0),"",AF162/M162)</f>
        <v/>
      </c>
      <c r="AH162" s="32" t="str">
        <f aca="false">IF(OR(AE162="",N162=0),"",AE162/(N162/1000))</f>
        <v/>
      </c>
      <c r="AI162" s="30" t="str">
        <f aca="false">IF(O162="","",M162*P162)</f>
        <v/>
      </c>
      <c r="AJ162" s="11" t="str">
        <f aca="false">IF(O162="","",IF(O162&gt;1,"Error: rend &gt; 100 %",IF(SUM(T162:Z162)=0,"Falta registrar pérdidas",IF(ABS(AG162)&gt;Parámetros!$B$7,"Revisar balance",IF(O162&lt;P162,"Bajo meta","OK")))))</f>
        <v/>
      </c>
      <c r="AK162" s="33"/>
      <c r="AL162" s="10"/>
      <c r="AM162" s="33"/>
      <c r="AN162" s="33"/>
      <c r="AO162" s="10"/>
    </row>
    <row r="163" customFormat="false" ht="15" hidden="false" customHeight="false" outlineLevel="0" collapsed="false">
      <c r="A163" s="22"/>
      <c r="B163" s="23" t="str">
        <f aca="false">IF(A163="","",YEAR(A163-WEEKDAY(A163,2)+4))</f>
        <v/>
      </c>
      <c r="C163" s="23" t="str">
        <f aca="false">IF(A163="","",WEEKNUM(A163,21))</f>
        <v/>
      </c>
      <c r="D163" s="24" t="str">
        <f aca="false">IF(A163="","",DATE(YEAR(A163),MONTH(A163),1))</f>
        <v/>
      </c>
      <c r="E163" s="10"/>
      <c r="F163" s="25"/>
      <c r="G163" s="25"/>
      <c r="H163" s="10"/>
      <c r="I163" s="10"/>
      <c r="J163" s="26"/>
      <c r="K163" s="25"/>
      <c r="L163" s="26"/>
      <c r="M163" s="27"/>
      <c r="N163" s="27"/>
      <c r="O163" s="28" t="str">
        <f aca="false">IF(OR(M163="",M163=0,N163=""),"",N163/M163)</f>
        <v/>
      </c>
      <c r="P163" s="28" t="str">
        <f aca="false">IF(M163="","",IFERROR(IF(INDEX(Parámetros!$B$14:$B$21,MATCH(I163,Parámetros!$A$14:$A$21,0))="",Parámetros!$B$5,INDEX(Parámetros!$B$14:$B$21,MATCH(I163,Parámetros!$A$14:$A$21,0))),Parámetros!$B$5))</f>
        <v/>
      </c>
      <c r="Q163" s="29" t="str">
        <f aca="false">IF(O163="","",(O163-P163)*100)</f>
        <v/>
      </c>
      <c r="R163" s="30" t="str">
        <f aca="false">IF(O163="","",MAX(0,M163*(P163-O163)))</f>
        <v/>
      </c>
      <c r="S163" s="31" t="str">
        <f aca="false">IF(OR(L163="",L163=0,N163=""),"",N163/1000/L163)</f>
        <v/>
      </c>
      <c r="T163" s="27"/>
      <c r="U163" s="27"/>
      <c r="V163" s="27"/>
      <c r="W163" s="27"/>
      <c r="X163" s="27"/>
      <c r="Y163" s="27"/>
      <c r="Z163" s="27"/>
      <c r="AA163" s="25"/>
      <c r="AB163" s="27"/>
      <c r="AC163" s="30" t="str">
        <f aca="false">IF(M163="","",IF(AB163="",M163*Parámetros!$B$6,AB163))</f>
        <v/>
      </c>
      <c r="AD163" s="30" t="str">
        <f aca="false">IF(M163="","",SUM(T163:Z163)+AC163)</f>
        <v/>
      </c>
      <c r="AE163" s="30" t="str">
        <f aca="false">IF(OR(M163="",N163=""),"",M163-N163)</f>
        <v/>
      </c>
      <c r="AF163" s="30" t="str">
        <f aca="false">IF(AE163="","",AE163-AD163)</f>
        <v/>
      </c>
      <c r="AG163" s="28" t="str">
        <f aca="false">IF(OR(AF163="",M163=0),"",AF163/M163)</f>
        <v/>
      </c>
      <c r="AH163" s="32" t="str">
        <f aca="false">IF(OR(AE163="",N163=0),"",AE163/(N163/1000))</f>
        <v/>
      </c>
      <c r="AI163" s="30" t="str">
        <f aca="false">IF(O163="","",M163*P163)</f>
        <v/>
      </c>
      <c r="AJ163" s="11" t="str">
        <f aca="false">IF(O163="","",IF(O163&gt;1,"Error: rend &gt; 100 %",IF(SUM(T163:Z163)=0,"Falta registrar pérdidas",IF(ABS(AG163)&gt;Parámetros!$B$7,"Revisar balance",IF(O163&lt;P163,"Bajo meta","OK")))))</f>
        <v/>
      </c>
      <c r="AK163" s="33"/>
      <c r="AL163" s="10"/>
      <c r="AM163" s="33"/>
      <c r="AN163" s="33"/>
      <c r="AO163" s="10"/>
    </row>
    <row r="164" customFormat="false" ht="15" hidden="false" customHeight="false" outlineLevel="0" collapsed="false">
      <c r="A164" s="22"/>
      <c r="B164" s="23" t="str">
        <f aca="false">IF(A164="","",YEAR(A164-WEEKDAY(A164,2)+4))</f>
        <v/>
      </c>
      <c r="C164" s="23" t="str">
        <f aca="false">IF(A164="","",WEEKNUM(A164,21))</f>
        <v/>
      </c>
      <c r="D164" s="24" t="str">
        <f aca="false">IF(A164="","",DATE(YEAR(A164),MONTH(A164),1))</f>
        <v/>
      </c>
      <c r="E164" s="10"/>
      <c r="F164" s="25"/>
      <c r="G164" s="25"/>
      <c r="H164" s="10"/>
      <c r="I164" s="10"/>
      <c r="J164" s="26"/>
      <c r="K164" s="25"/>
      <c r="L164" s="26"/>
      <c r="M164" s="27"/>
      <c r="N164" s="27"/>
      <c r="O164" s="28" t="str">
        <f aca="false">IF(OR(M164="",M164=0,N164=""),"",N164/M164)</f>
        <v/>
      </c>
      <c r="P164" s="28" t="str">
        <f aca="false">IF(M164="","",IFERROR(IF(INDEX(Parámetros!$B$14:$B$21,MATCH(I164,Parámetros!$A$14:$A$21,0))="",Parámetros!$B$5,INDEX(Parámetros!$B$14:$B$21,MATCH(I164,Parámetros!$A$14:$A$21,0))),Parámetros!$B$5))</f>
        <v/>
      </c>
      <c r="Q164" s="29" t="str">
        <f aca="false">IF(O164="","",(O164-P164)*100)</f>
        <v/>
      </c>
      <c r="R164" s="30" t="str">
        <f aca="false">IF(O164="","",MAX(0,M164*(P164-O164)))</f>
        <v/>
      </c>
      <c r="S164" s="31" t="str">
        <f aca="false">IF(OR(L164="",L164=0,N164=""),"",N164/1000/L164)</f>
        <v/>
      </c>
      <c r="T164" s="27"/>
      <c r="U164" s="27"/>
      <c r="V164" s="27"/>
      <c r="W164" s="27"/>
      <c r="X164" s="27"/>
      <c r="Y164" s="27"/>
      <c r="Z164" s="27"/>
      <c r="AA164" s="25"/>
      <c r="AB164" s="27"/>
      <c r="AC164" s="30" t="str">
        <f aca="false">IF(M164="","",IF(AB164="",M164*Parámetros!$B$6,AB164))</f>
        <v/>
      </c>
      <c r="AD164" s="30" t="str">
        <f aca="false">IF(M164="","",SUM(T164:Z164)+AC164)</f>
        <v/>
      </c>
      <c r="AE164" s="30" t="str">
        <f aca="false">IF(OR(M164="",N164=""),"",M164-N164)</f>
        <v/>
      </c>
      <c r="AF164" s="30" t="str">
        <f aca="false">IF(AE164="","",AE164-AD164)</f>
        <v/>
      </c>
      <c r="AG164" s="28" t="str">
        <f aca="false">IF(OR(AF164="",M164=0),"",AF164/M164)</f>
        <v/>
      </c>
      <c r="AH164" s="32" t="str">
        <f aca="false">IF(OR(AE164="",N164=0),"",AE164/(N164/1000))</f>
        <v/>
      </c>
      <c r="AI164" s="30" t="str">
        <f aca="false">IF(O164="","",M164*P164)</f>
        <v/>
      </c>
      <c r="AJ164" s="11" t="str">
        <f aca="false">IF(O164="","",IF(O164&gt;1,"Error: rend &gt; 100 %",IF(SUM(T164:Z164)=0,"Falta registrar pérdidas",IF(ABS(AG164)&gt;Parámetros!$B$7,"Revisar balance",IF(O164&lt;P164,"Bajo meta","OK")))))</f>
        <v/>
      </c>
      <c r="AK164" s="33"/>
      <c r="AL164" s="10"/>
      <c r="AM164" s="33"/>
      <c r="AN164" s="33"/>
      <c r="AO164" s="10"/>
    </row>
    <row r="165" customFormat="false" ht="15" hidden="false" customHeight="false" outlineLevel="0" collapsed="false">
      <c r="A165" s="22"/>
      <c r="B165" s="23" t="str">
        <f aca="false">IF(A165="","",YEAR(A165-WEEKDAY(A165,2)+4))</f>
        <v/>
      </c>
      <c r="C165" s="23" t="str">
        <f aca="false">IF(A165="","",WEEKNUM(A165,21))</f>
        <v/>
      </c>
      <c r="D165" s="24" t="str">
        <f aca="false">IF(A165="","",DATE(YEAR(A165),MONTH(A165),1))</f>
        <v/>
      </c>
      <c r="E165" s="10"/>
      <c r="F165" s="25"/>
      <c r="G165" s="25"/>
      <c r="H165" s="10"/>
      <c r="I165" s="10"/>
      <c r="J165" s="26"/>
      <c r="K165" s="25"/>
      <c r="L165" s="26"/>
      <c r="M165" s="27"/>
      <c r="N165" s="27"/>
      <c r="O165" s="28" t="str">
        <f aca="false">IF(OR(M165="",M165=0,N165=""),"",N165/M165)</f>
        <v/>
      </c>
      <c r="P165" s="28" t="str">
        <f aca="false">IF(M165="","",IFERROR(IF(INDEX(Parámetros!$B$14:$B$21,MATCH(I165,Parámetros!$A$14:$A$21,0))="",Parámetros!$B$5,INDEX(Parámetros!$B$14:$B$21,MATCH(I165,Parámetros!$A$14:$A$21,0))),Parámetros!$B$5))</f>
        <v/>
      </c>
      <c r="Q165" s="29" t="str">
        <f aca="false">IF(O165="","",(O165-P165)*100)</f>
        <v/>
      </c>
      <c r="R165" s="30" t="str">
        <f aca="false">IF(O165="","",MAX(0,M165*(P165-O165)))</f>
        <v/>
      </c>
      <c r="S165" s="31" t="str">
        <f aca="false">IF(OR(L165="",L165=0,N165=""),"",N165/1000/L165)</f>
        <v/>
      </c>
      <c r="T165" s="27"/>
      <c r="U165" s="27"/>
      <c r="V165" s="27"/>
      <c r="W165" s="27"/>
      <c r="X165" s="27"/>
      <c r="Y165" s="27"/>
      <c r="Z165" s="27"/>
      <c r="AA165" s="25"/>
      <c r="AB165" s="27"/>
      <c r="AC165" s="30" t="str">
        <f aca="false">IF(M165="","",IF(AB165="",M165*Parámetros!$B$6,AB165))</f>
        <v/>
      </c>
      <c r="AD165" s="30" t="str">
        <f aca="false">IF(M165="","",SUM(T165:Z165)+AC165)</f>
        <v/>
      </c>
      <c r="AE165" s="30" t="str">
        <f aca="false">IF(OR(M165="",N165=""),"",M165-N165)</f>
        <v/>
      </c>
      <c r="AF165" s="30" t="str">
        <f aca="false">IF(AE165="","",AE165-AD165)</f>
        <v/>
      </c>
      <c r="AG165" s="28" t="str">
        <f aca="false">IF(OR(AF165="",M165=0),"",AF165/M165)</f>
        <v/>
      </c>
      <c r="AH165" s="32" t="str">
        <f aca="false">IF(OR(AE165="",N165=0),"",AE165/(N165/1000))</f>
        <v/>
      </c>
      <c r="AI165" s="30" t="str">
        <f aca="false">IF(O165="","",M165*P165)</f>
        <v/>
      </c>
      <c r="AJ165" s="11" t="str">
        <f aca="false">IF(O165="","",IF(O165&gt;1,"Error: rend &gt; 100 %",IF(SUM(T165:Z165)=0,"Falta registrar pérdidas",IF(ABS(AG165)&gt;Parámetros!$B$7,"Revisar balance",IF(O165&lt;P165,"Bajo meta","OK")))))</f>
        <v/>
      </c>
      <c r="AK165" s="33"/>
      <c r="AL165" s="10"/>
      <c r="AM165" s="33"/>
      <c r="AN165" s="33"/>
      <c r="AO165" s="10"/>
    </row>
    <row r="166" customFormat="false" ht="15" hidden="false" customHeight="false" outlineLevel="0" collapsed="false">
      <c r="A166" s="22"/>
      <c r="B166" s="23" t="str">
        <f aca="false">IF(A166="","",YEAR(A166-WEEKDAY(A166,2)+4))</f>
        <v/>
      </c>
      <c r="C166" s="23" t="str">
        <f aca="false">IF(A166="","",WEEKNUM(A166,21))</f>
        <v/>
      </c>
      <c r="D166" s="24" t="str">
        <f aca="false">IF(A166="","",DATE(YEAR(A166),MONTH(A166),1))</f>
        <v/>
      </c>
      <c r="E166" s="10"/>
      <c r="F166" s="25"/>
      <c r="G166" s="25"/>
      <c r="H166" s="10"/>
      <c r="I166" s="10"/>
      <c r="J166" s="26"/>
      <c r="K166" s="25"/>
      <c r="L166" s="26"/>
      <c r="M166" s="27"/>
      <c r="N166" s="27"/>
      <c r="O166" s="28" t="str">
        <f aca="false">IF(OR(M166="",M166=0,N166=""),"",N166/M166)</f>
        <v/>
      </c>
      <c r="P166" s="28" t="str">
        <f aca="false">IF(M166="","",IFERROR(IF(INDEX(Parámetros!$B$14:$B$21,MATCH(I166,Parámetros!$A$14:$A$21,0))="",Parámetros!$B$5,INDEX(Parámetros!$B$14:$B$21,MATCH(I166,Parámetros!$A$14:$A$21,0))),Parámetros!$B$5))</f>
        <v/>
      </c>
      <c r="Q166" s="29" t="str">
        <f aca="false">IF(O166="","",(O166-P166)*100)</f>
        <v/>
      </c>
      <c r="R166" s="30" t="str">
        <f aca="false">IF(O166="","",MAX(0,M166*(P166-O166)))</f>
        <v/>
      </c>
      <c r="S166" s="31" t="str">
        <f aca="false">IF(OR(L166="",L166=0,N166=""),"",N166/1000/L166)</f>
        <v/>
      </c>
      <c r="T166" s="27"/>
      <c r="U166" s="27"/>
      <c r="V166" s="27"/>
      <c r="W166" s="27"/>
      <c r="X166" s="27"/>
      <c r="Y166" s="27"/>
      <c r="Z166" s="27"/>
      <c r="AA166" s="25"/>
      <c r="AB166" s="27"/>
      <c r="AC166" s="30" t="str">
        <f aca="false">IF(M166="","",IF(AB166="",M166*Parámetros!$B$6,AB166))</f>
        <v/>
      </c>
      <c r="AD166" s="30" t="str">
        <f aca="false">IF(M166="","",SUM(T166:Z166)+AC166)</f>
        <v/>
      </c>
      <c r="AE166" s="30" t="str">
        <f aca="false">IF(OR(M166="",N166=""),"",M166-N166)</f>
        <v/>
      </c>
      <c r="AF166" s="30" t="str">
        <f aca="false">IF(AE166="","",AE166-AD166)</f>
        <v/>
      </c>
      <c r="AG166" s="28" t="str">
        <f aca="false">IF(OR(AF166="",M166=0),"",AF166/M166)</f>
        <v/>
      </c>
      <c r="AH166" s="32" t="str">
        <f aca="false">IF(OR(AE166="",N166=0),"",AE166/(N166/1000))</f>
        <v/>
      </c>
      <c r="AI166" s="30" t="str">
        <f aca="false">IF(O166="","",M166*P166)</f>
        <v/>
      </c>
      <c r="AJ166" s="11" t="str">
        <f aca="false">IF(O166="","",IF(O166&gt;1,"Error: rend &gt; 100 %",IF(SUM(T166:Z166)=0,"Falta registrar pérdidas",IF(ABS(AG166)&gt;Parámetros!$B$7,"Revisar balance",IF(O166&lt;P166,"Bajo meta","OK")))))</f>
        <v/>
      </c>
      <c r="AK166" s="33"/>
      <c r="AL166" s="10"/>
      <c r="AM166" s="33"/>
      <c r="AN166" s="33"/>
      <c r="AO166" s="10"/>
    </row>
    <row r="167" customFormat="false" ht="15" hidden="false" customHeight="false" outlineLevel="0" collapsed="false">
      <c r="A167" s="22"/>
      <c r="B167" s="23" t="str">
        <f aca="false">IF(A167="","",YEAR(A167-WEEKDAY(A167,2)+4))</f>
        <v/>
      </c>
      <c r="C167" s="23" t="str">
        <f aca="false">IF(A167="","",WEEKNUM(A167,21))</f>
        <v/>
      </c>
      <c r="D167" s="24" t="str">
        <f aca="false">IF(A167="","",DATE(YEAR(A167),MONTH(A167),1))</f>
        <v/>
      </c>
      <c r="E167" s="10"/>
      <c r="F167" s="25"/>
      <c r="G167" s="25"/>
      <c r="H167" s="10"/>
      <c r="I167" s="10"/>
      <c r="J167" s="26"/>
      <c r="K167" s="25"/>
      <c r="L167" s="26"/>
      <c r="M167" s="27"/>
      <c r="N167" s="27"/>
      <c r="O167" s="28" t="str">
        <f aca="false">IF(OR(M167="",M167=0,N167=""),"",N167/M167)</f>
        <v/>
      </c>
      <c r="P167" s="28" t="str">
        <f aca="false">IF(M167="","",IFERROR(IF(INDEX(Parámetros!$B$14:$B$21,MATCH(I167,Parámetros!$A$14:$A$21,0))="",Parámetros!$B$5,INDEX(Parámetros!$B$14:$B$21,MATCH(I167,Parámetros!$A$14:$A$21,0))),Parámetros!$B$5))</f>
        <v/>
      </c>
      <c r="Q167" s="29" t="str">
        <f aca="false">IF(O167="","",(O167-P167)*100)</f>
        <v/>
      </c>
      <c r="R167" s="30" t="str">
        <f aca="false">IF(O167="","",MAX(0,M167*(P167-O167)))</f>
        <v/>
      </c>
      <c r="S167" s="31" t="str">
        <f aca="false">IF(OR(L167="",L167=0,N167=""),"",N167/1000/L167)</f>
        <v/>
      </c>
      <c r="T167" s="27"/>
      <c r="U167" s="27"/>
      <c r="V167" s="27"/>
      <c r="W167" s="27"/>
      <c r="X167" s="27"/>
      <c r="Y167" s="27"/>
      <c r="Z167" s="27"/>
      <c r="AA167" s="25"/>
      <c r="AB167" s="27"/>
      <c r="AC167" s="30" t="str">
        <f aca="false">IF(M167="","",IF(AB167="",M167*Parámetros!$B$6,AB167))</f>
        <v/>
      </c>
      <c r="AD167" s="30" t="str">
        <f aca="false">IF(M167="","",SUM(T167:Z167)+AC167)</f>
        <v/>
      </c>
      <c r="AE167" s="30" t="str">
        <f aca="false">IF(OR(M167="",N167=""),"",M167-N167)</f>
        <v/>
      </c>
      <c r="AF167" s="30" t="str">
        <f aca="false">IF(AE167="","",AE167-AD167)</f>
        <v/>
      </c>
      <c r="AG167" s="28" t="str">
        <f aca="false">IF(OR(AF167="",M167=0),"",AF167/M167)</f>
        <v/>
      </c>
      <c r="AH167" s="32" t="str">
        <f aca="false">IF(OR(AE167="",N167=0),"",AE167/(N167/1000))</f>
        <v/>
      </c>
      <c r="AI167" s="30" t="str">
        <f aca="false">IF(O167="","",M167*P167)</f>
        <v/>
      </c>
      <c r="AJ167" s="11" t="str">
        <f aca="false">IF(O167="","",IF(O167&gt;1,"Error: rend &gt; 100 %",IF(SUM(T167:Z167)=0,"Falta registrar pérdidas",IF(ABS(AG167)&gt;Parámetros!$B$7,"Revisar balance",IF(O167&lt;P167,"Bajo meta","OK")))))</f>
        <v/>
      </c>
      <c r="AK167" s="33"/>
      <c r="AL167" s="10"/>
      <c r="AM167" s="33"/>
      <c r="AN167" s="33"/>
      <c r="AO167" s="10"/>
    </row>
    <row r="168" customFormat="false" ht="15" hidden="false" customHeight="false" outlineLevel="0" collapsed="false">
      <c r="A168" s="22"/>
      <c r="B168" s="23" t="str">
        <f aca="false">IF(A168="","",YEAR(A168-WEEKDAY(A168,2)+4))</f>
        <v/>
      </c>
      <c r="C168" s="23" t="str">
        <f aca="false">IF(A168="","",WEEKNUM(A168,21))</f>
        <v/>
      </c>
      <c r="D168" s="24" t="str">
        <f aca="false">IF(A168="","",DATE(YEAR(A168),MONTH(A168),1))</f>
        <v/>
      </c>
      <c r="E168" s="10"/>
      <c r="F168" s="25"/>
      <c r="G168" s="25"/>
      <c r="H168" s="10"/>
      <c r="I168" s="10"/>
      <c r="J168" s="26"/>
      <c r="K168" s="25"/>
      <c r="L168" s="26"/>
      <c r="M168" s="27"/>
      <c r="N168" s="27"/>
      <c r="O168" s="28" t="str">
        <f aca="false">IF(OR(M168="",M168=0,N168=""),"",N168/M168)</f>
        <v/>
      </c>
      <c r="P168" s="28" t="str">
        <f aca="false">IF(M168="","",IFERROR(IF(INDEX(Parámetros!$B$14:$B$21,MATCH(I168,Parámetros!$A$14:$A$21,0))="",Parámetros!$B$5,INDEX(Parámetros!$B$14:$B$21,MATCH(I168,Parámetros!$A$14:$A$21,0))),Parámetros!$B$5))</f>
        <v/>
      </c>
      <c r="Q168" s="29" t="str">
        <f aca="false">IF(O168="","",(O168-P168)*100)</f>
        <v/>
      </c>
      <c r="R168" s="30" t="str">
        <f aca="false">IF(O168="","",MAX(0,M168*(P168-O168)))</f>
        <v/>
      </c>
      <c r="S168" s="31" t="str">
        <f aca="false">IF(OR(L168="",L168=0,N168=""),"",N168/1000/L168)</f>
        <v/>
      </c>
      <c r="T168" s="27"/>
      <c r="U168" s="27"/>
      <c r="V168" s="27"/>
      <c r="W168" s="27"/>
      <c r="X168" s="27"/>
      <c r="Y168" s="27"/>
      <c r="Z168" s="27"/>
      <c r="AA168" s="25"/>
      <c r="AB168" s="27"/>
      <c r="AC168" s="30" t="str">
        <f aca="false">IF(M168="","",IF(AB168="",M168*Parámetros!$B$6,AB168))</f>
        <v/>
      </c>
      <c r="AD168" s="30" t="str">
        <f aca="false">IF(M168="","",SUM(T168:Z168)+AC168)</f>
        <v/>
      </c>
      <c r="AE168" s="30" t="str">
        <f aca="false">IF(OR(M168="",N168=""),"",M168-N168)</f>
        <v/>
      </c>
      <c r="AF168" s="30" t="str">
        <f aca="false">IF(AE168="","",AE168-AD168)</f>
        <v/>
      </c>
      <c r="AG168" s="28" t="str">
        <f aca="false">IF(OR(AF168="",M168=0),"",AF168/M168)</f>
        <v/>
      </c>
      <c r="AH168" s="32" t="str">
        <f aca="false">IF(OR(AE168="",N168=0),"",AE168/(N168/1000))</f>
        <v/>
      </c>
      <c r="AI168" s="30" t="str">
        <f aca="false">IF(O168="","",M168*P168)</f>
        <v/>
      </c>
      <c r="AJ168" s="11" t="str">
        <f aca="false">IF(O168="","",IF(O168&gt;1,"Error: rend &gt; 100 %",IF(SUM(T168:Z168)=0,"Falta registrar pérdidas",IF(ABS(AG168)&gt;Parámetros!$B$7,"Revisar balance",IF(O168&lt;P168,"Bajo meta","OK")))))</f>
        <v/>
      </c>
      <c r="AK168" s="33"/>
      <c r="AL168" s="10"/>
      <c r="AM168" s="33"/>
      <c r="AN168" s="33"/>
      <c r="AO168" s="10"/>
    </row>
    <row r="169" customFormat="false" ht="15" hidden="false" customHeight="false" outlineLevel="0" collapsed="false">
      <c r="A169" s="22"/>
      <c r="B169" s="23" t="str">
        <f aca="false">IF(A169="","",YEAR(A169-WEEKDAY(A169,2)+4))</f>
        <v/>
      </c>
      <c r="C169" s="23" t="str">
        <f aca="false">IF(A169="","",WEEKNUM(A169,21))</f>
        <v/>
      </c>
      <c r="D169" s="24" t="str">
        <f aca="false">IF(A169="","",DATE(YEAR(A169),MONTH(A169),1))</f>
        <v/>
      </c>
      <c r="E169" s="10"/>
      <c r="F169" s="25"/>
      <c r="G169" s="25"/>
      <c r="H169" s="10"/>
      <c r="I169" s="10"/>
      <c r="J169" s="26"/>
      <c r="K169" s="25"/>
      <c r="L169" s="26"/>
      <c r="M169" s="27"/>
      <c r="N169" s="27"/>
      <c r="O169" s="28" t="str">
        <f aca="false">IF(OR(M169="",M169=0,N169=""),"",N169/M169)</f>
        <v/>
      </c>
      <c r="P169" s="28" t="str">
        <f aca="false">IF(M169="","",IFERROR(IF(INDEX(Parámetros!$B$14:$B$21,MATCH(I169,Parámetros!$A$14:$A$21,0))="",Parámetros!$B$5,INDEX(Parámetros!$B$14:$B$21,MATCH(I169,Parámetros!$A$14:$A$21,0))),Parámetros!$B$5))</f>
        <v/>
      </c>
      <c r="Q169" s="29" t="str">
        <f aca="false">IF(O169="","",(O169-P169)*100)</f>
        <v/>
      </c>
      <c r="R169" s="30" t="str">
        <f aca="false">IF(O169="","",MAX(0,M169*(P169-O169)))</f>
        <v/>
      </c>
      <c r="S169" s="31" t="str">
        <f aca="false">IF(OR(L169="",L169=0,N169=""),"",N169/1000/L169)</f>
        <v/>
      </c>
      <c r="T169" s="27"/>
      <c r="U169" s="27"/>
      <c r="V169" s="27"/>
      <c r="W169" s="27"/>
      <c r="X169" s="27"/>
      <c r="Y169" s="27"/>
      <c r="Z169" s="27"/>
      <c r="AA169" s="25"/>
      <c r="AB169" s="27"/>
      <c r="AC169" s="30" t="str">
        <f aca="false">IF(M169="","",IF(AB169="",M169*Parámetros!$B$6,AB169))</f>
        <v/>
      </c>
      <c r="AD169" s="30" t="str">
        <f aca="false">IF(M169="","",SUM(T169:Z169)+AC169)</f>
        <v/>
      </c>
      <c r="AE169" s="30" t="str">
        <f aca="false">IF(OR(M169="",N169=""),"",M169-N169)</f>
        <v/>
      </c>
      <c r="AF169" s="30" t="str">
        <f aca="false">IF(AE169="","",AE169-AD169)</f>
        <v/>
      </c>
      <c r="AG169" s="28" t="str">
        <f aca="false">IF(OR(AF169="",M169=0),"",AF169/M169)</f>
        <v/>
      </c>
      <c r="AH169" s="32" t="str">
        <f aca="false">IF(OR(AE169="",N169=0),"",AE169/(N169/1000))</f>
        <v/>
      </c>
      <c r="AI169" s="30" t="str">
        <f aca="false">IF(O169="","",M169*P169)</f>
        <v/>
      </c>
      <c r="AJ169" s="11" t="str">
        <f aca="false">IF(O169="","",IF(O169&gt;1,"Error: rend &gt; 100 %",IF(SUM(T169:Z169)=0,"Falta registrar pérdidas",IF(ABS(AG169)&gt;Parámetros!$B$7,"Revisar balance",IF(O169&lt;P169,"Bajo meta","OK")))))</f>
        <v/>
      </c>
      <c r="AK169" s="33"/>
      <c r="AL169" s="10"/>
      <c r="AM169" s="33"/>
      <c r="AN169" s="33"/>
      <c r="AO169" s="10"/>
    </row>
    <row r="170" customFormat="false" ht="15" hidden="false" customHeight="false" outlineLevel="0" collapsed="false">
      <c r="A170" s="22"/>
      <c r="B170" s="23" t="str">
        <f aca="false">IF(A170="","",YEAR(A170-WEEKDAY(A170,2)+4))</f>
        <v/>
      </c>
      <c r="C170" s="23" t="str">
        <f aca="false">IF(A170="","",WEEKNUM(A170,21))</f>
        <v/>
      </c>
      <c r="D170" s="24" t="str">
        <f aca="false">IF(A170="","",DATE(YEAR(A170),MONTH(A170),1))</f>
        <v/>
      </c>
      <c r="E170" s="10"/>
      <c r="F170" s="25"/>
      <c r="G170" s="25"/>
      <c r="H170" s="10"/>
      <c r="I170" s="10"/>
      <c r="J170" s="26"/>
      <c r="K170" s="25"/>
      <c r="L170" s="26"/>
      <c r="M170" s="27"/>
      <c r="N170" s="27"/>
      <c r="O170" s="28" t="str">
        <f aca="false">IF(OR(M170="",M170=0,N170=""),"",N170/M170)</f>
        <v/>
      </c>
      <c r="P170" s="28" t="str">
        <f aca="false">IF(M170="","",IFERROR(IF(INDEX(Parámetros!$B$14:$B$21,MATCH(I170,Parámetros!$A$14:$A$21,0))="",Parámetros!$B$5,INDEX(Parámetros!$B$14:$B$21,MATCH(I170,Parámetros!$A$14:$A$21,0))),Parámetros!$B$5))</f>
        <v/>
      </c>
      <c r="Q170" s="29" t="str">
        <f aca="false">IF(O170="","",(O170-P170)*100)</f>
        <v/>
      </c>
      <c r="R170" s="30" t="str">
        <f aca="false">IF(O170="","",MAX(0,M170*(P170-O170)))</f>
        <v/>
      </c>
      <c r="S170" s="31" t="str">
        <f aca="false">IF(OR(L170="",L170=0,N170=""),"",N170/1000/L170)</f>
        <v/>
      </c>
      <c r="T170" s="27"/>
      <c r="U170" s="27"/>
      <c r="V170" s="27"/>
      <c r="W170" s="27"/>
      <c r="X170" s="27"/>
      <c r="Y170" s="27"/>
      <c r="Z170" s="27"/>
      <c r="AA170" s="25"/>
      <c r="AB170" s="27"/>
      <c r="AC170" s="30" t="str">
        <f aca="false">IF(M170="","",IF(AB170="",M170*Parámetros!$B$6,AB170))</f>
        <v/>
      </c>
      <c r="AD170" s="30" t="str">
        <f aca="false">IF(M170="","",SUM(T170:Z170)+AC170)</f>
        <v/>
      </c>
      <c r="AE170" s="30" t="str">
        <f aca="false">IF(OR(M170="",N170=""),"",M170-N170)</f>
        <v/>
      </c>
      <c r="AF170" s="30" t="str">
        <f aca="false">IF(AE170="","",AE170-AD170)</f>
        <v/>
      </c>
      <c r="AG170" s="28" t="str">
        <f aca="false">IF(OR(AF170="",M170=0),"",AF170/M170)</f>
        <v/>
      </c>
      <c r="AH170" s="32" t="str">
        <f aca="false">IF(OR(AE170="",N170=0),"",AE170/(N170/1000))</f>
        <v/>
      </c>
      <c r="AI170" s="30" t="str">
        <f aca="false">IF(O170="","",M170*P170)</f>
        <v/>
      </c>
      <c r="AJ170" s="11" t="str">
        <f aca="false">IF(O170="","",IF(O170&gt;1,"Error: rend &gt; 100 %",IF(SUM(T170:Z170)=0,"Falta registrar pérdidas",IF(ABS(AG170)&gt;Parámetros!$B$7,"Revisar balance",IF(O170&lt;P170,"Bajo meta","OK")))))</f>
        <v/>
      </c>
      <c r="AK170" s="33"/>
      <c r="AL170" s="10"/>
      <c r="AM170" s="33"/>
      <c r="AN170" s="33"/>
      <c r="AO170" s="10"/>
    </row>
    <row r="171" customFormat="false" ht="15" hidden="false" customHeight="false" outlineLevel="0" collapsed="false">
      <c r="A171" s="22"/>
      <c r="B171" s="23" t="str">
        <f aca="false">IF(A171="","",YEAR(A171-WEEKDAY(A171,2)+4))</f>
        <v/>
      </c>
      <c r="C171" s="23" t="str">
        <f aca="false">IF(A171="","",WEEKNUM(A171,21))</f>
        <v/>
      </c>
      <c r="D171" s="24" t="str">
        <f aca="false">IF(A171="","",DATE(YEAR(A171),MONTH(A171),1))</f>
        <v/>
      </c>
      <c r="E171" s="10"/>
      <c r="F171" s="25"/>
      <c r="G171" s="25"/>
      <c r="H171" s="10"/>
      <c r="I171" s="10"/>
      <c r="J171" s="26"/>
      <c r="K171" s="25"/>
      <c r="L171" s="26"/>
      <c r="M171" s="27"/>
      <c r="N171" s="27"/>
      <c r="O171" s="28" t="str">
        <f aca="false">IF(OR(M171="",M171=0,N171=""),"",N171/M171)</f>
        <v/>
      </c>
      <c r="P171" s="28" t="str">
        <f aca="false">IF(M171="","",IFERROR(IF(INDEX(Parámetros!$B$14:$B$21,MATCH(I171,Parámetros!$A$14:$A$21,0))="",Parámetros!$B$5,INDEX(Parámetros!$B$14:$B$21,MATCH(I171,Parámetros!$A$14:$A$21,0))),Parámetros!$B$5))</f>
        <v/>
      </c>
      <c r="Q171" s="29" t="str">
        <f aca="false">IF(O171="","",(O171-P171)*100)</f>
        <v/>
      </c>
      <c r="R171" s="30" t="str">
        <f aca="false">IF(O171="","",MAX(0,M171*(P171-O171)))</f>
        <v/>
      </c>
      <c r="S171" s="31" t="str">
        <f aca="false">IF(OR(L171="",L171=0,N171=""),"",N171/1000/L171)</f>
        <v/>
      </c>
      <c r="T171" s="27"/>
      <c r="U171" s="27"/>
      <c r="V171" s="27"/>
      <c r="W171" s="27"/>
      <c r="X171" s="27"/>
      <c r="Y171" s="27"/>
      <c r="Z171" s="27"/>
      <c r="AA171" s="25"/>
      <c r="AB171" s="27"/>
      <c r="AC171" s="30" t="str">
        <f aca="false">IF(M171="","",IF(AB171="",M171*Parámetros!$B$6,AB171))</f>
        <v/>
      </c>
      <c r="AD171" s="30" t="str">
        <f aca="false">IF(M171="","",SUM(T171:Z171)+AC171)</f>
        <v/>
      </c>
      <c r="AE171" s="30" t="str">
        <f aca="false">IF(OR(M171="",N171=""),"",M171-N171)</f>
        <v/>
      </c>
      <c r="AF171" s="30" t="str">
        <f aca="false">IF(AE171="","",AE171-AD171)</f>
        <v/>
      </c>
      <c r="AG171" s="28" t="str">
        <f aca="false">IF(OR(AF171="",M171=0),"",AF171/M171)</f>
        <v/>
      </c>
      <c r="AH171" s="32" t="str">
        <f aca="false">IF(OR(AE171="",N171=0),"",AE171/(N171/1000))</f>
        <v/>
      </c>
      <c r="AI171" s="30" t="str">
        <f aca="false">IF(O171="","",M171*P171)</f>
        <v/>
      </c>
      <c r="AJ171" s="11" t="str">
        <f aca="false">IF(O171="","",IF(O171&gt;1,"Error: rend &gt; 100 %",IF(SUM(T171:Z171)=0,"Falta registrar pérdidas",IF(ABS(AG171)&gt;Parámetros!$B$7,"Revisar balance",IF(O171&lt;P171,"Bajo meta","OK")))))</f>
        <v/>
      </c>
      <c r="AK171" s="33"/>
      <c r="AL171" s="10"/>
      <c r="AM171" s="33"/>
      <c r="AN171" s="33"/>
      <c r="AO171" s="10"/>
    </row>
    <row r="172" customFormat="false" ht="15" hidden="false" customHeight="false" outlineLevel="0" collapsed="false">
      <c r="A172" s="22"/>
      <c r="B172" s="23" t="str">
        <f aca="false">IF(A172="","",YEAR(A172-WEEKDAY(A172,2)+4))</f>
        <v/>
      </c>
      <c r="C172" s="23" t="str">
        <f aca="false">IF(A172="","",WEEKNUM(A172,21))</f>
        <v/>
      </c>
      <c r="D172" s="24" t="str">
        <f aca="false">IF(A172="","",DATE(YEAR(A172),MONTH(A172),1))</f>
        <v/>
      </c>
      <c r="E172" s="10"/>
      <c r="F172" s="25"/>
      <c r="G172" s="25"/>
      <c r="H172" s="10"/>
      <c r="I172" s="10"/>
      <c r="J172" s="26"/>
      <c r="K172" s="25"/>
      <c r="L172" s="26"/>
      <c r="M172" s="27"/>
      <c r="N172" s="27"/>
      <c r="O172" s="28" t="str">
        <f aca="false">IF(OR(M172="",M172=0,N172=""),"",N172/M172)</f>
        <v/>
      </c>
      <c r="P172" s="28" t="str">
        <f aca="false">IF(M172="","",IFERROR(IF(INDEX(Parámetros!$B$14:$B$21,MATCH(I172,Parámetros!$A$14:$A$21,0))="",Parámetros!$B$5,INDEX(Parámetros!$B$14:$B$21,MATCH(I172,Parámetros!$A$14:$A$21,0))),Parámetros!$B$5))</f>
        <v/>
      </c>
      <c r="Q172" s="29" t="str">
        <f aca="false">IF(O172="","",(O172-P172)*100)</f>
        <v/>
      </c>
      <c r="R172" s="30" t="str">
        <f aca="false">IF(O172="","",MAX(0,M172*(P172-O172)))</f>
        <v/>
      </c>
      <c r="S172" s="31" t="str">
        <f aca="false">IF(OR(L172="",L172=0,N172=""),"",N172/1000/L172)</f>
        <v/>
      </c>
      <c r="T172" s="27"/>
      <c r="U172" s="27"/>
      <c r="V172" s="27"/>
      <c r="W172" s="27"/>
      <c r="X172" s="27"/>
      <c r="Y172" s="27"/>
      <c r="Z172" s="27"/>
      <c r="AA172" s="25"/>
      <c r="AB172" s="27"/>
      <c r="AC172" s="30" t="str">
        <f aca="false">IF(M172="","",IF(AB172="",M172*Parámetros!$B$6,AB172))</f>
        <v/>
      </c>
      <c r="AD172" s="30" t="str">
        <f aca="false">IF(M172="","",SUM(T172:Z172)+AC172)</f>
        <v/>
      </c>
      <c r="AE172" s="30" t="str">
        <f aca="false">IF(OR(M172="",N172=""),"",M172-N172)</f>
        <v/>
      </c>
      <c r="AF172" s="30" t="str">
        <f aca="false">IF(AE172="","",AE172-AD172)</f>
        <v/>
      </c>
      <c r="AG172" s="28" t="str">
        <f aca="false">IF(OR(AF172="",M172=0),"",AF172/M172)</f>
        <v/>
      </c>
      <c r="AH172" s="32" t="str">
        <f aca="false">IF(OR(AE172="",N172=0),"",AE172/(N172/1000))</f>
        <v/>
      </c>
      <c r="AI172" s="30" t="str">
        <f aca="false">IF(O172="","",M172*P172)</f>
        <v/>
      </c>
      <c r="AJ172" s="11" t="str">
        <f aca="false">IF(O172="","",IF(O172&gt;1,"Error: rend &gt; 100 %",IF(SUM(T172:Z172)=0,"Falta registrar pérdidas",IF(ABS(AG172)&gt;Parámetros!$B$7,"Revisar balance",IF(O172&lt;P172,"Bajo meta","OK")))))</f>
        <v/>
      </c>
      <c r="AK172" s="33"/>
      <c r="AL172" s="10"/>
      <c r="AM172" s="33"/>
      <c r="AN172" s="33"/>
      <c r="AO172" s="10"/>
    </row>
    <row r="173" customFormat="false" ht="15" hidden="false" customHeight="false" outlineLevel="0" collapsed="false">
      <c r="A173" s="22"/>
      <c r="B173" s="23" t="str">
        <f aca="false">IF(A173="","",YEAR(A173-WEEKDAY(A173,2)+4))</f>
        <v/>
      </c>
      <c r="C173" s="23" t="str">
        <f aca="false">IF(A173="","",WEEKNUM(A173,21))</f>
        <v/>
      </c>
      <c r="D173" s="24" t="str">
        <f aca="false">IF(A173="","",DATE(YEAR(A173),MONTH(A173),1))</f>
        <v/>
      </c>
      <c r="E173" s="10"/>
      <c r="F173" s="25"/>
      <c r="G173" s="25"/>
      <c r="H173" s="10"/>
      <c r="I173" s="10"/>
      <c r="J173" s="26"/>
      <c r="K173" s="25"/>
      <c r="L173" s="26"/>
      <c r="M173" s="27"/>
      <c r="N173" s="27"/>
      <c r="O173" s="28" t="str">
        <f aca="false">IF(OR(M173="",M173=0,N173=""),"",N173/M173)</f>
        <v/>
      </c>
      <c r="P173" s="28" t="str">
        <f aca="false">IF(M173="","",IFERROR(IF(INDEX(Parámetros!$B$14:$B$21,MATCH(I173,Parámetros!$A$14:$A$21,0))="",Parámetros!$B$5,INDEX(Parámetros!$B$14:$B$21,MATCH(I173,Parámetros!$A$14:$A$21,0))),Parámetros!$B$5))</f>
        <v/>
      </c>
      <c r="Q173" s="29" t="str">
        <f aca="false">IF(O173="","",(O173-P173)*100)</f>
        <v/>
      </c>
      <c r="R173" s="30" t="str">
        <f aca="false">IF(O173="","",MAX(0,M173*(P173-O173)))</f>
        <v/>
      </c>
      <c r="S173" s="31" t="str">
        <f aca="false">IF(OR(L173="",L173=0,N173=""),"",N173/1000/L173)</f>
        <v/>
      </c>
      <c r="T173" s="27"/>
      <c r="U173" s="27"/>
      <c r="V173" s="27"/>
      <c r="W173" s="27"/>
      <c r="X173" s="27"/>
      <c r="Y173" s="27"/>
      <c r="Z173" s="27"/>
      <c r="AA173" s="25"/>
      <c r="AB173" s="27"/>
      <c r="AC173" s="30" t="str">
        <f aca="false">IF(M173="","",IF(AB173="",M173*Parámetros!$B$6,AB173))</f>
        <v/>
      </c>
      <c r="AD173" s="30" t="str">
        <f aca="false">IF(M173="","",SUM(T173:Z173)+AC173)</f>
        <v/>
      </c>
      <c r="AE173" s="30" t="str">
        <f aca="false">IF(OR(M173="",N173=""),"",M173-N173)</f>
        <v/>
      </c>
      <c r="AF173" s="30" t="str">
        <f aca="false">IF(AE173="","",AE173-AD173)</f>
        <v/>
      </c>
      <c r="AG173" s="28" t="str">
        <f aca="false">IF(OR(AF173="",M173=0),"",AF173/M173)</f>
        <v/>
      </c>
      <c r="AH173" s="32" t="str">
        <f aca="false">IF(OR(AE173="",N173=0),"",AE173/(N173/1000))</f>
        <v/>
      </c>
      <c r="AI173" s="30" t="str">
        <f aca="false">IF(O173="","",M173*P173)</f>
        <v/>
      </c>
      <c r="AJ173" s="11" t="str">
        <f aca="false">IF(O173="","",IF(O173&gt;1,"Error: rend &gt; 100 %",IF(SUM(T173:Z173)=0,"Falta registrar pérdidas",IF(ABS(AG173)&gt;Parámetros!$B$7,"Revisar balance",IF(O173&lt;P173,"Bajo meta","OK")))))</f>
        <v/>
      </c>
      <c r="AK173" s="33"/>
      <c r="AL173" s="10"/>
      <c r="AM173" s="33"/>
      <c r="AN173" s="33"/>
      <c r="AO173" s="10"/>
    </row>
    <row r="174" customFormat="false" ht="15" hidden="false" customHeight="false" outlineLevel="0" collapsed="false">
      <c r="A174" s="22"/>
      <c r="B174" s="23" t="str">
        <f aca="false">IF(A174="","",YEAR(A174-WEEKDAY(A174,2)+4))</f>
        <v/>
      </c>
      <c r="C174" s="23" t="str">
        <f aca="false">IF(A174="","",WEEKNUM(A174,21))</f>
        <v/>
      </c>
      <c r="D174" s="24" t="str">
        <f aca="false">IF(A174="","",DATE(YEAR(A174),MONTH(A174),1))</f>
        <v/>
      </c>
      <c r="E174" s="10"/>
      <c r="F174" s="25"/>
      <c r="G174" s="25"/>
      <c r="H174" s="10"/>
      <c r="I174" s="10"/>
      <c r="J174" s="26"/>
      <c r="K174" s="25"/>
      <c r="L174" s="26"/>
      <c r="M174" s="27"/>
      <c r="N174" s="27"/>
      <c r="O174" s="28" t="str">
        <f aca="false">IF(OR(M174="",M174=0,N174=""),"",N174/M174)</f>
        <v/>
      </c>
      <c r="P174" s="28" t="str">
        <f aca="false">IF(M174="","",IFERROR(IF(INDEX(Parámetros!$B$14:$B$21,MATCH(I174,Parámetros!$A$14:$A$21,0))="",Parámetros!$B$5,INDEX(Parámetros!$B$14:$B$21,MATCH(I174,Parámetros!$A$14:$A$21,0))),Parámetros!$B$5))</f>
        <v/>
      </c>
      <c r="Q174" s="29" t="str">
        <f aca="false">IF(O174="","",(O174-P174)*100)</f>
        <v/>
      </c>
      <c r="R174" s="30" t="str">
        <f aca="false">IF(O174="","",MAX(0,M174*(P174-O174)))</f>
        <v/>
      </c>
      <c r="S174" s="31" t="str">
        <f aca="false">IF(OR(L174="",L174=0,N174=""),"",N174/1000/L174)</f>
        <v/>
      </c>
      <c r="T174" s="27"/>
      <c r="U174" s="27"/>
      <c r="V174" s="27"/>
      <c r="W174" s="27"/>
      <c r="X174" s="27"/>
      <c r="Y174" s="27"/>
      <c r="Z174" s="27"/>
      <c r="AA174" s="25"/>
      <c r="AB174" s="27"/>
      <c r="AC174" s="30" t="str">
        <f aca="false">IF(M174="","",IF(AB174="",M174*Parámetros!$B$6,AB174))</f>
        <v/>
      </c>
      <c r="AD174" s="30" t="str">
        <f aca="false">IF(M174="","",SUM(T174:Z174)+AC174)</f>
        <v/>
      </c>
      <c r="AE174" s="30" t="str">
        <f aca="false">IF(OR(M174="",N174=""),"",M174-N174)</f>
        <v/>
      </c>
      <c r="AF174" s="30" t="str">
        <f aca="false">IF(AE174="","",AE174-AD174)</f>
        <v/>
      </c>
      <c r="AG174" s="28" t="str">
        <f aca="false">IF(OR(AF174="",M174=0),"",AF174/M174)</f>
        <v/>
      </c>
      <c r="AH174" s="32" t="str">
        <f aca="false">IF(OR(AE174="",N174=0),"",AE174/(N174/1000))</f>
        <v/>
      </c>
      <c r="AI174" s="30" t="str">
        <f aca="false">IF(O174="","",M174*P174)</f>
        <v/>
      </c>
      <c r="AJ174" s="11" t="str">
        <f aca="false">IF(O174="","",IF(O174&gt;1,"Error: rend &gt; 100 %",IF(SUM(T174:Z174)=0,"Falta registrar pérdidas",IF(ABS(AG174)&gt;Parámetros!$B$7,"Revisar balance",IF(O174&lt;P174,"Bajo meta","OK")))))</f>
        <v/>
      </c>
      <c r="AK174" s="33"/>
      <c r="AL174" s="10"/>
      <c r="AM174" s="33"/>
      <c r="AN174" s="33"/>
      <c r="AO174" s="10"/>
    </row>
    <row r="175" customFormat="false" ht="15" hidden="false" customHeight="false" outlineLevel="0" collapsed="false">
      <c r="A175" s="22"/>
      <c r="B175" s="23" t="str">
        <f aca="false">IF(A175="","",YEAR(A175-WEEKDAY(A175,2)+4))</f>
        <v/>
      </c>
      <c r="C175" s="23" t="str">
        <f aca="false">IF(A175="","",WEEKNUM(A175,21))</f>
        <v/>
      </c>
      <c r="D175" s="24" t="str">
        <f aca="false">IF(A175="","",DATE(YEAR(A175),MONTH(A175),1))</f>
        <v/>
      </c>
      <c r="E175" s="10"/>
      <c r="F175" s="25"/>
      <c r="G175" s="25"/>
      <c r="H175" s="10"/>
      <c r="I175" s="10"/>
      <c r="J175" s="26"/>
      <c r="K175" s="25"/>
      <c r="L175" s="26"/>
      <c r="M175" s="27"/>
      <c r="N175" s="27"/>
      <c r="O175" s="28" t="str">
        <f aca="false">IF(OR(M175="",M175=0,N175=""),"",N175/M175)</f>
        <v/>
      </c>
      <c r="P175" s="28" t="str">
        <f aca="false">IF(M175="","",IFERROR(IF(INDEX(Parámetros!$B$14:$B$21,MATCH(I175,Parámetros!$A$14:$A$21,0))="",Parámetros!$B$5,INDEX(Parámetros!$B$14:$B$21,MATCH(I175,Parámetros!$A$14:$A$21,0))),Parámetros!$B$5))</f>
        <v/>
      </c>
      <c r="Q175" s="29" t="str">
        <f aca="false">IF(O175="","",(O175-P175)*100)</f>
        <v/>
      </c>
      <c r="R175" s="30" t="str">
        <f aca="false">IF(O175="","",MAX(0,M175*(P175-O175)))</f>
        <v/>
      </c>
      <c r="S175" s="31" t="str">
        <f aca="false">IF(OR(L175="",L175=0,N175=""),"",N175/1000/L175)</f>
        <v/>
      </c>
      <c r="T175" s="27"/>
      <c r="U175" s="27"/>
      <c r="V175" s="27"/>
      <c r="W175" s="27"/>
      <c r="X175" s="27"/>
      <c r="Y175" s="27"/>
      <c r="Z175" s="27"/>
      <c r="AA175" s="25"/>
      <c r="AB175" s="27"/>
      <c r="AC175" s="30" t="str">
        <f aca="false">IF(M175="","",IF(AB175="",M175*Parámetros!$B$6,AB175))</f>
        <v/>
      </c>
      <c r="AD175" s="30" t="str">
        <f aca="false">IF(M175="","",SUM(T175:Z175)+AC175)</f>
        <v/>
      </c>
      <c r="AE175" s="30" t="str">
        <f aca="false">IF(OR(M175="",N175=""),"",M175-N175)</f>
        <v/>
      </c>
      <c r="AF175" s="30" t="str">
        <f aca="false">IF(AE175="","",AE175-AD175)</f>
        <v/>
      </c>
      <c r="AG175" s="28" t="str">
        <f aca="false">IF(OR(AF175="",M175=0),"",AF175/M175)</f>
        <v/>
      </c>
      <c r="AH175" s="32" t="str">
        <f aca="false">IF(OR(AE175="",N175=0),"",AE175/(N175/1000))</f>
        <v/>
      </c>
      <c r="AI175" s="30" t="str">
        <f aca="false">IF(O175="","",M175*P175)</f>
        <v/>
      </c>
      <c r="AJ175" s="11" t="str">
        <f aca="false">IF(O175="","",IF(O175&gt;1,"Error: rend &gt; 100 %",IF(SUM(T175:Z175)=0,"Falta registrar pérdidas",IF(ABS(AG175)&gt;Parámetros!$B$7,"Revisar balance",IF(O175&lt;P175,"Bajo meta","OK")))))</f>
        <v/>
      </c>
      <c r="AK175" s="33"/>
      <c r="AL175" s="10"/>
      <c r="AM175" s="33"/>
      <c r="AN175" s="33"/>
      <c r="AO175" s="10"/>
    </row>
    <row r="176" customFormat="false" ht="15" hidden="false" customHeight="false" outlineLevel="0" collapsed="false">
      <c r="A176" s="22"/>
      <c r="B176" s="23" t="str">
        <f aca="false">IF(A176="","",YEAR(A176-WEEKDAY(A176,2)+4))</f>
        <v/>
      </c>
      <c r="C176" s="23" t="str">
        <f aca="false">IF(A176="","",WEEKNUM(A176,21))</f>
        <v/>
      </c>
      <c r="D176" s="24" t="str">
        <f aca="false">IF(A176="","",DATE(YEAR(A176),MONTH(A176),1))</f>
        <v/>
      </c>
      <c r="E176" s="10"/>
      <c r="F176" s="25"/>
      <c r="G176" s="25"/>
      <c r="H176" s="10"/>
      <c r="I176" s="10"/>
      <c r="J176" s="26"/>
      <c r="K176" s="25"/>
      <c r="L176" s="26"/>
      <c r="M176" s="27"/>
      <c r="N176" s="27"/>
      <c r="O176" s="28" t="str">
        <f aca="false">IF(OR(M176="",M176=0,N176=""),"",N176/M176)</f>
        <v/>
      </c>
      <c r="P176" s="28" t="str">
        <f aca="false">IF(M176="","",IFERROR(IF(INDEX(Parámetros!$B$14:$B$21,MATCH(I176,Parámetros!$A$14:$A$21,0))="",Parámetros!$B$5,INDEX(Parámetros!$B$14:$B$21,MATCH(I176,Parámetros!$A$14:$A$21,0))),Parámetros!$B$5))</f>
        <v/>
      </c>
      <c r="Q176" s="29" t="str">
        <f aca="false">IF(O176="","",(O176-P176)*100)</f>
        <v/>
      </c>
      <c r="R176" s="30" t="str">
        <f aca="false">IF(O176="","",MAX(0,M176*(P176-O176)))</f>
        <v/>
      </c>
      <c r="S176" s="31" t="str">
        <f aca="false">IF(OR(L176="",L176=0,N176=""),"",N176/1000/L176)</f>
        <v/>
      </c>
      <c r="T176" s="27"/>
      <c r="U176" s="27"/>
      <c r="V176" s="27"/>
      <c r="W176" s="27"/>
      <c r="X176" s="27"/>
      <c r="Y176" s="27"/>
      <c r="Z176" s="27"/>
      <c r="AA176" s="25"/>
      <c r="AB176" s="27"/>
      <c r="AC176" s="30" t="str">
        <f aca="false">IF(M176="","",IF(AB176="",M176*Parámetros!$B$6,AB176))</f>
        <v/>
      </c>
      <c r="AD176" s="30" t="str">
        <f aca="false">IF(M176="","",SUM(T176:Z176)+AC176)</f>
        <v/>
      </c>
      <c r="AE176" s="30" t="str">
        <f aca="false">IF(OR(M176="",N176=""),"",M176-N176)</f>
        <v/>
      </c>
      <c r="AF176" s="30" t="str">
        <f aca="false">IF(AE176="","",AE176-AD176)</f>
        <v/>
      </c>
      <c r="AG176" s="28" t="str">
        <f aca="false">IF(OR(AF176="",M176=0),"",AF176/M176)</f>
        <v/>
      </c>
      <c r="AH176" s="32" t="str">
        <f aca="false">IF(OR(AE176="",N176=0),"",AE176/(N176/1000))</f>
        <v/>
      </c>
      <c r="AI176" s="30" t="str">
        <f aca="false">IF(O176="","",M176*P176)</f>
        <v/>
      </c>
      <c r="AJ176" s="11" t="str">
        <f aca="false">IF(O176="","",IF(O176&gt;1,"Error: rend &gt; 100 %",IF(SUM(T176:Z176)=0,"Falta registrar pérdidas",IF(ABS(AG176)&gt;Parámetros!$B$7,"Revisar balance",IF(O176&lt;P176,"Bajo meta","OK")))))</f>
        <v/>
      </c>
      <c r="AK176" s="33"/>
      <c r="AL176" s="10"/>
      <c r="AM176" s="33"/>
      <c r="AN176" s="33"/>
      <c r="AO176" s="10"/>
    </row>
    <row r="177" customFormat="false" ht="15" hidden="false" customHeight="false" outlineLevel="0" collapsed="false">
      <c r="A177" s="22"/>
      <c r="B177" s="23" t="str">
        <f aca="false">IF(A177="","",YEAR(A177-WEEKDAY(A177,2)+4))</f>
        <v/>
      </c>
      <c r="C177" s="23" t="str">
        <f aca="false">IF(A177="","",WEEKNUM(A177,21))</f>
        <v/>
      </c>
      <c r="D177" s="24" t="str">
        <f aca="false">IF(A177="","",DATE(YEAR(A177),MONTH(A177),1))</f>
        <v/>
      </c>
      <c r="E177" s="10"/>
      <c r="F177" s="25"/>
      <c r="G177" s="25"/>
      <c r="H177" s="10"/>
      <c r="I177" s="10"/>
      <c r="J177" s="26"/>
      <c r="K177" s="25"/>
      <c r="L177" s="26"/>
      <c r="M177" s="27"/>
      <c r="N177" s="27"/>
      <c r="O177" s="28" t="str">
        <f aca="false">IF(OR(M177="",M177=0,N177=""),"",N177/M177)</f>
        <v/>
      </c>
      <c r="P177" s="28" t="str">
        <f aca="false">IF(M177="","",IFERROR(IF(INDEX(Parámetros!$B$14:$B$21,MATCH(I177,Parámetros!$A$14:$A$21,0))="",Parámetros!$B$5,INDEX(Parámetros!$B$14:$B$21,MATCH(I177,Parámetros!$A$14:$A$21,0))),Parámetros!$B$5))</f>
        <v/>
      </c>
      <c r="Q177" s="29" t="str">
        <f aca="false">IF(O177="","",(O177-P177)*100)</f>
        <v/>
      </c>
      <c r="R177" s="30" t="str">
        <f aca="false">IF(O177="","",MAX(0,M177*(P177-O177)))</f>
        <v/>
      </c>
      <c r="S177" s="31" t="str">
        <f aca="false">IF(OR(L177="",L177=0,N177=""),"",N177/1000/L177)</f>
        <v/>
      </c>
      <c r="T177" s="27"/>
      <c r="U177" s="27"/>
      <c r="V177" s="27"/>
      <c r="W177" s="27"/>
      <c r="X177" s="27"/>
      <c r="Y177" s="27"/>
      <c r="Z177" s="27"/>
      <c r="AA177" s="25"/>
      <c r="AB177" s="27"/>
      <c r="AC177" s="30" t="str">
        <f aca="false">IF(M177="","",IF(AB177="",M177*Parámetros!$B$6,AB177))</f>
        <v/>
      </c>
      <c r="AD177" s="30" t="str">
        <f aca="false">IF(M177="","",SUM(T177:Z177)+AC177)</f>
        <v/>
      </c>
      <c r="AE177" s="30" t="str">
        <f aca="false">IF(OR(M177="",N177=""),"",M177-N177)</f>
        <v/>
      </c>
      <c r="AF177" s="30" t="str">
        <f aca="false">IF(AE177="","",AE177-AD177)</f>
        <v/>
      </c>
      <c r="AG177" s="28" t="str">
        <f aca="false">IF(OR(AF177="",M177=0),"",AF177/M177)</f>
        <v/>
      </c>
      <c r="AH177" s="32" t="str">
        <f aca="false">IF(OR(AE177="",N177=0),"",AE177/(N177/1000))</f>
        <v/>
      </c>
      <c r="AI177" s="30" t="str">
        <f aca="false">IF(O177="","",M177*P177)</f>
        <v/>
      </c>
      <c r="AJ177" s="11" t="str">
        <f aca="false">IF(O177="","",IF(O177&gt;1,"Error: rend &gt; 100 %",IF(SUM(T177:Z177)=0,"Falta registrar pérdidas",IF(ABS(AG177)&gt;Parámetros!$B$7,"Revisar balance",IF(O177&lt;P177,"Bajo meta","OK")))))</f>
        <v/>
      </c>
      <c r="AK177" s="33"/>
      <c r="AL177" s="10"/>
      <c r="AM177" s="33"/>
      <c r="AN177" s="33"/>
      <c r="AO177" s="10"/>
    </row>
    <row r="178" customFormat="false" ht="15" hidden="false" customHeight="false" outlineLevel="0" collapsed="false">
      <c r="A178" s="22"/>
      <c r="B178" s="23" t="str">
        <f aca="false">IF(A178="","",YEAR(A178-WEEKDAY(A178,2)+4))</f>
        <v/>
      </c>
      <c r="C178" s="23" t="str">
        <f aca="false">IF(A178="","",WEEKNUM(A178,21))</f>
        <v/>
      </c>
      <c r="D178" s="24" t="str">
        <f aca="false">IF(A178="","",DATE(YEAR(A178),MONTH(A178),1))</f>
        <v/>
      </c>
      <c r="E178" s="10"/>
      <c r="F178" s="25"/>
      <c r="G178" s="25"/>
      <c r="H178" s="10"/>
      <c r="I178" s="10"/>
      <c r="J178" s="26"/>
      <c r="K178" s="25"/>
      <c r="L178" s="26"/>
      <c r="M178" s="27"/>
      <c r="N178" s="27"/>
      <c r="O178" s="28" t="str">
        <f aca="false">IF(OR(M178="",M178=0,N178=""),"",N178/M178)</f>
        <v/>
      </c>
      <c r="P178" s="28" t="str">
        <f aca="false">IF(M178="","",IFERROR(IF(INDEX(Parámetros!$B$14:$B$21,MATCH(I178,Parámetros!$A$14:$A$21,0))="",Parámetros!$B$5,INDEX(Parámetros!$B$14:$B$21,MATCH(I178,Parámetros!$A$14:$A$21,0))),Parámetros!$B$5))</f>
        <v/>
      </c>
      <c r="Q178" s="29" t="str">
        <f aca="false">IF(O178="","",(O178-P178)*100)</f>
        <v/>
      </c>
      <c r="R178" s="30" t="str">
        <f aca="false">IF(O178="","",MAX(0,M178*(P178-O178)))</f>
        <v/>
      </c>
      <c r="S178" s="31" t="str">
        <f aca="false">IF(OR(L178="",L178=0,N178=""),"",N178/1000/L178)</f>
        <v/>
      </c>
      <c r="T178" s="27"/>
      <c r="U178" s="27"/>
      <c r="V178" s="27"/>
      <c r="W178" s="27"/>
      <c r="X178" s="27"/>
      <c r="Y178" s="27"/>
      <c r="Z178" s="27"/>
      <c r="AA178" s="25"/>
      <c r="AB178" s="27"/>
      <c r="AC178" s="30" t="str">
        <f aca="false">IF(M178="","",IF(AB178="",M178*Parámetros!$B$6,AB178))</f>
        <v/>
      </c>
      <c r="AD178" s="30" t="str">
        <f aca="false">IF(M178="","",SUM(T178:Z178)+AC178)</f>
        <v/>
      </c>
      <c r="AE178" s="30" t="str">
        <f aca="false">IF(OR(M178="",N178=""),"",M178-N178)</f>
        <v/>
      </c>
      <c r="AF178" s="30" t="str">
        <f aca="false">IF(AE178="","",AE178-AD178)</f>
        <v/>
      </c>
      <c r="AG178" s="28" t="str">
        <f aca="false">IF(OR(AF178="",M178=0),"",AF178/M178)</f>
        <v/>
      </c>
      <c r="AH178" s="32" t="str">
        <f aca="false">IF(OR(AE178="",N178=0),"",AE178/(N178/1000))</f>
        <v/>
      </c>
      <c r="AI178" s="30" t="str">
        <f aca="false">IF(O178="","",M178*P178)</f>
        <v/>
      </c>
      <c r="AJ178" s="11" t="str">
        <f aca="false">IF(O178="","",IF(O178&gt;1,"Error: rend &gt; 100 %",IF(SUM(T178:Z178)=0,"Falta registrar pérdidas",IF(ABS(AG178)&gt;Parámetros!$B$7,"Revisar balance",IF(O178&lt;P178,"Bajo meta","OK")))))</f>
        <v/>
      </c>
      <c r="AK178" s="33"/>
      <c r="AL178" s="10"/>
      <c r="AM178" s="33"/>
      <c r="AN178" s="33"/>
      <c r="AO178" s="10"/>
    </row>
    <row r="179" customFormat="false" ht="15" hidden="false" customHeight="false" outlineLevel="0" collapsed="false">
      <c r="A179" s="22"/>
      <c r="B179" s="23" t="str">
        <f aca="false">IF(A179="","",YEAR(A179-WEEKDAY(A179,2)+4))</f>
        <v/>
      </c>
      <c r="C179" s="23" t="str">
        <f aca="false">IF(A179="","",WEEKNUM(A179,21))</f>
        <v/>
      </c>
      <c r="D179" s="24" t="str">
        <f aca="false">IF(A179="","",DATE(YEAR(A179),MONTH(A179),1))</f>
        <v/>
      </c>
      <c r="E179" s="10"/>
      <c r="F179" s="25"/>
      <c r="G179" s="25"/>
      <c r="H179" s="10"/>
      <c r="I179" s="10"/>
      <c r="J179" s="26"/>
      <c r="K179" s="25"/>
      <c r="L179" s="26"/>
      <c r="M179" s="27"/>
      <c r="N179" s="27"/>
      <c r="O179" s="28" t="str">
        <f aca="false">IF(OR(M179="",M179=0,N179=""),"",N179/M179)</f>
        <v/>
      </c>
      <c r="P179" s="28" t="str">
        <f aca="false">IF(M179="","",IFERROR(IF(INDEX(Parámetros!$B$14:$B$21,MATCH(I179,Parámetros!$A$14:$A$21,0))="",Parámetros!$B$5,INDEX(Parámetros!$B$14:$B$21,MATCH(I179,Parámetros!$A$14:$A$21,0))),Parámetros!$B$5))</f>
        <v/>
      </c>
      <c r="Q179" s="29" t="str">
        <f aca="false">IF(O179="","",(O179-P179)*100)</f>
        <v/>
      </c>
      <c r="R179" s="30" t="str">
        <f aca="false">IF(O179="","",MAX(0,M179*(P179-O179)))</f>
        <v/>
      </c>
      <c r="S179" s="31" t="str">
        <f aca="false">IF(OR(L179="",L179=0,N179=""),"",N179/1000/L179)</f>
        <v/>
      </c>
      <c r="T179" s="27"/>
      <c r="U179" s="27"/>
      <c r="V179" s="27"/>
      <c r="W179" s="27"/>
      <c r="X179" s="27"/>
      <c r="Y179" s="27"/>
      <c r="Z179" s="27"/>
      <c r="AA179" s="25"/>
      <c r="AB179" s="27"/>
      <c r="AC179" s="30" t="str">
        <f aca="false">IF(M179="","",IF(AB179="",M179*Parámetros!$B$6,AB179))</f>
        <v/>
      </c>
      <c r="AD179" s="30" t="str">
        <f aca="false">IF(M179="","",SUM(T179:Z179)+AC179)</f>
        <v/>
      </c>
      <c r="AE179" s="30" t="str">
        <f aca="false">IF(OR(M179="",N179=""),"",M179-N179)</f>
        <v/>
      </c>
      <c r="AF179" s="30" t="str">
        <f aca="false">IF(AE179="","",AE179-AD179)</f>
        <v/>
      </c>
      <c r="AG179" s="28" t="str">
        <f aca="false">IF(OR(AF179="",M179=0),"",AF179/M179)</f>
        <v/>
      </c>
      <c r="AH179" s="32" t="str">
        <f aca="false">IF(OR(AE179="",N179=0),"",AE179/(N179/1000))</f>
        <v/>
      </c>
      <c r="AI179" s="30" t="str">
        <f aca="false">IF(O179="","",M179*P179)</f>
        <v/>
      </c>
      <c r="AJ179" s="11" t="str">
        <f aca="false">IF(O179="","",IF(O179&gt;1,"Error: rend &gt; 100 %",IF(SUM(T179:Z179)=0,"Falta registrar pérdidas",IF(ABS(AG179)&gt;Parámetros!$B$7,"Revisar balance",IF(O179&lt;P179,"Bajo meta","OK")))))</f>
        <v/>
      </c>
      <c r="AK179" s="33"/>
      <c r="AL179" s="10"/>
      <c r="AM179" s="33"/>
      <c r="AN179" s="33"/>
      <c r="AO179" s="10"/>
    </row>
    <row r="180" customFormat="false" ht="15" hidden="false" customHeight="false" outlineLevel="0" collapsed="false">
      <c r="A180" s="22"/>
      <c r="B180" s="23" t="str">
        <f aca="false">IF(A180="","",YEAR(A180-WEEKDAY(A180,2)+4))</f>
        <v/>
      </c>
      <c r="C180" s="23" t="str">
        <f aca="false">IF(A180="","",WEEKNUM(A180,21))</f>
        <v/>
      </c>
      <c r="D180" s="24" t="str">
        <f aca="false">IF(A180="","",DATE(YEAR(A180),MONTH(A180),1))</f>
        <v/>
      </c>
      <c r="E180" s="10"/>
      <c r="F180" s="25"/>
      <c r="G180" s="25"/>
      <c r="H180" s="10"/>
      <c r="I180" s="10"/>
      <c r="J180" s="26"/>
      <c r="K180" s="25"/>
      <c r="L180" s="26"/>
      <c r="M180" s="27"/>
      <c r="N180" s="27"/>
      <c r="O180" s="28" t="str">
        <f aca="false">IF(OR(M180="",M180=0,N180=""),"",N180/M180)</f>
        <v/>
      </c>
      <c r="P180" s="28" t="str">
        <f aca="false">IF(M180="","",IFERROR(IF(INDEX(Parámetros!$B$14:$B$21,MATCH(I180,Parámetros!$A$14:$A$21,0))="",Parámetros!$B$5,INDEX(Parámetros!$B$14:$B$21,MATCH(I180,Parámetros!$A$14:$A$21,0))),Parámetros!$B$5))</f>
        <v/>
      </c>
      <c r="Q180" s="29" t="str">
        <f aca="false">IF(O180="","",(O180-P180)*100)</f>
        <v/>
      </c>
      <c r="R180" s="30" t="str">
        <f aca="false">IF(O180="","",MAX(0,M180*(P180-O180)))</f>
        <v/>
      </c>
      <c r="S180" s="31" t="str">
        <f aca="false">IF(OR(L180="",L180=0,N180=""),"",N180/1000/L180)</f>
        <v/>
      </c>
      <c r="T180" s="27"/>
      <c r="U180" s="27"/>
      <c r="V180" s="27"/>
      <c r="W180" s="27"/>
      <c r="X180" s="27"/>
      <c r="Y180" s="27"/>
      <c r="Z180" s="27"/>
      <c r="AA180" s="25"/>
      <c r="AB180" s="27"/>
      <c r="AC180" s="30" t="str">
        <f aca="false">IF(M180="","",IF(AB180="",M180*Parámetros!$B$6,AB180))</f>
        <v/>
      </c>
      <c r="AD180" s="30" t="str">
        <f aca="false">IF(M180="","",SUM(T180:Z180)+AC180)</f>
        <v/>
      </c>
      <c r="AE180" s="30" t="str">
        <f aca="false">IF(OR(M180="",N180=""),"",M180-N180)</f>
        <v/>
      </c>
      <c r="AF180" s="30" t="str">
        <f aca="false">IF(AE180="","",AE180-AD180)</f>
        <v/>
      </c>
      <c r="AG180" s="28" t="str">
        <f aca="false">IF(OR(AF180="",M180=0),"",AF180/M180)</f>
        <v/>
      </c>
      <c r="AH180" s="32" t="str">
        <f aca="false">IF(OR(AE180="",N180=0),"",AE180/(N180/1000))</f>
        <v/>
      </c>
      <c r="AI180" s="30" t="str">
        <f aca="false">IF(O180="","",M180*P180)</f>
        <v/>
      </c>
      <c r="AJ180" s="11" t="str">
        <f aca="false">IF(O180="","",IF(O180&gt;1,"Error: rend &gt; 100 %",IF(SUM(T180:Z180)=0,"Falta registrar pérdidas",IF(ABS(AG180)&gt;Parámetros!$B$7,"Revisar balance",IF(O180&lt;P180,"Bajo meta","OK")))))</f>
        <v/>
      </c>
      <c r="AK180" s="33"/>
      <c r="AL180" s="10"/>
      <c r="AM180" s="33"/>
      <c r="AN180" s="33"/>
      <c r="AO180" s="10"/>
    </row>
    <row r="181" customFormat="false" ht="15" hidden="false" customHeight="false" outlineLevel="0" collapsed="false">
      <c r="A181" s="22"/>
      <c r="B181" s="23" t="str">
        <f aca="false">IF(A181="","",YEAR(A181-WEEKDAY(A181,2)+4))</f>
        <v/>
      </c>
      <c r="C181" s="23" t="str">
        <f aca="false">IF(A181="","",WEEKNUM(A181,21))</f>
        <v/>
      </c>
      <c r="D181" s="24" t="str">
        <f aca="false">IF(A181="","",DATE(YEAR(A181),MONTH(A181),1))</f>
        <v/>
      </c>
      <c r="E181" s="10"/>
      <c r="F181" s="25"/>
      <c r="G181" s="25"/>
      <c r="H181" s="10"/>
      <c r="I181" s="10"/>
      <c r="J181" s="26"/>
      <c r="K181" s="25"/>
      <c r="L181" s="26"/>
      <c r="M181" s="27"/>
      <c r="N181" s="27"/>
      <c r="O181" s="28" t="str">
        <f aca="false">IF(OR(M181="",M181=0,N181=""),"",N181/M181)</f>
        <v/>
      </c>
      <c r="P181" s="28" t="str">
        <f aca="false">IF(M181="","",IFERROR(IF(INDEX(Parámetros!$B$14:$B$21,MATCH(I181,Parámetros!$A$14:$A$21,0))="",Parámetros!$B$5,INDEX(Parámetros!$B$14:$B$21,MATCH(I181,Parámetros!$A$14:$A$21,0))),Parámetros!$B$5))</f>
        <v/>
      </c>
      <c r="Q181" s="29" t="str">
        <f aca="false">IF(O181="","",(O181-P181)*100)</f>
        <v/>
      </c>
      <c r="R181" s="30" t="str">
        <f aca="false">IF(O181="","",MAX(0,M181*(P181-O181)))</f>
        <v/>
      </c>
      <c r="S181" s="31" t="str">
        <f aca="false">IF(OR(L181="",L181=0,N181=""),"",N181/1000/L181)</f>
        <v/>
      </c>
      <c r="T181" s="27"/>
      <c r="U181" s="27"/>
      <c r="V181" s="27"/>
      <c r="W181" s="27"/>
      <c r="X181" s="27"/>
      <c r="Y181" s="27"/>
      <c r="Z181" s="27"/>
      <c r="AA181" s="25"/>
      <c r="AB181" s="27"/>
      <c r="AC181" s="30" t="str">
        <f aca="false">IF(M181="","",IF(AB181="",M181*Parámetros!$B$6,AB181))</f>
        <v/>
      </c>
      <c r="AD181" s="30" t="str">
        <f aca="false">IF(M181="","",SUM(T181:Z181)+AC181)</f>
        <v/>
      </c>
      <c r="AE181" s="30" t="str">
        <f aca="false">IF(OR(M181="",N181=""),"",M181-N181)</f>
        <v/>
      </c>
      <c r="AF181" s="30" t="str">
        <f aca="false">IF(AE181="","",AE181-AD181)</f>
        <v/>
      </c>
      <c r="AG181" s="28" t="str">
        <f aca="false">IF(OR(AF181="",M181=0),"",AF181/M181)</f>
        <v/>
      </c>
      <c r="AH181" s="32" t="str">
        <f aca="false">IF(OR(AE181="",N181=0),"",AE181/(N181/1000))</f>
        <v/>
      </c>
      <c r="AI181" s="30" t="str">
        <f aca="false">IF(O181="","",M181*P181)</f>
        <v/>
      </c>
      <c r="AJ181" s="11" t="str">
        <f aca="false">IF(O181="","",IF(O181&gt;1,"Error: rend &gt; 100 %",IF(SUM(T181:Z181)=0,"Falta registrar pérdidas",IF(ABS(AG181)&gt;Parámetros!$B$7,"Revisar balance",IF(O181&lt;P181,"Bajo meta","OK")))))</f>
        <v/>
      </c>
      <c r="AK181" s="33"/>
      <c r="AL181" s="10"/>
      <c r="AM181" s="33"/>
      <c r="AN181" s="33"/>
      <c r="AO181" s="10"/>
    </row>
    <row r="182" customFormat="false" ht="15" hidden="false" customHeight="false" outlineLevel="0" collapsed="false">
      <c r="A182" s="22"/>
      <c r="B182" s="23" t="str">
        <f aca="false">IF(A182="","",YEAR(A182-WEEKDAY(A182,2)+4))</f>
        <v/>
      </c>
      <c r="C182" s="23" t="str">
        <f aca="false">IF(A182="","",WEEKNUM(A182,21))</f>
        <v/>
      </c>
      <c r="D182" s="24" t="str">
        <f aca="false">IF(A182="","",DATE(YEAR(A182),MONTH(A182),1))</f>
        <v/>
      </c>
      <c r="E182" s="10"/>
      <c r="F182" s="25"/>
      <c r="G182" s="25"/>
      <c r="H182" s="10"/>
      <c r="I182" s="10"/>
      <c r="J182" s="26"/>
      <c r="K182" s="25"/>
      <c r="L182" s="26"/>
      <c r="M182" s="27"/>
      <c r="N182" s="27"/>
      <c r="O182" s="28" t="str">
        <f aca="false">IF(OR(M182="",M182=0,N182=""),"",N182/M182)</f>
        <v/>
      </c>
      <c r="P182" s="28" t="str">
        <f aca="false">IF(M182="","",IFERROR(IF(INDEX(Parámetros!$B$14:$B$21,MATCH(I182,Parámetros!$A$14:$A$21,0))="",Parámetros!$B$5,INDEX(Parámetros!$B$14:$B$21,MATCH(I182,Parámetros!$A$14:$A$21,0))),Parámetros!$B$5))</f>
        <v/>
      </c>
      <c r="Q182" s="29" t="str">
        <f aca="false">IF(O182="","",(O182-P182)*100)</f>
        <v/>
      </c>
      <c r="R182" s="30" t="str">
        <f aca="false">IF(O182="","",MAX(0,M182*(P182-O182)))</f>
        <v/>
      </c>
      <c r="S182" s="31" t="str">
        <f aca="false">IF(OR(L182="",L182=0,N182=""),"",N182/1000/L182)</f>
        <v/>
      </c>
      <c r="T182" s="27"/>
      <c r="U182" s="27"/>
      <c r="V182" s="27"/>
      <c r="W182" s="27"/>
      <c r="X182" s="27"/>
      <c r="Y182" s="27"/>
      <c r="Z182" s="27"/>
      <c r="AA182" s="25"/>
      <c r="AB182" s="27"/>
      <c r="AC182" s="30" t="str">
        <f aca="false">IF(M182="","",IF(AB182="",M182*Parámetros!$B$6,AB182))</f>
        <v/>
      </c>
      <c r="AD182" s="30" t="str">
        <f aca="false">IF(M182="","",SUM(T182:Z182)+AC182)</f>
        <v/>
      </c>
      <c r="AE182" s="30" t="str">
        <f aca="false">IF(OR(M182="",N182=""),"",M182-N182)</f>
        <v/>
      </c>
      <c r="AF182" s="30" t="str">
        <f aca="false">IF(AE182="","",AE182-AD182)</f>
        <v/>
      </c>
      <c r="AG182" s="28" t="str">
        <f aca="false">IF(OR(AF182="",M182=0),"",AF182/M182)</f>
        <v/>
      </c>
      <c r="AH182" s="32" t="str">
        <f aca="false">IF(OR(AE182="",N182=0),"",AE182/(N182/1000))</f>
        <v/>
      </c>
      <c r="AI182" s="30" t="str">
        <f aca="false">IF(O182="","",M182*P182)</f>
        <v/>
      </c>
      <c r="AJ182" s="11" t="str">
        <f aca="false">IF(O182="","",IF(O182&gt;1,"Error: rend &gt; 100 %",IF(SUM(T182:Z182)=0,"Falta registrar pérdidas",IF(ABS(AG182)&gt;Parámetros!$B$7,"Revisar balance",IF(O182&lt;P182,"Bajo meta","OK")))))</f>
        <v/>
      </c>
      <c r="AK182" s="33"/>
      <c r="AL182" s="10"/>
      <c r="AM182" s="33"/>
      <c r="AN182" s="33"/>
      <c r="AO182" s="10"/>
    </row>
    <row r="183" customFormat="false" ht="15" hidden="false" customHeight="false" outlineLevel="0" collapsed="false">
      <c r="A183" s="22"/>
      <c r="B183" s="23" t="str">
        <f aca="false">IF(A183="","",YEAR(A183-WEEKDAY(A183,2)+4))</f>
        <v/>
      </c>
      <c r="C183" s="23" t="str">
        <f aca="false">IF(A183="","",WEEKNUM(A183,21))</f>
        <v/>
      </c>
      <c r="D183" s="24" t="str">
        <f aca="false">IF(A183="","",DATE(YEAR(A183),MONTH(A183),1))</f>
        <v/>
      </c>
      <c r="E183" s="10"/>
      <c r="F183" s="25"/>
      <c r="G183" s="25"/>
      <c r="H183" s="10"/>
      <c r="I183" s="10"/>
      <c r="J183" s="26"/>
      <c r="K183" s="25"/>
      <c r="L183" s="26"/>
      <c r="M183" s="27"/>
      <c r="N183" s="27"/>
      <c r="O183" s="28" t="str">
        <f aca="false">IF(OR(M183="",M183=0,N183=""),"",N183/M183)</f>
        <v/>
      </c>
      <c r="P183" s="28" t="str">
        <f aca="false">IF(M183="","",IFERROR(IF(INDEX(Parámetros!$B$14:$B$21,MATCH(I183,Parámetros!$A$14:$A$21,0))="",Parámetros!$B$5,INDEX(Parámetros!$B$14:$B$21,MATCH(I183,Parámetros!$A$14:$A$21,0))),Parámetros!$B$5))</f>
        <v/>
      </c>
      <c r="Q183" s="29" t="str">
        <f aca="false">IF(O183="","",(O183-P183)*100)</f>
        <v/>
      </c>
      <c r="R183" s="30" t="str">
        <f aca="false">IF(O183="","",MAX(0,M183*(P183-O183)))</f>
        <v/>
      </c>
      <c r="S183" s="31" t="str">
        <f aca="false">IF(OR(L183="",L183=0,N183=""),"",N183/1000/L183)</f>
        <v/>
      </c>
      <c r="T183" s="27"/>
      <c r="U183" s="27"/>
      <c r="V183" s="27"/>
      <c r="W183" s="27"/>
      <c r="X183" s="27"/>
      <c r="Y183" s="27"/>
      <c r="Z183" s="27"/>
      <c r="AA183" s="25"/>
      <c r="AB183" s="27"/>
      <c r="AC183" s="30" t="str">
        <f aca="false">IF(M183="","",IF(AB183="",M183*Parámetros!$B$6,AB183))</f>
        <v/>
      </c>
      <c r="AD183" s="30" t="str">
        <f aca="false">IF(M183="","",SUM(T183:Z183)+AC183)</f>
        <v/>
      </c>
      <c r="AE183" s="30" t="str">
        <f aca="false">IF(OR(M183="",N183=""),"",M183-N183)</f>
        <v/>
      </c>
      <c r="AF183" s="30" t="str">
        <f aca="false">IF(AE183="","",AE183-AD183)</f>
        <v/>
      </c>
      <c r="AG183" s="28" t="str">
        <f aca="false">IF(OR(AF183="",M183=0),"",AF183/M183)</f>
        <v/>
      </c>
      <c r="AH183" s="32" t="str">
        <f aca="false">IF(OR(AE183="",N183=0),"",AE183/(N183/1000))</f>
        <v/>
      </c>
      <c r="AI183" s="30" t="str">
        <f aca="false">IF(O183="","",M183*P183)</f>
        <v/>
      </c>
      <c r="AJ183" s="11" t="str">
        <f aca="false">IF(O183="","",IF(O183&gt;1,"Error: rend &gt; 100 %",IF(SUM(T183:Z183)=0,"Falta registrar pérdidas",IF(ABS(AG183)&gt;Parámetros!$B$7,"Revisar balance",IF(O183&lt;P183,"Bajo meta","OK")))))</f>
        <v/>
      </c>
      <c r="AK183" s="33"/>
      <c r="AL183" s="10"/>
      <c r="AM183" s="33"/>
      <c r="AN183" s="33"/>
      <c r="AO183" s="10"/>
    </row>
    <row r="184" customFormat="false" ht="15" hidden="false" customHeight="false" outlineLevel="0" collapsed="false">
      <c r="A184" s="22"/>
      <c r="B184" s="23" t="str">
        <f aca="false">IF(A184="","",YEAR(A184-WEEKDAY(A184,2)+4))</f>
        <v/>
      </c>
      <c r="C184" s="23" t="str">
        <f aca="false">IF(A184="","",WEEKNUM(A184,21))</f>
        <v/>
      </c>
      <c r="D184" s="24" t="str">
        <f aca="false">IF(A184="","",DATE(YEAR(A184),MONTH(A184),1))</f>
        <v/>
      </c>
      <c r="E184" s="10"/>
      <c r="F184" s="25"/>
      <c r="G184" s="25"/>
      <c r="H184" s="10"/>
      <c r="I184" s="10"/>
      <c r="J184" s="26"/>
      <c r="K184" s="25"/>
      <c r="L184" s="26"/>
      <c r="M184" s="27"/>
      <c r="N184" s="27"/>
      <c r="O184" s="28" t="str">
        <f aca="false">IF(OR(M184="",M184=0,N184=""),"",N184/M184)</f>
        <v/>
      </c>
      <c r="P184" s="28" t="str">
        <f aca="false">IF(M184="","",IFERROR(IF(INDEX(Parámetros!$B$14:$B$21,MATCH(I184,Parámetros!$A$14:$A$21,0))="",Parámetros!$B$5,INDEX(Parámetros!$B$14:$B$21,MATCH(I184,Parámetros!$A$14:$A$21,0))),Parámetros!$B$5))</f>
        <v/>
      </c>
      <c r="Q184" s="29" t="str">
        <f aca="false">IF(O184="","",(O184-P184)*100)</f>
        <v/>
      </c>
      <c r="R184" s="30" t="str">
        <f aca="false">IF(O184="","",MAX(0,M184*(P184-O184)))</f>
        <v/>
      </c>
      <c r="S184" s="31" t="str">
        <f aca="false">IF(OR(L184="",L184=0,N184=""),"",N184/1000/L184)</f>
        <v/>
      </c>
      <c r="T184" s="27"/>
      <c r="U184" s="27"/>
      <c r="V184" s="27"/>
      <c r="W184" s="27"/>
      <c r="X184" s="27"/>
      <c r="Y184" s="27"/>
      <c r="Z184" s="27"/>
      <c r="AA184" s="25"/>
      <c r="AB184" s="27"/>
      <c r="AC184" s="30" t="str">
        <f aca="false">IF(M184="","",IF(AB184="",M184*Parámetros!$B$6,AB184))</f>
        <v/>
      </c>
      <c r="AD184" s="30" t="str">
        <f aca="false">IF(M184="","",SUM(T184:Z184)+AC184)</f>
        <v/>
      </c>
      <c r="AE184" s="30" t="str">
        <f aca="false">IF(OR(M184="",N184=""),"",M184-N184)</f>
        <v/>
      </c>
      <c r="AF184" s="30" t="str">
        <f aca="false">IF(AE184="","",AE184-AD184)</f>
        <v/>
      </c>
      <c r="AG184" s="28" t="str">
        <f aca="false">IF(OR(AF184="",M184=0),"",AF184/M184)</f>
        <v/>
      </c>
      <c r="AH184" s="32" t="str">
        <f aca="false">IF(OR(AE184="",N184=0),"",AE184/(N184/1000))</f>
        <v/>
      </c>
      <c r="AI184" s="30" t="str">
        <f aca="false">IF(O184="","",M184*P184)</f>
        <v/>
      </c>
      <c r="AJ184" s="11" t="str">
        <f aca="false">IF(O184="","",IF(O184&gt;1,"Error: rend &gt; 100 %",IF(SUM(T184:Z184)=0,"Falta registrar pérdidas",IF(ABS(AG184)&gt;Parámetros!$B$7,"Revisar balance",IF(O184&lt;P184,"Bajo meta","OK")))))</f>
        <v/>
      </c>
      <c r="AK184" s="33"/>
      <c r="AL184" s="10"/>
      <c r="AM184" s="33"/>
      <c r="AN184" s="33"/>
      <c r="AO184" s="10"/>
    </row>
    <row r="185" customFormat="false" ht="15" hidden="false" customHeight="false" outlineLevel="0" collapsed="false">
      <c r="A185" s="22"/>
      <c r="B185" s="23" t="str">
        <f aca="false">IF(A185="","",YEAR(A185-WEEKDAY(A185,2)+4))</f>
        <v/>
      </c>
      <c r="C185" s="23" t="str">
        <f aca="false">IF(A185="","",WEEKNUM(A185,21))</f>
        <v/>
      </c>
      <c r="D185" s="24" t="str">
        <f aca="false">IF(A185="","",DATE(YEAR(A185),MONTH(A185),1))</f>
        <v/>
      </c>
      <c r="E185" s="10"/>
      <c r="F185" s="25"/>
      <c r="G185" s="25"/>
      <c r="H185" s="10"/>
      <c r="I185" s="10"/>
      <c r="J185" s="26"/>
      <c r="K185" s="25"/>
      <c r="L185" s="26"/>
      <c r="M185" s="27"/>
      <c r="N185" s="27"/>
      <c r="O185" s="28" t="str">
        <f aca="false">IF(OR(M185="",M185=0,N185=""),"",N185/M185)</f>
        <v/>
      </c>
      <c r="P185" s="28" t="str">
        <f aca="false">IF(M185="","",IFERROR(IF(INDEX(Parámetros!$B$14:$B$21,MATCH(I185,Parámetros!$A$14:$A$21,0))="",Parámetros!$B$5,INDEX(Parámetros!$B$14:$B$21,MATCH(I185,Parámetros!$A$14:$A$21,0))),Parámetros!$B$5))</f>
        <v/>
      </c>
      <c r="Q185" s="29" t="str">
        <f aca="false">IF(O185="","",(O185-P185)*100)</f>
        <v/>
      </c>
      <c r="R185" s="30" t="str">
        <f aca="false">IF(O185="","",MAX(0,M185*(P185-O185)))</f>
        <v/>
      </c>
      <c r="S185" s="31" t="str">
        <f aca="false">IF(OR(L185="",L185=0,N185=""),"",N185/1000/L185)</f>
        <v/>
      </c>
      <c r="T185" s="27"/>
      <c r="U185" s="27"/>
      <c r="V185" s="27"/>
      <c r="W185" s="27"/>
      <c r="X185" s="27"/>
      <c r="Y185" s="27"/>
      <c r="Z185" s="27"/>
      <c r="AA185" s="25"/>
      <c r="AB185" s="27"/>
      <c r="AC185" s="30" t="str">
        <f aca="false">IF(M185="","",IF(AB185="",M185*Parámetros!$B$6,AB185))</f>
        <v/>
      </c>
      <c r="AD185" s="30" t="str">
        <f aca="false">IF(M185="","",SUM(T185:Z185)+AC185)</f>
        <v/>
      </c>
      <c r="AE185" s="30" t="str">
        <f aca="false">IF(OR(M185="",N185=""),"",M185-N185)</f>
        <v/>
      </c>
      <c r="AF185" s="30" t="str">
        <f aca="false">IF(AE185="","",AE185-AD185)</f>
        <v/>
      </c>
      <c r="AG185" s="28" t="str">
        <f aca="false">IF(OR(AF185="",M185=0),"",AF185/M185)</f>
        <v/>
      </c>
      <c r="AH185" s="32" t="str">
        <f aca="false">IF(OR(AE185="",N185=0),"",AE185/(N185/1000))</f>
        <v/>
      </c>
      <c r="AI185" s="30" t="str">
        <f aca="false">IF(O185="","",M185*P185)</f>
        <v/>
      </c>
      <c r="AJ185" s="11" t="str">
        <f aca="false">IF(O185="","",IF(O185&gt;1,"Error: rend &gt; 100 %",IF(SUM(T185:Z185)=0,"Falta registrar pérdidas",IF(ABS(AG185)&gt;Parámetros!$B$7,"Revisar balance",IF(O185&lt;P185,"Bajo meta","OK")))))</f>
        <v/>
      </c>
      <c r="AK185" s="33"/>
      <c r="AL185" s="10"/>
      <c r="AM185" s="33"/>
      <c r="AN185" s="33"/>
      <c r="AO185" s="10"/>
    </row>
    <row r="186" customFormat="false" ht="15" hidden="false" customHeight="false" outlineLevel="0" collapsed="false">
      <c r="A186" s="22"/>
      <c r="B186" s="23" t="str">
        <f aca="false">IF(A186="","",YEAR(A186-WEEKDAY(A186,2)+4))</f>
        <v/>
      </c>
      <c r="C186" s="23" t="str">
        <f aca="false">IF(A186="","",WEEKNUM(A186,21))</f>
        <v/>
      </c>
      <c r="D186" s="24" t="str">
        <f aca="false">IF(A186="","",DATE(YEAR(A186),MONTH(A186),1))</f>
        <v/>
      </c>
      <c r="E186" s="10"/>
      <c r="F186" s="25"/>
      <c r="G186" s="25"/>
      <c r="H186" s="10"/>
      <c r="I186" s="10"/>
      <c r="J186" s="26"/>
      <c r="K186" s="25"/>
      <c r="L186" s="26"/>
      <c r="M186" s="27"/>
      <c r="N186" s="27"/>
      <c r="O186" s="28" t="str">
        <f aca="false">IF(OR(M186="",M186=0,N186=""),"",N186/M186)</f>
        <v/>
      </c>
      <c r="P186" s="28" t="str">
        <f aca="false">IF(M186="","",IFERROR(IF(INDEX(Parámetros!$B$14:$B$21,MATCH(I186,Parámetros!$A$14:$A$21,0))="",Parámetros!$B$5,INDEX(Parámetros!$B$14:$B$21,MATCH(I186,Parámetros!$A$14:$A$21,0))),Parámetros!$B$5))</f>
        <v/>
      </c>
      <c r="Q186" s="29" t="str">
        <f aca="false">IF(O186="","",(O186-P186)*100)</f>
        <v/>
      </c>
      <c r="R186" s="30" t="str">
        <f aca="false">IF(O186="","",MAX(0,M186*(P186-O186)))</f>
        <v/>
      </c>
      <c r="S186" s="31" t="str">
        <f aca="false">IF(OR(L186="",L186=0,N186=""),"",N186/1000/L186)</f>
        <v/>
      </c>
      <c r="T186" s="27"/>
      <c r="U186" s="27"/>
      <c r="V186" s="27"/>
      <c r="W186" s="27"/>
      <c r="X186" s="27"/>
      <c r="Y186" s="27"/>
      <c r="Z186" s="27"/>
      <c r="AA186" s="25"/>
      <c r="AB186" s="27"/>
      <c r="AC186" s="30" t="str">
        <f aca="false">IF(M186="","",IF(AB186="",M186*Parámetros!$B$6,AB186))</f>
        <v/>
      </c>
      <c r="AD186" s="30" t="str">
        <f aca="false">IF(M186="","",SUM(T186:Z186)+AC186)</f>
        <v/>
      </c>
      <c r="AE186" s="30" t="str">
        <f aca="false">IF(OR(M186="",N186=""),"",M186-N186)</f>
        <v/>
      </c>
      <c r="AF186" s="30" t="str">
        <f aca="false">IF(AE186="","",AE186-AD186)</f>
        <v/>
      </c>
      <c r="AG186" s="28" t="str">
        <f aca="false">IF(OR(AF186="",M186=0),"",AF186/M186)</f>
        <v/>
      </c>
      <c r="AH186" s="32" t="str">
        <f aca="false">IF(OR(AE186="",N186=0),"",AE186/(N186/1000))</f>
        <v/>
      </c>
      <c r="AI186" s="30" t="str">
        <f aca="false">IF(O186="","",M186*P186)</f>
        <v/>
      </c>
      <c r="AJ186" s="11" t="str">
        <f aca="false">IF(O186="","",IF(O186&gt;1,"Error: rend &gt; 100 %",IF(SUM(T186:Z186)=0,"Falta registrar pérdidas",IF(ABS(AG186)&gt;Parámetros!$B$7,"Revisar balance",IF(O186&lt;P186,"Bajo meta","OK")))))</f>
        <v/>
      </c>
      <c r="AK186" s="33"/>
      <c r="AL186" s="10"/>
      <c r="AM186" s="33"/>
      <c r="AN186" s="33"/>
      <c r="AO186" s="10"/>
    </row>
    <row r="187" customFormat="false" ht="15" hidden="false" customHeight="false" outlineLevel="0" collapsed="false">
      <c r="A187" s="22"/>
      <c r="B187" s="23" t="str">
        <f aca="false">IF(A187="","",YEAR(A187-WEEKDAY(A187,2)+4))</f>
        <v/>
      </c>
      <c r="C187" s="23" t="str">
        <f aca="false">IF(A187="","",WEEKNUM(A187,21))</f>
        <v/>
      </c>
      <c r="D187" s="24" t="str">
        <f aca="false">IF(A187="","",DATE(YEAR(A187),MONTH(A187),1))</f>
        <v/>
      </c>
      <c r="E187" s="10"/>
      <c r="F187" s="25"/>
      <c r="G187" s="25"/>
      <c r="H187" s="10"/>
      <c r="I187" s="10"/>
      <c r="J187" s="26"/>
      <c r="K187" s="25"/>
      <c r="L187" s="26"/>
      <c r="M187" s="27"/>
      <c r="N187" s="27"/>
      <c r="O187" s="28" t="str">
        <f aca="false">IF(OR(M187="",M187=0,N187=""),"",N187/M187)</f>
        <v/>
      </c>
      <c r="P187" s="28" t="str">
        <f aca="false">IF(M187="","",IFERROR(IF(INDEX(Parámetros!$B$14:$B$21,MATCH(I187,Parámetros!$A$14:$A$21,0))="",Parámetros!$B$5,INDEX(Parámetros!$B$14:$B$21,MATCH(I187,Parámetros!$A$14:$A$21,0))),Parámetros!$B$5))</f>
        <v/>
      </c>
      <c r="Q187" s="29" t="str">
        <f aca="false">IF(O187="","",(O187-P187)*100)</f>
        <v/>
      </c>
      <c r="R187" s="30" t="str">
        <f aca="false">IF(O187="","",MAX(0,M187*(P187-O187)))</f>
        <v/>
      </c>
      <c r="S187" s="31" t="str">
        <f aca="false">IF(OR(L187="",L187=0,N187=""),"",N187/1000/L187)</f>
        <v/>
      </c>
      <c r="T187" s="27"/>
      <c r="U187" s="27"/>
      <c r="V187" s="27"/>
      <c r="W187" s="27"/>
      <c r="X187" s="27"/>
      <c r="Y187" s="27"/>
      <c r="Z187" s="27"/>
      <c r="AA187" s="25"/>
      <c r="AB187" s="27"/>
      <c r="AC187" s="30" t="str">
        <f aca="false">IF(M187="","",IF(AB187="",M187*Parámetros!$B$6,AB187))</f>
        <v/>
      </c>
      <c r="AD187" s="30" t="str">
        <f aca="false">IF(M187="","",SUM(T187:Z187)+AC187)</f>
        <v/>
      </c>
      <c r="AE187" s="30" t="str">
        <f aca="false">IF(OR(M187="",N187=""),"",M187-N187)</f>
        <v/>
      </c>
      <c r="AF187" s="30" t="str">
        <f aca="false">IF(AE187="","",AE187-AD187)</f>
        <v/>
      </c>
      <c r="AG187" s="28" t="str">
        <f aca="false">IF(OR(AF187="",M187=0),"",AF187/M187)</f>
        <v/>
      </c>
      <c r="AH187" s="32" t="str">
        <f aca="false">IF(OR(AE187="",N187=0),"",AE187/(N187/1000))</f>
        <v/>
      </c>
      <c r="AI187" s="30" t="str">
        <f aca="false">IF(O187="","",M187*P187)</f>
        <v/>
      </c>
      <c r="AJ187" s="11" t="str">
        <f aca="false">IF(O187="","",IF(O187&gt;1,"Error: rend &gt; 100 %",IF(SUM(T187:Z187)=0,"Falta registrar pérdidas",IF(ABS(AG187)&gt;Parámetros!$B$7,"Revisar balance",IF(O187&lt;P187,"Bajo meta","OK")))))</f>
        <v/>
      </c>
      <c r="AK187" s="33"/>
      <c r="AL187" s="10"/>
      <c r="AM187" s="33"/>
      <c r="AN187" s="33"/>
      <c r="AO187" s="10"/>
    </row>
    <row r="188" customFormat="false" ht="15" hidden="false" customHeight="false" outlineLevel="0" collapsed="false">
      <c r="A188" s="22"/>
      <c r="B188" s="23" t="str">
        <f aca="false">IF(A188="","",YEAR(A188-WEEKDAY(A188,2)+4))</f>
        <v/>
      </c>
      <c r="C188" s="23" t="str">
        <f aca="false">IF(A188="","",WEEKNUM(A188,21))</f>
        <v/>
      </c>
      <c r="D188" s="24" t="str">
        <f aca="false">IF(A188="","",DATE(YEAR(A188),MONTH(A188),1))</f>
        <v/>
      </c>
      <c r="E188" s="10"/>
      <c r="F188" s="25"/>
      <c r="G188" s="25"/>
      <c r="H188" s="10"/>
      <c r="I188" s="10"/>
      <c r="J188" s="26"/>
      <c r="K188" s="25"/>
      <c r="L188" s="26"/>
      <c r="M188" s="27"/>
      <c r="N188" s="27"/>
      <c r="O188" s="28" t="str">
        <f aca="false">IF(OR(M188="",M188=0,N188=""),"",N188/M188)</f>
        <v/>
      </c>
      <c r="P188" s="28" t="str">
        <f aca="false">IF(M188="","",IFERROR(IF(INDEX(Parámetros!$B$14:$B$21,MATCH(I188,Parámetros!$A$14:$A$21,0))="",Parámetros!$B$5,INDEX(Parámetros!$B$14:$B$21,MATCH(I188,Parámetros!$A$14:$A$21,0))),Parámetros!$B$5))</f>
        <v/>
      </c>
      <c r="Q188" s="29" t="str">
        <f aca="false">IF(O188="","",(O188-P188)*100)</f>
        <v/>
      </c>
      <c r="R188" s="30" t="str">
        <f aca="false">IF(O188="","",MAX(0,M188*(P188-O188)))</f>
        <v/>
      </c>
      <c r="S188" s="31" t="str">
        <f aca="false">IF(OR(L188="",L188=0,N188=""),"",N188/1000/L188)</f>
        <v/>
      </c>
      <c r="T188" s="27"/>
      <c r="U188" s="27"/>
      <c r="V188" s="27"/>
      <c r="W188" s="27"/>
      <c r="X188" s="27"/>
      <c r="Y188" s="27"/>
      <c r="Z188" s="27"/>
      <c r="AA188" s="25"/>
      <c r="AB188" s="27"/>
      <c r="AC188" s="30" t="str">
        <f aca="false">IF(M188="","",IF(AB188="",M188*Parámetros!$B$6,AB188))</f>
        <v/>
      </c>
      <c r="AD188" s="30" t="str">
        <f aca="false">IF(M188="","",SUM(T188:Z188)+AC188)</f>
        <v/>
      </c>
      <c r="AE188" s="30" t="str">
        <f aca="false">IF(OR(M188="",N188=""),"",M188-N188)</f>
        <v/>
      </c>
      <c r="AF188" s="30" t="str">
        <f aca="false">IF(AE188="","",AE188-AD188)</f>
        <v/>
      </c>
      <c r="AG188" s="28" t="str">
        <f aca="false">IF(OR(AF188="",M188=0),"",AF188/M188)</f>
        <v/>
      </c>
      <c r="AH188" s="32" t="str">
        <f aca="false">IF(OR(AE188="",N188=0),"",AE188/(N188/1000))</f>
        <v/>
      </c>
      <c r="AI188" s="30" t="str">
        <f aca="false">IF(O188="","",M188*P188)</f>
        <v/>
      </c>
      <c r="AJ188" s="11" t="str">
        <f aca="false">IF(O188="","",IF(O188&gt;1,"Error: rend &gt; 100 %",IF(SUM(T188:Z188)=0,"Falta registrar pérdidas",IF(ABS(AG188)&gt;Parámetros!$B$7,"Revisar balance",IF(O188&lt;P188,"Bajo meta","OK")))))</f>
        <v/>
      </c>
      <c r="AK188" s="33"/>
      <c r="AL188" s="10"/>
      <c r="AM188" s="33"/>
      <c r="AN188" s="33"/>
      <c r="AO188" s="10"/>
    </row>
    <row r="189" customFormat="false" ht="15" hidden="false" customHeight="false" outlineLevel="0" collapsed="false">
      <c r="A189" s="22"/>
      <c r="B189" s="23" t="str">
        <f aca="false">IF(A189="","",YEAR(A189-WEEKDAY(A189,2)+4))</f>
        <v/>
      </c>
      <c r="C189" s="23" t="str">
        <f aca="false">IF(A189="","",WEEKNUM(A189,21))</f>
        <v/>
      </c>
      <c r="D189" s="24" t="str">
        <f aca="false">IF(A189="","",DATE(YEAR(A189),MONTH(A189),1))</f>
        <v/>
      </c>
      <c r="E189" s="10"/>
      <c r="F189" s="25"/>
      <c r="G189" s="25"/>
      <c r="H189" s="10"/>
      <c r="I189" s="10"/>
      <c r="J189" s="26"/>
      <c r="K189" s="25"/>
      <c r="L189" s="26"/>
      <c r="M189" s="27"/>
      <c r="N189" s="27"/>
      <c r="O189" s="28" t="str">
        <f aca="false">IF(OR(M189="",M189=0,N189=""),"",N189/M189)</f>
        <v/>
      </c>
      <c r="P189" s="28" t="str">
        <f aca="false">IF(M189="","",IFERROR(IF(INDEX(Parámetros!$B$14:$B$21,MATCH(I189,Parámetros!$A$14:$A$21,0))="",Parámetros!$B$5,INDEX(Parámetros!$B$14:$B$21,MATCH(I189,Parámetros!$A$14:$A$21,0))),Parámetros!$B$5))</f>
        <v/>
      </c>
      <c r="Q189" s="29" t="str">
        <f aca="false">IF(O189="","",(O189-P189)*100)</f>
        <v/>
      </c>
      <c r="R189" s="30" t="str">
        <f aca="false">IF(O189="","",MAX(0,M189*(P189-O189)))</f>
        <v/>
      </c>
      <c r="S189" s="31" t="str">
        <f aca="false">IF(OR(L189="",L189=0,N189=""),"",N189/1000/L189)</f>
        <v/>
      </c>
      <c r="T189" s="27"/>
      <c r="U189" s="27"/>
      <c r="V189" s="27"/>
      <c r="W189" s="27"/>
      <c r="X189" s="27"/>
      <c r="Y189" s="27"/>
      <c r="Z189" s="27"/>
      <c r="AA189" s="25"/>
      <c r="AB189" s="27"/>
      <c r="AC189" s="30" t="str">
        <f aca="false">IF(M189="","",IF(AB189="",M189*Parámetros!$B$6,AB189))</f>
        <v/>
      </c>
      <c r="AD189" s="30" t="str">
        <f aca="false">IF(M189="","",SUM(T189:Z189)+AC189)</f>
        <v/>
      </c>
      <c r="AE189" s="30" t="str">
        <f aca="false">IF(OR(M189="",N189=""),"",M189-N189)</f>
        <v/>
      </c>
      <c r="AF189" s="30" t="str">
        <f aca="false">IF(AE189="","",AE189-AD189)</f>
        <v/>
      </c>
      <c r="AG189" s="28" t="str">
        <f aca="false">IF(OR(AF189="",M189=0),"",AF189/M189)</f>
        <v/>
      </c>
      <c r="AH189" s="32" t="str">
        <f aca="false">IF(OR(AE189="",N189=0),"",AE189/(N189/1000))</f>
        <v/>
      </c>
      <c r="AI189" s="30" t="str">
        <f aca="false">IF(O189="","",M189*P189)</f>
        <v/>
      </c>
      <c r="AJ189" s="11" t="str">
        <f aca="false">IF(O189="","",IF(O189&gt;1,"Error: rend &gt; 100 %",IF(SUM(T189:Z189)=0,"Falta registrar pérdidas",IF(ABS(AG189)&gt;Parámetros!$B$7,"Revisar balance",IF(O189&lt;P189,"Bajo meta","OK")))))</f>
        <v/>
      </c>
      <c r="AK189" s="33"/>
      <c r="AL189" s="10"/>
      <c r="AM189" s="33"/>
      <c r="AN189" s="33"/>
      <c r="AO189" s="10"/>
    </row>
    <row r="190" customFormat="false" ht="15" hidden="false" customHeight="false" outlineLevel="0" collapsed="false">
      <c r="A190" s="22"/>
      <c r="B190" s="23" t="str">
        <f aca="false">IF(A190="","",YEAR(A190-WEEKDAY(A190,2)+4))</f>
        <v/>
      </c>
      <c r="C190" s="23" t="str">
        <f aca="false">IF(A190="","",WEEKNUM(A190,21))</f>
        <v/>
      </c>
      <c r="D190" s="24" t="str">
        <f aca="false">IF(A190="","",DATE(YEAR(A190),MONTH(A190),1))</f>
        <v/>
      </c>
      <c r="E190" s="10"/>
      <c r="F190" s="25"/>
      <c r="G190" s="25"/>
      <c r="H190" s="10"/>
      <c r="I190" s="10"/>
      <c r="J190" s="26"/>
      <c r="K190" s="25"/>
      <c r="L190" s="26"/>
      <c r="M190" s="27"/>
      <c r="N190" s="27"/>
      <c r="O190" s="28" t="str">
        <f aca="false">IF(OR(M190="",M190=0,N190=""),"",N190/M190)</f>
        <v/>
      </c>
      <c r="P190" s="28" t="str">
        <f aca="false">IF(M190="","",IFERROR(IF(INDEX(Parámetros!$B$14:$B$21,MATCH(I190,Parámetros!$A$14:$A$21,0))="",Parámetros!$B$5,INDEX(Parámetros!$B$14:$B$21,MATCH(I190,Parámetros!$A$14:$A$21,0))),Parámetros!$B$5))</f>
        <v/>
      </c>
      <c r="Q190" s="29" t="str">
        <f aca="false">IF(O190="","",(O190-P190)*100)</f>
        <v/>
      </c>
      <c r="R190" s="30" t="str">
        <f aca="false">IF(O190="","",MAX(0,M190*(P190-O190)))</f>
        <v/>
      </c>
      <c r="S190" s="31" t="str">
        <f aca="false">IF(OR(L190="",L190=0,N190=""),"",N190/1000/L190)</f>
        <v/>
      </c>
      <c r="T190" s="27"/>
      <c r="U190" s="27"/>
      <c r="V190" s="27"/>
      <c r="W190" s="27"/>
      <c r="X190" s="27"/>
      <c r="Y190" s="27"/>
      <c r="Z190" s="27"/>
      <c r="AA190" s="25"/>
      <c r="AB190" s="27"/>
      <c r="AC190" s="30" t="str">
        <f aca="false">IF(M190="","",IF(AB190="",M190*Parámetros!$B$6,AB190))</f>
        <v/>
      </c>
      <c r="AD190" s="30" t="str">
        <f aca="false">IF(M190="","",SUM(T190:Z190)+AC190)</f>
        <v/>
      </c>
      <c r="AE190" s="30" t="str">
        <f aca="false">IF(OR(M190="",N190=""),"",M190-N190)</f>
        <v/>
      </c>
      <c r="AF190" s="30" t="str">
        <f aca="false">IF(AE190="","",AE190-AD190)</f>
        <v/>
      </c>
      <c r="AG190" s="28" t="str">
        <f aca="false">IF(OR(AF190="",M190=0),"",AF190/M190)</f>
        <v/>
      </c>
      <c r="AH190" s="32" t="str">
        <f aca="false">IF(OR(AE190="",N190=0),"",AE190/(N190/1000))</f>
        <v/>
      </c>
      <c r="AI190" s="30" t="str">
        <f aca="false">IF(O190="","",M190*P190)</f>
        <v/>
      </c>
      <c r="AJ190" s="11" t="str">
        <f aca="false">IF(O190="","",IF(O190&gt;1,"Error: rend &gt; 100 %",IF(SUM(T190:Z190)=0,"Falta registrar pérdidas",IF(ABS(AG190)&gt;Parámetros!$B$7,"Revisar balance",IF(O190&lt;P190,"Bajo meta","OK")))))</f>
        <v/>
      </c>
      <c r="AK190" s="33"/>
      <c r="AL190" s="10"/>
      <c r="AM190" s="33"/>
      <c r="AN190" s="33"/>
      <c r="AO190" s="10"/>
    </row>
    <row r="191" customFormat="false" ht="15" hidden="false" customHeight="false" outlineLevel="0" collapsed="false">
      <c r="A191" s="22"/>
      <c r="B191" s="23" t="str">
        <f aca="false">IF(A191="","",YEAR(A191-WEEKDAY(A191,2)+4))</f>
        <v/>
      </c>
      <c r="C191" s="23" t="str">
        <f aca="false">IF(A191="","",WEEKNUM(A191,21))</f>
        <v/>
      </c>
      <c r="D191" s="24" t="str">
        <f aca="false">IF(A191="","",DATE(YEAR(A191),MONTH(A191),1))</f>
        <v/>
      </c>
      <c r="E191" s="10"/>
      <c r="F191" s="25"/>
      <c r="G191" s="25"/>
      <c r="H191" s="10"/>
      <c r="I191" s="10"/>
      <c r="J191" s="26"/>
      <c r="K191" s="25"/>
      <c r="L191" s="26"/>
      <c r="M191" s="27"/>
      <c r="N191" s="27"/>
      <c r="O191" s="28" t="str">
        <f aca="false">IF(OR(M191="",M191=0,N191=""),"",N191/M191)</f>
        <v/>
      </c>
      <c r="P191" s="28" t="str">
        <f aca="false">IF(M191="","",IFERROR(IF(INDEX(Parámetros!$B$14:$B$21,MATCH(I191,Parámetros!$A$14:$A$21,0))="",Parámetros!$B$5,INDEX(Parámetros!$B$14:$B$21,MATCH(I191,Parámetros!$A$14:$A$21,0))),Parámetros!$B$5))</f>
        <v/>
      </c>
      <c r="Q191" s="29" t="str">
        <f aca="false">IF(O191="","",(O191-P191)*100)</f>
        <v/>
      </c>
      <c r="R191" s="30" t="str">
        <f aca="false">IF(O191="","",MAX(0,M191*(P191-O191)))</f>
        <v/>
      </c>
      <c r="S191" s="31" t="str">
        <f aca="false">IF(OR(L191="",L191=0,N191=""),"",N191/1000/L191)</f>
        <v/>
      </c>
      <c r="T191" s="27"/>
      <c r="U191" s="27"/>
      <c r="V191" s="27"/>
      <c r="W191" s="27"/>
      <c r="X191" s="27"/>
      <c r="Y191" s="27"/>
      <c r="Z191" s="27"/>
      <c r="AA191" s="25"/>
      <c r="AB191" s="27"/>
      <c r="AC191" s="30" t="str">
        <f aca="false">IF(M191="","",IF(AB191="",M191*Parámetros!$B$6,AB191))</f>
        <v/>
      </c>
      <c r="AD191" s="30" t="str">
        <f aca="false">IF(M191="","",SUM(T191:Z191)+AC191)</f>
        <v/>
      </c>
      <c r="AE191" s="30" t="str">
        <f aca="false">IF(OR(M191="",N191=""),"",M191-N191)</f>
        <v/>
      </c>
      <c r="AF191" s="30" t="str">
        <f aca="false">IF(AE191="","",AE191-AD191)</f>
        <v/>
      </c>
      <c r="AG191" s="28" t="str">
        <f aca="false">IF(OR(AF191="",M191=0),"",AF191/M191)</f>
        <v/>
      </c>
      <c r="AH191" s="32" t="str">
        <f aca="false">IF(OR(AE191="",N191=0),"",AE191/(N191/1000))</f>
        <v/>
      </c>
      <c r="AI191" s="30" t="str">
        <f aca="false">IF(O191="","",M191*P191)</f>
        <v/>
      </c>
      <c r="AJ191" s="11" t="str">
        <f aca="false">IF(O191="","",IF(O191&gt;1,"Error: rend &gt; 100 %",IF(SUM(T191:Z191)=0,"Falta registrar pérdidas",IF(ABS(AG191)&gt;Parámetros!$B$7,"Revisar balance",IF(O191&lt;P191,"Bajo meta","OK")))))</f>
        <v/>
      </c>
      <c r="AK191" s="33"/>
      <c r="AL191" s="10"/>
      <c r="AM191" s="33"/>
      <c r="AN191" s="33"/>
      <c r="AO191" s="10"/>
    </row>
    <row r="192" customFormat="false" ht="15" hidden="false" customHeight="false" outlineLevel="0" collapsed="false">
      <c r="A192" s="22"/>
      <c r="B192" s="23" t="str">
        <f aca="false">IF(A192="","",YEAR(A192-WEEKDAY(A192,2)+4))</f>
        <v/>
      </c>
      <c r="C192" s="23" t="str">
        <f aca="false">IF(A192="","",WEEKNUM(A192,21))</f>
        <v/>
      </c>
      <c r="D192" s="24" t="str">
        <f aca="false">IF(A192="","",DATE(YEAR(A192),MONTH(A192),1))</f>
        <v/>
      </c>
      <c r="E192" s="10"/>
      <c r="F192" s="25"/>
      <c r="G192" s="25"/>
      <c r="H192" s="10"/>
      <c r="I192" s="10"/>
      <c r="J192" s="26"/>
      <c r="K192" s="25"/>
      <c r="L192" s="26"/>
      <c r="M192" s="27"/>
      <c r="N192" s="27"/>
      <c r="O192" s="28" t="str">
        <f aca="false">IF(OR(M192="",M192=0,N192=""),"",N192/M192)</f>
        <v/>
      </c>
      <c r="P192" s="28" t="str">
        <f aca="false">IF(M192="","",IFERROR(IF(INDEX(Parámetros!$B$14:$B$21,MATCH(I192,Parámetros!$A$14:$A$21,0))="",Parámetros!$B$5,INDEX(Parámetros!$B$14:$B$21,MATCH(I192,Parámetros!$A$14:$A$21,0))),Parámetros!$B$5))</f>
        <v/>
      </c>
      <c r="Q192" s="29" t="str">
        <f aca="false">IF(O192="","",(O192-P192)*100)</f>
        <v/>
      </c>
      <c r="R192" s="30" t="str">
        <f aca="false">IF(O192="","",MAX(0,M192*(P192-O192)))</f>
        <v/>
      </c>
      <c r="S192" s="31" t="str">
        <f aca="false">IF(OR(L192="",L192=0,N192=""),"",N192/1000/L192)</f>
        <v/>
      </c>
      <c r="T192" s="27"/>
      <c r="U192" s="27"/>
      <c r="V192" s="27"/>
      <c r="W192" s="27"/>
      <c r="X192" s="27"/>
      <c r="Y192" s="27"/>
      <c r="Z192" s="27"/>
      <c r="AA192" s="25"/>
      <c r="AB192" s="27"/>
      <c r="AC192" s="30" t="str">
        <f aca="false">IF(M192="","",IF(AB192="",M192*Parámetros!$B$6,AB192))</f>
        <v/>
      </c>
      <c r="AD192" s="30" t="str">
        <f aca="false">IF(M192="","",SUM(T192:Z192)+AC192)</f>
        <v/>
      </c>
      <c r="AE192" s="30" t="str">
        <f aca="false">IF(OR(M192="",N192=""),"",M192-N192)</f>
        <v/>
      </c>
      <c r="AF192" s="30" t="str">
        <f aca="false">IF(AE192="","",AE192-AD192)</f>
        <v/>
      </c>
      <c r="AG192" s="28" t="str">
        <f aca="false">IF(OR(AF192="",M192=0),"",AF192/M192)</f>
        <v/>
      </c>
      <c r="AH192" s="32" t="str">
        <f aca="false">IF(OR(AE192="",N192=0),"",AE192/(N192/1000))</f>
        <v/>
      </c>
      <c r="AI192" s="30" t="str">
        <f aca="false">IF(O192="","",M192*P192)</f>
        <v/>
      </c>
      <c r="AJ192" s="11" t="str">
        <f aca="false">IF(O192="","",IF(O192&gt;1,"Error: rend &gt; 100 %",IF(SUM(T192:Z192)=0,"Falta registrar pérdidas",IF(ABS(AG192)&gt;Parámetros!$B$7,"Revisar balance",IF(O192&lt;P192,"Bajo meta","OK")))))</f>
        <v/>
      </c>
      <c r="AK192" s="33"/>
      <c r="AL192" s="10"/>
      <c r="AM192" s="33"/>
      <c r="AN192" s="33"/>
      <c r="AO192" s="10"/>
    </row>
    <row r="193" customFormat="false" ht="15" hidden="false" customHeight="false" outlineLevel="0" collapsed="false">
      <c r="A193" s="22"/>
      <c r="B193" s="23" t="str">
        <f aca="false">IF(A193="","",YEAR(A193-WEEKDAY(A193,2)+4))</f>
        <v/>
      </c>
      <c r="C193" s="23" t="str">
        <f aca="false">IF(A193="","",WEEKNUM(A193,21))</f>
        <v/>
      </c>
      <c r="D193" s="24" t="str">
        <f aca="false">IF(A193="","",DATE(YEAR(A193),MONTH(A193),1))</f>
        <v/>
      </c>
      <c r="E193" s="10"/>
      <c r="F193" s="25"/>
      <c r="G193" s="25"/>
      <c r="H193" s="10"/>
      <c r="I193" s="10"/>
      <c r="J193" s="26"/>
      <c r="K193" s="25"/>
      <c r="L193" s="26"/>
      <c r="M193" s="27"/>
      <c r="N193" s="27"/>
      <c r="O193" s="28" t="str">
        <f aca="false">IF(OR(M193="",M193=0,N193=""),"",N193/M193)</f>
        <v/>
      </c>
      <c r="P193" s="28" t="str">
        <f aca="false">IF(M193="","",IFERROR(IF(INDEX(Parámetros!$B$14:$B$21,MATCH(I193,Parámetros!$A$14:$A$21,0))="",Parámetros!$B$5,INDEX(Parámetros!$B$14:$B$21,MATCH(I193,Parámetros!$A$14:$A$21,0))),Parámetros!$B$5))</f>
        <v/>
      </c>
      <c r="Q193" s="29" t="str">
        <f aca="false">IF(O193="","",(O193-P193)*100)</f>
        <v/>
      </c>
      <c r="R193" s="30" t="str">
        <f aca="false">IF(O193="","",MAX(0,M193*(P193-O193)))</f>
        <v/>
      </c>
      <c r="S193" s="31" t="str">
        <f aca="false">IF(OR(L193="",L193=0,N193=""),"",N193/1000/L193)</f>
        <v/>
      </c>
      <c r="T193" s="27"/>
      <c r="U193" s="27"/>
      <c r="V193" s="27"/>
      <c r="W193" s="27"/>
      <c r="X193" s="27"/>
      <c r="Y193" s="27"/>
      <c r="Z193" s="27"/>
      <c r="AA193" s="25"/>
      <c r="AB193" s="27"/>
      <c r="AC193" s="30" t="str">
        <f aca="false">IF(M193="","",IF(AB193="",M193*Parámetros!$B$6,AB193))</f>
        <v/>
      </c>
      <c r="AD193" s="30" t="str">
        <f aca="false">IF(M193="","",SUM(T193:Z193)+AC193)</f>
        <v/>
      </c>
      <c r="AE193" s="30" t="str">
        <f aca="false">IF(OR(M193="",N193=""),"",M193-N193)</f>
        <v/>
      </c>
      <c r="AF193" s="30" t="str">
        <f aca="false">IF(AE193="","",AE193-AD193)</f>
        <v/>
      </c>
      <c r="AG193" s="28" t="str">
        <f aca="false">IF(OR(AF193="",M193=0),"",AF193/M193)</f>
        <v/>
      </c>
      <c r="AH193" s="32" t="str">
        <f aca="false">IF(OR(AE193="",N193=0),"",AE193/(N193/1000))</f>
        <v/>
      </c>
      <c r="AI193" s="30" t="str">
        <f aca="false">IF(O193="","",M193*P193)</f>
        <v/>
      </c>
      <c r="AJ193" s="11" t="str">
        <f aca="false">IF(O193="","",IF(O193&gt;1,"Error: rend &gt; 100 %",IF(SUM(T193:Z193)=0,"Falta registrar pérdidas",IF(ABS(AG193)&gt;Parámetros!$B$7,"Revisar balance",IF(O193&lt;P193,"Bajo meta","OK")))))</f>
        <v/>
      </c>
      <c r="AK193" s="33"/>
      <c r="AL193" s="10"/>
      <c r="AM193" s="33"/>
      <c r="AN193" s="33"/>
      <c r="AO193" s="10"/>
    </row>
    <row r="194" customFormat="false" ht="15" hidden="false" customHeight="false" outlineLevel="0" collapsed="false">
      <c r="A194" s="22"/>
      <c r="B194" s="23" t="str">
        <f aca="false">IF(A194="","",YEAR(A194-WEEKDAY(A194,2)+4))</f>
        <v/>
      </c>
      <c r="C194" s="23" t="str">
        <f aca="false">IF(A194="","",WEEKNUM(A194,21))</f>
        <v/>
      </c>
      <c r="D194" s="24" t="str">
        <f aca="false">IF(A194="","",DATE(YEAR(A194),MONTH(A194),1))</f>
        <v/>
      </c>
      <c r="E194" s="10"/>
      <c r="F194" s="25"/>
      <c r="G194" s="25"/>
      <c r="H194" s="10"/>
      <c r="I194" s="10"/>
      <c r="J194" s="26"/>
      <c r="K194" s="25"/>
      <c r="L194" s="26"/>
      <c r="M194" s="27"/>
      <c r="N194" s="27"/>
      <c r="O194" s="28" t="str">
        <f aca="false">IF(OR(M194="",M194=0,N194=""),"",N194/M194)</f>
        <v/>
      </c>
      <c r="P194" s="28" t="str">
        <f aca="false">IF(M194="","",IFERROR(IF(INDEX(Parámetros!$B$14:$B$21,MATCH(I194,Parámetros!$A$14:$A$21,0))="",Parámetros!$B$5,INDEX(Parámetros!$B$14:$B$21,MATCH(I194,Parámetros!$A$14:$A$21,0))),Parámetros!$B$5))</f>
        <v/>
      </c>
      <c r="Q194" s="29" t="str">
        <f aca="false">IF(O194="","",(O194-P194)*100)</f>
        <v/>
      </c>
      <c r="R194" s="30" t="str">
        <f aca="false">IF(O194="","",MAX(0,M194*(P194-O194)))</f>
        <v/>
      </c>
      <c r="S194" s="31" t="str">
        <f aca="false">IF(OR(L194="",L194=0,N194=""),"",N194/1000/L194)</f>
        <v/>
      </c>
      <c r="T194" s="27"/>
      <c r="U194" s="27"/>
      <c r="V194" s="27"/>
      <c r="W194" s="27"/>
      <c r="X194" s="27"/>
      <c r="Y194" s="27"/>
      <c r="Z194" s="27"/>
      <c r="AA194" s="25"/>
      <c r="AB194" s="27"/>
      <c r="AC194" s="30" t="str">
        <f aca="false">IF(M194="","",IF(AB194="",M194*Parámetros!$B$6,AB194))</f>
        <v/>
      </c>
      <c r="AD194" s="30" t="str">
        <f aca="false">IF(M194="","",SUM(T194:Z194)+AC194)</f>
        <v/>
      </c>
      <c r="AE194" s="30" t="str">
        <f aca="false">IF(OR(M194="",N194=""),"",M194-N194)</f>
        <v/>
      </c>
      <c r="AF194" s="30" t="str">
        <f aca="false">IF(AE194="","",AE194-AD194)</f>
        <v/>
      </c>
      <c r="AG194" s="28" t="str">
        <f aca="false">IF(OR(AF194="",M194=0),"",AF194/M194)</f>
        <v/>
      </c>
      <c r="AH194" s="32" t="str">
        <f aca="false">IF(OR(AE194="",N194=0),"",AE194/(N194/1000))</f>
        <v/>
      </c>
      <c r="AI194" s="30" t="str">
        <f aca="false">IF(O194="","",M194*P194)</f>
        <v/>
      </c>
      <c r="AJ194" s="11" t="str">
        <f aca="false">IF(O194="","",IF(O194&gt;1,"Error: rend &gt; 100 %",IF(SUM(T194:Z194)=0,"Falta registrar pérdidas",IF(ABS(AG194)&gt;Parámetros!$B$7,"Revisar balance",IF(O194&lt;P194,"Bajo meta","OK")))))</f>
        <v/>
      </c>
      <c r="AK194" s="33"/>
      <c r="AL194" s="10"/>
      <c r="AM194" s="33"/>
      <c r="AN194" s="33"/>
      <c r="AO194" s="10"/>
    </row>
    <row r="195" customFormat="false" ht="15" hidden="false" customHeight="false" outlineLevel="0" collapsed="false">
      <c r="A195" s="22"/>
      <c r="B195" s="23" t="str">
        <f aca="false">IF(A195="","",YEAR(A195-WEEKDAY(A195,2)+4))</f>
        <v/>
      </c>
      <c r="C195" s="23" t="str">
        <f aca="false">IF(A195="","",WEEKNUM(A195,21))</f>
        <v/>
      </c>
      <c r="D195" s="24" t="str">
        <f aca="false">IF(A195="","",DATE(YEAR(A195),MONTH(A195),1))</f>
        <v/>
      </c>
      <c r="E195" s="10"/>
      <c r="F195" s="25"/>
      <c r="G195" s="25"/>
      <c r="H195" s="10"/>
      <c r="I195" s="10"/>
      <c r="J195" s="26"/>
      <c r="K195" s="25"/>
      <c r="L195" s="26"/>
      <c r="M195" s="27"/>
      <c r="N195" s="27"/>
      <c r="O195" s="28" t="str">
        <f aca="false">IF(OR(M195="",M195=0,N195=""),"",N195/M195)</f>
        <v/>
      </c>
      <c r="P195" s="28" t="str">
        <f aca="false">IF(M195="","",IFERROR(IF(INDEX(Parámetros!$B$14:$B$21,MATCH(I195,Parámetros!$A$14:$A$21,0))="",Parámetros!$B$5,INDEX(Parámetros!$B$14:$B$21,MATCH(I195,Parámetros!$A$14:$A$21,0))),Parámetros!$B$5))</f>
        <v/>
      </c>
      <c r="Q195" s="29" t="str">
        <f aca="false">IF(O195="","",(O195-P195)*100)</f>
        <v/>
      </c>
      <c r="R195" s="30" t="str">
        <f aca="false">IF(O195="","",MAX(0,M195*(P195-O195)))</f>
        <v/>
      </c>
      <c r="S195" s="31" t="str">
        <f aca="false">IF(OR(L195="",L195=0,N195=""),"",N195/1000/L195)</f>
        <v/>
      </c>
      <c r="T195" s="27"/>
      <c r="U195" s="27"/>
      <c r="V195" s="27"/>
      <c r="W195" s="27"/>
      <c r="X195" s="27"/>
      <c r="Y195" s="27"/>
      <c r="Z195" s="27"/>
      <c r="AA195" s="25"/>
      <c r="AB195" s="27"/>
      <c r="AC195" s="30" t="str">
        <f aca="false">IF(M195="","",IF(AB195="",M195*Parámetros!$B$6,AB195))</f>
        <v/>
      </c>
      <c r="AD195" s="30" t="str">
        <f aca="false">IF(M195="","",SUM(T195:Z195)+AC195)</f>
        <v/>
      </c>
      <c r="AE195" s="30" t="str">
        <f aca="false">IF(OR(M195="",N195=""),"",M195-N195)</f>
        <v/>
      </c>
      <c r="AF195" s="30" t="str">
        <f aca="false">IF(AE195="","",AE195-AD195)</f>
        <v/>
      </c>
      <c r="AG195" s="28" t="str">
        <f aca="false">IF(OR(AF195="",M195=0),"",AF195/M195)</f>
        <v/>
      </c>
      <c r="AH195" s="32" t="str">
        <f aca="false">IF(OR(AE195="",N195=0),"",AE195/(N195/1000))</f>
        <v/>
      </c>
      <c r="AI195" s="30" t="str">
        <f aca="false">IF(O195="","",M195*P195)</f>
        <v/>
      </c>
      <c r="AJ195" s="11" t="str">
        <f aca="false">IF(O195="","",IF(O195&gt;1,"Error: rend &gt; 100 %",IF(SUM(T195:Z195)=0,"Falta registrar pérdidas",IF(ABS(AG195)&gt;Parámetros!$B$7,"Revisar balance",IF(O195&lt;P195,"Bajo meta","OK")))))</f>
        <v/>
      </c>
      <c r="AK195" s="33"/>
      <c r="AL195" s="10"/>
      <c r="AM195" s="33"/>
      <c r="AN195" s="33"/>
      <c r="AO195" s="10"/>
    </row>
    <row r="196" customFormat="false" ht="15" hidden="false" customHeight="false" outlineLevel="0" collapsed="false">
      <c r="A196" s="22"/>
      <c r="B196" s="23" t="str">
        <f aca="false">IF(A196="","",YEAR(A196-WEEKDAY(A196,2)+4))</f>
        <v/>
      </c>
      <c r="C196" s="23" t="str">
        <f aca="false">IF(A196="","",WEEKNUM(A196,21))</f>
        <v/>
      </c>
      <c r="D196" s="24" t="str">
        <f aca="false">IF(A196="","",DATE(YEAR(A196),MONTH(A196),1))</f>
        <v/>
      </c>
      <c r="E196" s="10"/>
      <c r="F196" s="25"/>
      <c r="G196" s="25"/>
      <c r="H196" s="10"/>
      <c r="I196" s="10"/>
      <c r="J196" s="26"/>
      <c r="K196" s="25"/>
      <c r="L196" s="26"/>
      <c r="M196" s="27"/>
      <c r="N196" s="27"/>
      <c r="O196" s="28" t="str">
        <f aca="false">IF(OR(M196="",M196=0,N196=""),"",N196/M196)</f>
        <v/>
      </c>
      <c r="P196" s="28" t="str">
        <f aca="false">IF(M196="","",IFERROR(IF(INDEX(Parámetros!$B$14:$B$21,MATCH(I196,Parámetros!$A$14:$A$21,0))="",Parámetros!$B$5,INDEX(Parámetros!$B$14:$B$21,MATCH(I196,Parámetros!$A$14:$A$21,0))),Parámetros!$B$5))</f>
        <v/>
      </c>
      <c r="Q196" s="29" t="str">
        <f aca="false">IF(O196="","",(O196-P196)*100)</f>
        <v/>
      </c>
      <c r="R196" s="30" t="str">
        <f aca="false">IF(O196="","",MAX(0,M196*(P196-O196)))</f>
        <v/>
      </c>
      <c r="S196" s="31" t="str">
        <f aca="false">IF(OR(L196="",L196=0,N196=""),"",N196/1000/L196)</f>
        <v/>
      </c>
      <c r="T196" s="27"/>
      <c r="U196" s="27"/>
      <c r="V196" s="27"/>
      <c r="W196" s="27"/>
      <c r="X196" s="27"/>
      <c r="Y196" s="27"/>
      <c r="Z196" s="27"/>
      <c r="AA196" s="25"/>
      <c r="AB196" s="27"/>
      <c r="AC196" s="30" t="str">
        <f aca="false">IF(M196="","",IF(AB196="",M196*Parámetros!$B$6,AB196))</f>
        <v/>
      </c>
      <c r="AD196" s="30" t="str">
        <f aca="false">IF(M196="","",SUM(T196:Z196)+AC196)</f>
        <v/>
      </c>
      <c r="AE196" s="30" t="str">
        <f aca="false">IF(OR(M196="",N196=""),"",M196-N196)</f>
        <v/>
      </c>
      <c r="AF196" s="30" t="str">
        <f aca="false">IF(AE196="","",AE196-AD196)</f>
        <v/>
      </c>
      <c r="AG196" s="28" t="str">
        <f aca="false">IF(OR(AF196="",M196=0),"",AF196/M196)</f>
        <v/>
      </c>
      <c r="AH196" s="32" t="str">
        <f aca="false">IF(OR(AE196="",N196=0),"",AE196/(N196/1000))</f>
        <v/>
      </c>
      <c r="AI196" s="30" t="str">
        <f aca="false">IF(O196="","",M196*P196)</f>
        <v/>
      </c>
      <c r="AJ196" s="11" t="str">
        <f aca="false">IF(O196="","",IF(O196&gt;1,"Error: rend &gt; 100 %",IF(SUM(T196:Z196)=0,"Falta registrar pérdidas",IF(ABS(AG196)&gt;Parámetros!$B$7,"Revisar balance",IF(O196&lt;P196,"Bajo meta","OK")))))</f>
        <v/>
      </c>
      <c r="AK196" s="33"/>
      <c r="AL196" s="10"/>
      <c r="AM196" s="33"/>
      <c r="AN196" s="33"/>
      <c r="AO196" s="10"/>
    </row>
    <row r="197" customFormat="false" ht="15" hidden="false" customHeight="false" outlineLevel="0" collapsed="false">
      <c r="A197" s="22"/>
      <c r="B197" s="23" t="str">
        <f aca="false">IF(A197="","",YEAR(A197-WEEKDAY(A197,2)+4))</f>
        <v/>
      </c>
      <c r="C197" s="23" t="str">
        <f aca="false">IF(A197="","",WEEKNUM(A197,21))</f>
        <v/>
      </c>
      <c r="D197" s="24" t="str">
        <f aca="false">IF(A197="","",DATE(YEAR(A197),MONTH(A197),1))</f>
        <v/>
      </c>
      <c r="E197" s="10"/>
      <c r="F197" s="25"/>
      <c r="G197" s="25"/>
      <c r="H197" s="10"/>
      <c r="I197" s="10"/>
      <c r="J197" s="26"/>
      <c r="K197" s="25"/>
      <c r="L197" s="26"/>
      <c r="M197" s="27"/>
      <c r="N197" s="27"/>
      <c r="O197" s="28" t="str">
        <f aca="false">IF(OR(M197="",M197=0,N197=""),"",N197/M197)</f>
        <v/>
      </c>
      <c r="P197" s="28" t="str">
        <f aca="false">IF(M197="","",IFERROR(IF(INDEX(Parámetros!$B$14:$B$21,MATCH(I197,Parámetros!$A$14:$A$21,0))="",Parámetros!$B$5,INDEX(Parámetros!$B$14:$B$21,MATCH(I197,Parámetros!$A$14:$A$21,0))),Parámetros!$B$5))</f>
        <v/>
      </c>
      <c r="Q197" s="29" t="str">
        <f aca="false">IF(O197="","",(O197-P197)*100)</f>
        <v/>
      </c>
      <c r="R197" s="30" t="str">
        <f aca="false">IF(O197="","",MAX(0,M197*(P197-O197)))</f>
        <v/>
      </c>
      <c r="S197" s="31" t="str">
        <f aca="false">IF(OR(L197="",L197=0,N197=""),"",N197/1000/L197)</f>
        <v/>
      </c>
      <c r="T197" s="27"/>
      <c r="U197" s="27"/>
      <c r="V197" s="27"/>
      <c r="W197" s="27"/>
      <c r="X197" s="27"/>
      <c r="Y197" s="27"/>
      <c r="Z197" s="27"/>
      <c r="AA197" s="25"/>
      <c r="AB197" s="27"/>
      <c r="AC197" s="30" t="str">
        <f aca="false">IF(M197="","",IF(AB197="",M197*Parámetros!$B$6,AB197))</f>
        <v/>
      </c>
      <c r="AD197" s="30" t="str">
        <f aca="false">IF(M197="","",SUM(T197:Z197)+AC197)</f>
        <v/>
      </c>
      <c r="AE197" s="30" t="str">
        <f aca="false">IF(OR(M197="",N197=""),"",M197-N197)</f>
        <v/>
      </c>
      <c r="AF197" s="30" t="str">
        <f aca="false">IF(AE197="","",AE197-AD197)</f>
        <v/>
      </c>
      <c r="AG197" s="28" t="str">
        <f aca="false">IF(OR(AF197="",M197=0),"",AF197/M197)</f>
        <v/>
      </c>
      <c r="AH197" s="32" t="str">
        <f aca="false">IF(OR(AE197="",N197=0),"",AE197/(N197/1000))</f>
        <v/>
      </c>
      <c r="AI197" s="30" t="str">
        <f aca="false">IF(O197="","",M197*P197)</f>
        <v/>
      </c>
      <c r="AJ197" s="11" t="str">
        <f aca="false">IF(O197="","",IF(O197&gt;1,"Error: rend &gt; 100 %",IF(SUM(T197:Z197)=0,"Falta registrar pérdidas",IF(ABS(AG197)&gt;Parámetros!$B$7,"Revisar balance",IF(O197&lt;P197,"Bajo meta","OK")))))</f>
        <v/>
      </c>
      <c r="AK197" s="33"/>
      <c r="AL197" s="10"/>
      <c r="AM197" s="33"/>
      <c r="AN197" s="33"/>
      <c r="AO197" s="10"/>
    </row>
    <row r="198" customFormat="false" ht="15" hidden="false" customHeight="false" outlineLevel="0" collapsed="false">
      <c r="A198" s="22"/>
      <c r="B198" s="23" t="str">
        <f aca="false">IF(A198="","",YEAR(A198-WEEKDAY(A198,2)+4))</f>
        <v/>
      </c>
      <c r="C198" s="23" t="str">
        <f aca="false">IF(A198="","",WEEKNUM(A198,21))</f>
        <v/>
      </c>
      <c r="D198" s="24" t="str">
        <f aca="false">IF(A198="","",DATE(YEAR(A198),MONTH(A198),1))</f>
        <v/>
      </c>
      <c r="E198" s="10"/>
      <c r="F198" s="25"/>
      <c r="G198" s="25"/>
      <c r="H198" s="10"/>
      <c r="I198" s="10"/>
      <c r="J198" s="26"/>
      <c r="K198" s="25"/>
      <c r="L198" s="26"/>
      <c r="M198" s="27"/>
      <c r="N198" s="27"/>
      <c r="O198" s="28" t="str">
        <f aca="false">IF(OR(M198="",M198=0,N198=""),"",N198/M198)</f>
        <v/>
      </c>
      <c r="P198" s="28" t="str">
        <f aca="false">IF(M198="","",IFERROR(IF(INDEX(Parámetros!$B$14:$B$21,MATCH(I198,Parámetros!$A$14:$A$21,0))="",Parámetros!$B$5,INDEX(Parámetros!$B$14:$B$21,MATCH(I198,Parámetros!$A$14:$A$21,0))),Parámetros!$B$5))</f>
        <v/>
      </c>
      <c r="Q198" s="29" t="str">
        <f aca="false">IF(O198="","",(O198-P198)*100)</f>
        <v/>
      </c>
      <c r="R198" s="30" t="str">
        <f aca="false">IF(O198="","",MAX(0,M198*(P198-O198)))</f>
        <v/>
      </c>
      <c r="S198" s="31" t="str">
        <f aca="false">IF(OR(L198="",L198=0,N198=""),"",N198/1000/L198)</f>
        <v/>
      </c>
      <c r="T198" s="27"/>
      <c r="U198" s="27"/>
      <c r="V198" s="27"/>
      <c r="W198" s="27"/>
      <c r="X198" s="27"/>
      <c r="Y198" s="27"/>
      <c r="Z198" s="27"/>
      <c r="AA198" s="25"/>
      <c r="AB198" s="27"/>
      <c r="AC198" s="30" t="str">
        <f aca="false">IF(M198="","",IF(AB198="",M198*Parámetros!$B$6,AB198))</f>
        <v/>
      </c>
      <c r="AD198" s="30" t="str">
        <f aca="false">IF(M198="","",SUM(T198:Z198)+AC198)</f>
        <v/>
      </c>
      <c r="AE198" s="30" t="str">
        <f aca="false">IF(OR(M198="",N198=""),"",M198-N198)</f>
        <v/>
      </c>
      <c r="AF198" s="30" t="str">
        <f aca="false">IF(AE198="","",AE198-AD198)</f>
        <v/>
      </c>
      <c r="AG198" s="28" t="str">
        <f aca="false">IF(OR(AF198="",M198=0),"",AF198/M198)</f>
        <v/>
      </c>
      <c r="AH198" s="32" t="str">
        <f aca="false">IF(OR(AE198="",N198=0),"",AE198/(N198/1000))</f>
        <v/>
      </c>
      <c r="AI198" s="30" t="str">
        <f aca="false">IF(O198="","",M198*P198)</f>
        <v/>
      </c>
      <c r="AJ198" s="11" t="str">
        <f aca="false">IF(O198="","",IF(O198&gt;1,"Error: rend &gt; 100 %",IF(SUM(T198:Z198)=0,"Falta registrar pérdidas",IF(ABS(AG198)&gt;Parámetros!$B$7,"Revisar balance",IF(O198&lt;P198,"Bajo meta","OK")))))</f>
        <v/>
      </c>
      <c r="AK198" s="33"/>
      <c r="AL198" s="10"/>
      <c r="AM198" s="33"/>
      <c r="AN198" s="33"/>
      <c r="AO198" s="10"/>
    </row>
    <row r="199" customFormat="false" ht="15" hidden="false" customHeight="false" outlineLevel="0" collapsed="false">
      <c r="A199" s="22"/>
      <c r="B199" s="23" t="str">
        <f aca="false">IF(A199="","",YEAR(A199-WEEKDAY(A199,2)+4))</f>
        <v/>
      </c>
      <c r="C199" s="23" t="str">
        <f aca="false">IF(A199="","",WEEKNUM(A199,21))</f>
        <v/>
      </c>
      <c r="D199" s="24" t="str">
        <f aca="false">IF(A199="","",DATE(YEAR(A199),MONTH(A199),1))</f>
        <v/>
      </c>
      <c r="E199" s="10"/>
      <c r="F199" s="25"/>
      <c r="G199" s="25"/>
      <c r="H199" s="10"/>
      <c r="I199" s="10"/>
      <c r="J199" s="26"/>
      <c r="K199" s="25"/>
      <c r="L199" s="26"/>
      <c r="M199" s="27"/>
      <c r="N199" s="27"/>
      <c r="O199" s="28" t="str">
        <f aca="false">IF(OR(M199="",M199=0,N199=""),"",N199/M199)</f>
        <v/>
      </c>
      <c r="P199" s="28" t="str">
        <f aca="false">IF(M199="","",IFERROR(IF(INDEX(Parámetros!$B$14:$B$21,MATCH(I199,Parámetros!$A$14:$A$21,0))="",Parámetros!$B$5,INDEX(Parámetros!$B$14:$B$21,MATCH(I199,Parámetros!$A$14:$A$21,0))),Parámetros!$B$5))</f>
        <v/>
      </c>
      <c r="Q199" s="29" t="str">
        <f aca="false">IF(O199="","",(O199-P199)*100)</f>
        <v/>
      </c>
      <c r="R199" s="30" t="str">
        <f aca="false">IF(O199="","",MAX(0,M199*(P199-O199)))</f>
        <v/>
      </c>
      <c r="S199" s="31" t="str">
        <f aca="false">IF(OR(L199="",L199=0,N199=""),"",N199/1000/L199)</f>
        <v/>
      </c>
      <c r="T199" s="27"/>
      <c r="U199" s="27"/>
      <c r="V199" s="27"/>
      <c r="W199" s="27"/>
      <c r="X199" s="27"/>
      <c r="Y199" s="27"/>
      <c r="Z199" s="27"/>
      <c r="AA199" s="25"/>
      <c r="AB199" s="27"/>
      <c r="AC199" s="30" t="str">
        <f aca="false">IF(M199="","",IF(AB199="",M199*Parámetros!$B$6,AB199))</f>
        <v/>
      </c>
      <c r="AD199" s="30" t="str">
        <f aca="false">IF(M199="","",SUM(T199:Z199)+AC199)</f>
        <v/>
      </c>
      <c r="AE199" s="30" t="str">
        <f aca="false">IF(OR(M199="",N199=""),"",M199-N199)</f>
        <v/>
      </c>
      <c r="AF199" s="30" t="str">
        <f aca="false">IF(AE199="","",AE199-AD199)</f>
        <v/>
      </c>
      <c r="AG199" s="28" t="str">
        <f aca="false">IF(OR(AF199="",M199=0),"",AF199/M199)</f>
        <v/>
      </c>
      <c r="AH199" s="32" t="str">
        <f aca="false">IF(OR(AE199="",N199=0),"",AE199/(N199/1000))</f>
        <v/>
      </c>
      <c r="AI199" s="30" t="str">
        <f aca="false">IF(O199="","",M199*P199)</f>
        <v/>
      </c>
      <c r="AJ199" s="11" t="str">
        <f aca="false">IF(O199="","",IF(O199&gt;1,"Error: rend &gt; 100 %",IF(SUM(T199:Z199)=0,"Falta registrar pérdidas",IF(ABS(AG199)&gt;Parámetros!$B$7,"Revisar balance",IF(O199&lt;P199,"Bajo meta","OK")))))</f>
        <v/>
      </c>
      <c r="AK199" s="33"/>
      <c r="AL199" s="10"/>
      <c r="AM199" s="33"/>
      <c r="AN199" s="33"/>
      <c r="AO199" s="10"/>
    </row>
    <row r="200" customFormat="false" ht="15" hidden="false" customHeight="false" outlineLevel="0" collapsed="false">
      <c r="A200" s="22"/>
      <c r="B200" s="23" t="str">
        <f aca="false">IF(A200="","",YEAR(A200-WEEKDAY(A200,2)+4))</f>
        <v/>
      </c>
      <c r="C200" s="23" t="str">
        <f aca="false">IF(A200="","",WEEKNUM(A200,21))</f>
        <v/>
      </c>
      <c r="D200" s="24" t="str">
        <f aca="false">IF(A200="","",DATE(YEAR(A200),MONTH(A200),1))</f>
        <v/>
      </c>
      <c r="E200" s="10"/>
      <c r="F200" s="25"/>
      <c r="G200" s="25"/>
      <c r="H200" s="10"/>
      <c r="I200" s="10"/>
      <c r="J200" s="26"/>
      <c r="K200" s="25"/>
      <c r="L200" s="26"/>
      <c r="M200" s="27"/>
      <c r="N200" s="27"/>
      <c r="O200" s="28" t="str">
        <f aca="false">IF(OR(M200="",M200=0,N200=""),"",N200/M200)</f>
        <v/>
      </c>
      <c r="P200" s="28" t="str">
        <f aca="false">IF(M200="","",IFERROR(IF(INDEX(Parámetros!$B$14:$B$21,MATCH(I200,Parámetros!$A$14:$A$21,0))="",Parámetros!$B$5,INDEX(Parámetros!$B$14:$B$21,MATCH(I200,Parámetros!$A$14:$A$21,0))),Parámetros!$B$5))</f>
        <v/>
      </c>
      <c r="Q200" s="29" t="str">
        <f aca="false">IF(O200="","",(O200-P200)*100)</f>
        <v/>
      </c>
      <c r="R200" s="30" t="str">
        <f aca="false">IF(O200="","",MAX(0,M200*(P200-O200)))</f>
        <v/>
      </c>
      <c r="S200" s="31" t="str">
        <f aca="false">IF(OR(L200="",L200=0,N200=""),"",N200/1000/L200)</f>
        <v/>
      </c>
      <c r="T200" s="27"/>
      <c r="U200" s="27"/>
      <c r="V200" s="27"/>
      <c r="W200" s="27"/>
      <c r="X200" s="27"/>
      <c r="Y200" s="27"/>
      <c r="Z200" s="27"/>
      <c r="AA200" s="25"/>
      <c r="AB200" s="27"/>
      <c r="AC200" s="30" t="str">
        <f aca="false">IF(M200="","",IF(AB200="",M200*Parámetros!$B$6,AB200))</f>
        <v/>
      </c>
      <c r="AD200" s="30" t="str">
        <f aca="false">IF(M200="","",SUM(T200:Z200)+AC200)</f>
        <v/>
      </c>
      <c r="AE200" s="30" t="str">
        <f aca="false">IF(OR(M200="",N200=""),"",M200-N200)</f>
        <v/>
      </c>
      <c r="AF200" s="30" t="str">
        <f aca="false">IF(AE200="","",AE200-AD200)</f>
        <v/>
      </c>
      <c r="AG200" s="28" t="str">
        <f aca="false">IF(OR(AF200="",M200=0),"",AF200/M200)</f>
        <v/>
      </c>
      <c r="AH200" s="32" t="str">
        <f aca="false">IF(OR(AE200="",N200=0),"",AE200/(N200/1000))</f>
        <v/>
      </c>
      <c r="AI200" s="30" t="str">
        <f aca="false">IF(O200="","",M200*P200)</f>
        <v/>
      </c>
      <c r="AJ200" s="11" t="str">
        <f aca="false">IF(O200="","",IF(O200&gt;1,"Error: rend &gt; 100 %",IF(SUM(T200:Z200)=0,"Falta registrar pérdidas",IF(ABS(AG200)&gt;Parámetros!$B$7,"Revisar balance",IF(O200&lt;P200,"Bajo meta","OK")))))</f>
        <v/>
      </c>
      <c r="AK200" s="33"/>
      <c r="AL200" s="10"/>
      <c r="AM200" s="33"/>
      <c r="AN200" s="33"/>
      <c r="AO200" s="10"/>
    </row>
    <row r="201" customFormat="false" ht="15" hidden="false" customHeight="false" outlineLevel="0" collapsed="false">
      <c r="A201" s="22"/>
      <c r="B201" s="23" t="str">
        <f aca="false">IF(A201="","",YEAR(A201-WEEKDAY(A201,2)+4))</f>
        <v/>
      </c>
      <c r="C201" s="23" t="str">
        <f aca="false">IF(A201="","",WEEKNUM(A201,21))</f>
        <v/>
      </c>
      <c r="D201" s="24" t="str">
        <f aca="false">IF(A201="","",DATE(YEAR(A201),MONTH(A201),1))</f>
        <v/>
      </c>
      <c r="E201" s="10"/>
      <c r="F201" s="25"/>
      <c r="G201" s="25"/>
      <c r="H201" s="10"/>
      <c r="I201" s="10"/>
      <c r="J201" s="26"/>
      <c r="K201" s="25"/>
      <c r="L201" s="26"/>
      <c r="M201" s="27"/>
      <c r="N201" s="27"/>
      <c r="O201" s="28" t="str">
        <f aca="false">IF(OR(M201="",M201=0,N201=""),"",N201/M201)</f>
        <v/>
      </c>
      <c r="P201" s="28" t="str">
        <f aca="false">IF(M201="","",IFERROR(IF(INDEX(Parámetros!$B$14:$B$21,MATCH(I201,Parámetros!$A$14:$A$21,0))="",Parámetros!$B$5,INDEX(Parámetros!$B$14:$B$21,MATCH(I201,Parámetros!$A$14:$A$21,0))),Parámetros!$B$5))</f>
        <v/>
      </c>
      <c r="Q201" s="29" t="str">
        <f aca="false">IF(O201="","",(O201-P201)*100)</f>
        <v/>
      </c>
      <c r="R201" s="30" t="str">
        <f aca="false">IF(O201="","",MAX(0,M201*(P201-O201)))</f>
        <v/>
      </c>
      <c r="S201" s="31" t="str">
        <f aca="false">IF(OR(L201="",L201=0,N201=""),"",N201/1000/L201)</f>
        <v/>
      </c>
      <c r="T201" s="27"/>
      <c r="U201" s="27"/>
      <c r="V201" s="27"/>
      <c r="W201" s="27"/>
      <c r="X201" s="27"/>
      <c r="Y201" s="27"/>
      <c r="Z201" s="27"/>
      <c r="AA201" s="25"/>
      <c r="AB201" s="27"/>
      <c r="AC201" s="30" t="str">
        <f aca="false">IF(M201="","",IF(AB201="",M201*Parámetros!$B$6,AB201))</f>
        <v/>
      </c>
      <c r="AD201" s="30" t="str">
        <f aca="false">IF(M201="","",SUM(T201:Z201)+AC201)</f>
        <v/>
      </c>
      <c r="AE201" s="30" t="str">
        <f aca="false">IF(OR(M201="",N201=""),"",M201-N201)</f>
        <v/>
      </c>
      <c r="AF201" s="30" t="str">
        <f aca="false">IF(AE201="","",AE201-AD201)</f>
        <v/>
      </c>
      <c r="AG201" s="28" t="str">
        <f aca="false">IF(OR(AF201="",M201=0),"",AF201/M201)</f>
        <v/>
      </c>
      <c r="AH201" s="32" t="str">
        <f aca="false">IF(OR(AE201="",N201=0),"",AE201/(N201/1000))</f>
        <v/>
      </c>
      <c r="AI201" s="30" t="str">
        <f aca="false">IF(O201="","",M201*P201)</f>
        <v/>
      </c>
      <c r="AJ201" s="11" t="str">
        <f aca="false">IF(O201="","",IF(O201&gt;1,"Error: rend &gt; 100 %",IF(SUM(T201:Z201)=0,"Falta registrar pérdidas",IF(ABS(AG201)&gt;Parámetros!$B$7,"Revisar balance",IF(O201&lt;P201,"Bajo meta","OK")))))</f>
        <v/>
      </c>
      <c r="AK201" s="33"/>
      <c r="AL201" s="10"/>
      <c r="AM201" s="33"/>
      <c r="AN201" s="33"/>
      <c r="AO201" s="10"/>
    </row>
    <row r="202" customFormat="false" ht="15" hidden="false" customHeight="false" outlineLevel="0" collapsed="false">
      <c r="A202" s="22"/>
      <c r="B202" s="23" t="str">
        <f aca="false">IF(A202="","",YEAR(A202-WEEKDAY(A202,2)+4))</f>
        <v/>
      </c>
      <c r="C202" s="23" t="str">
        <f aca="false">IF(A202="","",WEEKNUM(A202,21))</f>
        <v/>
      </c>
      <c r="D202" s="24" t="str">
        <f aca="false">IF(A202="","",DATE(YEAR(A202),MONTH(A202),1))</f>
        <v/>
      </c>
      <c r="E202" s="10"/>
      <c r="F202" s="25"/>
      <c r="G202" s="25"/>
      <c r="H202" s="10"/>
      <c r="I202" s="10"/>
      <c r="J202" s="26"/>
      <c r="K202" s="25"/>
      <c r="L202" s="26"/>
      <c r="M202" s="27"/>
      <c r="N202" s="27"/>
      <c r="O202" s="28" t="str">
        <f aca="false">IF(OR(M202="",M202=0,N202=""),"",N202/M202)</f>
        <v/>
      </c>
      <c r="P202" s="28" t="str">
        <f aca="false">IF(M202="","",IFERROR(IF(INDEX(Parámetros!$B$14:$B$21,MATCH(I202,Parámetros!$A$14:$A$21,0))="",Parámetros!$B$5,INDEX(Parámetros!$B$14:$B$21,MATCH(I202,Parámetros!$A$14:$A$21,0))),Parámetros!$B$5))</f>
        <v/>
      </c>
      <c r="Q202" s="29" t="str">
        <f aca="false">IF(O202="","",(O202-P202)*100)</f>
        <v/>
      </c>
      <c r="R202" s="30" t="str">
        <f aca="false">IF(O202="","",MAX(0,M202*(P202-O202)))</f>
        <v/>
      </c>
      <c r="S202" s="31" t="str">
        <f aca="false">IF(OR(L202="",L202=0,N202=""),"",N202/1000/L202)</f>
        <v/>
      </c>
      <c r="T202" s="27"/>
      <c r="U202" s="27"/>
      <c r="V202" s="27"/>
      <c r="W202" s="27"/>
      <c r="X202" s="27"/>
      <c r="Y202" s="27"/>
      <c r="Z202" s="27"/>
      <c r="AA202" s="25"/>
      <c r="AB202" s="27"/>
      <c r="AC202" s="30" t="str">
        <f aca="false">IF(M202="","",IF(AB202="",M202*Parámetros!$B$6,AB202))</f>
        <v/>
      </c>
      <c r="AD202" s="30" t="str">
        <f aca="false">IF(M202="","",SUM(T202:Z202)+AC202)</f>
        <v/>
      </c>
      <c r="AE202" s="30" t="str">
        <f aca="false">IF(OR(M202="",N202=""),"",M202-N202)</f>
        <v/>
      </c>
      <c r="AF202" s="30" t="str">
        <f aca="false">IF(AE202="","",AE202-AD202)</f>
        <v/>
      </c>
      <c r="AG202" s="28" t="str">
        <f aca="false">IF(OR(AF202="",M202=0),"",AF202/M202)</f>
        <v/>
      </c>
      <c r="AH202" s="32" t="str">
        <f aca="false">IF(OR(AE202="",N202=0),"",AE202/(N202/1000))</f>
        <v/>
      </c>
      <c r="AI202" s="30" t="str">
        <f aca="false">IF(O202="","",M202*P202)</f>
        <v/>
      </c>
      <c r="AJ202" s="11" t="str">
        <f aca="false">IF(O202="","",IF(O202&gt;1,"Error: rend &gt; 100 %",IF(SUM(T202:Z202)=0,"Falta registrar pérdidas",IF(ABS(AG202)&gt;Parámetros!$B$7,"Revisar balance",IF(O202&lt;P202,"Bajo meta","OK")))))</f>
        <v/>
      </c>
      <c r="AK202" s="33"/>
      <c r="AL202" s="10"/>
      <c r="AM202" s="33"/>
      <c r="AN202" s="33"/>
      <c r="AO202" s="10"/>
    </row>
    <row r="203" customFormat="false" ht="15" hidden="false" customHeight="false" outlineLevel="0" collapsed="false">
      <c r="A203" s="22"/>
      <c r="B203" s="23" t="str">
        <f aca="false">IF(A203="","",YEAR(A203-WEEKDAY(A203,2)+4))</f>
        <v/>
      </c>
      <c r="C203" s="23" t="str">
        <f aca="false">IF(A203="","",WEEKNUM(A203,21))</f>
        <v/>
      </c>
      <c r="D203" s="24" t="str">
        <f aca="false">IF(A203="","",DATE(YEAR(A203),MONTH(A203),1))</f>
        <v/>
      </c>
      <c r="E203" s="10"/>
      <c r="F203" s="25"/>
      <c r="G203" s="25"/>
      <c r="H203" s="10"/>
      <c r="I203" s="10"/>
      <c r="J203" s="26"/>
      <c r="K203" s="25"/>
      <c r="L203" s="26"/>
      <c r="M203" s="27"/>
      <c r="N203" s="27"/>
      <c r="O203" s="28" t="str">
        <f aca="false">IF(OR(M203="",M203=0,N203=""),"",N203/M203)</f>
        <v/>
      </c>
      <c r="P203" s="28" t="str">
        <f aca="false">IF(M203="","",IFERROR(IF(INDEX(Parámetros!$B$14:$B$21,MATCH(I203,Parámetros!$A$14:$A$21,0))="",Parámetros!$B$5,INDEX(Parámetros!$B$14:$B$21,MATCH(I203,Parámetros!$A$14:$A$21,0))),Parámetros!$B$5))</f>
        <v/>
      </c>
      <c r="Q203" s="29" t="str">
        <f aca="false">IF(O203="","",(O203-P203)*100)</f>
        <v/>
      </c>
      <c r="R203" s="30" t="str">
        <f aca="false">IF(O203="","",MAX(0,M203*(P203-O203)))</f>
        <v/>
      </c>
      <c r="S203" s="31" t="str">
        <f aca="false">IF(OR(L203="",L203=0,N203=""),"",N203/1000/L203)</f>
        <v/>
      </c>
      <c r="T203" s="27"/>
      <c r="U203" s="27"/>
      <c r="V203" s="27"/>
      <c r="W203" s="27"/>
      <c r="X203" s="27"/>
      <c r="Y203" s="27"/>
      <c r="Z203" s="27"/>
      <c r="AA203" s="25"/>
      <c r="AB203" s="27"/>
      <c r="AC203" s="30" t="str">
        <f aca="false">IF(M203="","",IF(AB203="",M203*Parámetros!$B$6,AB203))</f>
        <v/>
      </c>
      <c r="AD203" s="30" t="str">
        <f aca="false">IF(M203="","",SUM(T203:Z203)+AC203)</f>
        <v/>
      </c>
      <c r="AE203" s="30" t="str">
        <f aca="false">IF(OR(M203="",N203=""),"",M203-N203)</f>
        <v/>
      </c>
      <c r="AF203" s="30" t="str">
        <f aca="false">IF(AE203="","",AE203-AD203)</f>
        <v/>
      </c>
      <c r="AG203" s="28" t="str">
        <f aca="false">IF(OR(AF203="",M203=0),"",AF203/M203)</f>
        <v/>
      </c>
      <c r="AH203" s="32" t="str">
        <f aca="false">IF(OR(AE203="",N203=0),"",AE203/(N203/1000))</f>
        <v/>
      </c>
      <c r="AI203" s="30" t="str">
        <f aca="false">IF(O203="","",M203*P203)</f>
        <v/>
      </c>
      <c r="AJ203" s="11" t="str">
        <f aca="false">IF(O203="","",IF(O203&gt;1,"Error: rend &gt; 100 %",IF(SUM(T203:Z203)=0,"Falta registrar pérdidas",IF(ABS(AG203)&gt;Parámetros!$B$7,"Revisar balance",IF(O203&lt;P203,"Bajo meta","OK")))))</f>
        <v/>
      </c>
      <c r="AK203" s="33"/>
      <c r="AL203" s="10"/>
      <c r="AM203" s="33"/>
      <c r="AN203" s="33"/>
      <c r="AO203" s="10"/>
    </row>
    <row r="204" customFormat="false" ht="15" hidden="false" customHeight="false" outlineLevel="0" collapsed="false">
      <c r="A204" s="22"/>
      <c r="B204" s="23" t="str">
        <f aca="false">IF(A204="","",YEAR(A204-WEEKDAY(A204,2)+4))</f>
        <v/>
      </c>
      <c r="C204" s="23" t="str">
        <f aca="false">IF(A204="","",WEEKNUM(A204,21))</f>
        <v/>
      </c>
      <c r="D204" s="24" t="str">
        <f aca="false">IF(A204="","",DATE(YEAR(A204),MONTH(A204),1))</f>
        <v/>
      </c>
      <c r="E204" s="10"/>
      <c r="F204" s="25"/>
      <c r="G204" s="25"/>
      <c r="H204" s="10"/>
      <c r="I204" s="10"/>
      <c r="J204" s="26"/>
      <c r="K204" s="25"/>
      <c r="L204" s="26"/>
      <c r="M204" s="27"/>
      <c r="N204" s="27"/>
      <c r="O204" s="28" t="str">
        <f aca="false">IF(OR(M204="",M204=0,N204=""),"",N204/M204)</f>
        <v/>
      </c>
      <c r="P204" s="28" t="str">
        <f aca="false">IF(M204="","",IFERROR(IF(INDEX(Parámetros!$B$14:$B$21,MATCH(I204,Parámetros!$A$14:$A$21,0))="",Parámetros!$B$5,INDEX(Parámetros!$B$14:$B$21,MATCH(I204,Parámetros!$A$14:$A$21,0))),Parámetros!$B$5))</f>
        <v/>
      </c>
      <c r="Q204" s="29" t="str">
        <f aca="false">IF(O204="","",(O204-P204)*100)</f>
        <v/>
      </c>
      <c r="R204" s="30" t="str">
        <f aca="false">IF(O204="","",MAX(0,M204*(P204-O204)))</f>
        <v/>
      </c>
      <c r="S204" s="31" t="str">
        <f aca="false">IF(OR(L204="",L204=0,N204=""),"",N204/1000/L204)</f>
        <v/>
      </c>
      <c r="T204" s="27"/>
      <c r="U204" s="27"/>
      <c r="V204" s="27"/>
      <c r="W204" s="27"/>
      <c r="X204" s="27"/>
      <c r="Y204" s="27"/>
      <c r="Z204" s="27"/>
      <c r="AA204" s="25"/>
      <c r="AB204" s="27"/>
      <c r="AC204" s="30" t="str">
        <f aca="false">IF(M204="","",IF(AB204="",M204*Parámetros!$B$6,AB204))</f>
        <v/>
      </c>
      <c r="AD204" s="30" t="str">
        <f aca="false">IF(M204="","",SUM(T204:Z204)+AC204)</f>
        <v/>
      </c>
      <c r="AE204" s="30" t="str">
        <f aca="false">IF(OR(M204="",N204=""),"",M204-N204)</f>
        <v/>
      </c>
      <c r="AF204" s="30" t="str">
        <f aca="false">IF(AE204="","",AE204-AD204)</f>
        <v/>
      </c>
      <c r="AG204" s="28" t="str">
        <f aca="false">IF(OR(AF204="",M204=0),"",AF204/M204)</f>
        <v/>
      </c>
      <c r="AH204" s="32" t="str">
        <f aca="false">IF(OR(AE204="",N204=0),"",AE204/(N204/1000))</f>
        <v/>
      </c>
      <c r="AI204" s="30" t="str">
        <f aca="false">IF(O204="","",M204*P204)</f>
        <v/>
      </c>
      <c r="AJ204" s="11" t="str">
        <f aca="false">IF(O204="","",IF(O204&gt;1,"Error: rend &gt; 100 %",IF(SUM(T204:Z204)=0,"Falta registrar pérdidas",IF(ABS(AG204)&gt;Parámetros!$B$7,"Revisar balance",IF(O204&lt;P204,"Bajo meta","OK")))))</f>
        <v/>
      </c>
      <c r="AK204" s="33"/>
      <c r="AL204" s="10"/>
      <c r="AM204" s="33"/>
      <c r="AN204" s="33"/>
      <c r="AO204" s="10"/>
    </row>
    <row r="205" customFormat="false" ht="15" hidden="false" customHeight="false" outlineLevel="0" collapsed="false">
      <c r="A205" s="22"/>
      <c r="B205" s="23" t="str">
        <f aca="false">IF(A205="","",YEAR(A205-WEEKDAY(A205,2)+4))</f>
        <v/>
      </c>
      <c r="C205" s="23" t="str">
        <f aca="false">IF(A205="","",WEEKNUM(A205,21))</f>
        <v/>
      </c>
      <c r="D205" s="24" t="str">
        <f aca="false">IF(A205="","",DATE(YEAR(A205),MONTH(A205),1))</f>
        <v/>
      </c>
      <c r="E205" s="10"/>
      <c r="F205" s="25"/>
      <c r="G205" s="25"/>
      <c r="H205" s="10"/>
      <c r="I205" s="10"/>
      <c r="J205" s="26"/>
      <c r="K205" s="25"/>
      <c r="L205" s="26"/>
      <c r="M205" s="27"/>
      <c r="N205" s="27"/>
      <c r="O205" s="28" t="str">
        <f aca="false">IF(OR(M205="",M205=0,N205=""),"",N205/M205)</f>
        <v/>
      </c>
      <c r="P205" s="28" t="str">
        <f aca="false">IF(M205="","",IFERROR(IF(INDEX(Parámetros!$B$14:$B$21,MATCH(I205,Parámetros!$A$14:$A$21,0))="",Parámetros!$B$5,INDEX(Parámetros!$B$14:$B$21,MATCH(I205,Parámetros!$A$14:$A$21,0))),Parámetros!$B$5))</f>
        <v/>
      </c>
      <c r="Q205" s="29" t="str">
        <f aca="false">IF(O205="","",(O205-P205)*100)</f>
        <v/>
      </c>
      <c r="R205" s="30" t="str">
        <f aca="false">IF(O205="","",MAX(0,M205*(P205-O205)))</f>
        <v/>
      </c>
      <c r="S205" s="31" t="str">
        <f aca="false">IF(OR(L205="",L205=0,N205=""),"",N205/1000/L205)</f>
        <v/>
      </c>
      <c r="T205" s="27"/>
      <c r="U205" s="27"/>
      <c r="V205" s="27"/>
      <c r="W205" s="27"/>
      <c r="X205" s="27"/>
      <c r="Y205" s="27"/>
      <c r="Z205" s="27"/>
      <c r="AA205" s="25"/>
      <c r="AB205" s="27"/>
      <c r="AC205" s="30" t="str">
        <f aca="false">IF(M205="","",IF(AB205="",M205*Parámetros!$B$6,AB205))</f>
        <v/>
      </c>
      <c r="AD205" s="30" t="str">
        <f aca="false">IF(M205="","",SUM(T205:Z205)+AC205)</f>
        <v/>
      </c>
      <c r="AE205" s="30" t="str">
        <f aca="false">IF(OR(M205="",N205=""),"",M205-N205)</f>
        <v/>
      </c>
      <c r="AF205" s="30" t="str">
        <f aca="false">IF(AE205="","",AE205-AD205)</f>
        <v/>
      </c>
      <c r="AG205" s="28" t="str">
        <f aca="false">IF(OR(AF205="",M205=0),"",AF205/M205)</f>
        <v/>
      </c>
      <c r="AH205" s="32" t="str">
        <f aca="false">IF(OR(AE205="",N205=0),"",AE205/(N205/1000))</f>
        <v/>
      </c>
      <c r="AI205" s="30" t="str">
        <f aca="false">IF(O205="","",M205*P205)</f>
        <v/>
      </c>
      <c r="AJ205" s="11" t="str">
        <f aca="false">IF(O205="","",IF(O205&gt;1,"Error: rend &gt; 100 %",IF(SUM(T205:Z205)=0,"Falta registrar pérdidas",IF(ABS(AG205)&gt;Parámetros!$B$7,"Revisar balance",IF(O205&lt;P205,"Bajo meta","OK")))))</f>
        <v/>
      </c>
      <c r="AK205" s="33"/>
      <c r="AL205" s="10"/>
      <c r="AM205" s="33"/>
      <c r="AN205" s="33"/>
      <c r="AO205" s="10"/>
    </row>
    <row r="206" customFormat="false" ht="15" hidden="false" customHeight="false" outlineLevel="0" collapsed="false">
      <c r="A206" s="22"/>
      <c r="B206" s="23" t="str">
        <f aca="false">IF(A206="","",YEAR(A206-WEEKDAY(A206,2)+4))</f>
        <v/>
      </c>
      <c r="C206" s="23" t="str">
        <f aca="false">IF(A206="","",WEEKNUM(A206,21))</f>
        <v/>
      </c>
      <c r="D206" s="24" t="str">
        <f aca="false">IF(A206="","",DATE(YEAR(A206),MONTH(A206),1))</f>
        <v/>
      </c>
      <c r="E206" s="10"/>
      <c r="F206" s="25"/>
      <c r="G206" s="25"/>
      <c r="H206" s="10"/>
      <c r="I206" s="10"/>
      <c r="J206" s="26"/>
      <c r="K206" s="25"/>
      <c r="L206" s="26"/>
      <c r="M206" s="27"/>
      <c r="N206" s="27"/>
      <c r="O206" s="28" t="str">
        <f aca="false">IF(OR(M206="",M206=0,N206=""),"",N206/M206)</f>
        <v/>
      </c>
      <c r="P206" s="28" t="str">
        <f aca="false">IF(M206="","",IFERROR(IF(INDEX(Parámetros!$B$14:$B$21,MATCH(I206,Parámetros!$A$14:$A$21,0))="",Parámetros!$B$5,INDEX(Parámetros!$B$14:$B$21,MATCH(I206,Parámetros!$A$14:$A$21,0))),Parámetros!$B$5))</f>
        <v/>
      </c>
      <c r="Q206" s="29" t="str">
        <f aca="false">IF(O206="","",(O206-P206)*100)</f>
        <v/>
      </c>
      <c r="R206" s="30" t="str">
        <f aca="false">IF(O206="","",MAX(0,M206*(P206-O206)))</f>
        <v/>
      </c>
      <c r="S206" s="31" t="str">
        <f aca="false">IF(OR(L206="",L206=0,N206=""),"",N206/1000/L206)</f>
        <v/>
      </c>
      <c r="T206" s="27"/>
      <c r="U206" s="27"/>
      <c r="V206" s="27"/>
      <c r="W206" s="27"/>
      <c r="X206" s="27"/>
      <c r="Y206" s="27"/>
      <c r="Z206" s="27"/>
      <c r="AA206" s="25"/>
      <c r="AB206" s="27"/>
      <c r="AC206" s="30" t="str">
        <f aca="false">IF(M206="","",IF(AB206="",M206*Parámetros!$B$6,AB206))</f>
        <v/>
      </c>
      <c r="AD206" s="30" t="str">
        <f aca="false">IF(M206="","",SUM(T206:Z206)+AC206)</f>
        <v/>
      </c>
      <c r="AE206" s="30" t="str">
        <f aca="false">IF(OR(M206="",N206=""),"",M206-N206)</f>
        <v/>
      </c>
      <c r="AF206" s="30" t="str">
        <f aca="false">IF(AE206="","",AE206-AD206)</f>
        <v/>
      </c>
      <c r="AG206" s="28" t="str">
        <f aca="false">IF(OR(AF206="",M206=0),"",AF206/M206)</f>
        <v/>
      </c>
      <c r="AH206" s="32" t="str">
        <f aca="false">IF(OR(AE206="",N206=0),"",AE206/(N206/1000))</f>
        <v/>
      </c>
      <c r="AI206" s="30" t="str">
        <f aca="false">IF(O206="","",M206*P206)</f>
        <v/>
      </c>
      <c r="AJ206" s="11" t="str">
        <f aca="false">IF(O206="","",IF(O206&gt;1,"Error: rend &gt; 100 %",IF(SUM(T206:Z206)=0,"Falta registrar pérdidas",IF(ABS(AG206)&gt;Parámetros!$B$7,"Revisar balance",IF(O206&lt;P206,"Bajo meta","OK")))))</f>
        <v/>
      </c>
      <c r="AK206" s="33"/>
      <c r="AL206" s="10"/>
      <c r="AM206" s="33"/>
      <c r="AN206" s="33"/>
      <c r="AO206" s="10"/>
    </row>
    <row r="207" customFormat="false" ht="15" hidden="false" customHeight="false" outlineLevel="0" collapsed="false">
      <c r="A207" s="22"/>
      <c r="B207" s="23" t="str">
        <f aca="false">IF(A207="","",YEAR(A207-WEEKDAY(A207,2)+4))</f>
        <v/>
      </c>
      <c r="C207" s="23" t="str">
        <f aca="false">IF(A207="","",WEEKNUM(A207,21))</f>
        <v/>
      </c>
      <c r="D207" s="24" t="str">
        <f aca="false">IF(A207="","",DATE(YEAR(A207),MONTH(A207),1))</f>
        <v/>
      </c>
      <c r="E207" s="10"/>
      <c r="F207" s="25"/>
      <c r="G207" s="25"/>
      <c r="H207" s="10"/>
      <c r="I207" s="10"/>
      <c r="J207" s="26"/>
      <c r="K207" s="25"/>
      <c r="L207" s="26"/>
      <c r="M207" s="27"/>
      <c r="N207" s="27"/>
      <c r="O207" s="28" t="str">
        <f aca="false">IF(OR(M207="",M207=0,N207=""),"",N207/M207)</f>
        <v/>
      </c>
      <c r="P207" s="28" t="str">
        <f aca="false">IF(M207="","",IFERROR(IF(INDEX(Parámetros!$B$14:$B$21,MATCH(I207,Parámetros!$A$14:$A$21,0))="",Parámetros!$B$5,INDEX(Parámetros!$B$14:$B$21,MATCH(I207,Parámetros!$A$14:$A$21,0))),Parámetros!$B$5))</f>
        <v/>
      </c>
      <c r="Q207" s="29" t="str">
        <f aca="false">IF(O207="","",(O207-P207)*100)</f>
        <v/>
      </c>
      <c r="R207" s="30" t="str">
        <f aca="false">IF(O207="","",MAX(0,M207*(P207-O207)))</f>
        <v/>
      </c>
      <c r="S207" s="31" t="str">
        <f aca="false">IF(OR(L207="",L207=0,N207=""),"",N207/1000/L207)</f>
        <v/>
      </c>
      <c r="T207" s="27"/>
      <c r="U207" s="27"/>
      <c r="V207" s="27"/>
      <c r="W207" s="27"/>
      <c r="X207" s="27"/>
      <c r="Y207" s="27"/>
      <c r="Z207" s="27"/>
      <c r="AA207" s="25"/>
      <c r="AB207" s="27"/>
      <c r="AC207" s="30" t="str">
        <f aca="false">IF(M207="","",IF(AB207="",M207*Parámetros!$B$6,AB207))</f>
        <v/>
      </c>
      <c r="AD207" s="30" t="str">
        <f aca="false">IF(M207="","",SUM(T207:Z207)+AC207)</f>
        <v/>
      </c>
      <c r="AE207" s="30" t="str">
        <f aca="false">IF(OR(M207="",N207=""),"",M207-N207)</f>
        <v/>
      </c>
      <c r="AF207" s="30" t="str">
        <f aca="false">IF(AE207="","",AE207-AD207)</f>
        <v/>
      </c>
      <c r="AG207" s="28" t="str">
        <f aca="false">IF(OR(AF207="",M207=0),"",AF207/M207)</f>
        <v/>
      </c>
      <c r="AH207" s="32" t="str">
        <f aca="false">IF(OR(AE207="",N207=0),"",AE207/(N207/1000))</f>
        <v/>
      </c>
      <c r="AI207" s="30" t="str">
        <f aca="false">IF(O207="","",M207*P207)</f>
        <v/>
      </c>
      <c r="AJ207" s="11" t="str">
        <f aca="false">IF(O207="","",IF(O207&gt;1,"Error: rend &gt; 100 %",IF(SUM(T207:Z207)=0,"Falta registrar pérdidas",IF(ABS(AG207)&gt;Parámetros!$B$7,"Revisar balance",IF(O207&lt;P207,"Bajo meta","OK")))))</f>
        <v/>
      </c>
      <c r="AK207" s="33"/>
      <c r="AL207" s="10"/>
      <c r="AM207" s="33"/>
      <c r="AN207" s="33"/>
      <c r="AO207" s="10"/>
    </row>
    <row r="208" customFormat="false" ht="15" hidden="false" customHeight="false" outlineLevel="0" collapsed="false">
      <c r="A208" s="22"/>
      <c r="B208" s="23" t="str">
        <f aca="false">IF(A208="","",YEAR(A208-WEEKDAY(A208,2)+4))</f>
        <v/>
      </c>
      <c r="C208" s="23" t="str">
        <f aca="false">IF(A208="","",WEEKNUM(A208,21))</f>
        <v/>
      </c>
      <c r="D208" s="24" t="str">
        <f aca="false">IF(A208="","",DATE(YEAR(A208),MONTH(A208),1))</f>
        <v/>
      </c>
      <c r="E208" s="10"/>
      <c r="F208" s="25"/>
      <c r="G208" s="25"/>
      <c r="H208" s="10"/>
      <c r="I208" s="10"/>
      <c r="J208" s="26"/>
      <c r="K208" s="25"/>
      <c r="L208" s="26"/>
      <c r="M208" s="27"/>
      <c r="N208" s="27"/>
      <c r="O208" s="28" t="str">
        <f aca="false">IF(OR(M208="",M208=0,N208=""),"",N208/M208)</f>
        <v/>
      </c>
      <c r="P208" s="28" t="str">
        <f aca="false">IF(M208="","",IFERROR(IF(INDEX(Parámetros!$B$14:$B$21,MATCH(I208,Parámetros!$A$14:$A$21,0))="",Parámetros!$B$5,INDEX(Parámetros!$B$14:$B$21,MATCH(I208,Parámetros!$A$14:$A$21,0))),Parámetros!$B$5))</f>
        <v/>
      </c>
      <c r="Q208" s="29" t="str">
        <f aca="false">IF(O208="","",(O208-P208)*100)</f>
        <v/>
      </c>
      <c r="R208" s="30" t="str">
        <f aca="false">IF(O208="","",MAX(0,M208*(P208-O208)))</f>
        <v/>
      </c>
      <c r="S208" s="31" t="str">
        <f aca="false">IF(OR(L208="",L208=0,N208=""),"",N208/1000/L208)</f>
        <v/>
      </c>
      <c r="T208" s="27"/>
      <c r="U208" s="27"/>
      <c r="V208" s="27"/>
      <c r="W208" s="27"/>
      <c r="X208" s="27"/>
      <c r="Y208" s="27"/>
      <c r="Z208" s="27"/>
      <c r="AA208" s="25"/>
      <c r="AB208" s="27"/>
      <c r="AC208" s="30" t="str">
        <f aca="false">IF(M208="","",IF(AB208="",M208*Parámetros!$B$6,AB208))</f>
        <v/>
      </c>
      <c r="AD208" s="30" t="str">
        <f aca="false">IF(M208="","",SUM(T208:Z208)+AC208)</f>
        <v/>
      </c>
      <c r="AE208" s="30" t="str">
        <f aca="false">IF(OR(M208="",N208=""),"",M208-N208)</f>
        <v/>
      </c>
      <c r="AF208" s="30" t="str">
        <f aca="false">IF(AE208="","",AE208-AD208)</f>
        <v/>
      </c>
      <c r="AG208" s="28" t="str">
        <f aca="false">IF(OR(AF208="",M208=0),"",AF208/M208)</f>
        <v/>
      </c>
      <c r="AH208" s="32" t="str">
        <f aca="false">IF(OR(AE208="",N208=0),"",AE208/(N208/1000))</f>
        <v/>
      </c>
      <c r="AI208" s="30" t="str">
        <f aca="false">IF(O208="","",M208*P208)</f>
        <v/>
      </c>
      <c r="AJ208" s="11" t="str">
        <f aca="false">IF(O208="","",IF(O208&gt;1,"Error: rend &gt; 100 %",IF(SUM(T208:Z208)=0,"Falta registrar pérdidas",IF(ABS(AG208)&gt;Parámetros!$B$7,"Revisar balance",IF(O208&lt;P208,"Bajo meta","OK")))))</f>
        <v/>
      </c>
      <c r="AK208" s="33"/>
      <c r="AL208" s="10"/>
      <c r="AM208" s="33"/>
      <c r="AN208" s="33"/>
      <c r="AO208" s="10"/>
    </row>
    <row r="209" customFormat="false" ht="15" hidden="false" customHeight="false" outlineLevel="0" collapsed="false">
      <c r="A209" s="22"/>
      <c r="B209" s="23" t="str">
        <f aca="false">IF(A209="","",YEAR(A209-WEEKDAY(A209,2)+4))</f>
        <v/>
      </c>
      <c r="C209" s="23" t="str">
        <f aca="false">IF(A209="","",WEEKNUM(A209,21))</f>
        <v/>
      </c>
      <c r="D209" s="24" t="str">
        <f aca="false">IF(A209="","",DATE(YEAR(A209),MONTH(A209),1))</f>
        <v/>
      </c>
      <c r="E209" s="10"/>
      <c r="F209" s="25"/>
      <c r="G209" s="25"/>
      <c r="H209" s="10"/>
      <c r="I209" s="10"/>
      <c r="J209" s="26"/>
      <c r="K209" s="25"/>
      <c r="L209" s="26"/>
      <c r="M209" s="27"/>
      <c r="N209" s="27"/>
      <c r="O209" s="28" t="str">
        <f aca="false">IF(OR(M209="",M209=0,N209=""),"",N209/M209)</f>
        <v/>
      </c>
      <c r="P209" s="28" t="str">
        <f aca="false">IF(M209="","",IFERROR(IF(INDEX(Parámetros!$B$14:$B$21,MATCH(I209,Parámetros!$A$14:$A$21,0))="",Parámetros!$B$5,INDEX(Parámetros!$B$14:$B$21,MATCH(I209,Parámetros!$A$14:$A$21,0))),Parámetros!$B$5))</f>
        <v/>
      </c>
      <c r="Q209" s="29" t="str">
        <f aca="false">IF(O209="","",(O209-P209)*100)</f>
        <v/>
      </c>
      <c r="R209" s="30" t="str">
        <f aca="false">IF(O209="","",MAX(0,M209*(P209-O209)))</f>
        <v/>
      </c>
      <c r="S209" s="31" t="str">
        <f aca="false">IF(OR(L209="",L209=0,N209=""),"",N209/1000/L209)</f>
        <v/>
      </c>
      <c r="T209" s="27"/>
      <c r="U209" s="27"/>
      <c r="V209" s="27"/>
      <c r="W209" s="27"/>
      <c r="X209" s="27"/>
      <c r="Y209" s="27"/>
      <c r="Z209" s="27"/>
      <c r="AA209" s="25"/>
      <c r="AB209" s="27"/>
      <c r="AC209" s="30" t="str">
        <f aca="false">IF(M209="","",IF(AB209="",M209*Parámetros!$B$6,AB209))</f>
        <v/>
      </c>
      <c r="AD209" s="30" t="str">
        <f aca="false">IF(M209="","",SUM(T209:Z209)+AC209)</f>
        <v/>
      </c>
      <c r="AE209" s="30" t="str">
        <f aca="false">IF(OR(M209="",N209=""),"",M209-N209)</f>
        <v/>
      </c>
      <c r="AF209" s="30" t="str">
        <f aca="false">IF(AE209="","",AE209-AD209)</f>
        <v/>
      </c>
      <c r="AG209" s="28" t="str">
        <f aca="false">IF(OR(AF209="",M209=0),"",AF209/M209)</f>
        <v/>
      </c>
      <c r="AH209" s="32" t="str">
        <f aca="false">IF(OR(AE209="",N209=0),"",AE209/(N209/1000))</f>
        <v/>
      </c>
      <c r="AI209" s="30" t="str">
        <f aca="false">IF(O209="","",M209*P209)</f>
        <v/>
      </c>
      <c r="AJ209" s="11" t="str">
        <f aca="false">IF(O209="","",IF(O209&gt;1,"Error: rend &gt; 100 %",IF(SUM(T209:Z209)=0,"Falta registrar pérdidas",IF(ABS(AG209)&gt;Parámetros!$B$7,"Revisar balance",IF(O209&lt;P209,"Bajo meta","OK")))))</f>
        <v/>
      </c>
      <c r="AK209" s="33"/>
      <c r="AL209" s="10"/>
      <c r="AM209" s="33"/>
      <c r="AN209" s="33"/>
      <c r="AO209" s="10"/>
    </row>
    <row r="210" customFormat="false" ht="15" hidden="false" customHeight="false" outlineLevel="0" collapsed="false">
      <c r="A210" s="22"/>
      <c r="B210" s="23" t="str">
        <f aca="false">IF(A210="","",YEAR(A210-WEEKDAY(A210,2)+4))</f>
        <v/>
      </c>
      <c r="C210" s="23" t="str">
        <f aca="false">IF(A210="","",WEEKNUM(A210,21))</f>
        <v/>
      </c>
      <c r="D210" s="24" t="str">
        <f aca="false">IF(A210="","",DATE(YEAR(A210),MONTH(A210),1))</f>
        <v/>
      </c>
      <c r="E210" s="10"/>
      <c r="F210" s="25"/>
      <c r="G210" s="25"/>
      <c r="H210" s="10"/>
      <c r="I210" s="10"/>
      <c r="J210" s="26"/>
      <c r="K210" s="25"/>
      <c r="L210" s="26"/>
      <c r="M210" s="27"/>
      <c r="N210" s="27"/>
      <c r="O210" s="28" t="str">
        <f aca="false">IF(OR(M210="",M210=0,N210=""),"",N210/M210)</f>
        <v/>
      </c>
      <c r="P210" s="28" t="str">
        <f aca="false">IF(M210="","",IFERROR(IF(INDEX(Parámetros!$B$14:$B$21,MATCH(I210,Parámetros!$A$14:$A$21,0))="",Parámetros!$B$5,INDEX(Parámetros!$B$14:$B$21,MATCH(I210,Parámetros!$A$14:$A$21,0))),Parámetros!$B$5))</f>
        <v/>
      </c>
      <c r="Q210" s="29" t="str">
        <f aca="false">IF(O210="","",(O210-P210)*100)</f>
        <v/>
      </c>
      <c r="R210" s="30" t="str">
        <f aca="false">IF(O210="","",MAX(0,M210*(P210-O210)))</f>
        <v/>
      </c>
      <c r="S210" s="31" t="str">
        <f aca="false">IF(OR(L210="",L210=0,N210=""),"",N210/1000/L210)</f>
        <v/>
      </c>
      <c r="T210" s="27"/>
      <c r="U210" s="27"/>
      <c r="V210" s="27"/>
      <c r="W210" s="27"/>
      <c r="X210" s="27"/>
      <c r="Y210" s="27"/>
      <c r="Z210" s="27"/>
      <c r="AA210" s="25"/>
      <c r="AB210" s="27"/>
      <c r="AC210" s="30" t="str">
        <f aca="false">IF(M210="","",IF(AB210="",M210*Parámetros!$B$6,AB210))</f>
        <v/>
      </c>
      <c r="AD210" s="30" t="str">
        <f aca="false">IF(M210="","",SUM(T210:Z210)+AC210)</f>
        <v/>
      </c>
      <c r="AE210" s="30" t="str">
        <f aca="false">IF(OR(M210="",N210=""),"",M210-N210)</f>
        <v/>
      </c>
      <c r="AF210" s="30" t="str">
        <f aca="false">IF(AE210="","",AE210-AD210)</f>
        <v/>
      </c>
      <c r="AG210" s="28" t="str">
        <f aca="false">IF(OR(AF210="",M210=0),"",AF210/M210)</f>
        <v/>
      </c>
      <c r="AH210" s="32" t="str">
        <f aca="false">IF(OR(AE210="",N210=0),"",AE210/(N210/1000))</f>
        <v/>
      </c>
      <c r="AI210" s="30" t="str">
        <f aca="false">IF(O210="","",M210*P210)</f>
        <v/>
      </c>
      <c r="AJ210" s="11" t="str">
        <f aca="false">IF(O210="","",IF(O210&gt;1,"Error: rend &gt; 100 %",IF(SUM(T210:Z210)=0,"Falta registrar pérdidas",IF(ABS(AG210)&gt;Parámetros!$B$7,"Revisar balance",IF(O210&lt;P210,"Bajo meta","OK")))))</f>
        <v/>
      </c>
      <c r="AK210" s="33"/>
      <c r="AL210" s="10"/>
      <c r="AM210" s="33"/>
      <c r="AN210" s="33"/>
      <c r="AO210" s="10"/>
    </row>
    <row r="211" customFormat="false" ht="15" hidden="false" customHeight="false" outlineLevel="0" collapsed="false">
      <c r="A211" s="22"/>
      <c r="B211" s="23" t="str">
        <f aca="false">IF(A211="","",YEAR(A211-WEEKDAY(A211,2)+4))</f>
        <v/>
      </c>
      <c r="C211" s="23" t="str">
        <f aca="false">IF(A211="","",WEEKNUM(A211,21))</f>
        <v/>
      </c>
      <c r="D211" s="24" t="str">
        <f aca="false">IF(A211="","",DATE(YEAR(A211),MONTH(A211),1))</f>
        <v/>
      </c>
      <c r="E211" s="10"/>
      <c r="F211" s="25"/>
      <c r="G211" s="25"/>
      <c r="H211" s="10"/>
      <c r="I211" s="10"/>
      <c r="J211" s="26"/>
      <c r="K211" s="25"/>
      <c r="L211" s="26"/>
      <c r="M211" s="27"/>
      <c r="N211" s="27"/>
      <c r="O211" s="28" t="str">
        <f aca="false">IF(OR(M211="",M211=0,N211=""),"",N211/M211)</f>
        <v/>
      </c>
      <c r="P211" s="28" t="str">
        <f aca="false">IF(M211="","",IFERROR(IF(INDEX(Parámetros!$B$14:$B$21,MATCH(I211,Parámetros!$A$14:$A$21,0))="",Parámetros!$B$5,INDEX(Parámetros!$B$14:$B$21,MATCH(I211,Parámetros!$A$14:$A$21,0))),Parámetros!$B$5))</f>
        <v/>
      </c>
      <c r="Q211" s="29" t="str">
        <f aca="false">IF(O211="","",(O211-P211)*100)</f>
        <v/>
      </c>
      <c r="R211" s="30" t="str">
        <f aca="false">IF(O211="","",MAX(0,M211*(P211-O211)))</f>
        <v/>
      </c>
      <c r="S211" s="31" t="str">
        <f aca="false">IF(OR(L211="",L211=0,N211=""),"",N211/1000/L211)</f>
        <v/>
      </c>
      <c r="T211" s="27"/>
      <c r="U211" s="27"/>
      <c r="V211" s="27"/>
      <c r="W211" s="27"/>
      <c r="X211" s="27"/>
      <c r="Y211" s="27"/>
      <c r="Z211" s="27"/>
      <c r="AA211" s="25"/>
      <c r="AB211" s="27"/>
      <c r="AC211" s="30" t="str">
        <f aca="false">IF(M211="","",IF(AB211="",M211*Parámetros!$B$6,AB211))</f>
        <v/>
      </c>
      <c r="AD211" s="30" t="str">
        <f aca="false">IF(M211="","",SUM(T211:Z211)+AC211)</f>
        <v/>
      </c>
      <c r="AE211" s="30" t="str">
        <f aca="false">IF(OR(M211="",N211=""),"",M211-N211)</f>
        <v/>
      </c>
      <c r="AF211" s="30" t="str">
        <f aca="false">IF(AE211="","",AE211-AD211)</f>
        <v/>
      </c>
      <c r="AG211" s="28" t="str">
        <f aca="false">IF(OR(AF211="",M211=0),"",AF211/M211)</f>
        <v/>
      </c>
      <c r="AH211" s="32" t="str">
        <f aca="false">IF(OR(AE211="",N211=0),"",AE211/(N211/1000))</f>
        <v/>
      </c>
      <c r="AI211" s="30" t="str">
        <f aca="false">IF(O211="","",M211*P211)</f>
        <v/>
      </c>
      <c r="AJ211" s="11" t="str">
        <f aca="false">IF(O211="","",IF(O211&gt;1,"Error: rend &gt; 100 %",IF(SUM(T211:Z211)=0,"Falta registrar pérdidas",IF(ABS(AG211)&gt;Parámetros!$B$7,"Revisar balance",IF(O211&lt;P211,"Bajo meta","OK")))))</f>
        <v/>
      </c>
      <c r="AK211" s="33"/>
      <c r="AL211" s="10"/>
      <c r="AM211" s="33"/>
      <c r="AN211" s="33"/>
      <c r="AO211" s="10"/>
    </row>
    <row r="212" customFormat="false" ht="15" hidden="false" customHeight="false" outlineLevel="0" collapsed="false">
      <c r="A212" s="22"/>
      <c r="B212" s="23" t="str">
        <f aca="false">IF(A212="","",YEAR(A212-WEEKDAY(A212,2)+4))</f>
        <v/>
      </c>
      <c r="C212" s="23" t="str">
        <f aca="false">IF(A212="","",WEEKNUM(A212,21))</f>
        <v/>
      </c>
      <c r="D212" s="24" t="str">
        <f aca="false">IF(A212="","",DATE(YEAR(A212),MONTH(A212),1))</f>
        <v/>
      </c>
      <c r="E212" s="10"/>
      <c r="F212" s="25"/>
      <c r="G212" s="25"/>
      <c r="H212" s="10"/>
      <c r="I212" s="10"/>
      <c r="J212" s="26"/>
      <c r="K212" s="25"/>
      <c r="L212" s="26"/>
      <c r="M212" s="27"/>
      <c r="N212" s="27"/>
      <c r="O212" s="28" t="str">
        <f aca="false">IF(OR(M212="",M212=0,N212=""),"",N212/M212)</f>
        <v/>
      </c>
      <c r="P212" s="28" t="str">
        <f aca="false">IF(M212="","",IFERROR(IF(INDEX(Parámetros!$B$14:$B$21,MATCH(I212,Parámetros!$A$14:$A$21,0))="",Parámetros!$B$5,INDEX(Parámetros!$B$14:$B$21,MATCH(I212,Parámetros!$A$14:$A$21,0))),Parámetros!$B$5))</f>
        <v/>
      </c>
      <c r="Q212" s="29" t="str">
        <f aca="false">IF(O212="","",(O212-P212)*100)</f>
        <v/>
      </c>
      <c r="R212" s="30" t="str">
        <f aca="false">IF(O212="","",MAX(0,M212*(P212-O212)))</f>
        <v/>
      </c>
      <c r="S212" s="31" t="str">
        <f aca="false">IF(OR(L212="",L212=0,N212=""),"",N212/1000/L212)</f>
        <v/>
      </c>
      <c r="T212" s="27"/>
      <c r="U212" s="27"/>
      <c r="V212" s="27"/>
      <c r="W212" s="27"/>
      <c r="X212" s="27"/>
      <c r="Y212" s="27"/>
      <c r="Z212" s="27"/>
      <c r="AA212" s="25"/>
      <c r="AB212" s="27"/>
      <c r="AC212" s="30" t="str">
        <f aca="false">IF(M212="","",IF(AB212="",M212*Parámetros!$B$6,AB212))</f>
        <v/>
      </c>
      <c r="AD212" s="30" t="str">
        <f aca="false">IF(M212="","",SUM(T212:Z212)+AC212)</f>
        <v/>
      </c>
      <c r="AE212" s="30" t="str">
        <f aca="false">IF(OR(M212="",N212=""),"",M212-N212)</f>
        <v/>
      </c>
      <c r="AF212" s="30" t="str">
        <f aca="false">IF(AE212="","",AE212-AD212)</f>
        <v/>
      </c>
      <c r="AG212" s="28" t="str">
        <f aca="false">IF(OR(AF212="",M212=0),"",AF212/M212)</f>
        <v/>
      </c>
      <c r="AH212" s="32" t="str">
        <f aca="false">IF(OR(AE212="",N212=0),"",AE212/(N212/1000))</f>
        <v/>
      </c>
      <c r="AI212" s="30" t="str">
        <f aca="false">IF(O212="","",M212*P212)</f>
        <v/>
      </c>
      <c r="AJ212" s="11" t="str">
        <f aca="false">IF(O212="","",IF(O212&gt;1,"Error: rend &gt; 100 %",IF(SUM(T212:Z212)=0,"Falta registrar pérdidas",IF(ABS(AG212)&gt;Parámetros!$B$7,"Revisar balance",IF(O212&lt;P212,"Bajo meta","OK")))))</f>
        <v/>
      </c>
      <c r="AK212" s="33"/>
      <c r="AL212" s="10"/>
      <c r="AM212" s="33"/>
      <c r="AN212" s="33"/>
      <c r="AO212" s="10"/>
    </row>
    <row r="213" customFormat="false" ht="15" hidden="false" customHeight="false" outlineLevel="0" collapsed="false">
      <c r="A213" s="22"/>
      <c r="B213" s="23" t="str">
        <f aca="false">IF(A213="","",YEAR(A213-WEEKDAY(A213,2)+4))</f>
        <v/>
      </c>
      <c r="C213" s="23" t="str">
        <f aca="false">IF(A213="","",WEEKNUM(A213,21))</f>
        <v/>
      </c>
      <c r="D213" s="24" t="str">
        <f aca="false">IF(A213="","",DATE(YEAR(A213),MONTH(A213),1))</f>
        <v/>
      </c>
      <c r="E213" s="10"/>
      <c r="F213" s="25"/>
      <c r="G213" s="25"/>
      <c r="H213" s="10"/>
      <c r="I213" s="10"/>
      <c r="J213" s="26"/>
      <c r="K213" s="25"/>
      <c r="L213" s="26"/>
      <c r="M213" s="27"/>
      <c r="N213" s="27"/>
      <c r="O213" s="28" t="str">
        <f aca="false">IF(OR(M213="",M213=0,N213=""),"",N213/M213)</f>
        <v/>
      </c>
      <c r="P213" s="28" t="str">
        <f aca="false">IF(M213="","",IFERROR(IF(INDEX(Parámetros!$B$14:$B$21,MATCH(I213,Parámetros!$A$14:$A$21,0))="",Parámetros!$B$5,INDEX(Parámetros!$B$14:$B$21,MATCH(I213,Parámetros!$A$14:$A$21,0))),Parámetros!$B$5))</f>
        <v/>
      </c>
      <c r="Q213" s="29" t="str">
        <f aca="false">IF(O213="","",(O213-P213)*100)</f>
        <v/>
      </c>
      <c r="R213" s="30" t="str">
        <f aca="false">IF(O213="","",MAX(0,M213*(P213-O213)))</f>
        <v/>
      </c>
      <c r="S213" s="31" t="str">
        <f aca="false">IF(OR(L213="",L213=0,N213=""),"",N213/1000/L213)</f>
        <v/>
      </c>
      <c r="T213" s="27"/>
      <c r="U213" s="27"/>
      <c r="V213" s="27"/>
      <c r="W213" s="27"/>
      <c r="X213" s="27"/>
      <c r="Y213" s="27"/>
      <c r="Z213" s="27"/>
      <c r="AA213" s="25"/>
      <c r="AB213" s="27"/>
      <c r="AC213" s="30" t="str">
        <f aca="false">IF(M213="","",IF(AB213="",M213*Parámetros!$B$6,AB213))</f>
        <v/>
      </c>
      <c r="AD213" s="30" t="str">
        <f aca="false">IF(M213="","",SUM(T213:Z213)+AC213)</f>
        <v/>
      </c>
      <c r="AE213" s="30" t="str">
        <f aca="false">IF(OR(M213="",N213=""),"",M213-N213)</f>
        <v/>
      </c>
      <c r="AF213" s="30" t="str">
        <f aca="false">IF(AE213="","",AE213-AD213)</f>
        <v/>
      </c>
      <c r="AG213" s="28" t="str">
        <f aca="false">IF(OR(AF213="",M213=0),"",AF213/M213)</f>
        <v/>
      </c>
      <c r="AH213" s="32" t="str">
        <f aca="false">IF(OR(AE213="",N213=0),"",AE213/(N213/1000))</f>
        <v/>
      </c>
      <c r="AI213" s="30" t="str">
        <f aca="false">IF(O213="","",M213*P213)</f>
        <v/>
      </c>
      <c r="AJ213" s="11" t="str">
        <f aca="false">IF(O213="","",IF(O213&gt;1,"Error: rend &gt; 100 %",IF(SUM(T213:Z213)=0,"Falta registrar pérdidas",IF(ABS(AG213)&gt;Parámetros!$B$7,"Revisar balance",IF(O213&lt;P213,"Bajo meta","OK")))))</f>
        <v/>
      </c>
      <c r="AK213" s="33"/>
      <c r="AL213" s="10"/>
      <c r="AM213" s="33"/>
      <c r="AN213" s="33"/>
      <c r="AO213" s="10"/>
    </row>
    <row r="214" customFormat="false" ht="15" hidden="false" customHeight="false" outlineLevel="0" collapsed="false">
      <c r="A214" s="22"/>
      <c r="B214" s="23" t="str">
        <f aca="false">IF(A214="","",YEAR(A214-WEEKDAY(A214,2)+4))</f>
        <v/>
      </c>
      <c r="C214" s="23" t="str">
        <f aca="false">IF(A214="","",WEEKNUM(A214,21))</f>
        <v/>
      </c>
      <c r="D214" s="24" t="str">
        <f aca="false">IF(A214="","",DATE(YEAR(A214),MONTH(A214),1))</f>
        <v/>
      </c>
      <c r="E214" s="10"/>
      <c r="F214" s="25"/>
      <c r="G214" s="25"/>
      <c r="H214" s="10"/>
      <c r="I214" s="10"/>
      <c r="J214" s="26"/>
      <c r="K214" s="25"/>
      <c r="L214" s="26"/>
      <c r="M214" s="27"/>
      <c r="N214" s="27"/>
      <c r="O214" s="28" t="str">
        <f aca="false">IF(OR(M214="",M214=0,N214=""),"",N214/M214)</f>
        <v/>
      </c>
      <c r="P214" s="28" t="str">
        <f aca="false">IF(M214="","",IFERROR(IF(INDEX(Parámetros!$B$14:$B$21,MATCH(I214,Parámetros!$A$14:$A$21,0))="",Parámetros!$B$5,INDEX(Parámetros!$B$14:$B$21,MATCH(I214,Parámetros!$A$14:$A$21,0))),Parámetros!$B$5))</f>
        <v/>
      </c>
      <c r="Q214" s="29" t="str">
        <f aca="false">IF(O214="","",(O214-P214)*100)</f>
        <v/>
      </c>
      <c r="R214" s="30" t="str">
        <f aca="false">IF(O214="","",MAX(0,M214*(P214-O214)))</f>
        <v/>
      </c>
      <c r="S214" s="31" t="str">
        <f aca="false">IF(OR(L214="",L214=0,N214=""),"",N214/1000/L214)</f>
        <v/>
      </c>
      <c r="T214" s="27"/>
      <c r="U214" s="27"/>
      <c r="V214" s="27"/>
      <c r="W214" s="27"/>
      <c r="X214" s="27"/>
      <c r="Y214" s="27"/>
      <c r="Z214" s="27"/>
      <c r="AA214" s="25"/>
      <c r="AB214" s="27"/>
      <c r="AC214" s="30" t="str">
        <f aca="false">IF(M214="","",IF(AB214="",M214*Parámetros!$B$6,AB214))</f>
        <v/>
      </c>
      <c r="AD214" s="30" t="str">
        <f aca="false">IF(M214="","",SUM(T214:Z214)+AC214)</f>
        <v/>
      </c>
      <c r="AE214" s="30" t="str">
        <f aca="false">IF(OR(M214="",N214=""),"",M214-N214)</f>
        <v/>
      </c>
      <c r="AF214" s="30" t="str">
        <f aca="false">IF(AE214="","",AE214-AD214)</f>
        <v/>
      </c>
      <c r="AG214" s="28" t="str">
        <f aca="false">IF(OR(AF214="",M214=0),"",AF214/M214)</f>
        <v/>
      </c>
      <c r="AH214" s="32" t="str">
        <f aca="false">IF(OR(AE214="",N214=0),"",AE214/(N214/1000))</f>
        <v/>
      </c>
      <c r="AI214" s="30" t="str">
        <f aca="false">IF(O214="","",M214*P214)</f>
        <v/>
      </c>
      <c r="AJ214" s="11" t="str">
        <f aca="false">IF(O214="","",IF(O214&gt;1,"Error: rend &gt; 100 %",IF(SUM(T214:Z214)=0,"Falta registrar pérdidas",IF(ABS(AG214)&gt;Parámetros!$B$7,"Revisar balance",IF(O214&lt;P214,"Bajo meta","OK")))))</f>
        <v/>
      </c>
      <c r="AK214" s="33"/>
      <c r="AL214" s="10"/>
      <c r="AM214" s="33"/>
      <c r="AN214" s="33"/>
      <c r="AO214" s="10"/>
    </row>
    <row r="215" customFormat="false" ht="15" hidden="false" customHeight="false" outlineLevel="0" collapsed="false">
      <c r="A215" s="22"/>
      <c r="B215" s="23" t="str">
        <f aca="false">IF(A215="","",YEAR(A215-WEEKDAY(A215,2)+4))</f>
        <v/>
      </c>
      <c r="C215" s="23" t="str">
        <f aca="false">IF(A215="","",WEEKNUM(A215,21))</f>
        <v/>
      </c>
      <c r="D215" s="24" t="str">
        <f aca="false">IF(A215="","",DATE(YEAR(A215),MONTH(A215),1))</f>
        <v/>
      </c>
      <c r="E215" s="10"/>
      <c r="F215" s="25"/>
      <c r="G215" s="25"/>
      <c r="H215" s="10"/>
      <c r="I215" s="10"/>
      <c r="J215" s="26"/>
      <c r="K215" s="25"/>
      <c r="L215" s="26"/>
      <c r="M215" s="27"/>
      <c r="N215" s="27"/>
      <c r="O215" s="28" t="str">
        <f aca="false">IF(OR(M215="",M215=0,N215=""),"",N215/M215)</f>
        <v/>
      </c>
      <c r="P215" s="28" t="str">
        <f aca="false">IF(M215="","",IFERROR(IF(INDEX(Parámetros!$B$14:$B$21,MATCH(I215,Parámetros!$A$14:$A$21,0))="",Parámetros!$B$5,INDEX(Parámetros!$B$14:$B$21,MATCH(I215,Parámetros!$A$14:$A$21,0))),Parámetros!$B$5))</f>
        <v/>
      </c>
      <c r="Q215" s="29" t="str">
        <f aca="false">IF(O215="","",(O215-P215)*100)</f>
        <v/>
      </c>
      <c r="R215" s="30" t="str">
        <f aca="false">IF(O215="","",MAX(0,M215*(P215-O215)))</f>
        <v/>
      </c>
      <c r="S215" s="31" t="str">
        <f aca="false">IF(OR(L215="",L215=0,N215=""),"",N215/1000/L215)</f>
        <v/>
      </c>
      <c r="T215" s="27"/>
      <c r="U215" s="27"/>
      <c r="V215" s="27"/>
      <c r="W215" s="27"/>
      <c r="X215" s="27"/>
      <c r="Y215" s="27"/>
      <c r="Z215" s="27"/>
      <c r="AA215" s="25"/>
      <c r="AB215" s="27"/>
      <c r="AC215" s="30" t="str">
        <f aca="false">IF(M215="","",IF(AB215="",M215*Parámetros!$B$6,AB215))</f>
        <v/>
      </c>
      <c r="AD215" s="30" t="str">
        <f aca="false">IF(M215="","",SUM(T215:Z215)+AC215)</f>
        <v/>
      </c>
      <c r="AE215" s="30" t="str">
        <f aca="false">IF(OR(M215="",N215=""),"",M215-N215)</f>
        <v/>
      </c>
      <c r="AF215" s="30" t="str">
        <f aca="false">IF(AE215="","",AE215-AD215)</f>
        <v/>
      </c>
      <c r="AG215" s="28" t="str">
        <f aca="false">IF(OR(AF215="",M215=0),"",AF215/M215)</f>
        <v/>
      </c>
      <c r="AH215" s="32" t="str">
        <f aca="false">IF(OR(AE215="",N215=0),"",AE215/(N215/1000))</f>
        <v/>
      </c>
      <c r="AI215" s="30" t="str">
        <f aca="false">IF(O215="","",M215*P215)</f>
        <v/>
      </c>
      <c r="AJ215" s="11" t="str">
        <f aca="false">IF(O215="","",IF(O215&gt;1,"Error: rend &gt; 100 %",IF(SUM(T215:Z215)=0,"Falta registrar pérdidas",IF(ABS(AG215)&gt;Parámetros!$B$7,"Revisar balance",IF(O215&lt;P215,"Bajo meta","OK")))))</f>
        <v/>
      </c>
      <c r="AK215" s="33"/>
      <c r="AL215" s="10"/>
      <c r="AM215" s="33"/>
      <c r="AN215" s="33"/>
      <c r="AO215" s="10"/>
    </row>
    <row r="216" customFormat="false" ht="15" hidden="false" customHeight="false" outlineLevel="0" collapsed="false">
      <c r="A216" s="22"/>
      <c r="B216" s="23" t="str">
        <f aca="false">IF(A216="","",YEAR(A216-WEEKDAY(A216,2)+4))</f>
        <v/>
      </c>
      <c r="C216" s="23" t="str">
        <f aca="false">IF(A216="","",WEEKNUM(A216,21))</f>
        <v/>
      </c>
      <c r="D216" s="24" t="str">
        <f aca="false">IF(A216="","",DATE(YEAR(A216),MONTH(A216),1))</f>
        <v/>
      </c>
      <c r="E216" s="10"/>
      <c r="F216" s="25"/>
      <c r="G216" s="25"/>
      <c r="H216" s="10"/>
      <c r="I216" s="10"/>
      <c r="J216" s="26"/>
      <c r="K216" s="25"/>
      <c r="L216" s="26"/>
      <c r="M216" s="27"/>
      <c r="N216" s="27"/>
      <c r="O216" s="28" t="str">
        <f aca="false">IF(OR(M216="",M216=0,N216=""),"",N216/M216)</f>
        <v/>
      </c>
      <c r="P216" s="28" t="str">
        <f aca="false">IF(M216="","",IFERROR(IF(INDEX(Parámetros!$B$14:$B$21,MATCH(I216,Parámetros!$A$14:$A$21,0))="",Parámetros!$B$5,INDEX(Parámetros!$B$14:$B$21,MATCH(I216,Parámetros!$A$14:$A$21,0))),Parámetros!$B$5))</f>
        <v/>
      </c>
      <c r="Q216" s="29" t="str">
        <f aca="false">IF(O216="","",(O216-P216)*100)</f>
        <v/>
      </c>
      <c r="R216" s="30" t="str">
        <f aca="false">IF(O216="","",MAX(0,M216*(P216-O216)))</f>
        <v/>
      </c>
      <c r="S216" s="31" t="str">
        <f aca="false">IF(OR(L216="",L216=0,N216=""),"",N216/1000/L216)</f>
        <v/>
      </c>
      <c r="T216" s="27"/>
      <c r="U216" s="27"/>
      <c r="V216" s="27"/>
      <c r="W216" s="27"/>
      <c r="X216" s="27"/>
      <c r="Y216" s="27"/>
      <c r="Z216" s="27"/>
      <c r="AA216" s="25"/>
      <c r="AB216" s="27"/>
      <c r="AC216" s="30" t="str">
        <f aca="false">IF(M216="","",IF(AB216="",M216*Parámetros!$B$6,AB216))</f>
        <v/>
      </c>
      <c r="AD216" s="30" t="str">
        <f aca="false">IF(M216="","",SUM(T216:Z216)+AC216)</f>
        <v/>
      </c>
      <c r="AE216" s="30" t="str">
        <f aca="false">IF(OR(M216="",N216=""),"",M216-N216)</f>
        <v/>
      </c>
      <c r="AF216" s="30" t="str">
        <f aca="false">IF(AE216="","",AE216-AD216)</f>
        <v/>
      </c>
      <c r="AG216" s="28" t="str">
        <f aca="false">IF(OR(AF216="",M216=0),"",AF216/M216)</f>
        <v/>
      </c>
      <c r="AH216" s="32" t="str">
        <f aca="false">IF(OR(AE216="",N216=0),"",AE216/(N216/1000))</f>
        <v/>
      </c>
      <c r="AI216" s="30" t="str">
        <f aca="false">IF(O216="","",M216*P216)</f>
        <v/>
      </c>
      <c r="AJ216" s="11" t="str">
        <f aca="false">IF(O216="","",IF(O216&gt;1,"Error: rend &gt; 100 %",IF(SUM(T216:Z216)=0,"Falta registrar pérdidas",IF(ABS(AG216)&gt;Parámetros!$B$7,"Revisar balance",IF(O216&lt;P216,"Bajo meta","OK")))))</f>
        <v/>
      </c>
      <c r="AK216" s="33"/>
      <c r="AL216" s="10"/>
      <c r="AM216" s="33"/>
      <c r="AN216" s="33"/>
      <c r="AO216" s="10"/>
    </row>
    <row r="217" customFormat="false" ht="15" hidden="false" customHeight="false" outlineLevel="0" collapsed="false">
      <c r="A217" s="22"/>
      <c r="B217" s="23" t="str">
        <f aca="false">IF(A217="","",YEAR(A217-WEEKDAY(A217,2)+4))</f>
        <v/>
      </c>
      <c r="C217" s="23" t="str">
        <f aca="false">IF(A217="","",WEEKNUM(A217,21))</f>
        <v/>
      </c>
      <c r="D217" s="24" t="str">
        <f aca="false">IF(A217="","",DATE(YEAR(A217),MONTH(A217),1))</f>
        <v/>
      </c>
      <c r="E217" s="10"/>
      <c r="F217" s="25"/>
      <c r="G217" s="25"/>
      <c r="H217" s="10"/>
      <c r="I217" s="10"/>
      <c r="J217" s="26"/>
      <c r="K217" s="25"/>
      <c r="L217" s="26"/>
      <c r="M217" s="27"/>
      <c r="N217" s="27"/>
      <c r="O217" s="28" t="str">
        <f aca="false">IF(OR(M217="",M217=0,N217=""),"",N217/M217)</f>
        <v/>
      </c>
      <c r="P217" s="28" t="str">
        <f aca="false">IF(M217="","",IFERROR(IF(INDEX(Parámetros!$B$14:$B$21,MATCH(I217,Parámetros!$A$14:$A$21,0))="",Parámetros!$B$5,INDEX(Parámetros!$B$14:$B$21,MATCH(I217,Parámetros!$A$14:$A$21,0))),Parámetros!$B$5))</f>
        <v/>
      </c>
      <c r="Q217" s="29" t="str">
        <f aca="false">IF(O217="","",(O217-P217)*100)</f>
        <v/>
      </c>
      <c r="R217" s="30" t="str">
        <f aca="false">IF(O217="","",MAX(0,M217*(P217-O217)))</f>
        <v/>
      </c>
      <c r="S217" s="31" t="str">
        <f aca="false">IF(OR(L217="",L217=0,N217=""),"",N217/1000/L217)</f>
        <v/>
      </c>
      <c r="T217" s="27"/>
      <c r="U217" s="27"/>
      <c r="V217" s="27"/>
      <c r="W217" s="27"/>
      <c r="X217" s="27"/>
      <c r="Y217" s="27"/>
      <c r="Z217" s="27"/>
      <c r="AA217" s="25"/>
      <c r="AB217" s="27"/>
      <c r="AC217" s="30" t="str">
        <f aca="false">IF(M217="","",IF(AB217="",M217*Parámetros!$B$6,AB217))</f>
        <v/>
      </c>
      <c r="AD217" s="30" t="str">
        <f aca="false">IF(M217="","",SUM(T217:Z217)+AC217)</f>
        <v/>
      </c>
      <c r="AE217" s="30" t="str">
        <f aca="false">IF(OR(M217="",N217=""),"",M217-N217)</f>
        <v/>
      </c>
      <c r="AF217" s="30" t="str">
        <f aca="false">IF(AE217="","",AE217-AD217)</f>
        <v/>
      </c>
      <c r="AG217" s="28" t="str">
        <f aca="false">IF(OR(AF217="",M217=0),"",AF217/M217)</f>
        <v/>
      </c>
      <c r="AH217" s="32" t="str">
        <f aca="false">IF(OR(AE217="",N217=0),"",AE217/(N217/1000))</f>
        <v/>
      </c>
      <c r="AI217" s="30" t="str">
        <f aca="false">IF(O217="","",M217*P217)</f>
        <v/>
      </c>
      <c r="AJ217" s="11" t="str">
        <f aca="false">IF(O217="","",IF(O217&gt;1,"Error: rend &gt; 100 %",IF(SUM(T217:Z217)=0,"Falta registrar pérdidas",IF(ABS(AG217)&gt;Parámetros!$B$7,"Revisar balance",IF(O217&lt;P217,"Bajo meta","OK")))))</f>
        <v/>
      </c>
      <c r="AK217" s="33"/>
      <c r="AL217" s="10"/>
      <c r="AM217" s="33"/>
      <c r="AN217" s="33"/>
      <c r="AO217" s="10"/>
    </row>
    <row r="218" customFormat="false" ht="15" hidden="false" customHeight="false" outlineLevel="0" collapsed="false">
      <c r="A218" s="22"/>
      <c r="B218" s="23" t="str">
        <f aca="false">IF(A218="","",YEAR(A218-WEEKDAY(A218,2)+4))</f>
        <v/>
      </c>
      <c r="C218" s="23" t="str">
        <f aca="false">IF(A218="","",WEEKNUM(A218,21))</f>
        <v/>
      </c>
      <c r="D218" s="24" t="str">
        <f aca="false">IF(A218="","",DATE(YEAR(A218),MONTH(A218),1))</f>
        <v/>
      </c>
      <c r="E218" s="10"/>
      <c r="F218" s="25"/>
      <c r="G218" s="25"/>
      <c r="H218" s="10"/>
      <c r="I218" s="10"/>
      <c r="J218" s="26"/>
      <c r="K218" s="25"/>
      <c r="L218" s="26"/>
      <c r="M218" s="27"/>
      <c r="N218" s="27"/>
      <c r="O218" s="28" t="str">
        <f aca="false">IF(OR(M218="",M218=0,N218=""),"",N218/M218)</f>
        <v/>
      </c>
      <c r="P218" s="28" t="str">
        <f aca="false">IF(M218="","",IFERROR(IF(INDEX(Parámetros!$B$14:$B$21,MATCH(I218,Parámetros!$A$14:$A$21,0))="",Parámetros!$B$5,INDEX(Parámetros!$B$14:$B$21,MATCH(I218,Parámetros!$A$14:$A$21,0))),Parámetros!$B$5))</f>
        <v/>
      </c>
      <c r="Q218" s="29" t="str">
        <f aca="false">IF(O218="","",(O218-P218)*100)</f>
        <v/>
      </c>
      <c r="R218" s="30" t="str">
        <f aca="false">IF(O218="","",MAX(0,M218*(P218-O218)))</f>
        <v/>
      </c>
      <c r="S218" s="31" t="str">
        <f aca="false">IF(OR(L218="",L218=0,N218=""),"",N218/1000/L218)</f>
        <v/>
      </c>
      <c r="T218" s="27"/>
      <c r="U218" s="27"/>
      <c r="V218" s="27"/>
      <c r="W218" s="27"/>
      <c r="X218" s="27"/>
      <c r="Y218" s="27"/>
      <c r="Z218" s="27"/>
      <c r="AA218" s="25"/>
      <c r="AB218" s="27"/>
      <c r="AC218" s="30" t="str">
        <f aca="false">IF(M218="","",IF(AB218="",M218*Parámetros!$B$6,AB218))</f>
        <v/>
      </c>
      <c r="AD218" s="30" t="str">
        <f aca="false">IF(M218="","",SUM(T218:Z218)+AC218)</f>
        <v/>
      </c>
      <c r="AE218" s="30" t="str">
        <f aca="false">IF(OR(M218="",N218=""),"",M218-N218)</f>
        <v/>
      </c>
      <c r="AF218" s="30" t="str">
        <f aca="false">IF(AE218="","",AE218-AD218)</f>
        <v/>
      </c>
      <c r="AG218" s="28" t="str">
        <f aca="false">IF(OR(AF218="",M218=0),"",AF218/M218)</f>
        <v/>
      </c>
      <c r="AH218" s="32" t="str">
        <f aca="false">IF(OR(AE218="",N218=0),"",AE218/(N218/1000))</f>
        <v/>
      </c>
      <c r="AI218" s="30" t="str">
        <f aca="false">IF(O218="","",M218*P218)</f>
        <v/>
      </c>
      <c r="AJ218" s="11" t="str">
        <f aca="false">IF(O218="","",IF(O218&gt;1,"Error: rend &gt; 100 %",IF(SUM(T218:Z218)=0,"Falta registrar pérdidas",IF(ABS(AG218)&gt;Parámetros!$B$7,"Revisar balance",IF(O218&lt;P218,"Bajo meta","OK")))))</f>
        <v/>
      </c>
      <c r="AK218" s="33"/>
      <c r="AL218" s="10"/>
      <c r="AM218" s="33"/>
      <c r="AN218" s="33"/>
      <c r="AO218" s="10"/>
    </row>
    <row r="219" customFormat="false" ht="15" hidden="false" customHeight="false" outlineLevel="0" collapsed="false">
      <c r="A219" s="22"/>
      <c r="B219" s="23" t="str">
        <f aca="false">IF(A219="","",YEAR(A219-WEEKDAY(A219,2)+4))</f>
        <v/>
      </c>
      <c r="C219" s="23" t="str">
        <f aca="false">IF(A219="","",WEEKNUM(A219,21))</f>
        <v/>
      </c>
      <c r="D219" s="24" t="str">
        <f aca="false">IF(A219="","",DATE(YEAR(A219),MONTH(A219),1))</f>
        <v/>
      </c>
      <c r="E219" s="10"/>
      <c r="F219" s="25"/>
      <c r="G219" s="25"/>
      <c r="H219" s="10"/>
      <c r="I219" s="10"/>
      <c r="J219" s="26"/>
      <c r="K219" s="25"/>
      <c r="L219" s="26"/>
      <c r="M219" s="27"/>
      <c r="N219" s="27"/>
      <c r="O219" s="28" t="str">
        <f aca="false">IF(OR(M219="",M219=0,N219=""),"",N219/M219)</f>
        <v/>
      </c>
      <c r="P219" s="28" t="str">
        <f aca="false">IF(M219="","",IFERROR(IF(INDEX(Parámetros!$B$14:$B$21,MATCH(I219,Parámetros!$A$14:$A$21,0))="",Parámetros!$B$5,INDEX(Parámetros!$B$14:$B$21,MATCH(I219,Parámetros!$A$14:$A$21,0))),Parámetros!$B$5))</f>
        <v/>
      </c>
      <c r="Q219" s="29" t="str">
        <f aca="false">IF(O219="","",(O219-P219)*100)</f>
        <v/>
      </c>
      <c r="R219" s="30" t="str">
        <f aca="false">IF(O219="","",MAX(0,M219*(P219-O219)))</f>
        <v/>
      </c>
      <c r="S219" s="31" t="str">
        <f aca="false">IF(OR(L219="",L219=0,N219=""),"",N219/1000/L219)</f>
        <v/>
      </c>
      <c r="T219" s="27"/>
      <c r="U219" s="27"/>
      <c r="V219" s="27"/>
      <c r="W219" s="27"/>
      <c r="X219" s="27"/>
      <c r="Y219" s="27"/>
      <c r="Z219" s="27"/>
      <c r="AA219" s="25"/>
      <c r="AB219" s="27"/>
      <c r="AC219" s="30" t="str">
        <f aca="false">IF(M219="","",IF(AB219="",M219*Parámetros!$B$6,AB219))</f>
        <v/>
      </c>
      <c r="AD219" s="30" t="str">
        <f aca="false">IF(M219="","",SUM(T219:Z219)+AC219)</f>
        <v/>
      </c>
      <c r="AE219" s="30" t="str">
        <f aca="false">IF(OR(M219="",N219=""),"",M219-N219)</f>
        <v/>
      </c>
      <c r="AF219" s="30" t="str">
        <f aca="false">IF(AE219="","",AE219-AD219)</f>
        <v/>
      </c>
      <c r="AG219" s="28" t="str">
        <f aca="false">IF(OR(AF219="",M219=0),"",AF219/M219)</f>
        <v/>
      </c>
      <c r="AH219" s="32" t="str">
        <f aca="false">IF(OR(AE219="",N219=0),"",AE219/(N219/1000))</f>
        <v/>
      </c>
      <c r="AI219" s="30" t="str">
        <f aca="false">IF(O219="","",M219*P219)</f>
        <v/>
      </c>
      <c r="AJ219" s="11" t="str">
        <f aca="false">IF(O219="","",IF(O219&gt;1,"Error: rend &gt; 100 %",IF(SUM(T219:Z219)=0,"Falta registrar pérdidas",IF(ABS(AG219)&gt;Parámetros!$B$7,"Revisar balance",IF(O219&lt;P219,"Bajo meta","OK")))))</f>
        <v/>
      </c>
      <c r="AK219" s="33"/>
      <c r="AL219" s="10"/>
      <c r="AM219" s="33"/>
      <c r="AN219" s="33"/>
      <c r="AO219" s="10"/>
    </row>
    <row r="220" customFormat="false" ht="15" hidden="false" customHeight="false" outlineLevel="0" collapsed="false">
      <c r="A220" s="22"/>
      <c r="B220" s="23" t="str">
        <f aca="false">IF(A220="","",YEAR(A220-WEEKDAY(A220,2)+4))</f>
        <v/>
      </c>
      <c r="C220" s="23" t="str">
        <f aca="false">IF(A220="","",WEEKNUM(A220,21))</f>
        <v/>
      </c>
      <c r="D220" s="24" t="str">
        <f aca="false">IF(A220="","",DATE(YEAR(A220),MONTH(A220),1))</f>
        <v/>
      </c>
      <c r="E220" s="10"/>
      <c r="F220" s="25"/>
      <c r="G220" s="25"/>
      <c r="H220" s="10"/>
      <c r="I220" s="10"/>
      <c r="J220" s="26"/>
      <c r="K220" s="25"/>
      <c r="L220" s="26"/>
      <c r="M220" s="27"/>
      <c r="N220" s="27"/>
      <c r="O220" s="28" t="str">
        <f aca="false">IF(OR(M220="",M220=0,N220=""),"",N220/M220)</f>
        <v/>
      </c>
      <c r="P220" s="28" t="str">
        <f aca="false">IF(M220="","",IFERROR(IF(INDEX(Parámetros!$B$14:$B$21,MATCH(I220,Parámetros!$A$14:$A$21,0))="",Parámetros!$B$5,INDEX(Parámetros!$B$14:$B$21,MATCH(I220,Parámetros!$A$14:$A$21,0))),Parámetros!$B$5))</f>
        <v/>
      </c>
      <c r="Q220" s="29" t="str">
        <f aca="false">IF(O220="","",(O220-P220)*100)</f>
        <v/>
      </c>
      <c r="R220" s="30" t="str">
        <f aca="false">IF(O220="","",MAX(0,M220*(P220-O220)))</f>
        <v/>
      </c>
      <c r="S220" s="31" t="str">
        <f aca="false">IF(OR(L220="",L220=0,N220=""),"",N220/1000/L220)</f>
        <v/>
      </c>
      <c r="T220" s="27"/>
      <c r="U220" s="27"/>
      <c r="V220" s="27"/>
      <c r="W220" s="27"/>
      <c r="X220" s="27"/>
      <c r="Y220" s="27"/>
      <c r="Z220" s="27"/>
      <c r="AA220" s="25"/>
      <c r="AB220" s="27"/>
      <c r="AC220" s="30" t="str">
        <f aca="false">IF(M220="","",IF(AB220="",M220*Parámetros!$B$6,AB220))</f>
        <v/>
      </c>
      <c r="AD220" s="30" t="str">
        <f aca="false">IF(M220="","",SUM(T220:Z220)+AC220)</f>
        <v/>
      </c>
      <c r="AE220" s="30" t="str">
        <f aca="false">IF(OR(M220="",N220=""),"",M220-N220)</f>
        <v/>
      </c>
      <c r="AF220" s="30" t="str">
        <f aca="false">IF(AE220="","",AE220-AD220)</f>
        <v/>
      </c>
      <c r="AG220" s="28" t="str">
        <f aca="false">IF(OR(AF220="",M220=0),"",AF220/M220)</f>
        <v/>
      </c>
      <c r="AH220" s="32" t="str">
        <f aca="false">IF(OR(AE220="",N220=0),"",AE220/(N220/1000))</f>
        <v/>
      </c>
      <c r="AI220" s="30" t="str">
        <f aca="false">IF(O220="","",M220*P220)</f>
        <v/>
      </c>
      <c r="AJ220" s="11" t="str">
        <f aca="false">IF(O220="","",IF(O220&gt;1,"Error: rend &gt; 100 %",IF(SUM(T220:Z220)=0,"Falta registrar pérdidas",IF(ABS(AG220)&gt;Parámetros!$B$7,"Revisar balance",IF(O220&lt;P220,"Bajo meta","OK")))))</f>
        <v/>
      </c>
      <c r="AK220" s="33"/>
      <c r="AL220" s="10"/>
      <c r="AM220" s="33"/>
      <c r="AN220" s="33"/>
      <c r="AO220" s="10"/>
    </row>
    <row r="221" customFormat="false" ht="15" hidden="false" customHeight="false" outlineLevel="0" collapsed="false">
      <c r="A221" s="22"/>
      <c r="B221" s="23" t="str">
        <f aca="false">IF(A221="","",YEAR(A221-WEEKDAY(A221,2)+4))</f>
        <v/>
      </c>
      <c r="C221" s="23" t="str">
        <f aca="false">IF(A221="","",WEEKNUM(A221,21))</f>
        <v/>
      </c>
      <c r="D221" s="24" t="str">
        <f aca="false">IF(A221="","",DATE(YEAR(A221),MONTH(A221),1))</f>
        <v/>
      </c>
      <c r="E221" s="10"/>
      <c r="F221" s="25"/>
      <c r="G221" s="25"/>
      <c r="H221" s="10"/>
      <c r="I221" s="10"/>
      <c r="J221" s="26"/>
      <c r="K221" s="25"/>
      <c r="L221" s="26"/>
      <c r="M221" s="27"/>
      <c r="N221" s="27"/>
      <c r="O221" s="28" t="str">
        <f aca="false">IF(OR(M221="",M221=0,N221=""),"",N221/M221)</f>
        <v/>
      </c>
      <c r="P221" s="28" t="str">
        <f aca="false">IF(M221="","",IFERROR(IF(INDEX(Parámetros!$B$14:$B$21,MATCH(I221,Parámetros!$A$14:$A$21,0))="",Parámetros!$B$5,INDEX(Parámetros!$B$14:$B$21,MATCH(I221,Parámetros!$A$14:$A$21,0))),Parámetros!$B$5))</f>
        <v/>
      </c>
      <c r="Q221" s="29" t="str">
        <f aca="false">IF(O221="","",(O221-P221)*100)</f>
        <v/>
      </c>
      <c r="R221" s="30" t="str">
        <f aca="false">IF(O221="","",MAX(0,M221*(P221-O221)))</f>
        <v/>
      </c>
      <c r="S221" s="31" t="str">
        <f aca="false">IF(OR(L221="",L221=0,N221=""),"",N221/1000/L221)</f>
        <v/>
      </c>
      <c r="T221" s="27"/>
      <c r="U221" s="27"/>
      <c r="V221" s="27"/>
      <c r="W221" s="27"/>
      <c r="X221" s="27"/>
      <c r="Y221" s="27"/>
      <c r="Z221" s="27"/>
      <c r="AA221" s="25"/>
      <c r="AB221" s="27"/>
      <c r="AC221" s="30" t="str">
        <f aca="false">IF(M221="","",IF(AB221="",M221*Parámetros!$B$6,AB221))</f>
        <v/>
      </c>
      <c r="AD221" s="30" t="str">
        <f aca="false">IF(M221="","",SUM(T221:Z221)+AC221)</f>
        <v/>
      </c>
      <c r="AE221" s="30" t="str">
        <f aca="false">IF(OR(M221="",N221=""),"",M221-N221)</f>
        <v/>
      </c>
      <c r="AF221" s="30" t="str">
        <f aca="false">IF(AE221="","",AE221-AD221)</f>
        <v/>
      </c>
      <c r="AG221" s="28" t="str">
        <f aca="false">IF(OR(AF221="",M221=0),"",AF221/M221)</f>
        <v/>
      </c>
      <c r="AH221" s="32" t="str">
        <f aca="false">IF(OR(AE221="",N221=0),"",AE221/(N221/1000))</f>
        <v/>
      </c>
      <c r="AI221" s="30" t="str">
        <f aca="false">IF(O221="","",M221*P221)</f>
        <v/>
      </c>
      <c r="AJ221" s="11" t="str">
        <f aca="false">IF(O221="","",IF(O221&gt;1,"Error: rend &gt; 100 %",IF(SUM(T221:Z221)=0,"Falta registrar pérdidas",IF(ABS(AG221)&gt;Parámetros!$B$7,"Revisar balance",IF(O221&lt;P221,"Bajo meta","OK")))))</f>
        <v/>
      </c>
      <c r="AK221" s="33"/>
      <c r="AL221" s="10"/>
      <c r="AM221" s="33"/>
      <c r="AN221" s="33"/>
      <c r="AO221" s="10"/>
    </row>
    <row r="222" customFormat="false" ht="15" hidden="false" customHeight="false" outlineLevel="0" collapsed="false">
      <c r="A222" s="22"/>
      <c r="B222" s="23" t="str">
        <f aca="false">IF(A222="","",YEAR(A222-WEEKDAY(A222,2)+4))</f>
        <v/>
      </c>
      <c r="C222" s="23" t="str">
        <f aca="false">IF(A222="","",WEEKNUM(A222,21))</f>
        <v/>
      </c>
      <c r="D222" s="24" t="str">
        <f aca="false">IF(A222="","",DATE(YEAR(A222),MONTH(A222),1))</f>
        <v/>
      </c>
      <c r="E222" s="10"/>
      <c r="F222" s="25"/>
      <c r="G222" s="25"/>
      <c r="H222" s="10"/>
      <c r="I222" s="10"/>
      <c r="J222" s="26"/>
      <c r="K222" s="25"/>
      <c r="L222" s="26"/>
      <c r="M222" s="27"/>
      <c r="N222" s="27"/>
      <c r="O222" s="28" t="str">
        <f aca="false">IF(OR(M222="",M222=0,N222=""),"",N222/M222)</f>
        <v/>
      </c>
      <c r="P222" s="28" t="str">
        <f aca="false">IF(M222="","",IFERROR(IF(INDEX(Parámetros!$B$14:$B$21,MATCH(I222,Parámetros!$A$14:$A$21,0))="",Parámetros!$B$5,INDEX(Parámetros!$B$14:$B$21,MATCH(I222,Parámetros!$A$14:$A$21,0))),Parámetros!$B$5))</f>
        <v/>
      </c>
      <c r="Q222" s="29" t="str">
        <f aca="false">IF(O222="","",(O222-P222)*100)</f>
        <v/>
      </c>
      <c r="R222" s="30" t="str">
        <f aca="false">IF(O222="","",MAX(0,M222*(P222-O222)))</f>
        <v/>
      </c>
      <c r="S222" s="31" t="str">
        <f aca="false">IF(OR(L222="",L222=0,N222=""),"",N222/1000/L222)</f>
        <v/>
      </c>
      <c r="T222" s="27"/>
      <c r="U222" s="27"/>
      <c r="V222" s="27"/>
      <c r="W222" s="27"/>
      <c r="X222" s="27"/>
      <c r="Y222" s="27"/>
      <c r="Z222" s="27"/>
      <c r="AA222" s="25"/>
      <c r="AB222" s="27"/>
      <c r="AC222" s="30" t="str">
        <f aca="false">IF(M222="","",IF(AB222="",M222*Parámetros!$B$6,AB222))</f>
        <v/>
      </c>
      <c r="AD222" s="30" t="str">
        <f aca="false">IF(M222="","",SUM(T222:Z222)+AC222)</f>
        <v/>
      </c>
      <c r="AE222" s="30" t="str">
        <f aca="false">IF(OR(M222="",N222=""),"",M222-N222)</f>
        <v/>
      </c>
      <c r="AF222" s="30" t="str">
        <f aca="false">IF(AE222="","",AE222-AD222)</f>
        <v/>
      </c>
      <c r="AG222" s="28" t="str">
        <f aca="false">IF(OR(AF222="",M222=0),"",AF222/M222)</f>
        <v/>
      </c>
      <c r="AH222" s="32" t="str">
        <f aca="false">IF(OR(AE222="",N222=0),"",AE222/(N222/1000))</f>
        <v/>
      </c>
      <c r="AI222" s="30" t="str">
        <f aca="false">IF(O222="","",M222*P222)</f>
        <v/>
      </c>
      <c r="AJ222" s="11" t="str">
        <f aca="false">IF(O222="","",IF(O222&gt;1,"Error: rend &gt; 100 %",IF(SUM(T222:Z222)=0,"Falta registrar pérdidas",IF(ABS(AG222)&gt;Parámetros!$B$7,"Revisar balance",IF(O222&lt;P222,"Bajo meta","OK")))))</f>
        <v/>
      </c>
      <c r="AK222" s="33"/>
      <c r="AL222" s="10"/>
      <c r="AM222" s="33"/>
      <c r="AN222" s="33"/>
      <c r="AO222" s="10"/>
    </row>
    <row r="223" customFormat="false" ht="15" hidden="false" customHeight="false" outlineLevel="0" collapsed="false">
      <c r="A223" s="22"/>
      <c r="B223" s="23" t="str">
        <f aca="false">IF(A223="","",YEAR(A223-WEEKDAY(A223,2)+4))</f>
        <v/>
      </c>
      <c r="C223" s="23" t="str">
        <f aca="false">IF(A223="","",WEEKNUM(A223,21))</f>
        <v/>
      </c>
      <c r="D223" s="24" t="str">
        <f aca="false">IF(A223="","",DATE(YEAR(A223),MONTH(A223),1))</f>
        <v/>
      </c>
      <c r="E223" s="10"/>
      <c r="F223" s="25"/>
      <c r="G223" s="25"/>
      <c r="H223" s="10"/>
      <c r="I223" s="10"/>
      <c r="J223" s="26"/>
      <c r="K223" s="25"/>
      <c r="L223" s="26"/>
      <c r="M223" s="27"/>
      <c r="N223" s="27"/>
      <c r="O223" s="28" t="str">
        <f aca="false">IF(OR(M223="",M223=0,N223=""),"",N223/M223)</f>
        <v/>
      </c>
      <c r="P223" s="28" t="str">
        <f aca="false">IF(M223="","",IFERROR(IF(INDEX(Parámetros!$B$14:$B$21,MATCH(I223,Parámetros!$A$14:$A$21,0))="",Parámetros!$B$5,INDEX(Parámetros!$B$14:$B$21,MATCH(I223,Parámetros!$A$14:$A$21,0))),Parámetros!$B$5))</f>
        <v/>
      </c>
      <c r="Q223" s="29" t="str">
        <f aca="false">IF(O223="","",(O223-P223)*100)</f>
        <v/>
      </c>
      <c r="R223" s="30" t="str">
        <f aca="false">IF(O223="","",MAX(0,M223*(P223-O223)))</f>
        <v/>
      </c>
      <c r="S223" s="31" t="str">
        <f aca="false">IF(OR(L223="",L223=0,N223=""),"",N223/1000/L223)</f>
        <v/>
      </c>
      <c r="T223" s="27"/>
      <c r="U223" s="27"/>
      <c r="V223" s="27"/>
      <c r="W223" s="27"/>
      <c r="X223" s="27"/>
      <c r="Y223" s="27"/>
      <c r="Z223" s="27"/>
      <c r="AA223" s="25"/>
      <c r="AB223" s="27"/>
      <c r="AC223" s="30" t="str">
        <f aca="false">IF(M223="","",IF(AB223="",M223*Parámetros!$B$6,AB223))</f>
        <v/>
      </c>
      <c r="AD223" s="30" t="str">
        <f aca="false">IF(M223="","",SUM(T223:Z223)+AC223)</f>
        <v/>
      </c>
      <c r="AE223" s="30" t="str">
        <f aca="false">IF(OR(M223="",N223=""),"",M223-N223)</f>
        <v/>
      </c>
      <c r="AF223" s="30" t="str">
        <f aca="false">IF(AE223="","",AE223-AD223)</f>
        <v/>
      </c>
      <c r="AG223" s="28" t="str">
        <f aca="false">IF(OR(AF223="",M223=0),"",AF223/M223)</f>
        <v/>
      </c>
      <c r="AH223" s="32" t="str">
        <f aca="false">IF(OR(AE223="",N223=0),"",AE223/(N223/1000))</f>
        <v/>
      </c>
      <c r="AI223" s="30" t="str">
        <f aca="false">IF(O223="","",M223*P223)</f>
        <v/>
      </c>
      <c r="AJ223" s="11" t="str">
        <f aca="false">IF(O223="","",IF(O223&gt;1,"Error: rend &gt; 100 %",IF(SUM(T223:Z223)=0,"Falta registrar pérdidas",IF(ABS(AG223)&gt;Parámetros!$B$7,"Revisar balance",IF(O223&lt;P223,"Bajo meta","OK")))))</f>
        <v/>
      </c>
      <c r="AK223" s="33"/>
      <c r="AL223" s="10"/>
      <c r="AM223" s="33"/>
      <c r="AN223" s="33"/>
      <c r="AO223" s="10"/>
    </row>
    <row r="224" customFormat="false" ht="15" hidden="false" customHeight="false" outlineLevel="0" collapsed="false">
      <c r="A224" s="22"/>
      <c r="B224" s="23" t="str">
        <f aca="false">IF(A224="","",YEAR(A224-WEEKDAY(A224,2)+4))</f>
        <v/>
      </c>
      <c r="C224" s="23" t="str">
        <f aca="false">IF(A224="","",WEEKNUM(A224,21))</f>
        <v/>
      </c>
      <c r="D224" s="24" t="str">
        <f aca="false">IF(A224="","",DATE(YEAR(A224),MONTH(A224),1))</f>
        <v/>
      </c>
      <c r="E224" s="10"/>
      <c r="F224" s="25"/>
      <c r="G224" s="25"/>
      <c r="H224" s="10"/>
      <c r="I224" s="10"/>
      <c r="J224" s="26"/>
      <c r="K224" s="25"/>
      <c r="L224" s="26"/>
      <c r="M224" s="27"/>
      <c r="N224" s="27"/>
      <c r="O224" s="28" t="str">
        <f aca="false">IF(OR(M224="",M224=0,N224=""),"",N224/M224)</f>
        <v/>
      </c>
      <c r="P224" s="28" t="str">
        <f aca="false">IF(M224="","",IFERROR(IF(INDEX(Parámetros!$B$14:$B$21,MATCH(I224,Parámetros!$A$14:$A$21,0))="",Parámetros!$B$5,INDEX(Parámetros!$B$14:$B$21,MATCH(I224,Parámetros!$A$14:$A$21,0))),Parámetros!$B$5))</f>
        <v/>
      </c>
      <c r="Q224" s="29" t="str">
        <f aca="false">IF(O224="","",(O224-P224)*100)</f>
        <v/>
      </c>
      <c r="R224" s="30" t="str">
        <f aca="false">IF(O224="","",MAX(0,M224*(P224-O224)))</f>
        <v/>
      </c>
      <c r="S224" s="31" t="str">
        <f aca="false">IF(OR(L224="",L224=0,N224=""),"",N224/1000/L224)</f>
        <v/>
      </c>
      <c r="T224" s="27"/>
      <c r="U224" s="27"/>
      <c r="V224" s="27"/>
      <c r="W224" s="27"/>
      <c r="X224" s="27"/>
      <c r="Y224" s="27"/>
      <c r="Z224" s="27"/>
      <c r="AA224" s="25"/>
      <c r="AB224" s="27"/>
      <c r="AC224" s="30" t="str">
        <f aca="false">IF(M224="","",IF(AB224="",M224*Parámetros!$B$6,AB224))</f>
        <v/>
      </c>
      <c r="AD224" s="30" t="str">
        <f aca="false">IF(M224="","",SUM(T224:Z224)+AC224)</f>
        <v/>
      </c>
      <c r="AE224" s="30" t="str">
        <f aca="false">IF(OR(M224="",N224=""),"",M224-N224)</f>
        <v/>
      </c>
      <c r="AF224" s="30" t="str">
        <f aca="false">IF(AE224="","",AE224-AD224)</f>
        <v/>
      </c>
      <c r="AG224" s="28" t="str">
        <f aca="false">IF(OR(AF224="",M224=0),"",AF224/M224)</f>
        <v/>
      </c>
      <c r="AH224" s="32" t="str">
        <f aca="false">IF(OR(AE224="",N224=0),"",AE224/(N224/1000))</f>
        <v/>
      </c>
      <c r="AI224" s="30" t="str">
        <f aca="false">IF(O224="","",M224*P224)</f>
        <v/>
      </c>
      <c r="AJ224" s="11" t="str">
        <f aca="false">IF(O224="","",IF(O224&gt;1,"Error: rend &gt; 100 %",IF(SUM(T224:Z224)=0,"Falta registrar pérdidas",IF(ABS(AG224)&gt;Parámetros!$B$7,"Revisar balance",IF(O224&lt;P224,"Bajo meta","OK")))))</f>
        <v/>
      </c>
      <c r="AK224" s="33"/>
      <c r="AL224" s="10"/>
      <c r="AM224" s="33"/>
      <c r="AN224" s="33"/>
      <c r="AO224" s="10"/>
    </row>
    <row r="225" customFormat="false" ht="15" hidden="false" customHeight="false" outlineLevel="0" collapsed="false">
      <c r="A225" s="22"/>
      <c r="B225" s="23" t="str">
        <f aca="false">IF(A225="","",YEAR(A225-WEEKDAY(A225,2)+4))</f>
        <v/>
      </c>
      <c r="C225" s="23" t="str">
        <f aca="false">IF(A225="","",WEEKNUM(A225,21))</f>
        <v/>
      </c>
      <c r="D225" s="24" t="str">
        <f aca="false">IF(A225="","",DATE(YEAR(A225),MONTH(A225),1))</f>
        <v/>
      </c>
      <c r="E225" s="10"/>
      <c r="F225" s="25"/>
      <c r="G225" s="25"/>
      <c r="H225" s="10"/>
      <c r="I225" s="10"/>
      <c r="J225" s="26"/>
      <c r="K225" s="25"/>
      <c r="L225" s="26"/>
      <c r="M225" s="27"/>
      <c r="N225" s="27"/>
      <c r="O225" s="28" t="str">
        <f aca="false">IF(OR(M225="",M225=0,N225=""),"",N225/M225)</f>
        <v/>
      </c>
      <c r="P225" s="28" t="str">
        <f aca="false">IF(M225="","",IFERROR(IF(INDEX(Parámetros!$B$14:$B$21,MATCH(I225,Parámetros!$A$14:$A$21,0))="",Parámetros!$B$5,INDEX(Parámetros!$B$14:$B$21,MATCH(I225,Parámetros!$A$14:$A$21,0))),Parámetros!$B$5))</f>
        <v/>
      </c>
      <c r="Q225" s="29" t="str">
        <f aca="false">IF(O225="","",(O225-P225)*100)</f>
        <v/>
      </c>
      <c r="R225" s="30" t="str">
        <f aca="false">IF(O225="","",MAX(0,M225*(P225-O225)))</f>
        <v/>
      </c>
      <c r="S225" s="31" t="str">
        <f aca="false">IF(OR(L225="",L225=0,N225=""),"",N225/1000/L225)</f>
        <v/>
      </c>
      <c r="T225" s="27"/>
      <c r="U225" s="27"/>
      <c r="V225" s="27"/>
      <c r="W225" s="27"/>
      <c r="X225" s="27"/>
      <c r="Y225" s="27"/>
      <c r="Z225" s="27"/>
      <c r="AA225" s="25"/>
      <c r="AB225" s="27"/>
      <c r="AC225" s="30" t="str">
        <f aca="false">IF(M225="","",IF(AB225="",M225*Parámetros!$B$6,AB225))</f>
        <v/>
      </c>
      <c r="AD225" s="30" t="str">
        <f aca="false">IF(M225="","",SUM(T225:Z225)+AC225)</f>
        <v/>
      </c>
      <c r="AE225" s="30" t="str">
        <f aca="false">IF(OR(M225="",N225=""),"",M225-N225)</f>
        <v/>
      </c>
      <c r="AF225" s="30" t="str">
        <f aca="false">IF(AE225="","",AE225-AD225)</f>
        <v/>
      </c>
      <c r="AG225" s="28" t="str">
        <f aca="false">IF(OR(AF225="",M225=0),"",AF225/M225)</f>
        <v/>
      </c>
      <c r="AH225" s="32" t="str">
        <f aca="false">IF(OR(AE225="",N225=0),"",AE225/(N225/1000))</f>
        <v/>
      </c>
      <c r="AI225" s="30" t="str">
        <f aca="false">IF(O225="","",M225*P225)</f>
        <v/>
      </c>
      <c r="AJ225" s="11" t="str">
        <f aca="false">IF(O225="","",IF(O225&gt;1,"Error: rend &gt; 100 %",IF(SUM(T225:Z225)=0,"Falta registrar pérdidas",IF(ABS(AG225)&gt;Parámetros!$B$7,"Revisar balance",IF(O225&lt;P225,"Bajo meta","OK")))))</f>
        <v/>
      </c>
      <c r="AK225" s="33"/>
      <c r="AL225" s="10"/>
      <c r="AM225" s="33"/>
      <c r="AN225" s="33"/>
      <c r="AO225" s="10"/>
    </row>
    <row r="226" customFormat="false" ht="15" hidden="false" customHeight="false" outlineLevel="0" collapsed="false">
      <c r="A226" s="22"/>
      <c r="B226" s="23" t="str">
        <f aca="false">IF(A226="","",YEAR(A226-WEEKDAY(A226,2)+4))</f>
        <v/>
      </c>
      <c r="C226" s="23" t="str">
        <f aca="false">IF(A226="","",WEEKNUM(A226,21))</f>
        <v/>
      </c>
      <c r="D226" s="24" t="str">
        <f aca="false">IF(A226="","",DATE(YEAR(A226),MONTH(A226),1))</f>
        <v/>
      </c>
      <c r="E226" s="10"/>
      <c r="F226" s="25"/>
      <c r="G226" s="25"/>
      <c r="H226" s="10"/>
      <c r="I226" s="10"/>
      <c r="J226" s="26"/>
      <c r="K226" s="25"/>
      <c r="L226" s="26"/>
      <c r="M226" s="27"/>
      <c r="N226" s="27"/>
      <c r="O226" s="28" t="str">
        <f aca="false">IF(OR(M226="",M226=0,N226=""),"",N226/M226)</f>
        <v/>
      </c>
      <c r="P226" s="28" t="str">
        <f aca="false">IF(M226="","",IFERROR(IF(INDEX(Parámetros!$B$14:$B$21,MATCH(I226,Parámetros!$A$14:$A$21,0))="",Parámetros!$B$5,INDEX(Parámetros!$B$14:$B$21,MATCH(I226,Parámetros!$A$14:$A$21,0))),Parámetros!$B$5))</f>
        <v/>
      </c>
      <c r="Q226" s="29" t="str">
        <f aca="false">IF(O226="","",(O226-P226)*100)</f>
        <v/>
      </c>
      <c r="R226" s="30" t="str">
        <f aca="false">IF(O226="","",MAX(0,M226*(P226-O226)))</f>
        <v/>
      </c>
      <c r="S226" s="31" t="str">
        <f aca="false">IF(OR(L226="",L226=0,N226=""),"",N226/1000/L226)</f>
        <v/>
      </c>
      <c r="T226" s="27"/>
      <c r="U226" s="27"/>
      <c r="V226" s="27"/>
      <c r="W226" s="27"/>
      <c r="X226" s="27"/>
      <c r="Y226" s="27"/>
      <c r="Z226" s="27"/>
      <c r="AA226" s="25"/>
      <c r="AB226" s="27"/>
      <c r="AC226" s="30" t="str">
        <f aca="false">IF(M226="","",IF(AB226="",M226*Parámetros!$B$6,AB226))</f>
        <v/>
      </c>
      <c r="AD226" s="30" t="str">
        <f aca="false">IF(M226="","",SUM(T226:Z226)+AC226)</f>
        <v/>
      </c>
      <c r="AE226" s="30" t="str">
        <f aca="false">IF(OR(M226="",N226=""),"",M226-N226)</f>
        <v/>
      </c>
      <c r="AF226" s="30" t="str">
        <f aca="false">IF(AE226="","",AE226-AD226)</f>
        <v/>
      </c>
      <c r="AG226" s="28" t="str">
        <f aca="false">IF(OR(AF226="",M226=0),"",AF226/M226)</f>
        <v/>
      </c>
      <c r="AH226" s="32" t="str">
        <f aca="false">IF(OR(AE226="",N226=0),"",AE226/(N226/1000))</f>
        <v/>
      </c>
      <c r="AI226" s="30" t="str">
        <f aca="false">IF(O226="","",M226*P226)</f>
        <v/>
      </c>
      <c r="AJ226" s="11" t="str">
        <f aca="false">IF(O226="","",IF(O226&gt;1,"Error: rend &gt; 100 %",IF(SUM(T226:Z226)=0,"Falta registrar pérdidas",IF(ABS(AG226)&gt;Parámetros!$B$7,"Revisar balance",IF(O226&lt;P226,"Bajo meta","OK")))))</f>
        <v/>
      </c>
      <c r="AK226" s="33"/>
      <c r="AL226" s="10"/>
      <c r="AM226" s="33"/>
      <c r="AN226" s="33"/>
      <c r="AO226" s="10"/>
    </row>
    <row r="227" customFormat="false" ht="15" hidden="false" customHeight="false" outlineLevel="0" collapsed="false">
      <c r="A227" s="22"/>
      <c r="B227" s="23" t="str">
        <f aca="false">IF(A227="","",YEAR(A227-WEEKDAY(A227,2)+4))</f>
        <v/>
      </c>
      <c r="C227" s="23" t="str">
        <f aca="false">IF(A227="","",WEEKNUM(A227,21))</f>
        <v/>
      </c>
      <c r="D227" s="24" t="str">
        <f aca="false">IF(A227="","",DATE(YEAR(A227),MONTH(A227),1))</f>
        <v/>
      </c>
      <c r="E227" s="10"/>
      <c r="F227" s="25"/>
      <c r="G227" s="25"/>
      <c r="H227" s="10"/>
      <c r="I227" s="10"/>
      <c r="J227" s="26"/>
      <c r="K227" s="25"/>
      <c r="L227" s="26"/>
      <c r="M227" s="27"/>
      <c r="N227" s="27"/>
      <c r="O227" s="28" t="str">
        <f aca="false">IF(OR(M227="",M227=0,N227=""),"",N227/M227)</f>
        <v/>
      </c>
      <c r="P227" s="28" t="str">
        <f aca="false">IF(M227="","",IFERROR(IF(INDEX(Parámetros!$B$14:$B$21,MATCH(I227,Parámetros!$A$14:$A$21,0))="",Parámetros!$B$5,INDEX(Parámetros!$B$14:$B$21,MATCH(I227,Parámetros!$A$14:$A$21,0))),Parámetros!$B$5))</f>
        <v/>
      </c>
      <c r="Q227" s="29" t="str">
        <f aca="false">IF(O227="","",(O227-P227)*100)</f>
        <v/>
      </c>
      <c r="R227" s="30" t="str">
        <f aca="false">IF(O227="","",MAX(0,M227*(P227-O227)))</f>
        <v/>
      </c>
      <c r="S227" s="31" t="str">
        <f aca="false">IF(OR(L227="",L227=0,N227=""),"",N227/1000/L227)</f>
        <v/>
      </c>
      <c r="T227" s="27"/>
      <c r="U227" s="27"/>
      <c r="V227" s="27"/>
      <c r="W227" s="27"/>
      <c r="X227" s="27"/>
      <c r="Y227" s="27"/>
      <c r="Z227" s="27"/>
      <c r="AA227" s="25"/>
      <c r="AB227" s="27"/>
      <c r="AC227" s="30" t="str">
        <f aca="false">IF(M227="","",IF(AB227="",M227*Parámetros!$B$6,AB227))</f>
        <v/>
      </c>
      <c r="AD227" s="30" t="str">
        <f aca="false">IF(M227="","",SUM(T227:Z227)+AC227)</f>
        <v/>
      </c>
      <c r="AE227" s="30" t="str">
        <f aca="false">IF(OR(M227="",N227=""),"",M227-N227)</f>
        <v/>
      </c>
      <c r="AF227" s="30" t="str">
        <f aca="false">IF(AE227="","",AE227-AD227)</f>
        <v/>
      </c>
      <c r="AG227" s="28" t="str">
        <f aca="false">IF(OR(AF227="",M227=0),"",AF227/M227)</f>
        <v/>
      </c>
      <c r="AH227" s="32" t="str">
        <f aca="false">IF(OR(AE227="",N227=0),"",AE227/(N227/1000))</f>
        <v/>
      </c>
      <c r="AI227" s="30" t="str">
        <f aca="false">IF(O227="","",M227*P227)</f>
        <v/>
      </c>
      <c r="AJ227" s="11" t="str">
        <f aca="false">IF(O227="","",IF(O227&gt;1,"Error: rend &gt; 100 %",IF(SUM(T227:Z227)=0,"Falta registrar pérdidas",IF(ABS(AG227)&gt;Parámetros!$B$7,"Revisar balance",IF(O227&lt;P227,"Bajo meta","OK")))))</f>
        <v/>
      </c>
      <c r="AK227" s="33"/>
      <c r="AL227" s="10"/>
      <c r="AM227" s="33"/>
      <c r="AN227" s="33"/>
      <c r="AO227" s="10"/>
    </row>
    <row r="228" customFormat="false" ht="15" hidden="false" customHeight="false" outlineLevel="0" collapsed="false">
      <c r="A228" s="22"/>
      <c r="B228" s="23" t="str">
        <f aca="false">IF(A228="","",YEAR(A228-WEEKDAY(A228,2)+4))</f>
        <v/>
      </c>
      <c r="C228" s="23" t="str">
        <f aca="false">IF(A228="","",WEEKNUM(A228,21))</f>
        <v/>
      </c>
      <c r="D228" s="24" t="str">
        <f aca="false">IF(A228="","",DATE(YEAR(A228),MONTH(A228),1))</f>
        <v/>
      </c>
      <c r="E228" s="10"/>
      <c r="F228" s="25"/>
      <c r="G228" s="25"/>
      <c r="H228" s="10"/>
      <c r="I228" s="10"/>
      <c r="J228" s="26"/>
      <c r="K228" s="25"/>
      <c r="L228" s="26"/>
      <c r="M228" s="27"/>
      <c r="N228" s="27"/>
      <c r="O228" s="28" t="str">
        <f aca="false">IF(OR(M228="",M228=0,N228=""),"",N228/M228)</f>
        <v/>
      </c>
      <c r="P228" s="28" t="str">
        <f aca="false">IF(M228="","",IFERROR(IF(INDEX(Parámetros!$B$14:$B$21,MATCH(I228,Parámetros!$A$14:$A$21,0))="",Parámetros!$B$5,INDEX(Parámetros!$B$14:$B$21,MATCH(I228,Parámetros!$A$14:$A$21,0))),Parámetros!$B$5))</f>
        <v/>
      </c>
      <c r="Q228" s="29" t="str">
        <f aca="false">IF(O228="","",(O228-P228)*100)</f>
        <v/>
      </c>
      <c r="R228" s="30" t="str">
        <f aca="false">IF(O228="","",MAX(0,M228*(P228-O228)))</f>
        <v/>
      </c>
      <c r="S228" s="31" t="str">
        <f aca="false">IF(OR(L228="",L228=0,N228=""),"",N228/1000/L228)</f>
        <v/>
      </c>
      <c r="T228" s="27"/>
      <c r="U228" s="27"/>
      <c r="V228" s="27"/>
      <c r="W228" s="27"/>
      <c r="X228" s="27"/>
      <c r="Y228" s="27"/>
      <c r="Z228" s="27"/>
      <c r="AA228" s="25"/>
      <c r="AB228" s="27"/>
      <c r="AC228" s="30" t="str">
        <f aca="false">IF(M228="","",IF(AB228="",M228*Parámetros!$B$6,AB228))</f>
        <v/>
      </c>
      <c r="AD228" s="30" t="str">
        <f aca="false">IF(M228="","",SUM(T228:Z228)+AC228)</f>
        <v/>
      </c>
      <c r="AE228" s="30" t="str">
        <f aca="false">IF(OR(M228="",N228=""),"",M228-N228)</f>
        <v/>
      </c>
      <c r="AF228" s="30" t="str">
        <f aca="false">IF(AE228="","",AE228-AD228)</f>
        <v/>
      </c>
      <c r="AG228" s="28" t="str">
        <f aca="false">IF(OR(AF228="",M228=0),"",AF228/M228)</f>
        <v/>
      </c>
      <c r="AH228" s="32" t="str">
        <f aca="false">IF(OR(AE228="",N228=0),"",AE228/(N228/1000))</f>
        <v/>
      </c>
      <c r="AI228" s="30" t="str">
        <f aca="false">IF(O228="","",M228*P228)</f>
        <v/>
      </c>
      <c r="AJ228" s="11" t="str">
        <f aca="false">IF(O228="","",IF(O228&gt;1,"Error: rend &gt; 100 %",IF(SUM(T228:Z228)=0,"Falta registrar pérdidas",IF(ABS(AG228)&gt;Parámetros!$B$7,"Revisar balance",IF(O228&lt;P228,"Bajo meta","OK")))))</f>
        <v/>
      </c>
      <c r="AK228" s="33"/>
      <c r="AL228" s="10"/>
      <c r="AM228" s="33"/>
      <c r="AN228" s="33"/>
      <c r="AO228" s="10"/>
    </row>
    <row r="229" customFormat="false" ht="15" hidden="false" customHeight="false" outlineLevel="0" collapsed="false">
      <c r="A229" s="22"/>
      <c r="B229" s="23" t="str">
        <f aca="false">IF(A229="","",YEAR(A229-WEEKDAY(A229,2)+4))</f>
        <v/>
      </c>
      <c r="C229" s="23" t="str">
        <f aca="false">IF(A229="","",WEEKNUM(A229,21))</f>
        <v/>
      </c>
      <c r="D229" s="24" t="str">
        <f aca="false">IF(A229="","",DATE(YEAR(A229),MONTH(A229),1))</f>
        <v/>
      </c>
      <c r="E229" s="10"/>
      <c r="F229" s="25"/>
      <c r="G229" s="25"/>
      <c r="H229" s="10"/>
      <c r="I229" s="10"/>
      <c r="J229" s="26"/>
      <c r="K229" s="25"/>
      <c r="L229" s="26"/>
      <c r="M229" s="27"/>
      <c r="N229" s="27"/>
      <c r="O229" s="28" t="str">
        <f aca="false">IF(OR(M229="",M229=0,N229=""),"",N229/M229)</f>
        <v/>
      </c>
      <c r="P229" s="28" t="str">
        <f aca="false">IF(M229="","",IFERROR(IF(INDEX(Parámetros!$B$14:$B$21,MATCH(I229,Parámetros!$A$14:$A$21,0))="",Parámetros!$B$5,INDEX(Parámetros!$B$14:$B$21,MATCH(I229,Parámetros!$A$14:$A$21,0))),Parámetros!$B$5))</f>
        <v/>
      </c>
      <c r="Q229" s="29" t="str">
        <f aca="false">IF(O229="","",(O229-P229)*100)</f>
        <v/>
      </c>
      <c r="R229" s="30" t="str">
        <f aca="false">IF(O229="","",MAX(0,M229*(P229-O229)))</f>
        <v/>
      </c>
      <c r="S229" s="31" t="str">
        <f aca="false">IF(OR(L229="",L229=0,N229=""),"",N229/1000/L229)</f>
        <v/>
      </c>
      <c r="T229" s="27"/>
      <c r="U229" s="27"/>
      <c r="V229" s="27"/>
      <c r="W229" s="27"/>
      <c r="X229" s="27"/>
      <c r="Y229" s="27"/>
      <c r="Z229" s="27"/>
      <c r="AA229" s="25"/>
      <c r="AB229" s="27"/>
      <c r="AC229" s="30" t="str">
        <f aca="false">IF(M229="","",IF(AB229="",M229*Parámetros!$B$6,AB229))</f>
        <v/>
      </c>
      <c r="AD229" s="30" t="str">
        <f aca="false">IF(M229="","",SUM(T229:Z229)+AC229)</f>
        <v/>
      </c>
      <c r="AE229" s="30" t="str">
        <f aca="false">IF(OR(M229="",N229=""),"",M229-N229)</f>
        <v/>
      </c>
      <c r="AF229" s="30" t="str">
        <f aca="false">IF(AE229="","",AE229-AD229)</f>
        <v/>
      </c>
      <c r="AG229" s="28" t="str">
        <f aca="false">IF(OR(AF229="",M229=0),"",AF229/M229)</f>
        <v/>
      </c>
      <c r="AH229" s="32" t="str">
        <f aca="false">IF(OR(AE229="",N229=0),"",AE229/(N229/1000))</f>
        <v/>
      </c>
      <c r="AI229" s="30" t="str">
        <f aca="false">IF(O229="","",M229*P229)</f>
        <v/>
      </c>
      <c r="AJ229" s="11" t="str">
        <f aca="false">IF(O229="","",IF(O229&gt;1,"Error: rend &gt; 100 %",IF(SUM(T229:Z229)=0,"Falta registrar pérdidas",IF(ABS(AG229)&gt;Parámetros!$B$7,"Revisar balance",IF(O229&lt;P229,"Bajo meta","OK")))))</f>
        <v/>
      </c>
      <c r="AK229" s="33"/>
      <c r="AL229" s="10"/>
      <c r="AM229" s="33"/>
      <c r="AN229" s="33"/>
      <c r="AO229" s="10"/>
    </row>
    <row r="230" customFormat="false" ht="15" hidden="false" customHeight="false" outlineLevel="0" collapsed="false">
      <c r="A230" s="22"/>
      <c r="B230" s="23" t="str">
        <f aca="false">IF(A230="","",YEAR(A230-WEEKDAY(A230,2)+4))</f>
        <v/>
      </c>
      <c r="C230" s="23" t="str">
        <f aca="false">IF(A230="","",WEEKNUM(A230,21))</f>
        <v/>
      </c>
      <c r="D230" s="24" t="str">
        <f aca="false">IF(A230="","",DATE(YEAR(A230),MONTH(A230),1))</f>
        <v/>
      </c>
      <c r="E230" s="10"/>
      <c r="F230" s="25"/>
      <c r="G230" s="25"/>
      <c r="H230" s="10"/>
      <c r="I230" s="10"/>
      <c r="J230" s="26"/>
      <c r="K230" s="25"/>
      <c r="L230" s="26"/>
      <c r="M230" s="27"/>
      <c r="N230" s="27"/>
      <c r="O230" s="28" t="str">
        <f aca="false">IF(OR(M230="",M230=0,N230=""),"",N230/M230)</f>
        <v/>
      </c>
      <c r="P230" s="28" t="str">
        <f aca="false">IF(M230="","",IFERROR(IF(INDEX(Parámetros!$B$14:$B$21,MATCH(I230,Parámetros!$A$14:$A$21,0))="",Parámetros!$B$5,INDEX(Parámetros!$B$14:$B$21,MATCH(I230,Parámetros!$A$14:$A$21,0))),Parámetros!$B$5))</f>
        <v/>
      </c>
      <c r="Q230" s="29" t="str">
        <f aca="false">IF(O230="","",(O230-P230)*100)</f>
        <v/>
      </c>
      <c r="R230" s="30" t="str">
        <f aca="false">IF(O230="","",MAX(0,M230*(P230-O230)))</f>
        <v/>
      </c>
      <c r="S230" s="31" t="str">
        <f aca="false">IF(OR(L230="",L230=0,N230=""),"",N230/1000/L230)</f>
        <v/>
      </c>
      <c r="T230" s="27"/>
      <c r="U230" s="27"/>
      <c r="V230" s="27"/>
      <c r="W230" s="27"/>
      <c r="X230" s="27"/>
      <c r="Y230" s="27"/>
      <c r="Z230" s="27"/>
      <c r="AA230" s="25"/>
      <c r="AB230" s="27"/>
      <c r="AC230" s="30" t="str">
        <f aca="false">IF(M230="","",IF(AB230="",M230*Parámetros!$B$6,AB230))</f>
        <v/>
      </c>
      <c r="AD230" s="30" t="str">
        <f aca="false">IF(M230="","",SUM(T230:Z230)+AC230)</f>
        <v/>
      </c>
      <c r="AE230" s="30" t="str">
        <f aca="false">IF(OR(M230="",N230=""),"",M230-N230)</f>
        <v/>
      </c>
      <c r="AF230" s="30" t="str">
        <f aca="false">IF(AE230="","",AE230-AD230)</f>
        <v/>
      </c>
      <c r="AG230" s="28" t="str">
        <f aca="false">IF(OR(AF230="",M230=0),"",AF230/M230)</f>
        <v/>
      </c>
      <c r="AH230" s="32" t="str">
        <f aca="false">IF(OR(AE230="",N230=0),"",AE230/(N230/1000))</f>
        <v/>
      </c>
      <c r="AI230" s="30" t="str">
        <f aca="false">IF(O230="","",M230*P230)</f>
        <v/>
      </c>
      <c r="AJ230" s="11" t="str">
        <f aca="false">IF(O230="","",IF(O230&gt;1,"Error: rend &gt; 100 %",IF(SUM(T230:Z230)=0,"Falta registrar pérdidas",IF(ABS(AG230)&gt;Parámetros!$B$7,"Revisar balance",IF(O230&lt;P230,"Bajo meta","OK")))))</f>
        <v/>
      </c>
      <c r="AK230" s="33"/>
      <c r="AL230" s="10"/>
      <c r="AM230" s="33"/>
      <c r="AN230" s="33"/>
      <c r="AO230" s="10"/>
    </row>
    <row r="231" customFormat="false" ht="15" hidden="false" customHeight="false" outlineLevel="0" collapsed="false">
      <c r="A231" s="22"/>
      <c r="B231" s="23" t="str">
        <f aca="false">IF(A231="","",YEAR(A231-WEEKDAY(A231,2)+4))</f>
        <v/>
      </c>
      <c r="C231" s="23" t="str">
        <f aca="false">IF(A231="","",WEEKNUM(A231,21))</f>
        <v/>
      </c>
      <c r="D231" s="24" t="str">
        <f aca="false">IF(A231="","",DATE(YEAR(A231),MONTH(A231),1))</f>
        <v/>
      </c>
      <c r="E231" s="10"/>
      <c r="F231" s="25"/>
      <c r="G231" s="25"/>
      <c r="H231" s="10"/>
      <c r="I231" s="10"/>
      <c r="J231" s="26"/>
      <c r="K231" s="25"/>
      <c r="L231" s="26"/>
      <c r="M231" s="27"/>
      <c r="N231" s="27"/>
      <c r="O231" s="28" t="str">
        <f aca="false">IF(OR(M231="",M231=0,N231=""),"",N231/M231)</f>
        <v/>
      </c>
      <c r="P231" s="28" t="str">
        <f aca="false">IF(M231="","",IFERROR(IF(INDEX(Parámetros!$B$14:$B$21,MATCH(I231,Parámetros!$A$14:$A$21,0))="",Parámetros!$B$5,INDEX(Parámetros!$B$14:$B$21,MATCH(I231,Parámetros!$A$14:$A$21,0))),Parámetros!$B$5))</f>
        <v/>
      </c>
      <c r="Q231" s="29" t="str">
        <f aca="false">IF(O231="","",(O231-P231)*100)</f>
        <v/>
      </c>
      <c r="R231" s="30" t="str">
        <f aca="false">IF(O231="","",MAX(0,M231*(P231-O231)))</f>
        <v/>
      </c>
      <c r="S231" s="31" t="str">
        <f aca="false">IF(OR(L231="",L231=0,N231=""),"",N231/1000/L231)</f>
        <v/>
      </c>
      <c r="T231" s="27"/>
      <c r="U231" s="27"/>
      <c r="V231" s="27"/>
      <c r="W231" s="27"/>
      <c r="X231" s="27"/>
      <c r="Y231" s="27"/>
      <c r="Z231" s="27"/>
      <c r="AA231" s="25"/>
      <c r="AB231" s="27"/>
      <c r="AC231" s="30" t="str">
        <f aca="false">IF(M231="","",IF(AB231="",M231*Parámetros!$B$6,AB231))</f>
        <v/>
      </c>
      <c r="AD231" s="30" t="str">
        <f aca="false">IF(M231="","",SUM(T231:Z231)+AC231)</f>
        <v/>
      </c>
      <c r="AE231" s="30" t="str">
        <f aca="false">IF(OR(M231="",N231=""),"",M231-N231)</f>
        <v/>
      </c>
      <c r="AF231" s="30" t="str">
        <f aca="false">IF(AE231="","",AE231-AD231)</f>
        <v/>
      </c>
      <c r="AG231" s="28" t="str">
        <f aca="false">IF(OR(AF231="",M231=0),"",AF231/M231)</f>
        <v/>
      </c>
      <c r="AH231" s="32" t="str">
        <f aca="false">IF(OR(AE231="",N231=0),"",AE231/(N231/1000))</f>
        <v/>
      </c>
      <c r="AI231" s="30" t="str">
        <f aca="false">IF(O231="","",M231*P231)</f>
        <v/>
      </c>
      <c r="AJ231" s="11" t="str">
        <f aca="false">IF(O231="","",IF(O231&gt;1,"Error: rend &gt; 100 %",IF(SUM(T231:Z231)=0,"Falta registrar pérdidas",IF(ABS(AG231)&gt;Parámetros!$B$7,"Revisar balance",IF(O231&lt;P231,"Bajo meta","OK")))))</f>
        <v/>
      </c>
      <c r="AK231" s="33"/>
      <c r="AL231" s="10"/>
      <c r="AM231" s="33"/>
      <c r="AN231" s="33"/>
      <c r="AO231" s="10"/>
    </row>
    <row r="232" customFormat="false" ht="15" hidden="false" customHeight="false" outlineLevel="0" collapsed="false">
      <c r="A232" s="22"/>
      <c r="B232" s="23" t="str">
        <f aca="false">IF(A232="","",YEAR(A232-WEEKDAY(A232,2)+4))</f>
        <v/>
      </c>
      <c r="C232" s="23" t="str">
        <f aca="false">IF(A232="","",WEEKNUM(A232,21))</f>
        <v/>
      </c>
      <c r="D232" s="24" t="str">
        <f aca="false">IF(A232="","",DATE(YEAR(A232),MONTH(A232),1))</f>
        <v/>
      </c>
      <c r="E232" s="10"/>
      <c r="F232" s="25"/>
      <c r="G232" s="25"/>
      <c r="H232" s="10"/>
      <c r="I232" s="10"/>
      <c r="J232" s="26"/>
      <c r="K232" s="25"/>
      <c r="L232" s="26"/>
      <c r="M232" s="27"/>
      <c r="N232" s="27"/>
      <c r="O232" s="28" t="str">
        <f aca="false">IF(OR(M232="",M232=0,N232=""),"",N232/M232)</f>
        <v/>
      </c>
      <c r="P232" s="28" t="str">
        <f aca="false">IF(M232="","",IFERROR(IF(INDEX(Parámetros!$B$14:$B$21,MATCH(I232,Parámetros!$A$14:$A$21,0))="",Parámetros!$B$5,INDEX(Parámetros!$B$14:$B$21,MATCH(I232,Parámetros!$A$14:$A$21,0))),Parámetros!$B$5))</f>
        <v/>
      </c>
      <c r="Q232" s="29" t="str">
        <f aca="false">IF(O232="","",(O232-P232)*100)</f>
        <v/>
      </c>
      <c r="R232" s="30" t="str">
        <f aca="false">IF(O232="","",MAX(0,M232*(P232-O232)))</f>
        <v/>
      </c>
      <c r="S232" s="31" t="str">
        <f aca="false">IF(OR(L232="",L232=0,N232=""),"",N232/1000/L232)</f>
        <v/>
      </c>
      <c r="T232" s="27"/>
      <c r="U232" s="27"/>
      <c r="V232" s="27"/>
      <c r="W232" s="27"/>
      <c r="X232" s="27"/>
      <c r="Y232" s="27"/>
      <c r="Z232" s="27"/>
      <c r="AA232" s="25"/>
      <c r="AB232" s="27"/>
      <c r="AC232" s="30" t="str">
        <f aca="false">IF(M232="","",IF(AB232="",M232*Parámetros!$B$6,AB232))</f>
        <v/>
      </c>
      <c r="AD232" s="30" t="str">
        <f aca="false">IF(M232="","",SUM(T232:Z232)+AC232)</f>
        <v/>
      </c>
      <c r="AE232" s="30" t="str">
        <f aca="false">IF(OR(M232="",N232=""),"",M232-N232)</f>
        <v/>
      </c>
      <c r="AF232" s="30" t="str">
        <f aca="false">IF(AE232="","",AE232-AD232)</f>
        <v/>
      </c>
      <c r="AG232" s="28" t="str">
        <f aca="false">IF(OR(AF232="",M232=0),"",AF232/M232)</f>
        <v/>
      </c>
      <c r="AH232" s="32" t="str">
        <f aca="false">IF(OR(AE232="",N232=0),"",AE232/(N232/1000))</f>
        <v/>
      </c>
      <c r="AI232" s="30" t="str">
        <f aca="false">IF(O232="","",M232*P232)</f>
        <v/>
      </c>
      <c r="AJ232" s="11" t="str">
        <f aca="false">IF(O232="","",IF(O232&gt;1,"Error: rend &gt; 100 %",IF(SUM(T232:Z232)=0,"Falta registrar pérdidas",IF(ABS(AG232)&gt;Parámetros!$B$7,"Revisar balance",IF(O232&lt;P232,"Bajo meta","OK")))))</f>
        <v/>
      </c>
      <c r="AK232" s="33"/>
      <c r="AL232" s="10"/>
      <c r="AM232" s="33"/>
      <c r="AN232" s="33"/>
      <c r="AO232" s="10"/>
    </row>
    <row r="233" customFormat="false" ht="15" hidden="false" customHeight="false" outlineLevel="0" collapsed="false">
      <c r="A233" s="22"/>
      <c r="B233" s="23" t="str">
        <f aca="false">IF(A233="","",YEAR(A233-WEEKDAY(A233,2)+4))</f>
        <v/>
      </c>
      <c r="C233" s="23" t="str">
        <f aca="false">IF(A233="","",WEEKNUM(A233,21))</f>
        <v/>
      </c>
      <c r="D233" s="24" t="str">
        <f aca="false">IF(A233="","",DATE(YEAR(A233),MONTH(A233),1))</f>
        <v/>
      </c>
      <c r="E233" s="10"/>
      <c r="F233" s="25"/>
      <c r="G233" s="25"/>
      <c r="H233" s="10"/>
      <c r="I233" s="10"/>
      <c r="J233" s="26"/>
      <c r="K233" s="25"/>
      <c r="L233" s="26"/>
      <c r="M233" s="27"/>
      <c r="N233" s="27"/>
      <c r="O233" s="28" t="str">
        <f aca="false">IF(OR(M233="",M233=0,N233=""),"",N233/M233)</f>
        <v/>
      </c>
      <c r="P233" s="28" t="str">
        <f aca="false">IF(M233="","",IFERROR(IF(INDEX(Parámetros!$B$14:$B$21,MATCH(I233,Parámetros!$A$14:$A$21,0))="",Parámetros!$B$5,INDEX(Parámetros!$B$14:$B$21,MATCH(I233,Parámetros!$A$14:$A$21,0))),Parámetros!$B$5))</f>
        <v/>
      </c>
      <c r="Q233" s="29" t="str">
        <f aca="false">IF(O233="","",(O233-P233)*100)</f>
        <v/>
      </c>
      <c r="R233" s="30" t="str">
        <f aca="false">IF(O233="","",MAX(0,M233*(P233-O233)))</f>
        <v/>
      </c>
      <c r="S233" s="31" t="str">
        <f aca="false">IF(OR(L233="",L233=0,N233=""),"",N233/1000/L233)</f>
        <v/>
      </c>
      <c r="T233" s="27"/>
      <c r="U233" s="27"/>
      <c r="V233" s="27"/>
      <c r="W233" s="27"/>
      <c r="X233" s="27"/>
      <c r="Y233" s="27"/>
      <c r="Z233" s="27"/>
      <c r="AA233" s="25"/>
      <c r="AB233" s="27"/>
      <c r="AC233" s="30" t="str">
        <f aca="false">IF(M233="","",IF(AB233="",M233*Parámetros!$B$6,AB233))</f>
        <v/>
      </c>
      <c r="AD233" s="30" t="str">
        <f aca="false">IF(M233="","",SUM(T233:Z233)+AC233)</f>
        <v/>
      </c>
      <c r="AE233" s="30" t="str">
        <f aca="false">IF(OR(M233="",N233=""),"",M233-N233)</f>
        <v/>
      </c>
      <c r="AF233" s="30" t="str">
        <f aca="false">IF(AE233="","",AE233-AD233)</f>
        <v/>
      </c>
      <c r="AG233" s="28" t="str">
        <f aca="false">IF(OR(AF233="",M233=0),"",AF233/M233)</f>
        <v/>
      </c>
      <c r="AH233" s="32" t="str">
        <f aca="false">IF(OR(AE233="",N233=0),"",AE233/(N233/1000))</f>
        <v/>
      </c>
      <c r="AI233" s="30" t="str">
        <f aca="false">IF(O233="","",M233*P233)</f>
        <v/>
      </c>
      <c r="AJ233" s="11" t="str">
        <f aca="false">IF(O233="","",IF(O233&gt;1,"Error: rend &gt; 100 %",IF(SUM(T233:Z233)=0,"Falta registrar pérdidas",IF(ABS(AG233)&gt;Parámetros!$B$7,"Revisar balance",IF(O233&lt;P233,"Bajo meta","OK")))))</f>
        <v/>
      </c>
      <c r="AK233" s="33"/>
      <c r="AL233" s="10"/>
      <c r="AM233" s="33"/>
      <c r="AN233" s="33"/>
      <c r="AO233" s="10"/>
    </row>
    <row r="234" customFormat="false" ht="15" hidden="false" customHeight="false" outlineLevel="0" collapsed="false">
      <c r="A234" s="22"/>
      <c r="B234" s="23" t="str">
        <f aca="false">IF(A234="","",YEAR(A234-WEEKDAY(A234,2)+4))</f>
        <v/>
      </c>
      <c r="C234" s="23" t="str">
        <f aca="false">IF(A234="","",WEEKNUM(A234,21))</f>
        <v/>
      </c>
      <c r="D234" s="24" t="str">
        <f aca="false">IF(A234="","",DATE(YEAR(A234),MONTH(A234),1))</f>
        <v/>
      </c>
      <c r="E234" s="10"/>
      <c r="F234" s="25"/>
      <c r="G234" s="25"/>
      <c r="H234" s="10"/>
      <c r="I234" s="10"/>
      <c r="J234" s="26"/>
      <c r="K234" s="25"/>
      <c r="L234" s="26"/>
      <c r="M234" s="27"/>
      <c r="N234" s="27"/>
      <c r="O234" s="28" t="str">
        <f aca="false">IF(OR(M234="",M234=0,N234=""),"",N234/M234)</f>
        <v/>
      </c>
      <c r="P234" s="28" t="str">
        <f aca="false">IF(M234="","",IFERROR(IF(INDEX(Parámetros!$B$14:$B$21,MATCH(I234,Parámetros!$A$14:$A$21,0))="",Parámetros!$B$5,INDEX(Parámetros!$B$14:$B$21,MATCH(I234,Parámetros!$A$14:$A$21,0))),Parámetros!$B$5))</f>
        <v/>
      </c>
      <c r="Q234" s="29" t="str">
        <f aca="false">IF(O234="","",(O234-P234)*100)</f>
        <v/>
      </c>
      <c r="R234" s="30" t="str">
        <f aca="false">IF(O234="","",MAX(0,M234*(P234-O234)))</f>
        <v/>
      </c>
      <c r="S234" s="31" t="str">
        <f aca="false">IF(OR(L234="",L234=0,N234=""),"",N234/1000/L234)</f>
        <v/>
      </c>
      <c r="T234" s="27"/>
      <c r="U234" s="27"/>
      <c r="V234" s="27"/>
      <c r="W234" s="27"/>
      <c r="X234" s="27"/>
      <c r="Y234" s="27"/>
      <c r="Z234" s="27"/>
      <c r="AA234" s="25"/>
      <c r="AB234" s="27"/>
      <c r="AC234" s="30" t="str">
        <f aca="false">IF(M234="","",IF(AB234="",M234*Parámetros!$B$6,AB234))</f>
        <v/>
      </c>
      <c r="AD234" s="30" t="str">
        <f aca="false">IF(M234="","",SUM(T234:Z234)+AC234)</f>
        <v/>
      </c>
      <c r="AE234" s="30" t="str">
        <f aca="false">IF(OR(M234="",N234=""),"",M234-N234)</f>
        <v/>
      </c>
      <c r="AF234" s="30" t="str">
        <f aca="false">IF(AE234="","",AE234-AD234)</f>
        <v/>
      </c>
      <c r="AG234" s="28" t="str">
        <f aca="false">IF(OR(AF234="",M234=0),"",AF234/M234)</f>
        <v/>
      </c>
      <c r="AH234" s="32" t="str">
        <f aca="false">IF(OR(AE234="",N234=0),"",AE234/(N234/1000))</f>
        <v/>
      </c>
      <c r="AI234" s="30" t="str">
        <f aca="false">IF(O234="","",M234*P234)</f>
        <v/>
      </c>
      <c r="AJ234" s="11" t="str">
        <f aca="false">IF(O234="","",IF(O234&gt;1,"Error: rend &gt; 100 %",IF(SUM(T234:Z234)=0,"Falta registrar pérdidas",IF(ABS(AG234)&gt;Parámetros!$B$7,"Revisar balance",IF(O234&lt;P234,"Bajo meta","OK")))))</f>
        <v/>
      </c>
      <c r="AK234" s="33"/>
      <c r="AL234" s="10"/>
      <c r="AM234" s="33"/>
      <c r="AN234" s="33"/>
      <c r="AO234" s="10"/>
    </row>
    <row r="235" customFormat="false" ht="15" hidden="false" customHeight="false" outlineLevel="0" collapsed="false">
      <c r="A235" s="22"/>
      <c r="B235" s="23" t="str">
        <f aca="false">IF(A235="","",YEAR(A235-WEEKDAY(A235,2)+4))</f>
        <v/>
      </c>
      <c r="C235" s="23" t="str">
        <f aca="false">IF(A235="","",WEEKNUM(A235,21))</f>
        <v/>
      </c>
      <c r="D235" s="24" t="str">
        <f aca="false">IF(A235="","",DATE(YEAR(A235),MONTH(A235),1))</f>
        <v/>
      </c>
      <c r="E235" s="10"/>
      <c r="F235" s="25"/>
      <c r="G235" s="25"/>
      <c r="H235" s="10"/>
      <c r="I235" s="10"/>
      <c r="J235" s="26"/>
      <c r="K235" s="25"/>
      <c r="L235" s="26"/>
      <c r="M235" s="27"/>
      <c r="N235" s="27"/>
      <c r="O235" s="28" t="str">
        <f aca="false">IF(OR(M235="",M235=0,N235=""),"",N235/M235)</f>
        <v/>
      </c>
      <c r="P235" s="28" t="str">
        <f aca="false">IF(M235="","",IFERROR(IF(INDEX(Parámetros!$B$14:$B$21,MATCH(I235,Parámetros!$A$14:$A$21,0))="",Parámetros!$B$5,INDEX(Parámetros!$B$14:$B$21,MATCH(I235,Parámetros!$A$14:$A$21,0))),Parámetros!$B$5))</f>
        <v/>
      </c>
      <c r="Q235" s="29" t="str">
        <f aca="false">IF(O235="","",(O235-P235)*100)</f>
        <v/>
      </c>
      <c r="R235" s="30" t="str">
        <f aca="false">IF(O235="","",MAX(0,M235*(P235-O235)))</f>
        <v/>
      </c>
      <c r="S235" s="31" t="str">
        <f aca="false">IF(OR(L235="",L235=0,N235=""),"",N235/1000/L235)</f>
        <v/>
      </c>
      <c r="T235" s="27"/>
      <c r="U235" s="27"/>
      <c r="V235" s="27"/>
      <c r="W235" s="27"/>
      <c r="X235" s="27"/>
      <c r="Y235" s="27"/>
      <c r="Z235" s="27"/>
      <c r="AA235" s="25"/>
      <c r="AB235" s="27"/>
      <c r="AC235" s="30" t="str">
        <f aca="false">IF(M235="","",IF(AB235="",M235*Parámetros!$B$6,AB235))</f>
        <v/>
      </c>
      <c r="AD235" s="30" t="str">
        <f aca="false">IF(M235="","",SUM(T235:Z235)+AC235)</f>
        <v/>
      </c>
      <c r="AE235" s="30" t="str">
        <f aca="false">IF(OR(M235="",N235=""),"",M235-N235)</f>
        <v/>
      </c>
      <c r="AF235" s="30" t="str">
        <f aca="false">IF(AE235="","",AE235-AD235)</f>
        <v/>
      </c>
      <c r="AG235" s="28" t="str">
        <f aca="false">IF(OR(AF235="",M235=0),"",AF235/M235)</f>
        <v/>
      </c>
      <c r="AH235" s="32" t="str">
        <f aca="false">IF(OR(AE235="",N235=0),"",AE235/(N235/1000))</f>
        <v/>
      </c>
      <c r="AI235" s="30" t="str">
        <f aca="false">IF(O235="","",M235*P235)</f>
        <v/>
      </c>
      <c r="AJ235" s="11" t="str">
        <f aca="false">IF(O235="","",IF(O235&gt;1,"Error: rend &gt; 100 %",IF(SUM(T235:Z235)=0,"Falta registrar pérdidas",IF(ABS(AG235)&gt;Parámetros!$B$7,"Revisar balance",IF(O235&lt;P235,"Bajo meta","OK")))))</f>
        <v/>
      </c>
      <c r="AK235" s="33"/>
      <c r="AL235" s="10"/>
      <c r="AM235" s="33"/>
      <c r="AN235" s="33"/>
      <c r="AO235" s="10"/>
    </row>
    <row r="236" customFormat="false" ht="15" hidden="false" customHeight="false" outlineLevel="0" collapsed="false">
      <c r="A236" s="22"/>
      <c r="B236" s="23" t="str">
        <f aca="false">IF(A236="","",YEAR(A236-WEEKDAY(A236,2)+4))</f>
        <v/>
      </c>
      <c r="C236" s="23" t="str">
        <f aca="false">IF(A236="","",WEEKNUM(A236,21))</f>
        <v/>
      </c>
      <c r="D236" s="24" t="str">
        <f aca="false">IF(A236="","",DATE(YEAR(A236),MONTH(A236),1))</f>
        <v/>
      </c>
      <c r="E236" s="10"/>
      <c r="F236" s="25"/>
      <c r="G236" s="25"/>
      <c r="H236" s="10"/>
      <c r="I236" s="10"/>
      <c r="J236" s="26"/>
      <c r="K236" s="25"/>
      <c r="L236" s="26"/>
      <c r="M236" s="27"/>
      <c r="N236" s="27"/>
      <c r="O236" s="28" t="str">
        <f aca="false">IF(OR(M236="",M236=0,N236=""),"",N236/M236)</f>
        <v/>
      </c>
      <c r="P236" s="28" t="str">
        <f aca="false">IF(M236="","",IFERROR(IF(INDEX(Parámetros!$B$14:$B$21,MATCH(I236,Parámetros!$A$14:$A$21,0))="",Parámetros!$B$5,INDEX(Parámetros!$B$14:$B$21,MATCH(I236,Parámetros!$A$14:$A$21,0))),Parámetros!$B$5))</f>
        <v/>
      </c>
      <c r="Q236" s="29" t="str">
        <f aca="false">IF(O236="","",(O236-P236)*100)</f>
        <v/>
      </c>
      <c r="R236" s="30" t="str">
        <f aca="false">IF(O236="","",MAX(0,M236*(P236-O236)))</f>
        <v/>
      </c>
      <c r="S236" s="31" t="str">
        <f aca="false">IF(OR(L236="",L236=0,N236=""),"",N236/1000/L236)</f>
        <v/>
      </c>
      <c r="T236" s="27"/>
      <c r="U236" s="27"/>
      <c r="V236" s="27"/>
      <c r="W236" s="27"/>
      <c r="X236" s="27"/>
      <c r="Y236" s="27"/>
      <c r="Z236" s="27"/>
      <c r="AA236" s="25"/>
      <c r="AB236" s="27"/>
      <c r="AC236" s="30" t="str">
        <f aca="false">IF(M236="","",IF(AB236="",M236*Parámetros!$B$6,AB236))</f>
        <v/>
      </c>
      <c r="AD236" s="30" t="str">
        <f aca="false">IF(M236="","",SUM(T236:Z236)+AC236)</f>
        <v/>
      </c>
      <c r="AE236" s="30" t="str">
        <f aca="false">IF(OR(M236="",N236=""),"",M236-N236)</f>
        <v/>
      </c>
      <c r="AF236" s="30" t="str">
        <f aca="false">IF(AE236="","",AE236-AD236)</f>
        <v/>
      </c>
      <c r="AG236" s="28" t="str">
        <f aca="false">IF(OR(AF236="",M236=0),"",AF236/M236)</f>
        <v/>
      </c>
      <c r="AH236" s="32" t="str">
        <f aca="false">IF(OR(AE236="",N236=0),"",AE236/(N236/1000))</f>
        <v/>
      </c>
      <c r="AI236" s="30" t="str">
        <f aca="false">IF(O236="","",M236*P236)</f>
        <v/>
      </c>
      <c r="AJ236" s="11" t="str">
        <f aca="false">IF(O236="","",IF(O236&gt;1,"Error: rend &gt; 100 %",IF(SUM(T236:Z236)=0,"Falta registrar pérdidas",IF(ABS(AG236)&gt;Parámetros!$B$7,"Revisar balance",IF(O236&lt;P236,"Bajo meta","OK")))))</f>
        <v/>
      </c>
      <c r="AK236" s="33"/>
      <c r="AL236" s="10"/>
      <c r="AM236" s="33"/>
      <c r="AN236" s="33"/>
      <c r="AO236" s="10"/>
    </row>
    <row r="237" customFormat="false" ht="15" hidden="false" customHeight="false" outlineLevel="0" collapsed="false">
      <c r="A237" s="22"/>
      <c r="B237" s="23" t="str">
        <f aca="false">IF(A237="","",YEAR(A237-WEEKDAY(A237,2)+4))</f>
        <v/>
      </c>
      <c r="C237" s="23" t="str">
        <f aca="false">IF(A237="","",WEEKNUM(A237,21))</f>
        <v/>
      </c>
      <c r="D237" s="24" t="str">
        <f aca="false">IF(A237="","",DATE(YEAR(A237),MONTH(A237),1))</f>
        <v/>
      </c>
      <c r="E237" s="10"/>
      <c r="F237" s="25"/>
      <c r="G237" s="25"/>
      <c r="H237" s="10"/>
      <c r="I237" s="10"/>
      <c r="J237" s="26"/>
      <c r="K237" s="25"/>
      <c r="L237" s="26"/>
      <c r="M237" s="27"/>
      <c r="N237" s="27"/>
      <c r="O237" s="28" t="str">
        <f aca="false">IF(OR(M237="",M237=0,N237=""),"",N237/M237)</f>
        <v/>
      </c>
      <c r="P237" s="28" t="str">
        <f aca="false">IF(M237="","",IFERROR(IF(INDEX(Parámetros!$B$14:$B$21,MATCH(I237,Parámetros!$A$14:$A$21,0))="",Parámetros!$B$5,INDEX(Parámetros!$B$14:$B$21,MATCH(I237,Parámetros!$A$14:$A$21,0))),Parámetros!$B$5))</f>
        <v/>
      </c>
      <c r="Q237" s="29" t="str">
        <f aca="false">IF(O237="","",(O237-P237)*100)</f>
        <v/>
      </c>
      <c r="R237" s="30" t="str">
        <f aca="false">IF(O237="","",MAX(0,M237*(P237-O237)))</f>
        <v/>
      </c>
      <c r="S237" s="31" t="str">
        <f aca="false">IF(OR(L237="",L237=0,N237=""),"",N237/1000/L237)</f>
        <v/>
      </c>
      <c r="T237" s="27"/>
      <c r="U237" s="27"/>
      <c r="V237" s="27"/>
      <c r="W237" s="27"/>
      <c r="X237" s="27"/>
      <c r="Y237" s="27"/>
      <c r="Z237" s="27"/>
      <c r="AA237" s="25"/>
      <c r="AB237" s="27"/>
      <c r="AC237" s="30" t="str">
        <f aca="false">IF(M237="","",IF(AB237="",M237*Parámetros!$B$6,AB237))</f>
        <v/>
      </c>
      <c r="AD237" s="30" t="str">
        <f aca="false">IF(M237="","",SUM(T237:Z237)+AC237)</f>
        <v/>
      </c>
      <c r="AE237" s="30" t="str">
        <f aca="false">IF(OR(M237="",N237=""),"",M237-N237)</f>
        <v/>
      </c>
      <c r="AF237" s="30" t="str">
        <f aca="false">IF(AE237="","",AE237-AD237)</f>
        <v/>
      </c>
      <c r="AG237" s="28" t="str">
        <f aca="false">IF(OR(AF237="",M237=0),"",AF237/M237)</f>
        <v/>
      </c>
      <c r="AH237" s="32" t="str">
        <f aca="false">IF(OR(AE237="",N237=0),"",AE237/(N237/1000))</f>
        <v/>
      </c>
      <c r="AI237" s="30" t="str">
        <f aca="false">IF(O237="","",M237*P237)</f>
        <v/>
      </c>
      <c r="AJ237" s="11" t="str">
        <f aca="false">IF(O237="","",IF(O237&gt;1,"Error: rend &gt; 100 %",IF(SUM(T237:Z237)=0,"Falta registrar pérdidas",IF(ABS(AG237)&gt;Parámetros!$B$7,"Revisar balance",IF(O237&lt;P237,"Bajo meta","OK")))))</f>
        <v/>
      </c>
      <c r="AK237" s="33"/>
      <c r="AL237" s="10"/>
      <c r="AM237" s="33"/>
      <c r="AN237" s="33"/>
      <c r="AO237" s="10"/>
    </row>
    <row r="238" customFormat="false" ht="15" hidden="false" customHeight="false" outlineLevel="0" collapsed="false">
      <c r="A238" s="22"/>
      <c r="B238" s="23" t="str">
        <f aca="false">IF(A238="","",YEAR(A238-WEEKDAY(A238,2)+4))</f>
        <v/>
      </c>
      <c r="C238" s="23" t="str">
        <f aca="false">IF(A238="","",WEEKNUM(A238,21))</f>
        <v/>
      </c>
      <c r="D238" s="24" t="str">
        <f aca="false">IF(A238="","",DATE(YEAR(A238),MONTH(A238),1))</f>
        <v/>
      </c>
      <c r="E238" s="10"/>
      <c r="F238" s="25"/>
      <c r="G238" s="25"/>
      <c r="H238" s="10"/>
      <c r="I238" s="10"/>
      <c r="J238" s="26"/>
      <c r="K238" s="25"/>
      <c r="L238" s="26"/>
      <c r="M238" s="27"/>
      <c r="N238" s="27"/>
      <c r="O238" s="28" t="str">
        <f aca="false">IF(OR(M238="",M238=0,N238=""),"",N238/M238)</f>
        <v/>
      </c>
      <c r="P238" s="28" t="str">
        <f aca="false">IF(M238="","",IFERROR(IF(INDEX(Parámetros!$B$14:$B$21,MATCH(I238,Parámetros!$A$14:$A$21,0))="",Parámetros!$B$5,INDEX(Parámetros!$B$14:$B$21,MATCH(I238,Parámetros!$A$14:$A$21,0))),Parámetros!$B$5))</f>
        <v/>
      </c>
      <c r="Q238" s="29" t="str">
        <f aca="false">IF(O238="","",(O238-P238)*100)</f>
        <v/>
      </c>
      <c r="R238" s="30" t="str">
        <f aca="false">IF(O238="","",MAX(0,M238*(P238-O238)))</f>
        <v/>
      </c>
      <c r="S238" s="31" t="str">
        <f aca="false">IF(OR(L238="",L238=0,N238=""),"",N238/1000/L238)</f>
        <v/>
      </c>
      <c r="T238" s="27"/>
      <c r="U238" s="27"/>
      <c r="V238" s="27"/>
      <c r="W238" s="27"/>
      <c r="X238" s="27"/>
      <c r="Y238" s="27"/>
      <c r="Z238" s="27"/>
      <c r="AA238" s="25"/>
      <c r="AB238" s="27"/>
      <c r="AC238" s="30" t="str">
        <f aca="false">IF(M238="","",IF(AB238="",M238*Parámetros!$B$6,AB238))</f>
        <v/>
      </c>
      <c r="AD238" s="30" t="str">
        <f aca="false">IF(M238="","",SUM(T238:Z238)+AC238)</f>
        <v/>
      </c>
      <c r="AE238" s="30" t="str">
        <f aca="false">IF(OR(M238="",N238=""),"",M238-N238)</f>
        <v/>
      </c>
      <c r="AF238" s="30" t="str">
        <f aca="false">IF(AE238="","",AE238-AD238)</f>
        <v/>
      </c>
      <c r="AG238" s="28" t="str">
        <f aca="false">IF(OR(AF238="",M238=0),"",AF238/M238)</f>
        <v/>
      </c>
      <c r="AH238" s="32" t="str">
        <f aca="false">IF(OR(AE238="",N238=0),"",AE238/(N238/1000))</f>
        <v/>
      </c>
      <c r="AI238" s="30" t="str">
        <f aca="false">IF(O238="","",M238*P238)</f>
        <v/>
      </c>
      <c r="AJ238" s="11" t="str">
        <f aca="false">IF(O238="","",IF(O238&gt;1,"Error: rend &gt; 100 %",IF(SUM(T238:Z238)=0,"Falta registrar pérdidas",IF(ABS(AG238)&gt;Parámetros!$B$7,"Revisar balance",IF(O238&lt;P238,"Bajo meta","OK")))))</f>
        <v/>
      </c>
      <c r="AK238" s="33"/>
      <c r="AL238" s="10"/>
      <c r="AM238" s="33"/>
      <c r="AN238" s="33"/>
      <c r="AO238" s="10"/>
    </row>
    <row r="239" customFormat="false" ht="15" hidden="false" customHeight="false" outlineLevel="0" collapsed="false">
      <c r="A239" s="22"/>
      <c r="B239" s="23" t="str">
        <f aca="false">IF(A239="","",YEAR(A239-WEEKDAY(A239,2)+4))</f>
        <v/>
      </c>
      <c r="C239" s="23" t="str">
        <f aca="false">IF(A239="","",WEEKNUM(A239,21))</f>
        <v/>
      </c>
      <c r="D239" s="24" t="str">
        <f aca="false">IF(A239="","",DATE(YEAR(A239),MONTH(A239),1))</f>
        <v/>
      </c>
      <c r="E239" s="10"/>
      <c r="F239" s="25"/>
      <c r="G239" s="25"/>
      <c r="H239" s="10"/>
      <c r="I239" s="10"/>
      <c r="J239" s="26"/>
      <c r="K239" s="25"/>
      <c r="L239" s="26"/>
      <c r="M239" s="27"/>
      <c r="N239" s="27"/>
      <c r="O239" s="28" t="str">
        <f aca="false">IF(OR(M239="",M239=0,N239=""),"",N239/M239)</f>
        <v/>
      </c>
      <c r="P239" s="28" t="str">
        <f aca="false">IF(M239="","",IFERROR(IF(INDEX(Parámetros!$B$14:$B$21,MATCH(I239,Parámetros!$A$14:$A$21,0))="",Parámetros!$B$5,INDEX(Parámetros!$B$14:$B$21,MATCH(I239,Parámetros!$A$14:$A$21,0))),Parámetros!$B$5))</f>
        <v/>
      </c>
      <c r="Q239" s="29" t="str">
        <f aca="false">IF(O239="","",(O239-P239)*100)</f>
        <v/>
      </c>
      <c r="R239" s="30" t="str">
        <f aca="false">IF(O239="","",MAX(0,M239*(P239-O239)))</f>
        <v/>
      </c>
      <c r="S239" s="31" t="str">
        <f aca="false">IF(OR(L239="",L239=0,N239=""),"",N239/1000/L239)</f>
        <v/>
      </c>
      <c r="T239" s="27"/>
      <c r="U239" s="27"/>
      <c r="V239" s="27"/>
      <c r="W239" s="27"/>
      <c r="X239" s="27"/>
      <c r="Y239" s="27"/>
      <c r="Z239" s="27"/>
      <c r="AA239" s="25"/>
      <c r="AB239" s="27"/>
      <c r="AC239" s="30" t="str">
        <f aca="false">IF(M239="","",IF(AB239="",M239*Parámetros!$B$6,AB239))</f>
        <v/>
      </c>
      <c r="AD239" s="30" t="str">
        <f aca="false">IF(M239="","",SUM(T239:Z239)+AC239)</f>
        <v/>
      </c>
      <c r="AE239" s="30" t="str">
        <f aca="false">IF(OR(M239="",N239=""),"",M239-N239)</f>
        <v/>
      </c>
      <c r="AF239" s="30" t="str">
        <f aca="false">IF(AE239="","",AE239-AD239)</f>
        <v/>
      </c>
      <c r="AG239" s="28" t="str">
        <f aca="false">IF(OR(AF239="",M239=0),"",AF239/M239)</f>
        <v/>
      </c>
      <c r="AH239" s="32" t="str">
        <f aca="false">IF(OR(AE239="",N239=0),"",AE239/(N239/1000))</f>
        <v/>
      </c>
      <c r="AI239" s="30" t="str">
        <f aca="false">IF(O239="","",M239*P239)</f>
        <v/>
      </c>
      <c r="AJ239" s="11" t="str">
        <f aca="false">IF(O239="","",IF(O239&gt;1,"Error: rend &gt; 100 %",IF(SUM(T239:Z239)=0,"Falta registrar pérdidas",IF(ABS(AG239)&gt;Parámetros!$B$7,"Revisar balance",IF(O239&lt;P239,"Bajo meta","OK")))))</f>
        <v/>
      </c>
      <c r="AK239" s="33"/>
      <c r="AL239" s="10"/>
      <c r="AM239" s="33"/>
      <c r="AN239" s="33"/>
      <c r="AO239" s="10"/>
    </row>
    <row r="240" customFormat="false" ht="15" hidden="false" customHeight="false" outlineLevel="0" collapsed="false">
      <c r="A240" s="22"/>
      <c r="B240" s="23" t="str">
        <f aca="false">IF(A240="","",YEAR(A240-WEEKDAY(A240,2)+4))</f>
        <v/>
      </c>
      <c r="C240" s="23" t="str">
        <f aca="false">IF(A240="","",WEEKNUM(A240,21))</f>
        <v/>
      </c>
      <c r="D240" s="24" t="str">
        <f aca="false">IF(A240="","",DATE(YEAR(A240),MONTH(A240),1))</f>
        <v/>
      </c>
      <c r="E240" s="10"/>
      <c r="F240" s="25"/>
      <c r="G240" s="25"/>
      <c r="H240" s="10"/>
      <c r="I240" s="10"/>
      <c r="J240" s="26"/>
      <c r="K240" s="25"/>
      <c r="L240" s="26"/>
      <c r="M240" s="27"/>
      <c r="N240" s="27"/>
      <c r="O240" s="28" t="str">
        <f aca="false">IF(OR(M240="",M240=0,N240=""),"",N240/M240)</f>
        <v/>
      </c>
      <c r="P240" s="28" t="str">
        <f aca="false">IF(M240="","",IFERROR(IF(INDEX(Parámetros!$B$14:$B$21,MATCH(I240,Parámetros!$A$14:$A$21,0))="",Parámetros!$B$5,INDEX(Parámetros!$B$14:$B$21,MATCH(I240,Parámetros!$A$14:$A$21,0))),Parámetros!$B$5))</f>
        <v/>
      </c>
      <c r="Q240" s="29" t="str">
        <f aca="false">IF(O240="","",(O240-P240)*100)</f>
        <v/>
      </c>
      <c r="R240" s="30" t="str">
        <f aca="false">IF(O240="","",MAX(0,M240*(P240-O240)))</f>
        <v/>
      </c>
      <c r="S240" s="31" t="str">
        <f aca="false">IF(OR(L240="",L240=0,N240=""),"",N240/1000/L240)</f>
        <v/>
      </c>
      <c r="T240" s="27"/>
      <c r="U240" s="27"/>
      <c r="V240" s="27"/>
      <c r="W240" s="27"/>
      <c r="X240" s="27"/>
      <c r="Y240" s="27"/>
      <c r="Z240" s="27"/>
      <c r="AA240" s="25"/>
      <c r="AB240" s="27"/>
      <c r="AC240" s="30" t="str">
        <f aca="false">IF(M240="","",IF(AB240="",M240*Parámetros!$B$6,AB240))</f>
        <v/>
      </c>
      <c r="AD240" s="30" t="str">
        <f aca="false">IF(M240="","",SUM(T240:Z240)+AC240)</f>
        <v/>
      </c>
      <c r="AE240" s="30" t="str">
        <f aca="false">IF(OR(M240="",N240=""),"",M240-N240)</f>
        <v/>
      </c>
      <c r="AF240" s="30" t="str">
        <f aca="false">IF(AE240="","",AE240-AD240)</f>
        <v/>
      </c>
      <c r="AG240" s="28" t="str">
        <f aca="false">IF(OR(AF240="",M240=0),"",AF240/M240)</f>
        <v/>
      </c>
      <c r="AH240" s="32" t="str">
        <f aca="false">IF(OR(AE240="",N240=0),"",AE240/(N240/1000))</f>
        <v/>
      </c>
      <c r="AI240" s="30" t="str">
        <f aca="false">IF(O240="","",M240*P240)</f>
        <v/>
      </c>
      <c r="AJ240" s="11" t="str">
        <f aca="false">IF(O240="","",IF(O240&gt;1,"Error: rend &gt; 100 %",IF(SUM(T240:Z240)=0,"Falta registrar pérdidas",IF(ABS(AG240)&gt;Parámetros!$B$7,"Revisar balance",IF(O240&lt;P240,"Bajo meta","OK")))))</f>
        <v/>
      </c>
      <c r="AK240" s="33"/>
      <c r="AL240" s="10"/>
      <c r="AM240" s="33"/>
      <c r="AN240" s="33"/>
      <c r="AO240" s="10"/>
    </row>
    <row r="241" customFormat="false" ht="15" hidden="false" customHeight="false" outlineLevel="0" collapsed="false">
      <c r="A241" s="22"/>
      <c r="B241" s="23" t="str">
        <f aca="false">IF(A241="","",YEAR(A241-WEEKDAY(A241,2)+4))</f>
        <v/>
      </c>
      <c r="C241" s="23" t="str">
        <f aca="false">IF(A241="","",WEEKNUM(A241,21))</f>
        <v/>
      </c>
      <c r="D241" s="24" t="str">
        <f aca="false">IF(A241="","",DATE(YEAR(A241),MONTH(A241),1))</f>
        <v/>
      </c>
      <c r="E241" s="10"/>
      <c r="F241" s="25"/>
      <c r="G241" s="25"/>
      <c r="H241" s="10"/>
      <c r="I241" s="10"/>
      <c r="J241" s="26"/>
      <c r="K241" s="25"/>
      <c r="L241" s="26"/>
      <c r="M241" s="27"/>
      <c r="N241" s="27"/>
      <c r="O241" s="28" t="str">
        <f aca="false">IF(OR(M241="",M241=0,N241=""),"",N241/M241)</f>
        <v/>
      </c>
      <c r="P241" s="28" t="str">
        <f aca="false">IF(M241="","",IFERROR(IF(INDEX(Parámetros!$B$14:$B$21,MATCH(I241,Parámetros!$A$14:$A$21,0))="",Parámetros!$B$5,INDEX(Parámetros!$B$14:$B$21,MATCH(I241,Parámetros!$A$14:$A$21,0))),Parámetros!$B$5))</f>
        <v/>
      </c>
      <c r="Q241" s="29" t="str">
        <f aca="false">IF(O241="","",(O241-P241)*100)</f>
        <v/>
      </c>
      <c r="R241" s="30" t="str">
        <f aca="false">IF(O241="","",MAX(0,M241*(P241-O241)))</f>
        <v/>
      </c>
      <c r="S241" s="31" t="str">
        <f aca="false">IF(OR(L241="",L241=0,N241=""),"",N241/1000/L241)</f>
        <v/>
      </c>
      <c r="T241" s="27"/>
      <c r="U241" s="27"/>
      <c r="V241" s="27"/>
      <c r="W241" s="27"/>
      <c r="X241" s="27"/>
      <c r="Y241" s="27"/>
      <c r="Z241" s="27"/>
      <c r="AA241" s="25"/>
      <c r="AB241" s="27"/>
      <c r="AC241" s="30" t="str">
        <f aca="false">IF(M241="","",IF(AB241="",M241*Parámetros!$B$6,AB241))</f>
        <v/>
      </c>
      <c r="AD241" s="30" t="str">
        <f aca="false">IF(M241="","",SUM(T241:Z241)+AC241)</f>
        <v/>
      </c>
      <c r="AE241" s="30" t="str">
        <f aca="false">IF(OR(M241="",N241=""),"",M241-N241)</f>
        <v/>
      </c>
      <c r="AF241" s="30" t="str">
        <f aca="false">IF(AE241="","",AE241-AD241)</f>
        <v/>
      </c>
      <c r="AG241" s="28" t="str">
        <f aca="false">IF(OR(AF241="",M241=0),"",AF241/M241)</f>
        <v/>
      </c>
      <c r="AH241" s="32" t="str">
        <f aca="false">IF(OR(AE241="",N241=0),"",AE241/(N241/1000))</f>
        <v/>
      </c>
      <c r="AI241" s="30" t="str">
        <f aca="false">IF(O241="","",M241*P241)</f>
        <v/>
      </c>
      <c r="AJ241" s="11" t="str">
        <f aca="false">IF(O241="","",IF(O241&gt;1,"Error: rend &gt; 100 %",IF(SUM(T241:Z241)=0,"Falta registrar pérdidas",IF(ABS(AG241)&gt;Parámetros!$B$7,"Revisar balance",IF(O241&lt;P241,"Bajo meta","OK")))))</f>
        <v/>
      </c>
      <c r="AK241" s="33"/>
      <c r="AL241" s="10"/>
      <c r="AM241" s="33"/>
      <c r="AN241" s="33"/>
      <c r="AO241" s="10"/>
    </row>
    <row r="242" customFormat="false" ht="15" hidden="false" customHeight="false" outlineLevel="0" collapsed="false">
      <c r="A242" s="22"/>
      <c r="B242" s="23" t="str">
        <f aca="false">IF(A242="","",YEAR(A242-WEEKDAY(A242,2)+4))</f>
        <v/>
      </c>
      <c r="C242" s="23" t="str">
        <f aca="false">IF(A242="","",WEEKNUM(A242,21))</f>
        <v/>
      </c>
      <c r="D242" s="24" t="str">
        <f aca="false">IF(A242="","",DATE(YEAR(A242),MONTH(A242),1))</f>
        <v/>
      </c>
      <c r="E242" s="10"/>
      <c r="F242" s="25"/>
      <c r="G242" s="25"/>
      <c r="H242" s="10"/>
      <c r="I242" s="10"/>
      <c r="J242" s="26"/>
      <c r="K242" s="25"/>
      <c r="L242" s="26"/>
      <c r="M242" s="27"/>
      <c r="N242" s="27"/>
      <c r="O242" s="28" t="str">
        <f aca="false">IF(OR(M242="",M242=0,N242=""),"",N242/M242)</f>
        <v/>
      </c>
      <c r="P242" s="28" t="str">
        <f aca="false">IF(M242="","",IFERROR(IF(INDEX(Parámetros!$B$14:$B$21,MATCH(I242,Parámetros!$A$14:$A$21,0))="",Parámetros!$B$5,INDEX(Parámetros!$B$14:$B$21,MATCH(I242,Parámetros!$A$14:$A$21,0))),Parámetros!$B$5))</f>
        <v/>
      </c>
      <c r="Q242" s="29" t="str">
        <f aca="false">IF(O242="","",(O242-P242)*100)</f>
        <v/>
      </c>
      <c r="R242" s="30" t="str">
        <f aca="false">IF(O242="","",MAX(0,M242*(P242-O242)))</f>
        <v/>
      </c>
      <c r="S242" s="31" t="str">
        <f aca="false">IF(OR(L242="",L242=0,N242=""),"",N242/1000/L242)</f>
        <v/>
      </c>
      <c r="T242" s="27"/>
      <c r="U242" s="27"/>
      <c r="V242" s="27"/>
      <c r="W242" s="27"/>
      <c r="X242" s="27"/>
      <c r="Y242" s="27"/>
      <c r="Z242" s="27"/>
      <c r="AA242" s="25"/>
      <c r="AB242" s="27"/>
      <c r="AC242" s="30" t="str">
        <f aca="false">IF(M242="","",IF(AB242="",M242*Parámetros!$B$6,AB242))</f>
        <v/>
      </c>
      <c r="AD242" s="30" t="str">
        <f aca="false">IF(M242="","",SUM(T242:Z242)+AC242)</f>
        <v/>
      </c>
      <c r="AE242" s="30" t="str">
        <f aca="false">IF(OR(M242="",N242=""),"",M242-N242)</f>
        <v/>
      </c>
      <c r="AF242" s="30" t="str">
        <f aca="false">IF(AE242="","",AE242-AD242)</f>
        <v/>
      </c>
      <c r="AG242" s="28" t="str">
        <f aca="false">IF(OR(AF242="",M242=0),"",AF242/M242)</f>
        <v/>
      </c>
      <c r="AH242" s="32" t="str">
        <f aca="false">IF(OR(AE242="",N242=0),"",AE242/(N242/1000))</f>
        <v/>
      </c>
      <c r="AI242" s="30" t="str">
        <f aca="false">IF(O242="","",M242*P242)</f>
        <v/>
      </c>
      <c r="AJ242" s="11" t="str">
        <f aca="false">IF(O242="","",IF(O242&gt;1,"Error: rend &gt; 100 %",IF(SUM(T242:Z242)=0,"Falta registrar pérdidas",IF(ABS(AG242)&gt;Parámetros!$B$7,"Revisar balance",IF(O242&lt;P242,"Bajo meta","OK")))))</f>
        <v/>
      </c>
      <c r="AK242" s="33"/>
      <c r="AL242" s="10"/>
      <c r="AM242" s="33"/>
      <c r="AN242" s="33"/>
      <c r="AO242" s="10"/>
    </row>
    <row r="243" customFormat="false" ht="15" hidden="false" customHeight="false" outlineLevel="0" collapsed="false">
      <c r="A243" s="22"/>
      <c r="B243" s="23" t="str">
        <f aca="false">IF(A243="","",YEAR(A243-WEEKDAY(A243,2)+4))</f>
        <v/>
      </c>
      <c r="C243" s="23" t="str">
        <f aca="false">IF(A243="","",WEEKNUM(A243,21))</f>
        <v/>
      </c>
      <c r="D243" s="24" t="str">
        <f aca="false">IF(A243="","",DATE(YEAR(A243),MONTH(A243),1))</f>
        <v/>
      </c>
      <c r="E243" s="10"/>
      <c r="F243" s="25"/>
      <c r="G243" s="25"/>
      <c r="H243" s="10"/>
      <c r="I243" s="10"/>
      <c r="J243" s="26"/>
      <c r="K243" s="25"/>
      <c r="L243" s="26"/>
      <c r="M243" s="27"/>
      <c r="N243" s="27"/>
      <c r="O243" s="28" t="str">
        <f aca="false">IF(OR(M243="",M243=0,N243=""),"",N243/M243)</f>
        <v/>
      </c>
      <c r="P243" s="28" t="str">
        <f aca="false">IF(M243="","",IFERROR(IF(INDEX(Parámetros!$B$14:$B$21,MATCH(I243,Parámetros!$A$14:$A$21,0))="",Parámetros!$B$5,INDEX(Parámetros!$B$14:$B$21,MATCH(I243,Parámetros!$A$14:$A$21,0))),Parámetros!$B$5))</f>
        <v/>
      </c>
      <c r="Q243" s="29" t="str">
        <f aca="false">IF(O243="","",(O243-P243)*100)</f>
        <v/>
      </c>
      <c r="R243" s="30" t="str">
        <f aca="false">IF(O243="","",MAX(0,M243*(P243-O243)))</f>
        <v/>
      </c>
      <c r="S243" s="31" t="str">
        <f aca="false">IF(OR(L243="",L243=0,N243=""),"",N243/1000/L243)</f>
        <v/>
      </c>
      <c r="T243" s="27"/>
      <c r="U243" s="27"/>
      <c r="V243" s="27"/>
      <c r="W243" s="27"/>
      <c r="X243" s="27"/>
      <c r="Y243" s="27"/>
      <c r="Z243" s="27"/>
      <c r="AA243" s="25"/>
      <c r="AB243" s="27"/>
      <c r="AC243" s="30" t="str">
        <f aca="false">IF(M243="","",IF(AB243="",M243*Parámetros!$B$6,AB243))</f>
        <v/>
      </c>
      <c r="AD243" s="30" t="str">
        <f aca="false">IF(M243="","",SUM(T243:Z243)+AC243)</f>
        <v/>
      </c>
      <c r="AE243" s="30" t="str">
        <f aca="false">IF(OR(M243="",N243=""),"",M243-N243)</f>
        <v/>
      </c>
      <c r="AF243" s="30" t="str">
        <f aca="false">IF(AE243="","",AE243-AD243)</f>
        <v/>
      </c>
      <c r="AG243" s="28" t="str">
        <f aca="false">IF(OR(AF243="",M243=0),"",AF243/M243)</f>
        <v/>
      </c>
      <c r="AH243" s="32" t="str">
        <f aca="false">IF(OR(AE243="",N243=0),"",AE243/(N243/1000))</f>
        <v/>
      </c>
      <c r="AI243" s="30" t="str">
        <f aca="false">IF(O243="","",M243*P243)</f>
        <v/>
      </c>
      <c r="AJ243" s="11" t="str">
        <f aca="false">IF(O243="","",IF(O243&gt;1,"Error: rend &gt; 100 %",IF(SUM(T243:Z243)=0,"Falta registrar pérdidas",IF(ABS(AG243)&gt;Parámetros!$B$7,"Revisar balance",IF(O243&lt;P243,"Bajo meta","OK")))))</f>
        <v/>
      </c>
      <c r="AK243" s="33"/>
      <c r="AL243" s="10"/>
      <c r="AM243" s="33"/>
      <c r="AN243" s="33"/>
      <c r="AO243" s="10"/>
    </row>
    <row r="244" customFormat="false" ht="15" hidden="false" customHeight="false" outlineLevel="0" collapsed="false">
      <c r="A244" s="22"/>
      <c r="B244" s="23" t="str">
        <f aca="false">IF(A244="","",YEAR(A244-WEEKDAY(A244,2)+4))</f>
        <v/>
      </c>
      <c r="C244" s="23" t="str">
        <f aca="false">IF(A244="","",WEEKNUM(A244,21))</f>
        <v/>
      </c>
      <c r="D244" s="24" t="str">
        <f aca="false">IF(A244="","",DATE(YEAR(A244),MONTH(A244),1))</f>
        <v/>
      </c>
      <c r="E244" s="10"/>
      <c r="F244" s="25"/>
      <c r="G244" s="25"/>
      <c r="H244" s="10"/>
      <c r="I244" s="10"/>
      <c r="J244" s="26"/>
      <c r="K244" s="25"/>
      <c r="L244" s="26"/>
      <c r="M244" s="27"/>
      <c r="N244" s="27"/>
      <c r="O244" s="28" t="str">
        <f aca="false">IF(OR(M244="",M244=0,N244=""),"",N244/M244)</f>
        <v/>
      </c>
      <c r="P244" s="28" t="str">
        <f aca="false">IF(M244="","",IFERROR(IF(INDEX(Parámetros!$B$14:$B$21,MATCH(I244,Parámetros!$A$14:$A$21,0))="",Parámetros!$B$5,INDEX(Parámetros!$B$14:$B$21,MATCH(I244,Parámetros!$A$14:$A$21,0))),Parámetros!$B$5))</f>
        <v/>
      </c>
      <c r="Q244" s="29" t="str">
        <f aca="false">IF(O244="","",(O244-P244)*100)</f>
        <v/>
      </c>
      <c r="R244" s="30" t="str">
        <f aca="false">IF(O244="","",MAX(0,M244*(P244-O244)))</f>
        <v/>
      </c>
      <c r="S244" s="31" t="str">
        <f aca="false">IF(OR(L244="",L244=0,N244=""),"",N244/1000/L244)</f>
        <v/>
      </c>
      <c r="T244" s="27"/>
      <c r="U244" s="27"/>
      <c r="V244" s="27"/>
      <c r="W244" s="27"/>
      <c r="X244" s="27"/>
      <c r="Y244" s="27"/>
      <c r="Z244" s="27"/>
      <c r="AA244" s="25"/>
      <c r="AB244" s="27"/>
      <c r="AC244" s="30" t="str">
        <f aca="false">IF(M244="","",IF(AB244="",M244*Parámetros!$B$6,AB244))</f>
        <v/>
      </c>
      <c r="AD244" s="30" t="str">
        <f aca="false">IF(M244="","",SUM(T244:Z244)+AC244)</f>
        <v/>
      </c>
      <c r="AE244" s="30" t="str">
        <f aca="false">IF(OR(M244="",N244=""),"",M244-N244)</f>
        <v/>
      </c>
      <c r="AF244" s="30" t="str">
        <f aca="false">IF(AE244="","",AE244-AD244)</f>
        <v/>
      </c>
      <c r="AG244" s="28" t="str">
        <f aca="false">IF(OR(AF244="",M244=0),"",AF244/M244)</f>
        <v/>
      </c>
      <c r="AH244" s="32" t="str">
        <f aca="false">IF(OR(AE244="",N244=0),"",AE244/(N244/1000))</f>
        <v/>
      </c>
      <c r="AI244" s="30" t="str">
        <f aca="false">IF(O244="","",M244*P244)</f>
        <v/>
      </c>
      <c r="AJ244" s="11" t="str">
        <f aca="false">IF(O244="","",IF(O244&gt;1,"Error: rend &gt; 100 %",IF(SUM(T244:Z244)=0,"Falta registrar pérdidas",IF(ABS(AG244)&gt;Parámetros!$B$7,"Revisar balance",IF(O244&lt;P244,"Bajo meta","OK")))))</f>
        <v/>
      </c>
      <c r="AK244" s="33"/>
      <c r="AL244" s="10"/>
      <c r="AM244" s="33"/>
      <c r="AN244" s="33"/>
      <c r="AO244" s="10"/>
    </row>
    <row r="245" customFormat="false" ht="15" hidden="false" customHeight="false" outlineLevel="0" collapsed="false">
      <c r="A245" s="22"/>
      <c r="B245" s="23" t="str">
        <f aca="false">IF(A245="","",YEAR(A245-WEEKDAY(A245,2)+4))</f>
        <v/>
      </c>
      <c r="C245" s="23" t="str">
        <f aca="false">IF(A245="","",WEEKNUM(A245,21))</f>
        <v/>
      </c>
      <c r="D245" s="24" t="str">
        <f aca="false">IF(A245="","",DATE(YEAR(A245),MONTH(A245),1))</f>
        <v/>
      </c>
      <c r="E245" s="10"/>
      <c r="F245" s="25"/>
      <c r="G245" s="25"/>
      <c r="H245" s="10"/>
      <c r="I245" s="10"/>
      <c r="J245" s="26"/>
      <c r="K245" s="25"/>
      <c r="L245" s="26"/>
      <c r="M245" s="27"/>
      <c r="N245" s="27"/>
      <c r="O245" s="28" t="str">
        <f aca="false">IF(OR(M245="",M245=0,N245=""),"",N245/M245)</f>
        <v/>
      </c>
      <c r="P245" s="28" t="str">
        <f aca="false">IF(M245="","",IFERROR(IF(INDEX(Parámetros!$B$14:$B$21,MATCH(I245,Parámetros!$A$14:$A$21,0))="",Parámetros!$B$5,INDEX(Parámetros!$B$14:$B$21,MATCH(I245,Parámetros!$A$14:$A$21,0))),Parámetros!$B$5))</f>
        <v/>
      </c>
      <c r="Q245" s="29" t="str">
        <f aca="false">IF(O245="","",(O245-P245)*100)</f>
        <v/>
      </c>
      <c r="R245" s="30" t="str">
        <f aca="false">IF(O245="","",MAX(0,M245*(P245-O245)))</f>
        <v/>
      </c>
      <c r="S245" s="31" t="str">
        <f aca="false">IF(OR(L245="",L245=0,N245=""),"",N245/1000/L245)</f>
        <v/>
      </c>
      <c r="T245" s="27"/>
      <c r="U245" s="27"/>
      <c r="V245" s="27"/>
      <c r="W245" s="27"/>
      <c r="X245" s="27"/>
      <c r="Y245" s="27"/>
      <c r="Z245" s="27"/>
      <c r="AA245" s="25"/>
      <c r="AB245" s="27"/>
      <c r="AC245" s="30" t="str">
        <f aca="false">IF(M245="","",IF(AB245="",M245*Parámetros!$B$6,AB245))</f>
        <v/>
      </c>
      <c r="AD245" s="30" t="str">
        <f aca="false">IF(M245="","",SUM(T245:Z245)+AC245)</f>
        <v/>
      </c>
      <c r="AE245" s="30" t="str">
        <f aca="false">IF(OR(M245="",N245=""),"",M245-N245)</f>
        <v/>
      </c>
      <c r="AF245" s="30" t="str">
        <f aca="false">IF(AE245="","",AE245-AD245)</f>
        <v/>
      </c>
      <c r="AG245" s="28" t="str">
        <f aca="false">IF(OR(AF245="",M245=0),"",AF245/M245)</f>
        <v/>
      </c>
      <c r="AH245" s="32" t="str">
        <f aca="false">IF(OR(AE245="",N245=0),"",AE245/(N245/1000))</f>
        <v/>
      </c>
      <c r="AI245" s="30" t="str">
        <f aca="false">IF(O245="","",M245*P245)</f>
        <v/>
      </c>
      <c r="AJ245" s="11" t="str">
        <f aca="false">IF(O245="","",IF(O245&gt;1,"Error: rend &gt; 100 %",IF(SUM(T245:Z245)=0,"Falta registrar pérdidas",IF(ABS(AG245)&gt;Parámetros!$B$7,"Revisar balance",IF(O245&lt;P245,"Bajo meta","OK")))))</f>
        <v/>
      </c>
      <c r="AK245" s="33"/>
      <c r="AL245" s="10"/>
      <c r="AM245" s="33"/>
      <c r="AN245" s="33"/>
      <c r="AO245" s="10"/>
    </row>
    <row r="246" customFormat="false" ht="15" hidden="false" customHeight="false" outlineLevel="0" collapsed="false">
      <c r="A246" s="22"/>
      <c r="B246" s="23" t="str">
        <f aca="false">IF(A246="","",YEAR(A246-WEEKDAY(A246,2)+4))</f>
        <v/>
      </c>
      <c r="C246" s="23" t="str">
        <f aca="false">IF(A246="","",WEEKNUM(A246,21))</f>
        <v/>
      </c>
      <c r="D246" s="24" t="str">
        <f aca="false">IF(A246="","",DATE(YEAR(A246),MONTH(A246),1))</f>
        <v/>
      </c>
      <c r="E246" s="10"/>
      <c r="F246" s="25"/>
      <c r="G246" s="25"/>
      <c r="H246" s="10"/>
      <c r="I246" s="10"/>
      <c r="J246" s="26"/>
      <c r="K246" s="25"/>
      <c r="L246" s="26"/>
      <c r="M246" s="27"/>
      <c r="N246" s="27"/>
      <c r="O246" s="28" t="str">
        <f aca="false">IF(OR(M246="",M246=0,N246=""),"",N246/M246)</f>
        <v/>
      </c>
      <c r="P246" s="28" t="str">
        <f aca="false">IF(M246="","",IFERROR(IF(INDEX(Parámetros!$B$14:$B$21,MATCH(I246,Parámetros!$A$14:$A$21,0))="",Parámetros!$B$5,INDEX(Parámetros!$B$14:$B$21,MATCH(I246,Parámetros!$A$14:$A$21,0))),Parámetros!$B$5))</f>
        <v/>
      </c>
      <c r="Q246" s="29" t="str">
        <f aca="false">IF(O246="","",(O246-P246)*100)</f>
        <v/>
      </c>
      <c r="R246" s="30" t="str">
        <f aca="false">IF(O246="","",MAX(0,M246*(P246-O246)))</f>
        <v/>
      </c>
      <c r="S246" s="31" t="str">
        <f aca="false">IF(OR(L246="",L246=0,N246=""),"",N246/1000/L246)</f>
        <v/>
      </c>
      <c r="T246" s="27"/>
      <c r="U246" s="27"/>
      <c r="V246" s="27"/>
      <c r="W246" s="27"/>
      <c r="X246" s="27"/>
      <c r="Y246" s="27"/>
      <c r="Z246" s="27"/>
      <c r="AA246" s="25"/>
      <c r="AB246" s="27"/>
      <c r="AC246" s="30" t="str">
        <f aca="false">IF(M246="","",IF(AB246="",M246*Parámetros!$B$6,AB246))</f>
        <v/>
      </c>
      <c r="AD246" s="30" t="str">
        <f aca="false">IF(M246="","",SUM(T246:Z246)+AC246)</f>
        <v/>
      </c>
      <c r="AE246" s="30" t="str">
        <f aca="false">IF(OR(M246="",N246=""),"",M246-N246)</f>
        <v/>
      </c>
      <c r="AF246" s="30" t="str">
        <f aca="false">IF(AE246="","",AE246-AD246)</f>
        <v/>
      </c>
      <c r="AG246" s="28" t="str">
        <f aca="false">IF(OR(AF246="",M246=0),"",AF246/M246)</f>
        <v/>
      </c>
      <c r="AH246" s="32" t="str">
        <f aca="false">IF(OR(AE246="",N246=0),"",AE246/(N246/1000))</f>
        <v/>
      </c>
      <c r="AI246" s="30" t="str">
        <f aca="false">IF(O246="","",M246*P246)</f>
        <v/>
      </c>
      <c r="AJ246" s="11" t="str">
        <f aca="false">IF(O246="","",IF(O246&gt;1,"Error: rend &gt; 100 %",IF(SUM(T246:Z246)=0,"Falta registrar pérdidas",IF(ABS(AG246)&gt;Parámetros!$B$7,"Revisar balance",IF(O246&lt;P246,"Bajo meta","OK")))))</f>
        <v/>
      </c>
      <c r="AK246" s="33"/>
      <c r="AL246" s="10"/>
      <c r="AM246" s="33"/>
      <c r="AN246" s="33"/>
      <c r="AO246" s="10"/>
    </row>
    <row r="247" customFormat="false" ht="15" hidden="false" customHeight="false" outlineLevel="0" collapsed="false">
      <c r="A247" s="22"/>
      <c r="B247" s="23" t="str">
        <f aca="false">IF(A247="","",YEAR(A247-WEEKDAY(A247,2)+4))</f>
        <v/>
      </c>
      <c r="C247" s="23" t="str">
        <f aca="false">IF(A247="","",WEEKNUM(A247,21))</f>
        <v/>
      </c>
      <c r="D247" s="24" t="str">
        <f aca="false">IF(A247="","",DATE(YEAR(A247),MONTH(A247),1))</f>
        <v/>
      </c>
      <c r="E247" s="10"/>
      <c r="F247" s="25"/>
      <c r="G247" s="25"/>
      <c r="H247" s="10"/>
      <c r="I247" s="10"/>
      <c r="J247" s="26"/>
      <c r="K247" s="25"/>
      <c r="L247" s="26"/>
      <c r="M247" s="27"/>
      <c r="N247" s="27"/>
      <c r="O247" s="28" t="str">
        <f aca="false">IF(OR(M247="",M247=0,N247=""),"",N247/M247)</f>
        <v/>
      </c>
      <c r="P247" s="28" t="str">
        <f aca="false">IF(M247="","",IFERROR(IF(INDEX(Parámetros!$B$14:$B$21,MATCH(I247,Parámetros!$A$14:$A$21,0))="",Parámetros!$B$5,INDEX(Parámetros!$B$14:$B$21,MATCH(I247,Parámetros!$A$14:$A$21,0))),Parámetros!$B$5))</f>
        <v/>
      </c>
      <c r="Q247" s="29" t="str">
        <f aca="false">IF(O247="","",(O247-P247)*100)</f>
        <v/>
      </c>
      <c r="R247" s="30" t="str">
        <f aca="false">IF(O247="","",MAX(0,M247*(P247-O247)))</f>
        <v/>
      </c>
      <c r="S247" s="31" t="str">
        <f aca="false">IF(OR(L247="",L247=0,N247=""),"",N247/1000/L247)</f>
        <v/>
      </c>
      <c r="T247" s="27"/>
      <c r="U247" s="27"/>
      <c r="V247" s="27"/>
      <c r="W247" s="27"/>
      <c r="X247" s="27"/>
      <c r="Y247" s="27"/>
      <c r="Z247" s="27"/>
      <c r="AA247" s="25"/>
      <c r="AB247" s="27"/>
      <c r="AC247" s="30" t="str">
        <f aca="false">IF(M247="","",IF(AB247="",M247*Parámetros!$B$6,AB247))</f>
        <v/>
      </c>
      <c r="AD247" s="30" t="str">
        <f aca="false">IF(M247="","",SUM(T247:Z247)+AC247)</f>
        <v/>
      </c>
      <c r="AE247" s="30" t="str">
        <f aca="false">IF(OR(M247="",N247=""),"",M247-N247)</f>
        <v/>
      </c>
      <c r="AF247" s="30" t="str">
        <f aca="false">IF(AE247="","",AE247-AD247)</f>
        <v/>
      </c>
      <c r="AG247" s="28" t="str">
        <f aca="false">IF(OR(AF247="",M247=0),"",AF247/M247)</f>
        <v/>
      </c>
      <c r="AH247" s="32" t="str">
        <f aca="false">IF(OR(AE247="",N247=0),"",AE247/(N247/1000))</f>
        <v/>
      </c>
      <c r="AI247" s="30" t="str">
        <f aca="false">IF(O247="","",M247*P247)</f>
        <v/>
      </c>
      <c r="AJ247" s="11" t="str">
        <f aca="false">IF(O247="","",IF(O247&gt;1,"Error: rend &gt; 100 %",IF(SUM(T247:Z247)=0,"Falta registrar pérdidas",IF(ABS(AG247)&gt;Parámetros!$B$7,"Revisar balance",IF(O247&lt;P247,"Bajo meta","OK")))))</f>
        <v/>
      </c>
      <c r="AK247" s="33"/>
      <c r="AL247" s="10"/>
      <c r="AM247" s="33"/>
      <c r="AN247" s="33"/>
      <c r="AO247" s="10"/>
    </row>
    <row r="248" customFormat="false" ht="15" hidden="false" customHeight="false" outlineLevel="0" collapsed="false">
      <c r="A248" s="22"/>
      <c r="B248" s="23" t="str">
        <f aca="false">IF(A248="","",YEAR(A248-WEEKDAY(A248,2)+4))</f>
        <v/>
      </c>
      <c r="C248" s="23" t="str">
        <f aca="false">IF(A248="","",WEEKNUM(A248,21))</f>
        <v/>
      </c>
      <c r="D248" s="24" t="str">
        <f aca="false">IF(A248="","",DATE(YEAR(A248),MONTH(A248),1))</f>
        <v/>
      </c>
      <c r="E248" s="10"/>
      <c r="F248" s="25"/>
      <c r="G248" s="25"/>
      <c r="H248" s="10"/>
      <c r="I248" s="10"/>
      <c r="J248" s="26"/>
      <c r="K248" s="25"/>
      <c r="L248" s="26"/>
      <c r="M248" s="27"/>
      <c r="N248" s="27"/>
      <c r="O248" s="28" t="str">
        <f aca="false">IF(OR(M248="",M248=0,N248=""),"",N248/M248)</f>
        <v/>
      </c>
      <c r="P248" s="28" t="str">
        <f aca="false">IF(M248="","",IFERROR(IF(INDEX(Parámetros!$B$14:$B$21,MATCH(I248,Parámetros!$A$14:$A$21,0))="",Parámetros!$B$5,INDEX(Parámetros!$B$14:$B$21,MATCH(I248,Parámetros!$A$14:$A$21,0))),Parámetros!$B$5))</f>
        <v/>
      </c>
      <c r="Q248" s="29" t="str">
        <f aca="false">IF(O248="","",(O248-P248)*100)</f>
        <v/>
      </c>
      <c r="R248" s="30" t="str">
        <f aca="false">IF(O248="","",MAX(0,M248*(P248-O248)))</f>
        <v/>
      </c>
      <c r="S248" s="31" t="str">
        <f aca="false">IF(OR(L248="",L248=0,N248=""),"",N248/1000/L248)</f>
        <v/>
      </c>
      <c r="T248" s="27"/>
      <c r="U248" s="27"/>
      <c r="V248" s="27"/>
      <c r="W248" s="27"/>
      <c r="X248" s="27"/>
      <c r="Y248" s="27"/>
      <c r="Z248" s="27"/>
      <c r="AA248" s="25"/>
      <c r="AB248" s="27"/>
      <c r="AC248" s="30" t="str">
        <f aca="false">IF(M248="","",IF(AB248="",M248*Parámetros!$B$6,AB248))</f>
        <v/>
      </c>
      <c r="AD248" s="30" t="str">
        <f aca="false">IF(M248="","",SUM(T248:Z248)+AC248)</f>
        <v/>
      </c>
      <c r="AE248" s="30" t="str">
        <f aca="false">IF(OR(M248="",N248=""),"",M248-N248)</f>
        <v/>
      </c>
      <c r="AF248" s="30" t="str">
        <f aca="false">IF(AE248="","",AE248-AD248)</f>
        <v/>
      </c>
      <c r="AG248" s="28" t="str">
        <f aca="false">IF(OR(AF248="",M248=0),"",AF248/M248)</f>
        <v/>
      </c>
      <c r="AH248" s="32" t="str">
        <f aca="false">IF(OR(AE248="",N248=0),"",AE248/(N248/1000))</f>
        <v/>
      </c>
      <c r="AI248" s="30" t="str">
        <f aca="false">IF(O248="","",M248*P248)</f>
        <v/>
      </c>
      <c r="AJ248" s="11" t="str">
        <f aca="false">IF(O248="","",IF(O248&gt;1,"Error: rend &gt; 100 %",IF(SUM(T248:Z248)=0,"Falta registrar pérdidas",IF(ABS(AG248)&gt;Parámetros!$B$7,"Revisar balance",IF(O248&lt;P248,"Bajo meta","OK")))))</f>
        <v/>
      </c>
      <c r="AK248" s="33"/>
      <c r="AL248" s="10"/>
      <c r="AM248" s="33"/>
      <c r="AN248" s="33"/>
      <c r="AO248" s="10"/>
    </row>
    <row r="249" customFormat="false" ht="15" hidden="false" customHeight="false" outlineLevel="0" collapsed="false">
      <c r="A249" s="22"/>
      <c r="B249" s="23" t="str">
        <f aca="false">IF(A249="","",YEAR(A249-WEEKDAY(A249,2)+4))</f>
        <v/>
      </c>
      <c r="C249" s="23" t="str">
        <f aca="false">IF(A249="","",WEEKNUM(A249,21))</f>
        <v/>
      </c>
      <c r="D249" s="24" t="str">
        <f aca="false">IF(A249="","",DATE(YEAR(A249),MONTH(A249),1))</f>
        <v/>
      </c>
      <c r="E249" s="10"/>
      <c r="F249" s="25"/>
      <c r="G249" s="25"/>
      <c r="H249" s="10"/>
      <c r="I249" s="10"/>
      <c r="J249" s="26"/>
      <c r="K249" s="25"/>
      <c r="L249" s="26"/>
      <c r="M249" s="27"/>
      <c r="N249" s="27"/>
      <c r="O249" s="28" t="str">
        <f aca="false">IF(OR(M249="",M249=0,N249=""),"",N249/M249)</f>
        <v/>
      </c>
      <c r="P249" s="28" t="str">
        <f aca="false">IF(M249="","",IFERROR(IF(INDEX(Parámetros!$B$14:$B$21,MATCH(I249,Parámetros!$A$14:$A$21,0))="",Parámetros!$B$5,INDEX(Parámetros!$B$14:$B$21,MATCH(I249,Parámetros!$A$14:$A$21,0))),Parámetros!$B$5))</f>
        <v/>
      </c>
      <c r="Q249" s="29" t="str">
        <f aca="false">IF(O249="","",(O249-P249)*100)</f>
        <v/>
      </c>
      <c r="R249" s="30" t="str">
        <f aca="false">IF(O249="","",MAX(0,M249*(P249-O249)))</f>
        <v/>
      </c>
      <c r="S249" s="31" t="str">
        <f aca="false">IF(OR(L249="",L249=0,N249=""),"",N249/1000/L249)</f>
        <v/>
      </c>
      <c r="T249" s="27"/>
      <c r="U249" s="27"/>
      <c r="V249" s="27"/>
      <c r="W249" s="27"/>
      <c r="X249" s="27"/>
      <c r="Y249" s="27"/>
      <c r="Z249" s="27"/>
      <c r="AA249" s="25"/>
      <c r="AB249" s="27"/>
      <c r="AC249" s="30" t="str">
        <f aca="false">IF(M249="","",IF(AB249="",M249*Parámetros!$B$6,AB249))</f>
        <v/>
      </c>
      <c r="AD249" s="30" t="str">
        <f aca="false">IF(M249="","",SUM(T249:Z249)+AC249)</f>
        <v/>
      </c>
      <c r="AE249" s="30" t="str">
        <f aca="false">IF(OR(M249="",N249=""),"",M249-N249)</f>
        <v/>
      </c>
      <c r="AF249" s="30" t="str">
        <f aca="false">IF(AE249="","",AE249-AD249)</f>
        <v/>
      </c>
      <c r="AG249" s="28" t="str">
        <f aca="false">IF(OR(AF249="",M249=0),"",AF249/M249)</f>
        <v/>
      </c>
      <c r="AH249" s="32" t="str">
        <f aca="false">IF(OR(AE249="",N249=0),"",AE249/(N249/1000))</f>
        <v/>
      </c>
      <c r="AI249" s="30" t="str">
        <f aca="false">IF(O249="","",M249*P249)</f>
        <v/>
      </c>
      <c r="AJ249" s="11" t="str">
        <f aca="false">IF(O249="","",IF(O249&gt;1,"Error: rend &gt; 100 %",IF(SUM(T249:Z249)=0,"Falta registrar pérdidas",IF(ABS(AG249)&gt;Parámetros!$B$7,"Revisar balance",IF(O249&lt;P249,"Bajo meta","OK")))))</f>
        <v/>
      </c>
      <c r="AK249" s="33"/>
      <c r="AL249" s="10"/>
      <c r="AM249" s="33"/>
      <c r="AN249" s="33"/>
      <c r="AO249" s="10"/>
    </row>
    <row r="250" customFormat="false" ht="15" hidden="false" customHeight="false" outlineLevel="0" collapsed="false">
      <c r="A250" s="22"/>
      <c r="B250" s="23" t="str">
        <f aca="false">IF(A250="","",YEAR(A250-WEEKDAY(A250,2)+4))</f>
        <v/>
      </c>
      <c r="C250" s="23" t="str">
        <f aca="false">IF(A250="","",WEEKNUM(A250,21))</f>
        <v/>
      </c>
      <c r="D250" s="24" t="str">
        <f aca="false">IF(A250="","",DATE(YEAR(A250),MONTH(A250),1))</f>
        <v/>
      </c>
      <c r="E250" s="10"/>
      <c r="F250" s="25"/>
      <c r="G250" s="25"/>
      <c r="H250" s="10"/>
      <c r="I250" s="10"/>
      <c r="J250" s="26"/>
      <c r="K250" s="25"/>
      <c r="L250" s="26"/>
      <c r="M250" s="27"/>
      <c r="N250" s="27"/>
      <c r="O250" s="28" t="str">
        <f aca="false">IF(OR(M250="",M250=0,N250=""),"",N250/M250)</f>
        <v/>
      </c>
      <c r="P250" s="28" t="str">
        <f aca="false">IF(M250="","",IFERROR(IF(INDEX(Parámetros!$B$14:$B$21,MATCH(I250,Parámetros!$A$14:$A$21,0))="",Parámetros!$B$5,INDEX(Parámetros!$B$14:$B$21,MATCH(I250,Parámetros!$A$14:$A$21,0))),Parámetros!$B$5))</f>
        <v/>
      </c>
      <c r="Q250" s="29" t="str">
        <f aca="false">IF(O250="","",(O250-P250)*100)</f>
        <v/>
      </c>
      <c r="R250" s="30" t="str">
        <f aca="false">IF(O250="","",MAX(0,M250*(P250-O250)))</f>
        <v/>
      </c>
      <c r="S250" s="31" t="str">
        <f aca="false">IF(OR(L250="",L250=0,N250=""),"",N250/1000/L250)</f>
        <v/>
      </c>
      <c r="T250" s="27"/>
      <c r="U250" s="27"/>
      <c r="V250" s="27"/>
      <c r="W250" s="27"/>
      <c r="X250" s="27"/>
      <c r="Y250" s="27"/>
      <c r="Z250" s="27"/>
      <c r="AA250" s="25"/>
      <c r="AB250" s="27"/>
      <c r="AC250" s="30" t="str">
        <f aca="false">IF(M250="","",IF(AB250="",M250*Parámetros!$B$6,AB250))</f>
        <v/>
      </c>
      <c r="AD250" s="30" t="str">
        <f aca="false">IF(M250="","",SUM(T250:Z250)+AC250)</f>
        <v/>
      </c>
      <c r="AE250" s="30" t="str">
        <f aca="false">IF(OR(M250="",N250=""),"",M250-N250)</f>
        <v/>
      </c>
      <c r="AF250" s="30" t="str">
        <f aca="false">IF(AE250="","",AE250-AD250)</f>
        <v/>
      </c>
      <c r="AG250" s="28" t="str">
        <f aca="false">IF(OR(AF250="",M250=0),"",AF250/M250)</f>
        <v/>
      </c>
      <c r="AH250" s="32" t="str">
        <f aca="false">IF(OR(AE250="",N250=0),"",AE250/(N250/1000))</f>
        <v/>
      </c>
      <c r="AI250" s="30" t="str">
        <f aca="false">IF(O250="","",M250*P250)</f>
        <v/>
      </c>
      <c r="AJ250" s="11" t="str">
        <f aca="false">IF(O250="","",IF(O250&gt;1,"Error: rend &gt; 100 %",IF(SUM(T250:Z250)=0,"Falta registrar pérdidas",IF(ABS(AG250)&gt;Parámetros!$B$7,"Revisar balance",IF(O250&lt;P250,"Bajo meta","OK")))))</f>
        <v/>
      </c>
      <c r="AK250" s="33"/>
      <c r="AL250" s="10"/>
      <c r="AM250" s="33"/>
      <c r="AN250" s="33"/>
      <c r="AO250" s="10"/>
    </row>
    <row r="251" customFormat="false" ht="15" hidden="false" customHeight="false" outlineLevel="0" collapsed="false">
      <c r="A251" s="22"/>
      <c r="B251" s="23" t="str">
        <f aca="false">IF(A251="","",YEAR(A251-WEEKDAY(A251,2)+4))</f>
        <v/>
      </c>
      <c r="C251" s="23" t="str">
        <f aca="false">IF(A251="","",WEEKNUM(A251,21))</f>
        <v/>
      </c>
      <c r="D251" s="24" t="str">
        <f aca="false">IF(A251="","",DATE(YEAR(A251),MONTH(A251),1))</f>
        <v/>
      </c>
      <c r="E251" s="10"/>
      <c r="F251" s="25"/>
      <c r="G251" s="25"/>
      <c r="H251" s="10"/>
      <c r="I251" s="10"/>
      <c r="J251" s="26"/>
      <c r="K251" s="25"/>
      <c r="L251" s="26"/>
      <c r="M251" s="27"/>
      <c r="N251" s="27"/>
      <c r="O251" s="28" t="str">
        <f aca="false">IF(OR(M251="",M251=0,N251=""),"",N251/M251)</f>
        <v/>
      </c>
      <c r="P251" s="28" t="str">
        <f aca="false">IF(M251="","",IFERROR(IF(INDEX(Parámetros!$B$14:$B$21,MATCH(I251,Parámetros!$A$14:$A$21,0))="",Parámetros!$B$5,INDEX(Parámetros!$B$14:$B$21,MATCH(I251,Parámetros!$A$14:$A$21,0))),Parámetros!$B$5))</f>
        <v/>
      </c>
      <c r="Q251" s="29" t="str">
        <f aca="false">IF(O251="","",(O251-P251)*100)</f>
        <v/>
      </c>
      <c r="R251" s="30" t="str">
        <f aca="false">IF(O251="","",MAX(0,M251*(P251-O251)))</f>
        <v/>
      </c>
      <c r="S251" s="31" t="str">
        <f aca="false">IF(OR(L251="",L251=0,N251=""),"",N251/1000/L251)</f>
        <v/>
      </c>
      <c r="T251" s="27"/>
      <c r="U251" s="27"/>
      <c r="V251" s="27"/>
      <c r="W251" s="27"/>
      <c r="X251" s="27"/>
      <c r="Y251" s="27"/>
      <c r="Z251" s="27"/>
      <c r="AA251" s="25"/>
      <c r="AB251" s="27"/>
      <c r="AC251" s="30" t="str">
        <f aca="false">IF(M251="","",IF(AB251="",M251*Parámetros!$B$6,AB251))</f>
        <v/>
      </c>
      <c r="AD251" s="30" t="str">
        <f aca="false">IF(M251="","",SUM(T251:Z251)+AC251)</f>
        <v/>
      </c>
      <c r="AE251" s="30" t="str">
        <f aca="false">IF(OR(M251="",N251=""),"",M251-N251)</f>
        <v/>
      </c>
      <c r="AF251" s="30" t="str">
        <f aca="false">IF(AE251="","",AE251-AD251)</f>
        <v/>
      </c>
      <c r="AG251" s="28" t="str">
        <f aca="false">IF(OR(AF251="",M251=0),"",AF251/M251)</f>
        <v/>
      </c>
      <c r="AH251" s="32" t="str">
        <f aca="false">IF(OR(AE251="",N251=0),"",AE251/(N251/1000))</f>
        <v/>
      </c>
      <c r="AI251" s="30" t="str">
        <f aca="false">IF(O251="","",M251*P251)</f>
        <v/>
      </c>
      <c r="AJ251" s="11" t="str">
        <f aca="false">IF(O251="","",IF(O251&gt;1,"Error: rend &gt; 100 %",IF(SUM(T251:Z251)=0,"Falta registrar pérdidas",IF(ABS(AG251)&gt;Parámetros!$B$7,"Revisar balance",IF(O251&lt;P251,"Bajo meta","OK")))))</f>
        <v/>
      </c>
      <c r="AK251" s="33"/>
      <c r="AL251" s="10"/>
      <c r="AM251" s="33"/>
      <c r="AN251" s="33"/>
      <c r="AO251" s="10"/>
    </row>
    <row r="252" customFormat="false" ht="15" hidden="false" customHeight="false" outlineLevel="0" collapsed="false">
      <c r="A252" s="22"/>
      <c r="B252" s="23" t="str">
        <f aca="false">IF(A252="","",YEAR(A252-WEEKDAY(A252,2)+4))</f>
        <v/>
      </c>
      <c r="C252" s="23" t="str">
        <f aca="false">IF(A252="","",WEEKNUM(A252,21))</f>
        <v/>
      </c>
      <c r="D252" s="24" t="str">
        <f aca="false">IF(A252="","",DATE(YEAR(A252),MONTH(A252),1))</f>
        <v/>
      </c>
      <c r="E252" s="10"/>
      <c r="F252" s="25"/>
      <c r="G252" s="25"/>
      <c r="H252" s="10"/>
      <c r="I252" s="10"/>
      <c r="J252" s="26"/>
      <c r="K252" s="25"/>
      <c r="L252" s="26"/>
      <c r="M252" s="27"/>
      <c r="N252" s="27"/>
      <c r="O252" s="28" t="str">
        <f aca="false">IF(OR(M252="",M252=0,N252=""),"",N252/M252)</f>
        <v/>
      </c>
      <c r="P252" s="28" t="str">
        <f aca="false">IF(M252="","",IFERROR(IF(INDEX(Parámetros!$B$14:$B$21,MATCH(I252,Parámetros!$A$14:$A$21,0))="",Parámetros!$B$5,INDEX(Parámetros!$B$14:$B$21,MATCH(I252,Parámetros!$A$14:$A$21,0))),Parámetros!$B$5))</f>
        <v/>
      </c>
      <c r="Q252" s="29" t="str">
        <f aca="false">IF(O252="","",(O252-P252)*100)</f>
        <v/>
      </c>
      <c r="R252" s="30" t="str">
        <f aca="false">IF(O252="","",MAX(0,M252*(P252-O252)))</f>
        <v/>
      </c>
      <c r="S252" s="31" t="str">
        <f aca="false">IF(OR(L252="",L252=0,N252=""),"",N252/1000/L252)</f>
        <v/>
      </c>
      <c r="T252" s="27"/>
      <c r="U252" s="27"/>
      <c r="V252" s="27"/>
      <c r="W252" s="27"/>
      <c r="X252" s="27"/>
      <c r="Y252" s="27"/>
      <c r="Z252" s="27"/>
      <c r="AA252" s="25"/>
      <c r="AB252" s="27"/>
      <c r="AC252" s="30" t="str">
        <f aca="false">IF(M252="","",IF(AB252="",M252*Parámetros!$B$6,AB252))</f>
        <v/>
      </c>
      <c r="AD252" s="30" t="str">
        <f aca="false">IF(M252="","",SUM(T252:Z252)+AC252)</f>
        <v/>
      </c>
      <c r="AE252" s="30" t="str">
        <f aca="false">IF(OR(M252="",N252=""),"",M252-N252)</f>
        <v/>
      </c>
      <c r="AF252" s="30" t="str">
        <f aca="false">IF(AE252="","",AE252-AD252)</f>
        <v/>
      </c>
      <c r="AG252" s="28" t="str">
        <f aca="false">IF(OR(AF252="",M252=0),"",AF252/M252)</f>
        <v/>
      </c>
      <c r="AH252" s="32" t="str">
        <f aca="false">IF(OR(AE252="",N252=0),"",AE252/(N252/1000))</f>
        <v/>
      </c>
      <c r="AI252" s="30" t="str">
        <f aca="false">IF(O252="","",M252*P252)</f>
        <v/>
      </c>
      <c r="AJ252" s="11" t="str">
        <f aca="false">IF(O252="","",IF(O252&gt;1,"Error: rend &gt; 100 %",IF(SUM(T252:Z252)=0,"Falta registrar pérdidas",IF(ABS(AG252)&gt;Parámetros!$B$7,"Revisar balance",IF(O252&lt;P252,"Bajo meta","OK")))))</f>
        <v/>
      </c>
      <c r="AK252" s="33"/>
      <c r="AL252" s="10"/>
      <c r="AM252" s="33"/>
      <c r="AN252" s="33"/>
      <c r="AO252" s="10"/>
    </row>
    <row r="253" customFormat="false" ht="15" hidden="false" customHeight="false" outlineLevel="0" collapsed="false">
      <c r="A253" s="22"/>
      <c r="B253" s="23" t="str">
        <f aca="false">IF(A253="","",YEAR(A253-WEEKDAY(A253,2)+4))</f>
        <v/>
      </c>
      <c r="C253" s="23" t="str">
        <f aca="false">IF(A253="","",WEEKNUM(A253,21))</f>
        <v/>
      </c>
      <c r="D253" s="24" t="str">
        <f aca="false">IF(A253="","",DATE(YEAR(A253),MONTH(A253),1))</f>
        <v/>
      </c>
      <c r="E253" s="10"/>
      <c r="F253" s="25"/>
      <c r="G253" s="25"/>
      <c r="H253" s="10"/>
      <c r="I253" s="10"/>
      <c r="J253" s="26"/>
      <c r="K253" s="25"/>
      <c r="L253" s="26"/>
      <c r="M253" s="27"/>
      <c r="N253" s="27"/>
      <c r="O253" s="28" t="str">
        <f aca="false">IF(OR(M253="",M253=0,N253=""),"",N253/M253)</f>
        <v/>
      </c>
      <c r="P253" s="28" t="str">
        <f aca="false">IF(M253="","",IFERROR(IF(INDEX(Parámetros!$B$14:$B$21,MATCH(I253,Parámetros!$A$14:$A$21,0))="",Parámetros!$B$5,INDEX(Parámetros!$B$14:$B$21,MATCH(I253,Parámetros!$A$14:$A$21,0))),Parámetros!$B$5))</f>
        <v/>
      </c>
      <c r="Q253" s="29" t="str">
        <f aca="false">IF(O253="","",(O253-P253)*100)</f>
        <v/>
      </c>
      <c r="R253" s="30" t="str">
        <f aca="false">IF(O253="","",MAX(0,M253*(P253-O253)))</f>
        <v/>
      </c>
      <c r="S253" s="31" t="str">
        <f aca="false">IF(OR(L253="",L253=0,N253=""),"",N253/1000/L253)</f>
        <v/>
      </c>
      <c r="T253" s="27"/>
      <c r="U253" s="27"/>
      <c r="V253" s="27"/>
      <c r="W253" s="27"/>
      <c r="X253" s="27"/>
      <c r="Y253" s="27"/>
      <c r="Z253" s="27"/>
      <c r="AA253" s="25"/>
      <c r="AB253" s="27"/>
      <c r="AC253" s="30" t="str">
        <f aca="false">IF(M253="","",IF(AB253="",M253*Parámetros!$B$6,AB253))</f>
        <v/>
      </c>
      <c r="AD253" s="30" t="str">
        <f aca="false">IF(M253="","",SUM(T253:Z253)+AC253)</f>
        <v/>
      </c>
      <c r="AE253" s="30" t="str">
        <f aca="false">IF(OR(M253="",N253=""),"",M253-N253)</f>
        <v/>
      </c>
      <c r="AF253" s="30" t="str">
        <f aca="false">IF(AE253="","",AE253-AD253)</f>
        <v/>
      </c>
      <c r="AG253" s="28" t="str">
        <f aca="false">IF(OR(AF253="",M253=0),"",AF253/M253)</f>
        <v/>
      </c>
      <c r="AH253" s="32" t="str">
        <f aca="false">IF(OR(AE253="",N253=0),"",AE253/(N253/1000))</f>
        <v/>
      </c>
      <c r="AI253" s="30" t="str">
        <f aca="false">IF(O253="","",M253*P253)</f>
        <v/>
      </c>
      <c r="AJ253" s="11" t="str">
        <f aca="false">IF(O253="","",IF(O253&gt;1,"Error: rend &gt; 100 %",IF(SUM(T253:Z253)=0,"Falta registrar pérdidas",IF(ABS(AG253)&gt;Parámetros!$B$7,"Revisar balance",IF(O253&lt;P253,"Bajo meta","OK")))))</f>
        <v/>
      </c>
      <c r="AK253" s="33"/>
      <c r="AL253" s="10"/>
      <c r="AM253" s="33"/>
      <c r="AN253" s="33"/>
      <c r="AO253" s="10"/>
    </row>
    <row r="254" customFormat="false" ht="15" hidden="false" customHeight="false" outlineLevel="0" collapsed="false">
      <c r="A254" s="22"/>
      <c r="B254" s="23" t="str">
        <f aca="false">IF(A254="","",YEAR(A254-WEEKDAY(A254,2)+4))</f>
        <v/>
      </c>
      <c r="C254" s="23" t="str">
        <f aca="false">IF(A254="","",WEEKNUM(A254,21))</f>
        <v/>
      </c>
      <c r="D254" s="24" t="str">
        <f aca="false">IF(A254="","",DATE(YEAR(A254),MONTH(A254),1))</f>
        <v/>
      </c>
      <c r="E254" s="10"/>
      <c r="F254" s="25"/>
      <c r="G254" s="25"/>
      <c r="H254" s="10"/>
      <c r="I254" s="10"/>
      <c r="J254" s="26"/>
      <c r="K254" s="25"/>
      <c r="L254" s="26"/>
      <c r="M254" s="27"/>
      <c r="N254" s="27"/>
      <c r="O254" s="28" t="str">
        <f aca="false">IF(OR(M254="",M254=0,N254=""),"",N254/M254)</f>
        <v/>
      </c>
      <c r="P254" s="28" t="str">
        <f aca="false">IF(M254="","",IFERROR(IF(INDEX(Parámetros!$B$14:$B$21,MATCH(I254,Parámetros!$A$14:$A$21,0))="",Parámetros!$B$5,INDEX(Parámetros!$B$14:$B$21,MATCH(I254,Parámetros!$A$14:$A$21,0))),Parámetros!$B$5))</f>
        <v/>
      </c>
      <c r="Q254" s="29" t="str">
        <f aca="false">IF(O254="","",(O254-P254)*100)</f>
        <v/>
      </c>
      <c r="R254" s="30" t="str">
        <f aca="false">IF(O254="","",MAX(0,M254*(P254-O254)))</f>
        <v/>
      </c>
      <c r="S254" s="31" t="str">
        <f aca="false">IF(OR(L254="",L254=0,N254=""),"",N254/1000/L254)</f>
        <v/>
      </c>
      <c r="T254" s="27"/>
      <c r="U254" s="27"/>
      <c r="V254" s="27"/>
      <c r="W254" s="27"/>
      <c r="X254" s="27"/>
      <c r="Y254" s="27"/>
      <c r="Z254" s="27"/>
      <c r="AA254" s="25"/>
      <c r="AB254" s="27"/>
      <c r="AC254" s="30" t="str">
        <f aca="false">IF(M254="","",IF(AB254="",M254*Parámetros!$B$6,AB254))</f>
        <v/>
      </c>
      <c r="AD254" s="30" t="str">
        <f aca="false">IF(M254="","",SUM(T254:Z254)+AC254)</f>
        <v/>
      </c>
      <c r="AE254" s="30" t="str">
        <f aca="false">IF(OR(M254="",N254=""),"",M254-N254)</f>
        <v/>
      </c>
      <c r="AF254" s="30" t="str">
        <f aca="false">IF(AE254="","",AE254-AD254)</f>
        <v/>
      </c>
      <c r="AG254" s="28" t="str">
        <f aca="false">IF(OR(AF254="",M254=0),"",AF254/M254)</f>
        <v/>
      </c>
      <c r="AH254" s="32" t="str">
        <f aca="false">IF(OR(AE254="",N254=0),"",AE254/(N254/1000))</f>
        <v/>
      </c>
      <c r="AI254" s="30" t="str">
        <f aca="false">IF(O254="","",M254*P254)</f>
        <v/>
      </c>
      <c r="AJ254" s="11" t="str">
        <f aca="false">IF(O254="","",IF(O254&gt;1,"Error: rend &gt; 100 %",IF(SUM(T254:Z254)=0,"Falta registrar pérdidas",IF(ABS(AG254)&gt;Parámetros!$B$7,"Revisar balance",IF(O254&lt;P254,"Bajo meta","OK")))))</f>
        <v/>
      </c>
      <c r="AK254" s="33"/>
      <c r="AL254" s="10"/>
      <c r="AM254" s="33"/>
      <c r="AN254" s="33"/>
      <c r="AO254" s="10"/>
    </row>
    <row r="255" customFormat="false" ht="15" hidden="false" customHeight="false" outlineLevel="0" collapsed="false">
      <c r="A255" s="22"/>
      <c r="B255" s="23" t="str">
        <f aca="false">IF(A255="","",YEAR(A255-WEEKDAY(A255,2)+4))</f>
        <v/>
      </c>
      <c r="C255" s="23" t="str">
        <f aca="false">IF(A255="","",WEEKNUM(A255,21))</f>
        <v/>
      </c>
      <c r="D255" s="24" t="str">
        <f aca="false">IF(A255="","",DATE(YEAR(A255),MONTH(A255),1))</f>
        <v/>
      </c>
      <c r="E255" s="10"/>
      <c r="F255" s="25"/>
      <c r="G255" s="25"/>
      <c r="H255" s="10"/>
      <c r="I255" s="10"/>
      <c r="J255" s="26"/>
      <c r="K255" s="25"/>
      <c r="L255" s="26"/>
      <c r="M255" s="27"/>
      <c r="N255" s="27"/>
      <c r="O255" s="28" t="str">
        <f aca="false">IF(OR(M255="",M255=0,N255=""),"",N255/M255)</f>
        <v/>
      </c>
      <c r="P255" s="28" t="str">
        <f aca="false">IF(M255="","",IFERROR(IF(INDEX(Parámetros!$B$14:$B$21,MATCH(I255,Parámetros!$A$14:$A$21,0))="",Parámetros!$B$5,INDEX(Parámetros!$B$14:$B$21,MATCH(I255,Parámetros!$A$14:$A$21,0))),Parámetros!$B$5))</f>
        <v/>
      </c>
      <c r="Q255" s="29" t="str">
        <f aca="false">IF(O255="","",(O255-P255)*100)</f>
        <v/>
      </c>
      <c r="R255" s="30" t="str">
        <f aca="false">IF(O255="","",MAX(0,M255*(P255-O255)))</f>
        <v/>
      </c>
      <c r="S255" s="31" t="str">
        <f aca="false">IF(OR(L255="",L255=0,N255=""),"",N255/1000/L255)</f>
        <v/>
      </c>
      <c r="T255" s="27"/>
      <c r="U255" s="27"/>
      <c r="V255" s="27"/>
      <c r="W255" s="27"/>
      <c r="X255" s="27"/>
      <c r="Y255" s="27"/>
      <c r="Z255" s="27"/>
      <c r="AA255" s="25"/>
      <c r="AB255" s="27"/>
      <c r="AC255" s="30" t="str">
        <f aca="false">IF(M255="","",IF(AB255="",M255*Parámetros!$B$6,AB255))</f>
        <v/>
      </c>
      <c r="AD255" s="30" t="str">
        <f aca="false">IF(M255="","",SUM(T255:Z255)+AC255)</f>
        <v/>
      </c>
      <c r="AE255" s="30" t="str">
        <f aca="false">IF(OR(M255="",N255=""),"",M255-N255)</f>
        <v/>
      </c>
      <c r="AF255" s="30" t="str">
        <f aca="false">IF(AE255="","",AE255-AD255)</f>
        <v/>
      </c>
      <c r="AG255" s="28" t="str">
        <f aca="false">IF(OR(AF255="",M255=0),"",AF255/M255)</f>
        <v/>
      </c>
      <c r="AH255" s="32" t="str">
        <f aca="false">IF(OR(AE255="",N255=0),"",AE255/(N255/1000))</f>
        <v/>
      </c>
      <c r="AI255" s="30" t="str">
        <f aca="false">IF(O255="","",M255*P255)</f>
        <v/>
      </c>
      <c r="AJ255" s="11" t="str">
        <f aca="false">IF(O255="","",IF(O255&gt;1,"Error: rend &gt; 100 %",IF(SUM(T255:Z255)=0,"Falta registrar pérdidas",IF(ABS(AG255)&gt;Parámetros!$B$7,"Revisar balance",IF(O255&lt;P255,"Bajo meta","OK")))))</f>
        <v/>
      </c>
      <c r="AK255" s="33"/>
      <c r="AL255" s="10"/>
      <c r="AM255" s="33"/>
      <c r="AN255" s="33"/>
      <c r="AO255" s="10"/>
    </row>
    <row r="256" customFormat="false" ht="15" hidden="false" customHeight="false" outlineLevel="0" collapsed="false">
      <c r="A256" s="22"/>
      <c r="B256" s="23" t="str">
        <f aca="false">IF(A256="","",YEAR(A256-WEEKDAY(A256,2)+4))</f>
        <v/>
      </c>
      <c r="C256" s="23" t="str">
        <f aca="false">IF(A256="","",WEEKNUM(A256,21))</f>
        <v/>
      </c>
      <c r="D256" s="24" t="str">
        <f aca="false">IF(A256="","",DATE(YEAR(A256),MONTH(A256),1))</f>
        <v/>
      </c>
      <c r="E256" s="10"/>
      <c r="F256" s="25"/>
      <c r="G256" s="25"/>
      <c r="H256" s="10"/>
      <c r="I256" s="10"/>
      <c r="J256" s="26"/>
      <c r="K256" s="25"/>
      <c r="L256" s="26"/>
      <c r="M256" s="27"/>
      <c r="N256" s="27"/>
      <c r="O256" s="28" t="str">
        <f aca="false">IF(OR(M256="",M256=0,N256=""),"",N256/M256)</f>
        <v/>
      </c>
      <c r="P256" s="28" t="str">
        <f aca="false">IF(M256="","",IFERROR(IF(INDEX(Parámetros!$B$14:$B$21,MATCH(I256,Parámetros!$A$14:$A$21,0))="",Parámetros!$B$5,INDEX(Parámetros!$B$14:$B$21,MATCH(I256,Parámetros!$A$14:$A$21,0))),Parámetros!$B$5))</f>
        <v/>
      </c>
      <c r="Q256" s="29" t="str">
        <f aca="false">IF(O256="","",(O256-P256)*100)</f>
        <v/>
      </c>
      <c r="R256" s="30" t="str">
        <f aca="false">IF(O256="","",MAX(0,M256*(P256-O256)))</f>
        <v/>
      </c>
      <c r="S256" s="31" t="str">
        <f aca="false">IF(OR(L256="",L256=0,N256=""),"",N256/1000/L256)</f>
        <v/>
      </c>
      <c r="T256" s="27"/>
      <c r="U256" s="27"/>
      <c r="V256" s="27"/>
      <c r="W256" s="27"/>
      <c r="X256" s="27"/>
      <c r="Y256" s="27"/>
      <c r="Z256" s="27"/>
      <c r="AA256" s="25"/>
      <c r="AB256" s="27"/>
      <c r="AC256" s="30" t="str">
        <f aca="false">IF(M256="","",IF(AB256="",M256*Parámetros!$B$6,AB256))</f>
        <v/>
      </c>
      <c r="AD256" s="30" t="str">
        <f aca="false">IF(M256="","",SUM(T256:Z256)+AC256)</f>
        <v/>
      </c>
      <c r="AE256" s="30" t="str">
        <f aca="false">IF(OR(M256="",N256=""),"",M256-N256)</f>
        <v/>
      </c>
      <c r="AF256" s="30" t="str">
        <f aca="false">IF(AE256="","",AE256-AD256)</f>
        <v/>
      </c>
      <c r="AG256" s="28" t="str">
        <f aca="false">IF(OR(AF256="",M256=0),"",AF256/M256)</f>
        <v/>
      </c>
      <c r="AH256" s="32" t="str">
        <f aca="false">IF(OR(AE256="",N256=0),"",AE256/(N256/1000))</f>
        <v/>
      </c>
      <c r="AI256" s="30" t="str">
        <f aca="false">IF(O256="","",M256*P256)</f>
        <v/>
      </c>
      <c r="AJ256" s="11" t="str">
        <f aca="false">IF(O256="","",IF(O256&gt;1,"Error: rend &gt; 100 %",IF(SUM(T256:Z256)=0,"Falta registrar pérdidas",IF(ABS(AG256)&gt;Parámetros!$B$7,"Revisar balance",IF(O256&lt;P256,"Bajo meta","OK")))))</f>
        <v/>
      </c>
      <c r="AK256" s="33"/>
      <c r="AL256" s="10"/>
      <c r="AM256" s="33"/>
      <c r="AN256" s="33"/>
      <c r="AO256" s="10"/>
    </row>
    <row r="257" customFormat="false" ht="15" hidden="false" customHeight="false" outlineLevel="0" collapsed="false">
      <c r="A257" s="22"/>
      <c r="B257" s="23" t="str">
        <f aca="false">IF(A257="","",YEAR(A257-WEEKDAY(A257,2)+4))</f>
        <v/>
      </c>
      <c r="C257" s="23" t="str">
        <f aca="false">IF(A257="","",WEEKNUM(A257,21))</f>
        <v/>
      </c>
      <c r="D257" s="24" t="str">
        <f aca="false">IF(A257="","",DATE(YEAR(A257),MONTH(A257),1))</f>
        <v/>
      </c>
      <c r="E257" s="10"/>
      <c r="F257" s="25"/>
      <c r="G257" s="25"/>
      <c r="H257" s="10"/>
      <c r="I257" s="10"/>
      <c r="J257" s="26"/>
      <c r="K257" s="25"/>
      <c r="L257" s="26"/>
      <c r="M257" s="27"/>
      <c r="N257" s="27"/>
      <c r="O257" s="28" t="str">
        <f aca="false">IF(OR(M257="",M257=0,N257=""),"",N257/M257)</f>
        <v/>
      </c>
      <c r="P257" s="28" t="str">
        <f aca="false">IF(M257="","",IFERROR(IF(INDEX(Parámetros!$B$14:$B$21,MATCH(I257,Parámetros!$A$14:$A$21,0))="",Parámetros!$B$5,INDEX(Parámetros!$B$14:$B$21,MATCH(I257,Parámetros!$A$14:$A$21,0))),Parámetros!$B$5))</f>
        <v/>
      </c>
      <c r="Q257" s="29" t="str">
        <f aca="false">IF(O257="","",(O257-P257)*100)</f>
        <v/>
      </c>
      <c r="R257" s="30" t="str">
        <f aca="false">IF(O257="","",MAX(0,M257*(P257-O257)))</f>
        <v/>
      </c>
      <c r="S257" s="31" t="str">
        <f aca="false">IF(OR(L257="",L257=0,N257=""),"",N257/1000/L257)</f>
        <v/>
      </c>
      <c r="T257" s="27"/>
      <c r="U257" s="27"/>
      <c r="V257" s="27"/>
      <c r="W257" s="27"/>
      <c r="X257" s="27"/>
      <c r="Y257" s="27"/>
      <c r="Z257" s="27"/>
      <c r="AA257" s="25"/>
      <c r="AB257" s="27"/>
      <c r="AC257" s="30" t="str">
        <f aca="false">IF(M257="","",IF(AB257="",M257*Parámetros!$B$6,AB257))</f>
        <v/>
      </c>
      <c r="AD257" s="30" t="str">
        <f aca="false">IF(M257="","",SUM(T257:Z257)+AC257)</f>
        <v/>
      </c>
      <c r="AE257" s="30" t="str">
        <f aca="false">IF(OR(M257="",N257=""),"",M257-N257)</f>
        <v/>
      </c>
      <c r="AF257" s="30" t="str">
        <f aca="false">IF(AE257="","",AE257-AD257)</f>
        <v/>
      </c>
      <c r="AG257" s="28" t="str">
        <f aca="false">IF(OR(AF257="",M257=0),"",AF257/M257)</f>
        <v/>
      </c>
      <c r="AH257" s="32" t="str">
        <f aca="false">IF(OR(AE257="",N257=0),"",AE257/(N257/1000))</f>
        <v/>
      </c>
      <c r="AI257" s="30" t="str">
        <f aca="false">IF(O257="","",M257*P257)</f>
        <v/>
      </c>
      <c r="AJ257" s="11" t="str">
        <f aca="false">IF(O257="","",IF(O257&gt;1,"Error: rend &gt; 100 %",IF(SUM(T257:Z257)=0,"Falta registrar pérdidas",IF(ABS(AG257)&gt;Parámetros!$B$7,"Revisar balance",IF(O257&lt;P257,"Bajo meta","OK")))))</f>
        <v/>
      </c>
      <c r="AK257" s="33"/>
      <c r="AL257" s="10"/>
      <c r="AM257" s="33"/>
      <c r="AN257" s="33"/>
      <c r="AO257" s="10"/>
    </row>
    <row r="258" customFormat="false" ht="15" hidden="false" customHeight="false" outlineLevel="0" collapsed="false">
      <c r="A258" s="22"/>
      <c r="B258" s="23" t="str">
        <f aca="false">IF(A258="","",YEAR(A258-WEEKDAY(A258,2)+4))</f>
        <v/>
      </c>
      <c r="C258" s="23" t="str">
        <f aca="false">IF(A258="","",WEEKNUM(A258,21))</f>
        <v/>
      </c>
      <c r="D258" s="24" t="str">
        <f aca="false">IF(A258="","",DATE(YEAR(A258),MONTH(A258),1))</f>
        <v/>
      </c>
      <c r="E258" s="10"/>
      <c r="F258" s="25"/>
      <c r="G258" s="25"/>
      <c r="H258" s="10"/>
      <c r="I258" s="10"/>
      <c r="J258" s="26"/>
      <c r="K258" s="25"/>
      <c r="L258" s="26"/>
      <c r="M258" s="27"/>
      <c r="N258" s="27"/>
      <c r="O258" s="28" t="str">
        <f aca="false">IF(OR(M258="",M258=0,N258=""),"",N258/M258)</f>
        <v/>
      </c>
      <c r="P258" s="28" t="str">
        <f aca="false">IF(M258="","",IFERROR(IF(INDEX(Parámetros!$B$14:$B$21,MATCH(I258,Parámetros!$A$14:$A$21,0))="",Parámetros!$B$5,INDEX(Parámetros!$B$14:$B$21,MATCH(I258,Parámetros!$A$14:$A$21,0))),Parámetros!$B$5))</f>
        <v/>
      </c>
      <c r="Q258" s="29" t="str">
        <f aca="false">IF(O258="","",(O258-P258)*100)</f>
        <v/>
      </c>
      <c r="R258" s="30" t="str">
        <f aca="false">IF(O258="","",MAX(0,M258*(P258-O258)))</f>
        <v/>
      </c>
      <c r="S258" s="31" t="str">
        <f aca="false">IF(OR(L258="",L258=0,N258=""),"",N258/1000/L258)</f>
        <v/>
      </c>
      <c r="T258" s="27"/>
      <c r="U258" s="27"/>
      <c r="V258" s="27"/>
      <c r="W258" s="27"/>
      <c r="X258" s="27"/>
      <c r="Y258" s="27"/>
      <c r="Z258" s="27"/>
      <c r="AA258" s="25"/>
      <c r="AB258" s="27"/>
      <c r="AC258" s="30" t="str">
        <f aca="false">IF(M258="","",IF(AB258="",M258*Parámetros!$B$6,AB258))</f>
        <v/>
      </c>
      <c r="AD258" s="30" t="str">
        <f aca="false">IF(M258="","",SUM(T258:Z258)+AC258)</f>
        <v/>
      </c>
      <c r="AE258" s="30" t="str">
        <f aca="false">IF(OR(M258="",N258=""),"",M258-N258)</f>
        <v/>
      </c>
      <c r="AF258" s="30" t="str">
        <f aca="false">IF(AE258="","",AE258-AD258)</f>
        <v/>
      </c>
      <c r="AG258" s="28" t="str">
        <f aca="false">IF(OR(AF258="",M258=0),"",AF258/M258)</f>
        <v/>
      </c>
      <c r="AH258" s="32" t="str">
        <f aca="false">IF(OR(AE258="",N258=0),"",AE258/(N258/1000))</f>
        <v/>
      </c>
      <c r="AI258" s="30" t="str">
        <f aca="false">IF(O258="","",M258*P258)</f>
        <v/>
      </c>
      <c r="AJ258" s="11" t="str">
        <f aca="false">IF(O258="","",IF(O258&gt;1,"Error: rend &gt; 100 %",IF(SUM(T258:Z258)=0,"Falta registrar pérdidas",IF(ABS(AG258)&gt;Parámetros!$B$7,"Revisar balance",IF(O258&lt;P258,"Bajo meta","OK")))))</f>
        <v/>
      </c>
      <c r="AK258" s="33"/>
      <c r="AL258" s="10"/>
      <c r="AM258" s="33"/>
      <c r="AN258" s="33"/>
      <c r="AO258" s="10"/>
    </row>
    <row r="259" customFormat="false" ht="15" hidden="false" customHeight="false" outlineLevel="0" collapsed="false">
      <c r="A259" s="22"/>
      <c r="B259" s="23" t="str">
        <f aca="false">IF(A259="","",YEAR(A259-WEEKDAY(A259,2)+4))</f>
        <v/>
      </c>
      <c r="C259" s="23" t="str">
        <f aca="false">IF(A259="","",WEEKNUM(A259,21))</f>
        <v/>
      </c>
      <c r="D259" s="24" t="str">
        <f aca="false">IF(A259="","",DATE(YEAR(A259),MONTH(A259),1))</f>
        <v/>
      </c>
      <c r="E259" s="10"/>
      <c r="F259" s="25"/>
      <c r="G259" s="25"/>
      <c r="H259" s="10"/>
      <c r="I259" s="10"/>
      <c r="J259" s="26"/>
      <c r="K259" s="25"/>
      <c r="L259" s="26"/>
      <c r="M259" s="27"/>
      <c r="N259" s="27"/>
      <c r="O259" s="28" t="str">
        <f aca="false">IF(OR(M259="",M259=0,N259=""),"",N259/M259)</f>
        <v/>
      </c>
      <c r="P259" s="28" t="str">
        <f aca="false">IF(M259="","",IFERROR(IF(INDEX(Parámetros!$B$14:$B$21,MATCH(I259,Parámetros!$A$14:$A$21,0))="",Parámetros!$B$5,INDEX(Parámetros!$B$14:$B$21,MATCH(I259,Parámetros!$A$14:$A$21,0))),Parámetros!$B$5))</f>
        <v/>
      </c>
      <c r="Q259" s="29" t="str">
        <f aca="false">IF(O259="","",(O259-P259)*100)</f>
        <v/>
      </c>
      <c r="R259" s="30" t="str">
        <f aca="false">IF(O259="","",MAX(0,M259*(P259-O259)))</f>
        <v/>
      </c>
      <c r="S259" s="31" t="str">
        <f aca="false">IF(OR(L259="",L259=0,N259=""),"",N259/1000/L259)</f>
        <v/>
      </c>
      <c r="T259" s="27"/>
      <c r="U259" s="27"/>
      <c r="V259" s="27"/>
      <c r="W259" s="27"/>
      <c r="X259" s="27"/>
      <c r="Y259" s="27"/>
      <c r="Z259" s="27"/>
      <c r="AA259" s="25"/>
      <c r="AB259" s="27"/>
      <c r="AC259" s="30" t="str">
        <f aca="false">IF(M259="","",IF(AB259="",M259*Parámetros!$B$6,AB259))</f>
        <v/>
      </c>
      <c r="AD259" s="30" t="str">
        <f aca="false">IF(M259="","",SUM(T259:Z259)+AC259)</f>
        <v/>
      </c>
      <c r="AE259" s="30" t="str">
        <f aca="false">IF(OR(M259="",N259=""),"",M259-N259)</f>
        <v/>
      </c>
      <c r="AF259" s="30" t="str">
        <f aca="false">IF(AE259="","",AE259-AD259)</f>
        <v/>
      </c>
      <c r="AG259" s="28" t="str">
        <f aca="false">IF(OR(AF259="",M259=0),"",AF259/M259)</f>
        <v/>
      </c>
      <c r="AH259" s="32" t="str">
        <f aca="false">IF(OR(AE259="",N259=0),"",AE259/(N259/1000))</f>
        <v/>
      </c>
      <c r="AI259" s="30" t="str">
        <f aca="false">IF(O259="","",M259*P259)</f>
        <v/>
      </c>
      <c r="AJ259" s="11" t="str">
        <f aca="false">IF(O259="","",IF(O259&gt;1,"Error: rend &gt; 100 %",IF(SUM(T259:Z259)=0,"Falta registrar pérdidas",IF(ABS(AG259)&gt;Parámetros!$B$7,"Revisar balance",IF(O259&lt;P259,"Bajo meta","OK")))))</f>
        <v/>
      </c>
      <c r="AK259" s="33"/>
      <c r="AL259" s="10"/>
      <c r="AM259" s="33"/>
      <c r="AN259" s="33"/>
      <c r="AO259" s="10"/>
    </row>
    <row r="260" customFormat="false" ht="15" hidden="false" customHeight="false" outlineLevel="0" collapsed="false">
      <c r="A260" s="22"/>
      <c r="B260" s="23" t="str">
        <f aca="false">IF(A260="","",YEAR(A260-WEEKDAY(A260,2)+4))</f>
        <v/>
      </c>
      <c r="C260" s="23" t="str">
        <f aca="false">IF(A260="","",WEEKNUM(A260,21))</f>
        <v/>
      </c>
      <c r="D260" s="24" t="str">
        <f aca="false">IF(A260="","",DATE(YEAR(A260),MONTH(A260),1))</f>
        <v/>
      </c>
      <c r="E260" s="10"/>
      <c r="F260" s="25"/>
      <c r="G260" s="25"/>
      <c r="H260" s="10"/>
      <c r="I260" s="10"/>
      <c r="J260" s="26"/>
      <c r="K260" s="25"/>
      <c r="L260" s="26"/>
      <c r="M260" s="27"/>
      <c r="N260" s="27"/>
      <c r="O260" s="28" t="str">
        <f aca="false">IF(OR(M260="",M260=0,N260=""),"",N260/M260)</f>
        <v/>
      </c>
      <c r="P260" s="28" t="str">
        <f aca="false">IF(M260="","",IFERROR(IF(INDEX(Parámetros!$B$14:$B$21,MATCH(I260,Parámetros!$A$14:$A$21,0))="",Parámetros!$B$5,INDEX(Parámetros!$B$14:$B$21,MATCH(I260,Parámetros!$A$14:$A$21,0))),Parámetros!$B$5))</f>
        <v/>
      </c>
      <c r="Q260" s="29" t="str">
        <f aca="false">IF(O260="","",(O260-P260)*100)</f>
        <v/>
      </c>
      <c r="R260" s="30" t="str">
        <f aca="false">IF(O260="","",MAX(0,M260*(P260-O260)))</f>
        <v/>
      </c>
      <c r="S260" s="31" t="str">
        <f aca="false">IF(OR(L260="",L260=0,N260=""),"",N260/1000/L260)</f>
        <v/>
      </c>
      <c r="T260" s="27"/>
      <c r="U260" s="27"/>
      <c r="V260" s="27"/>
      <c r="W260" s="27"/>
      <c r="X260" s="27"/>
      <c r="Y260" s="27"/>
      <c r="Z260" s="27"/>
      <c r="AA260" s="25"/>
      <c r="AB260" s="27"/>
      <c r="AC260" s="30" t="str">
        <f aca="false">IF(M260="","",IF(AB260="",M260*Parámetros!$B$6,AB260))</f>
        <v/>
      </c>
      <c r="AD260" s="30" t="str">
        <f aca="false">IF(M260="","",SUM(T260:Z260)+AC260)</f>
        <v/>
      </c>
      <c r="AE260" s="30" t="str">
        <f aca="false">IF(OR(M260="",N260=""),"",M260-N260)</f>
        <v/>
      </c>
      <c r="AF260" s="30" t="str">
        <f aca="false">IF(AE260="","",AE260-AD260)</f>
        <v/>
      </c>
      <c r="AG260" s="28" t="str">
        <f aca="false">IF(OR(AF260="",M260=0),"",AF260/M260)</f>
        <v/>
      </c>
      <c r="AH260" s="32" t="str">
        <f aca="false">IF(OR(AE260="",N260=0),"",AE260/(N260/1000))</f>
        <v/>
      </c>
      <c r="AI260" s="30" t="str">
        <f aca="false">IF(O260="","",M260*P260)</f>
        <v/>
      </c>
      <c r="AJ260" s="11" t="str">
        <f aca="false">IF(O260="","",IF(O260&gt;1,"Error: rend &gt; 100 %",IF(SUM(T260:Z260)=0,"Falta registrar pérdidas",IF(ABS(AG260)&gt;Parámetros!$B$7,"Revisar balance",IF(O260&lt;P260,"Bajo meta","OK")))))</f>
        <v/>
      </c>
      <c r="AK260" s="33"/>
      <c r="AL260" s="10"/>
      <c r="AM260" s="33"/>
      <c r="AN260" s="33"/>
      <c r="AO260" s="10"/>
    </row>
    <row r="261" customFormat="false" ht="15" hidden="false" customHeight="false" outlineLevel="0" collapsed="false">
      <c r="A261" s="22"/>
      <c r="B261" s="23" t="str">
        <f aca="false">IF(A261="","",YEAR(A261-WEEKDAY(A261,2)+4))</f>
        <v/>
      </c>
      <c r="C261" s="23" t="str">
        <f aca="false">IF(A261="","",WEEKNUM(A261,21))</f>
        <v/>
      </c>
      <c r="D261" s="24" t="str">
        <f aca="false">IF(A261="","",DATE(YEAR(A261),MONTH(A261),1))</f>
        <v/>
      </c>
      <c r="E261" s="10"/>
      <c r="F261" s="25"/>
      <c r="G261" s="25"/>
      <c r="H261" s="10"/>
      <c r="I261" s="10"/>
      <c r="J261" s="26"/>
      <c r="K261" s="25"/>
      <c r="L261" s="26"/>
      <c r="M261" s="27"/>
      <c r="N261" s="27"/>
      <c r="O261" s="28" t="str">
        <f aca="false">IF(OR(M261="",M261=0,N261=""),"",N261/M261)</f>
        <v/>
      </c>
      <c r="P261" s="28" t="str">
        <f aca="false">IF(M261="","",IFERROR(IF(INDEX(Parámetros!$B$14:$B$21,MATCH(I261,Parámetros!$A$14:$A$21,0))="",Parámetros!$B$5,INDEX(Parámetros!$B$14:$B$21,MATCH(I261,Parámetros!$A$14:$A$21,0))),Parámetros!$B$5))</f>
        <v/>
      </c>
      <c r="Q261" s="29" t="str">
        <f aca="false">IF(O261="","",(O261-P261)*100)</f>
        <v/>
      </c>
      <c r="R261" s="30" t="str">
        <f aca="false">IF(O261="","",MAX(0,M261*(P261-O261)))</f>
        <v/>
      </c>
      <c r="S261" s="31" t="str">
        <f aca="false">IF(OR(L261="",L261=0,N261=""),"",N261/1000/L261)</f>
        <v/>
      </c>
      <c r="T261" s="27"/>
      <c r="U261" s="27"/>
      <c r="V261" s="27"/>
      <c r="W261" s="27"/>
      <c r="X261" s="27"/>
      <c r="Y261" s="27"/>
      <c r="Z261" s="27"/>
      <c r="AA261" s="25"/>
      <c r="AB261" s="27"/>
      <c r="AC261" s="30" t="str">
        <f aca="false">IF(M261="","",IF(AB261="",M261*Parámetros!$B$6,AB261))</f>
        <v/>
      </c>
      <c r="AD261" s="30" t="str">
        <f aca="false">IF(M261="","",SUM(T261:Z261)+AC261)</f>
        <v/>
      </c>
      <c r="AE261" s="30" t="str">
        <f aca="false">IF(OR(M261="",N261=""),"",M261-N261)</f>
        <v/>
      </c>
      <c r="AF261" s="30" t="str">
        <f aca="false">IF(AE261="","",AE261-AD261)</f>
        <v/>
      </c>
      <c r="AG261" s="28" t="str">
        <f aca="false">IF(OR(AF261="",M261=0),"",AF261/M261)</f>
        <v/>
      </c>
      <c r="AH261" s="32" t="str">
        <f aca="false">IF(OR(AE261="",N261=0),"",AE261/(N261/1000))</f>
        <v/>
      </c>
      <c r="AI261" s="30" t="str">
        <f aca="false">IF(O261="","",M261*P261)</f>
        <v/>
      </c>
      <c r="AJ261" s="11" t="str">
        <f aca="false">IF(O261="","",IF(O261&gt;1,"Error: rend &gt; 100 %",IF(SUM(T261:Z261)=0,"Falta registrar pérdidas",IF(ABS(AG261)&gt;Parámetros!$B$7,"Revisar balance",IF(O261&lt;P261,"Bajo meta","OK")))))</f>
        <v/>
      </c>
      <c r="AK261" s="33"/>
      <c r="AL261" s="10"/>
      <c r="AM261" s="33"/>
      <c r="AN261" s="33"/>
      <c r="AO261" s="10"/>
    </row>
    <row r="262" customFormat="false" ht="15" hidden="false" customHeight="false" outlineLevel="0" collapsed="false">
      <c r="A262" s="22"/>
      <c r="B262" s="23" t="str">
        <f aca="false">IF(A262="","",YEAR(A262-WEEKDAY(A262,2)+4))</f>
        <v/>
      </c>
      <c r="C262" s="23" t="str">
        <f aca="false">IF(A262="","",WEEKNUM(A262,21))</f>
        <v/>
      </c>
      <c r="D262" s="24" t="str">
        <f aca="false">IF(A262="","",DATE(YEAR(A262),MONTH(A262),1))</f>
        <v/>
      </c>
      <c r="E262" s="10"/>
      <c r="F262" s="25"/>
      <c r="G262" s="25"/>
      <c r="H262" s="10"/>
      <c r="I262" s="10"/>
      <c r="J262" s="26"/>
      <c r="K262" s="25"/>
      <c r="L262" s="26"/>
      <c r="M262" s="27"/>
      <c r="N262" s="27"/>
      <c r="O262" s="28" t="str">
        <f aca="false">IF(OR(M262="",M262=0,N262=""),"",N262/M262)</f>
        <v/>
      </c>
      <c r="P262" s="28" t="str">
        <f aca="false">IF(M262="","",IFERROR(IF(INDEX(Parámetros!$B$14:$B$21,MATCH(I262,Parámetros!$A$14:$A$21,0))="",Parámetros!$B$5,INDEX(Parámetros!$B$14:$B$21,MATCH(I262,Parámetros!$A$14:$A$21,0))),Parámetros!$B$5))</f>
        <v/>
      </c>
      <c r="Q262" s="29" t="str">
        <f aca="false">IF(O262="","",(O262-P262)*100)</f>
        <v/>
      </c>
      <c r="R262" s="30" t="str">
        <f aca="false">IF(O262="","",MAX(0,M262*(P262-O262)))</f>
        <v/>
      </c>
      <c r="S262" s="31" t="str">
        <f aca="false">IF(OR(L262="",L262=0,N262=""),"",N262/1000/L262)</f>
        <v/>
      </c>
      <c r="T262" s="27"/>
      <c r="U262" s="27"/>
      <c r="V262" s="27"/>
      <c r="W262" s="27"/>
      <c r="X262" s="27"/>
      <c r="Y262" s="27"/>
      <c r="Z262" s="27"/>
      <c r="AA262" s="25"/>
      <c r="AB262" s="27"/>
      <c r="AC262" s="30" t="str">
        <f aca="false">IF(M262="","",IF(AB262="",M262*Parámetros!$B$6,AB262))</f>
        <v/>
      </c>
      <c r="AD262" s="30" t="str">
        <f aca="false">IF(M262="","",SUM(T262:Z262)+AC262)</f>
        <v/>
      </c>
      <c r="AE262" s="30" t="str">
        <f aca="false">IF(OR(M262="",N262=""),"",M262-N262)</f>
        <v/>
      </c>
      <c r="AF262" s="30" t="str">
        <f aca="false">IF(AE262="","",AE262-AD262)</f>
        <v/>
      </c>
      <c r="AG262" s="28" t="str">
        <f aca="false">IF(OR(AF262="",M262=0),"",AF262/M262)</f>
        <v/>
      </c>
      <c r="AH262" s="32" t="str">
        <f aca="false">IF(OR(AE262="",N262=0),"",AE262/(N262/1000))</f>
        <v/>
      </c>
      <c r="AI262" s="30" t="str">
        <f aca="false">IF(O262="","",M262*P262)</f>
        <v/>
      </c>
      <c r="AJ262" s="11" t="str">
        <f aca="false">IF(O262="","",IF(O262&gt;1,"Error: rend &gt; 100 %",IF(SUM(T262:Z262)=0,"Falta registrar pérdidas",IF(ABS(AG262)&gt;Parámetros!$B$7,"Revisar balance",IF(O262&lt;P262,"Bajo meta","OK")))))</f>
        <v/>
      </c>
      <c r="AK262" s="33"/>
      <c r="AL262" s="10"/>
      <c r="AM262" s="33"/>
      <c r="AN262" s="33"/>
      <c r="AO262" s="10"/>
    </row>
    <row r="263" customFormat="false" ht="15" hidden="false" customHeight="false" outlineLevel="0" collapsed="false">
      <c r="A263" s="22"/>
      <c r="B263" s="23" t="str">
        <f aca="false">IF(A263="","",YEAR(A263-WEEKDAY(A263,2)+4))</f>
        <v/>
      </c>
      <c r="C263" s="23" t="str">
        <f aca="false">IF(A263="","",WEEKNUM(A263,21))</f>
        <v/>
      </c>
      <c r="D263" s="24" t="str">
        <f aca="false">IF(A263="","",DATE(YEAR(A263),MONTH(A263),1))</f>
        <v/>
      </c>
      <c r="E263" s="10"/>
      <c r="F263" s="25"/>
      <c r="G263" s="25"/>
      <c r="H263" s="10"/>
      <c r="I263" s="10"/>
      <c r="J263" s="26"/>
      <c r="K263" s="25"/>
      <c r="L263" s="26"/>
      <c r="M263" s="27"/>
      <c r="N263" s="27"/>
      <c r="O263" s="28" t="str">
        <f aca="false">IF(OR(M263="",M263=0,N263=""),"",N263/M263)</f>
        <v/>
      </c>
      <c r="P263" s="28" t="str">
        <f aca="false">IF(M263="","",IFERROR(IF(INDEX(Parámetros!$B$14:$B$21,MATCH(I263,Parámetros!$A$14:$A$21,0))="",Parámetros!$B$5,INDEX(Parámetros!$B$14:$B$21,MATCH(I263,Parámetros!$A$14:$A$21,0))),Parámetros!$B$5))</f>
        <v/>
      </c>
      <c r="Q263" s="29" t="str">
        <f aca="false">IF(O263="","",(O263-P263)*100)</f>
        <v/>
      </c>
      <c r="R263" s="30" t="str">
        <f aca="false">IF(O263="","",MAX(0,M263*(P263-O263)))</f>
        <v/>
      </c>
      <c r="S263" s="31" t="str">
        <f aca="false">IF(OR(L263="",L263=0,N263=""),"",N263/1000/L263)</f>
        <v/>
      </c>
      <c r="T263" s="27"/>
      <c r="U263" s="27"/>
      <c r="V263" s="27"/>
      <c r="W263" s="27"/>
      <c r="X263" s="27"/>
      <c r="Y263" s="27"/>
      <c r="Z263" s="27"/>
      <c r="AA263" s="25"/>
      <c r="AB263" s="27"/>
      <c r="AC263" s="30" t="str">
        <f aca="false">IF(M263="","",IF(AB263="",M263*Parámetros!$B$6,AB263))</f>
        <v/>
      </c>
      <c r="AD263" s="30" t="str">
        <f aca="false">IF(M263="","",SUM(T263:Z263)+AC263)</f>
        <v/>
      </c>
      <c r="AE263" s="30" t="str">
        <f aca="false">IF(OR(M263="",N263=""),"",M263-N263)</f>
        <v/>
      </c>
      <c r="AF263" s="30" t="str">
        <f aca="false">IF(AE263="","",AE263-AD263)</f>
        <v/>
      </c>
      <c r="AG263" s="28" t="str">
        <f aca="false">IF(OR(AF263="",M263=0),"",AF263/M263)</f>
        <v/>
      </c>
      <c r="AH263" s="32" t="str">
        <f aca="false">IF(OR(AE263="",N263=0),"",AE263/(N263/1000))</f>
        <v/>
      </c>
      <c r="AI263" s="30" t="str">
        <f aca="false">IF(O263="","",M263*P263)</f>
        <v/>
      </c>
      <c r="AJ263" s="11" t="str">
        <f aca="false">IF(O263="","",IF(O263&gt;1,"Error: rend &gt; 100 %",IF(SUM(T263:Z263)=0,"Falta registrar pérdidas",IF(ABS(AG263)&gt;Parámetros!$B$7,"Revisar balance",IF(O263&lt;P263,"Bajo meta","OK")))))</f>
        <v/>
      </c>
      <c r="AK263" s="33"/>
      <c r="AL263" s="10"/>
      <c r="AM263" s="33"/>
      <c r="AN263" s="33"/>
      <c r="AO263" s="10"/>
    </row>
    <row r="264" customFormat="false" ht="15" hidden="false" customHeight="false" outlineLevel="0" collapsed="false">
      <c r="A264" s="22"/>
      <c r="B264" s="23" t="str">
        <f aca="false">IF(A264="","",YEAR(A264-WEEKDAY(A264,2)+4))</f>
        <v/>
      </c>
      <c r="C264" s="23" t="str">
        <f aca="false">IF(A264="","",WEEKNUM(A264,21))</f>
        <v/>
      </c>
      <c r="D264" s="24" t="str">
        <f aca="false">IF(A264="","",DATE(YEAR(A264),MONTH(A264),1))</f>
        <v/>
      </c>
      <c r="E264" s="10"/>
      <c r="F264" s="25"/>
      <c r="G264" s="25"/>
      <c r="H264" s="10"/>
      <c r="I264" s="10"/>
      <c r="J264" s="26"/>
      <c r="K264" s="25"/>
      <c r="L264" s="26"/>
      <c r="M264" s="27"/>
      <c r="N264" s="27"/>
      <c r="O264" s="28" t="str">
        <f aca="false">IF(OR(M264="",M264=0,N264=""),"",N264/M264)</f>
        <v/>
      </c>
      <c r="P264" s="28" t="str">
        <f aca="false">IF(M264="","",IFERROR(IF(INDEX(Parámetros!$B$14:$B$21,MATCH(I264,Parámetros!$A$14:$A$21,0))="",Parámetros!$B$5,INDEX(Parámetros!$B$14:$B$21,MATCH(I264,Parámetros!$A$14:$A$21,0))),Parámetros!$B$5))</f>
        <v/>
      </c>
      <c r="Q264" s="29" t="str">
        <f aca="false">IF(O264="","",(O264-P264)*100)</f>
        <v/>
      </c>
      <c r="R264" s="30" t="str">
        <f aca="false">IF(O264="","",MAX(0,M264*(P264-O264)))</f>
        <v/>
      </c>
      <c r="S264" s="31" t="str">
        <f aca="false">IF(OR(L264="",L264=0,N264=""),"",N264/1000/L264)</f>
        <v/>
      </c>
      <c r="T264" s="27"/>
      <c r="U264" s="27"/>
      <c r="V264" s="27"/>
      <c r="W264" s="27"/>
      <c r="X264" s="27"/>
      <c r="Y264" s="27"/>
      <c r="Z264" s="27"/>
      <c r="AA264" s="25"/>
      <c r="AB264" s="27"/>
      <c r="AC264" s="30" t="str">
        <f aca="false">IF(M264="","",IF(AB264="",M264*Parámetros!$B$6,AB264))</f>
        <v/>
      </c>
      <c r="AD264" s="30" t="str">
        <f aca="false">IF(M264="","",SUM(T264:Z264)+AC264)</f>
        <v/>
      </c>
      <c r="AE264" s="30" t="str">
        <f aca="false">IF(OR(M264="",N264=""),"",M264-N264)</f>
        <v/>
      </c>
      <c r="AF264" s="30" t="str">
        <f aca="false">IF(AE264="","",AE264-AD264)</f>
        <v/>
      </c>
      <c r="AG264" s="28" t="str">
        <f aca="false">IF(OR(AF264="",M264=0),"",AF264/M264)</f>
        <v/>
      </c>
      <c r="AH264" s="32" t="str">
        <f aca="false">IF(OR(AE264="",N264=0),"",AE264/(N264/1000))</f>
        <v/>
      </c>
      <c r="AI264" s="30" t="str">
        <f aca="false">IF(O264="","",M264*P264)</f>
        <v/>
      </c>
      <c r="AJ264" s="11" t="str">
        <f aca="false">IF(O264="","",IF(O264&gt;1,"Error: rend &gt; 100 %",IF(SUM(T264:Z264)=0,"Falta registrar pérdidas",IF(ABS(AG264)&gt;Parámetros!$B$7,"Revisar balance",IF(O264&lt;P264,"Bajo meta","OK")))))</f>
        <v/>
      </c>
      <c r="AK264" s="33"/>
      <c r="AL264" s="10"/>
      <c r="AM264" s="33"/>
      <c r="AN264" s="33"/>
      <c r="AO264" s="10"/>
    </row>
    <row r="265" customFormat="false" ht="15" hidden="false" customHeight="false" outlineLevel="0" collapsed="false">
      <c r="A265" s="22"/>
      <c r="B265" s="23" t="str">
        <f aca="false">IF(A265="","",YEAR(A265-WEEKDAY(A265,2)+4))</f>
        <v/>
      </c>
      <c r="C265" s="23" t="str">
        <f aca="false">IF(A265="","",WEEKNUM(A265,21))</f>
        <v/>
      </c>
      <c r="D265" s="24" t="str">
        <f aca="false">IF(A265="","",DATE(YEAR(A265),MONTH(A265),1))</f>
        <v/>
      </c>
      <c r="E265" s="10"/>
      <c r="F265" s="25"/>
      <c r="G265" s="25"/>
      <c r="H265" s="10"/>
      <c r="I265" s="10"/>
      <c r="J265" s="26"/>
      <c r="K265" s="25"/>
      <c r="L265" s="26"/>
      <c r="M265" s="27"/>
      <c r="N265" s="27"/>
      <c r="O265" s="28" t="str">
        <f aca="false">IF(OR(M265="",M265=0,N265=""),"",N265/M265)</f>
        <v/>
      </c>
      <c r="P265" s="28" t="str">
        <f aca="false">IF(M265="","",IFERROR(IF(INDEX(Parámetros!$B$14:$B$21,MATCH(I265,Parámetros!$A$14:$A$21,0))="",Parámetros!$B$5,INDEX(Parámetros!$B$14:$B$21,MATCH(I265,Parámetros!$A$14:$A$21,0))),Parámetros!$B$5))</f>
        <v/>
      </c>
      <c r="Q265" s="29" t="str">
        <f aca="false">IF(O265="","",(O265-P265)*100)</f>
        <v/>
      </c>
      <c r="R265" s="30" t="str">
        <f aca="false">IF(O265="","",MAX(0,M265*(P265-O265)))</f>
        <v/>
      </c>
      <c r="S265" s="31" t="str">
        <f aca="false">IF(OR(L265="",L265=0,N265=""),"",N265/1000/L265)</f>
        <v/>
      </c>
      <c r="T265" s="27"/>
      <c r="U265" s="27"/>
      <c r="V265" s="27"/>
      <c r="W265" s="27"/>
      <c r="X265" s="27"/>
      <c r="Y265" s="27"/>
      <c r="Z265" s="27"/>
      <c r="AA265" s="25"/>
      <c r="AB265" s="27"/>
      <c r="AC265" s="30" t="str">
        <f aca="false">IF(M265="","",IF(AB265="",M265*Parámetros!$B$6,AB265))</f>
        <v/>
      </c>
      <c r="AD265" s="30" t="str">
        <f aca="false">IF(M265="","",SUM(T265:Z265)+AC265)</f>
        <v/>
      </c>
      <c r="AE265" s="30" t="str">
        <f aca="false">IF(OR(M265="",N265=""),"",M265-N265)</f>
        <v/>
      </c>
      <c r="AF265" s="30" t="str">
        <f aca="false">IF(AE265="","",AE265-AD265)</f>
        <v/>
      </c>
      <c r="AG265" s="28" t="str">
        <f aca="false">IF(OR(AF265="",M265=0),"",AF265/M265)</f>
        <v/>
      </c>
      <c r="AH265" s="32" t="str">
        <f aca="false">IF(OR(AE265="",N265=0),"",AE265/(N265/1000))</f>
        <v/>
      </c>
      <c r="AI265" s="30" t="str">
        <f aca="false">IF(O265="","",M265*P265)</f>
        <v/>
      </c>
      <c r="AJ265" s="11" t="str">
        <f aca="false">IF(O265="","",IF(O265&gt;1,"Error: rend &gt; 100 %",IF(SUM(T265:Z265)=0,"Falta registrar pérdidas",IF(ABS(AG265)&gt;Parámetros!$B$7,"Revisar balance",IF(O265&lt;P265,"Bajo meta","OK")))))</f>
        <v/>
      </c>
      <c r="AK265" s="33"/>
      <c r="AL265" s="10"/>
      <c r="AM265" s="33"/>
      <c r="AN265" s="33"/>
      <c r="AO265" s="10"/>
    </row>
    <row r="266" customFormat="false" ht="15" hidden="false" customHeight="false" outlineLevel="0" collapsed="false">
      <c r="A266" s="22"/>
      <c r="B266" s="23" t="str">
        <f aca="false">IF(A266="","",YEAR(A266-WEEKDAY(A266,2)+4))</f>
        <v/>
      </c>
      <c r="C266" s="23" t="str">
        <f aca="false">IF(A266="","",WEEKNUM(A266,21))</f>
        <v/>
      </c>
      <c r="D266" s="24" t="str">
        <f aca="false">IF(A266="","",DATE(YEAR(A266),MONTH(A266),1))</f>
        <v/>
      </c>
      <c r="E266" s="10"/>
      <c r="F266" s="25"/>
      <c r="G266" s="25"/>
      <c r="H266" s="10"/>
      <c r="I266" s="10"/>
      <c r="J266" s="26"/>
      <c r="K266" s="25"/>
      <c r="L266" s="26"/>
      <c r="M266" s="27"/>
      <c r="N266" s="27"/>
      <c r="O266" s="28" t="str">
        <f aca="false">IF(OR(M266="",M266=0,N266=""),"",N266/M266)</f>
        <v/>
      </c>
      <c r="P266" s="28" t="str">
        <f aca="false">IF(M266="","",IFERROR(IF(INDEX(Parámetros!$B$14:$B$21,MATCH(I266,Parámetros!$A$14:$A$21,0))="",Parámetros!$B$5,INDEX(Parámetros!$B$14:$B$21,MATCH(I266,Parámetros!$A$14:$A$21,0))),Parámetros!$B$5))</f>
        <v/>
      </c>
      <c r="Q266" s="29" t="str">
        <f aca="false">IF(O266="","",(O266-P266)*100)</f>
        <v/>
      </c>
      <c r="R266" s="30" t="str">
        <f aca="false">IF(O266="","",MAX(0,M266*(P266-O266)))</f>
        <v/>
      </c>
      <c r="S266" s="31" t="str">
        <f aca="false">IF(OR(L266="",L266=0,N266=""),"",N266/1000/L266)</f>
        <v/>
      </c>
      <c r="T266" s="27"/>
      <c r="U266" s="27"/>
      <c r="V266" s="27"/>
      <c r="W266" s="27"/>
      <c r="X266" s="27"/>
      <c r="Y266" s="27"/>
      <c r="Z266" s="27"/>
      <c r="AA266" s="25"/>
      <c r="AB266" s="27"/>
      <c r="AC266" s="30" t="str">
        <f aca="false">IF(M266="","",IF(AB266="",M266*Parámetros!$B$6,AB266))</f>
        <v/>
      </c>
      <c r="AD266" s="30" t="str">
        <f aca="false">IF(M266="","",SUM(T266:Z266)+AC266)</f>
        <v/>
      </c>
      <c r="AE266" s="30" t="str">
        <f aca="false">IF(OR(M266="",N266=""),"",M266-N266)</f>
        <v/>
      </c>
      <c r="AF266" s="30" t="str">
        <f aca="false">IF(AE266="","",AE266-AD266)</f>
        <v/>
      </c>
      <c r="AG266" s="28" t="str">
        <f aca="false">IF(OR(AF266="",M266=0),"",AF266/M266)</f>
        <v/>
      </c>
      <c r="AH266" s="32" t="str">
        <f aca="false">IF(OR(AE266="",N266=0),"",AE266/(N266/1000))</f>
        <v/>
      </c>
      <c r="AI266" s="30" t="str">
        <f aca="false">IF(O266="","",M266*P266)</f>
        <v/>
      </c>
      <c r="AJ266" s="11" t="str">
        <f aca="false">IF(O266="","",IF(O266&gt;1,"Error: rend &gt; 100 %",IF(SUM(T266:Z266)=0,"Falta registrar pérdidas",IF(ABS(AG266)&gt;Parámetros!$B$7,"Revisar balance",IF(O266&lt;P266,"Bajo meta","OK")))))</f>
        <v/>
      </c>
      <c r="AK266" s="33"/>
      <c r="AL266" s="10"/>
      <c r="AM266" s="33"/>
      <c r="AN266" s="33"/>
      <c r="AO266" s="10"/>
    </row>
    <row r="267" customFormat="false" ht="15" hidden="false" customHeight="false" outlineLevel="0" collapsed="false">
      <c r="A267" s="22"/>
      <c r="B267" s="23" t="str">
        <f aca="false">IF(A267="","",YEAR(A267-WEEKDAY(A267,2)+4))</f>
        <v/>
      </c>
      <c r="C267" s="23" t="str">
        <f aca="false">IF(A267="","",WEEKNUM(A267,21))</f>
        <v/>
      </c>
      <c r="D267" s="24" t="str">
        <f aca="false">IF(A267="","",DATE(YEAR(A267),MONTH(A267),1))</f>
        <v/>
      </c>
      <c r="E267" s="10"/>
      <c r="F267" s="25"/>
      <c r="G267" s="25"/>
      <c r="H267" s="10"/>
      <c r="I267" s="10"/>
      <c r="J267" s="26"/>
      <c r="K267" s="25"/>
      <c r="L267" s="26"/>
      <c r="M267" s="27"/>
      <c r="N267" s="27"/>
      <c r="O267" s="28" t="str">
        <f aca="false">IF(OR(M267="",M267=0,N267=""),"",N267/M267)</f>
        <v/>
      </c>
      <c r="P267" s="28" t="str">
        <f aca="false">IF(M267="","",IFERROR(IF(INDEX(Parámetros!$B$14:$B$21,MATCH(I267,Parámetros!$A$14:$A$21,0))="",Parámetros!$B$5,INDEX(Parámetros!$B$14:$B$21,MATCH(I267,Parámetros!$A$14:$A$21,0))),Parámetros!$B$5))</f>
        <v/>
      </c>
      <c r="Q267" s="29" t="str">
        <f aca="false">IF(O267="","",(O267-P267)*100)</f>
        <v/>
      </c>
      <c r="R267" s="30" t="str">
        <f aca="false">IF(O267="","",MAX(0,M267*(P267-O267)))</f>
        <v/>
      </c>
      <c r="S267" s="31" t="str">
        <f aca="false">IF(OR(L267="",L267=0,N267=""),"",N267/1000/L267)</f>
        <v/>
      </c>
      <c r="T267" s="27"/>
      <c r="U267" s="27"/>
      <c r="V267" s="27"/>
      <c r="W267" s="27"/>
      <c r="X267" s="27"/>
      <c r="Y267" s="27"/>
      <c r="Z267" s="27"/>
      <c r="AA267" s="25"/>
      <c r="AB267" s="27"/>
      <c r="AC267" s="30" t="str">
        <f aca="false">IF(M267="","",IF(AB267="",M267*Parámetros!$B$6,AB267))</f>
        <v/>
      </c>
      <c r="AD267" s="30" t="str">
        <f aca="false">IF(M267="","",SUM(T267:Z267)+AC267)</f>
        <v/>
      </c>
      <c r="AE267" s="30" t="str">
        <f aca="false">IF(OR(M267="",N267=""),"",M267-N267)</f>
        <v/>
      </c>
      <c r="AF267" s="30" t="str">
        <f aca="false">IF(AE267="","",AE267-AD267)</f>
        <v/>
      </c>
      <c r="AG267" s="28" t="str">
        <f aca="false">IF(OR(AF267="",M267=0),"",AF267/M267)</f>
        <v/>
      </c>
      <c r="AH267" s="32" t="str">
        <f aca="false">IF(OR(AE267="",N267=0),"",AE267/(N267/1000))</f>
        <v/>
      </c>
      <c r="AI267" s="30" t="str">
        <f aca="false">IF(O267="","",M267*P267)</f>
        <v/>
      </c>
      <c r="AJ267" s="11" t="str">
        <f aca="false">IF(O267="","",IF(O267&gt;1,"Error: rend &gt; 100 %",IF(SUM(T267:Z267)=0,"Falta registrar pérdidas",IF(ABS(AG267)&gt;Parámetros!$B$7,"Revisar balance",IF(O267&lt;P267,"Bajo meta","OK")))))</f>
        <v/>
      </c>
      <c r="AK267" s="33"/>
      <c r="AL267" s="10"/>
      <c r="AM267" s="33"/>
      <c r="AN267" s="33"/>
      <c r="AO267" s="10"/>
    </row>
    <row r="268" customFormat="false" ht="15" hidden="false" customHeight="false" outlineLevel="0" collapsed="false">
      <c r="A268" s="22"/>
      <c r="B268" s="23" t="str">
        <f aca="false">IF(A268="","",YEAR(A268-WEEKDAY(A268,2)+4))</f>
        <v/>
      </c>
      <c r="C268" s="23" t="str">
        <f aca="false">IF(A268="","",WEEKNUM(A268,21))</f>
        <v/>
      </c>
      <c r="D268" s="24" t="str">
        <f aca="false">IF(A268="","",DATE(YEAR(A268),MONTH(A268),1))</f>
        <v/>
      </c>
      <c r="E268" s="10"/>
      <c r="F268" s="25"/>
      <c r="G268" s="25"/>
      <c r="H268" s="10"/>
      <c r="I268" s="10"/>
      <c r="J268" s="26"/>
      <c r="K268" s="25"/>
      <c r="L268" s="26"/>
      <c r="M268" s="27"/>
      <c r="N268" s="27"/>
      <c r="O268" s="28" t="str">
        <f aca="false">IF(OR(M268="",M268=0,N268=""),"",N268/M268)</f>
        <v/>
      </c>
      <c r="P268" s="28" t="str">
        <f aca="false">IF(M268="","",IFERROR(IF(INDEX(Parámetros!$B$14:$B$21,MATCH(I268,Parámetros!$A$14:$A$21,0))="",Parámetros!$B$5,INDEX(Parámetros!$B$14:$B$21,MATCH(I268,Parámetros!$A$14:$A$21,0))),Parámetros!$B$5))</f>
        <v/>
      </c>
      <c r="Q268" s="29" t="str">
        <f aca="false">IF(O268="","",(O268-P268)*100)</f>
        <v/>
      </c>
      <c r="R268" s="30" t="str">
        <f aca="false">IF(O268="","",MAX(0,M268*(P268-O268)))</f>
        <v/>
      </c>
      <c r="S268" s="31" t="str">
        <f aca="false">IF(OR(L268="",L268=0,N268=""),"",N268/1000/L268)</f>
        <v/>
      </c>
      <c r="T268" s="27"/>
      <c r="U268" s="27"/>
      <c r="V268" s="27"/>
      <c r="W268" s="27"/>
      <c r="X268" s="27"/>
      <c r="Y268" s="27"/>
      <c r="Z268" s="27"/>
      <c r="AA268" s="25"/>
      <c r="AB268" s="27"/>
      <c r="AC268" s="30" t="str">
        <f aca="false">IF(M268="","",IF(AB268="",M268*Parámetros!$B$6,AB268))</f>
        <v/>
      </c>
      <c r="AD268" s="30" t="str">
        <f aca="false">IF(M268="","",SUM(T268:Z268)+AC268)</f>
        <v/>
      </c>
      <c r="AE268" s="30" t="str">
        <f aca="false">IF(OR(M268="",N268=""),"",M268-N268)</f>
        <v/>
      </c>
      <c r="AF268" s="30" t="str">
        <f aca="false">IF(AE268="","",AE268-AD268)</f>
        <v/>
      </c>
      <c r="AG268" s="28" t="str">
        <f aca="false">IF(OR(AF268="",M268=0),"",AF268/M268)</f>
        <v/>
      </c>
      <c r="AH268" s="32" t="str">
        <f aca="false">IF(OR(AE268="",N268=0),"",AE268/(N268/1000))</f>
        <v/>
      </c>
      <c r="AI268" s="30" t="str">
        <f aca="false">IF(O268="","",M268*P268)</f>
        <v/>
      </c>
      <c r="AJ268" s="11" t="str">
        <f aca="false">IF(O268="","",IF(O268&gt;1,"Error: rend &gt; 100 %",IF(SUM(T268:Z268)=0,"Falta registrar pérdidas",IF(ABS(AG268)&gt;Parámetros!$B$7,"Revisar balance",IF(O268&lt;P268,"Bajo meta","OK")))))</f>
        <v/>
      </c>
      <c r="AK268" s="33"/>
      <c r="AL268" s="10"/>
      <c r="AM268" s="33"/>
      <c r="AN268" s="33"/>
      <c r="AO268" s="10"/>
    </row>
    <row r="269" customFormat="false" ht="15" hidden="false" customHeight="false" outlineLevel="0" collapsed="false">
      <c r="A269" s="22"/>
      <c r="B269" s="23" t="str">
        <f aca="false">IF(A269="","",YEAR(A269-WEEKDAY(A269,2)+4))</f>
        <v/>
      </c>
      <c r="C269" s="23" t="str">
        <f aca="false">IF(A269="","",WEEKNUM(A269,21))</f>
        <v/>
      </c>
      <c r="D269" s="24" t="str">
        <f aca="false">IF(A269="","",DATE(YEAR(A269),MONTH(A269),1))</f>
        <v/>
      </c>
      <c r="E269" s="10"/>
      <c r="F269" s="25"/>
      <c r="G269" s="25"/>
      <c r="H269" s="10"/>
      <c r="I269" s="10"/>
      <c r="J269" s="26"/>
      <c r="K269" s="25"/>
      <c r="L269" s="26"/>
      <c r="M269" s="27"/>
      <c r="N269" s="27"/>
      <c r="O269" s="28" t="str">
        <f aca="false">IF(OR(M269="",M269=0,N269=""),"",N269/M269)</f>
        <v/>
      </c>
      <c r="P269" s="28" t="str">
        <f aca="false">IF(M269="","",IFERROR(IF(INDEX(Parámetros!$B$14:$B$21,MATCH(I269,Parámetros!$A$14:$A$21,0))="",Parámetros!$B$5,INDEX(Parámetros!$B$14:$B$21,MATCH(I269,Parámetros!$A$14:$A$21,0))),Parámetros!$B$5))</f>
        <v/>
      </c>
      <c r="Q269" s="29" t="str">
        <f aca="false">IF(O269="","",(O269-P269)*100)</f>
        <v/>
      </c>
      <c r="R269" s="30" t="str">
        <f aca="false">IF(O269="","",MAX(0,M269*(P269-O269)))</f>
        <v/>
      </c>
      <c r="S269" s="31" t="str">
        <f aca="false">IF(OR(L269="",L269=0,N269=""),"",N269/1000/L269)</f>
        <v/>
      </c>
      <c r="T269" s="27"/>
      <c r="U269" s="27"/>
      <c r="V269" s="27"/>
      <c r="W269" s="27"/>
      <c r="X269" s="27"/>
      <c r="Y269" s="27"/>
      <c r="Z269" s="27"/>
      <c r="AA269" s="25"/>
      <c r="AB269" s="27"/>
      <c r="AC269" s="30" t="str">
        <f aca="false">IF(M269="","",IF(AB269="",M269*Parámetros!$B$6,AB269))</f>
        <v/>
      </c>
      <c r="AD269" s="30" t="str">
        <f aca="false">IF(M269="","",SUM(T269:Z269)+AC269)</f>
        <v/>
      </c>
      <c r="AE269" s="30" t="str">
        <f aca="false">IF(OR(M269="",N269=""),"",M269-N269)</f>
        <v/>
      </c>
      <c r="AF269" s="30" t="str">
        <f aca="false">IF(AE269="","",AE269-AD269)</f>
        <v/>
      </c>
      <c r="AG269" s="28" t="str">
        <f aca="false">IF(OR(AF269="",M269=0),"",AF269/M269)</f>
        <v/>
      </c>
      <c r="AH269" s="32" t="str">
        <f aca="false">IF(OR(AE269="",N269=0),"",AE269/(N269/1000))</f>
        <v/>
      </c>
      <c r="AI269" s="30" t="str">
        <f aca="false">IF(O269="","",M269*P269)</f>
        <v/>
      </c>
      <c r="AJ269" s="11" t="str">
        <f aca="false">IF(O269="","",IF(O269&gt;1,"Error: rend &gt; 100 %",IF(SUM(T269:Z269)=0,"Falta registrar pérdidas",IF(ABS(AG269)&gt;Parámetros!$B$7,"Revisar balance",IF(O269&lt;P269,"Bajo meta","OK")))))</f>
        <v/>
      </c>
      <c r="AK269" s="33"/>
      <c r="AL269" s="10"/>
      <c r="AM269" s="33"/>
      <c r="AN269" s="33"/>
      <c r="AO269" s="10"/>
    </row>
    <row r="270" customFormat="false" ht="15" hidden="false" customHeight="false" outlineLevel="0" collapsed="false">
      <c r="A270" s="22"/>
      <c r="B270" s="23" t="str">
        <f aca="false">IF(A270="","",YEAR(A270-WEEKDAY(A270,2)+4))</f>
        <v/>
      </c>
      <c r="C270" s="23" t="str">
        <f aca="false">IF(A270="","",WEEKNUM(A270,21))</f>
        <v/>
      </c>
      <c r="D270" s="24" t="str">
        <f aca="false">IF(A270="","",DATE(YEAR(A270),MONTH(A270),1))</f>
        <v/>
      </c>
      <c r="E270" s="10"/>
      <c r="F270" s="25"/>
      <c r="G270" s="25"/>
      <c r="H270" s="10"/>
      <c r="I270" s="10"/>
      <c r="J270" s="26"/>
      <c r="K270" s="25"/>
      <c r="L270" s="26"/>
      <c r="M270" s="27"/>
      <c r="N270" s="27"/>
      <c r="O270" s="28" t="str">
        <f aca="false">IF(OR(M270="",M270=0,N270=""),"",N270/M270)</f>
        <v/>
      </c>
      <c r="P270" s="28" t="str">
        <f aca="false">IF(M270="","",IFERROR(IF(INDEX(Parámetros!$B$14:$B$21,MATCH(I270,Parámetros!$A$14:$A$21,0))="",Parámetros!$B$5,INDEX(Parámetros!$B$14:$B$21,MATCH(I270,Parámetros!$A$14:$A$21,0))),Parámetros!$B$5))</f>
        <v/>
      </c>
      <c r="Q270" s="29" t="str">
        <f aca="false">IF(O270="","",(O270-P270)*100)</f>
        <v/>
      </c>
      <c r="R270" s="30" t="str">
        <f aca="false">IF(O270="","",MAX(0,M270*(P270-O270)))</f>
        <v/>
      </c>
      <c r="S270" s="31" t="str">
        <f aca="false">IF(OR(L270="",L270=0,N270=""),"",N270/1000/L270)</f>
        <v/>
      </c>
      <c r="T270" s="27"/>
      <c r="U270" s="27"/>
      <c r="V270" s="27"/>
      <c r="W270" s="27"/>
      <c r="X270" s="27"/>
      <c r="Y270" s="27"/>
      <c r="Z270" s="27"/>
      <c r="AA270" s="25"/>
      <c r="AB270" s="27"/>
      <c r="AC270" s="30" t="str">
        <f aca="false">IF(M270="","",IF(AB270="",M270*Parámetros!$B$6,AB270))</f>
        <v/>
      </c>
      <c r="AD270" s="30" t="str">
        <f aca="false">IF(M270="","",SUM(T270:Z270)+AC270)</f>
        <v/>
      </c>
      <c r="AE270" s="30" t="str">
        <f aca="false">IF(OR(M270="",N270=""),"",M270-N270)</f>
        <v/>
      </c>
      <c r="AF270" s="30" t="str">
        <f aca="false">IF(AE270="","",AE270-AD270)</f>
        <v/>
      </c>
      <c r="AG270" s="28" t="str">
        <f aca="false">IF(OR(AF270="",M270=0),"",AF270/M270)</f>
        <v/>
      </c>
      <c r="AH270" s="32" t="str">
        <f aca="false">IF(OR(AE270="",N270=0),"",AE270/(N270/1000))</f>
        <v/>
      </c>
      <c r="AI270" s="30" t="str">
        <f aca="false">IF(O270="","",M270*P270)</f>
        <v/>
      </c>
      <c r="AJ270" s="11" t="str">
        <f aca="false">IF(O270="","",IF(O270&gt;1,"Error: rend &gt; 100 %",IF(SUM(T270:Z270)=0,"Falta registrar pérdidas",IF(ABS(AG270)&gt;Parámetros!$B$7,"Revisar balance",IF(O270&lt;P270,"Bajo meta","OK")))))</f>
        <v/>
      </c>
      <c r="AK270" s="33"/>
      <c r="AL270" s="10"/>
      <c r="AM270" s="33"/>
      <c r="AN270" s="33"/>
      <c r="AO270" s="10"/>
    </row>
    <row r="271" customFormat="false" ht="15" hidden="false" customHeight="false" outlineLevel="0" collapsed="false">
      <c r="A271" s="22"/>
      <c r="B271" s="23" t="str">
        <f aca="false">IF(A271="","",YEAR(A271-WEEKDAY(A271,2)+4))</f>
        <v/>
      </c>
      <c r="C271" s="23" t="str">
        <f aca="false">IF(A271="","",WEEKNUM(A271,21))</f>
        <v/>
      </c>
      <c r="D271" s="24" t="str">
        <f aca="false">IF(A271="","",DATE(YEAR(A271),MONTH(A271),1))</f>
        <v/>
      </c>
      <c r="E271" s="10"/>
      <c r="F271" s="25"/>
      <c r="G271" s="25"/>
      <c r="H271" s="10"/>
      <c r="I271" s="10"/>
      <c r="J271" s="26"/>
      <c r="K271" s="25"/>
      <c r="L271" s="26"/>
      <c r="M271" s="27"/>
      <c r="N271" s="27"/>
      <c r="O271" s="28" t="str">
        <f aca="false">IF(OR(M271="",M271=0,N271=""),"",N271/M271)</f>
        <v/>
      </c>
      <c r="P271" s="28" t="str">
        <f aca="false">IF(M271="","",IFERROR(IF(INDEX(Parámetros!$B$14:$B$21,MATCH(I271,Parámetros!$A$14:$A$21,0))="",Parámetros!$B$5,INDEX(Parámetros!$B$14:$B$21,MATCH(I271,Parámetros!$A$14:$A$21,0))),Parámetros!$B$5))</f>
        <v/>
      </c>
      <c r="Q271" s="29" t="str">
        <f aca="false">IF(O271="","",(O271-P271)*100)</f>
        <v/>
      </c>
      <c r="R271" s="30" t="str">
        <f aca="false">IF(O271="","",MAX(0,M271*(P271-O271)))</f>
        <v/>
      </c>
      <c r="S271" s="31" t="str">
        <f aca="false">IF(OR(L271="",L271=0,N271=""),"",N271/1000/L271)</f>
        <v/>
      </c>
      <c r="T271" s="27"/>
      <c r="U271" s="27"/>
      <c r="V271" s="27"/>
      <c r="W271" s="27"/>
      <c r="X271" s="27"/>
      <c r="Y271" s="27"/>
      <c r="Z271" s="27"/>
      <c r="AA271" s="25"/>
      <c r="AB271" s="27"/>
      <c r="AC271" s="30" t="str">
        <f aca="false">IF(M271="","",IF(AB271="",M271*Parámetros!$B$6,AB271))</f>
        <v/>
      </c>
      <c r="AD271" s="30" t="str">
        <f aca="false">IF(M271="","",SUM(T271:Z271)+AC271)</f>
        <v/>
      </c>
      <c r="AE271" s="30" t="str">
        <f aca="false">IF(OR(M271="",N271=""),"",M271-N271)</f>
        <v/>
      </c>
      <c r="AF271" s="30" t="str">
        <f aca="false">IF(AE271="","",AE271-AD271)</f>
        <v/>
      </c>
      <c r="AG271" s="28" t="str">
        <f aca="false">IF(OR(AF271="",M271=0),"",AF271/M271)</f>
        <v/>
      </c>
      <c r="AH271" s="32" t="str">
        <f aca="false">IF(OR(AE271="",N271=0),"",AE271/(N271/1000))</f>
        <v/>
      </c>
      <c r="AI271" s="30" t="str">
        <f aca="false">IF(O271="","",M271*P271)</f>
        <v/>
      </c>
      <c r="AJ271" s="11" t="str">
        <f aca="false">IF(O271="","",IF(O271&gt;1,"Error: rend &gt; 100 %",IF(SUM(T271:Z271)=0,"Falta registrar pérdidas",IF(ABS(AG271)&gt;Parámetros!$B$7,"Revisar balance",IF(O271&lt;P271,"Bajo meta","OK")))))</f>
        <v/>
      </c>
      <c r="AK271" s="33"/>
      <c r="AL271" s="10"/>
      <c r="AM271" s="33"/>
      <c r="AN271" s="33"/>
      <c r="AO271" s="10"/>
    </row>
    <row r="272" customFormat="false" ht="15" hidden="false" customHeight="false" outlineLevel="0" collapsed="false">
      <c r="A272" s="22"/>
      <c r="B272" s="23" t="str">
        <f aca="false">IF(A272="","",YEAR(A272-WEEKDAY(A272,2)+4))</f>
        <v/>
      </c>
      <c r="C272" s="23" t="str">
        <f aca="false">IF(A272="","",WEEKNUM(A272,21))</f>
        <v/>
      </c>
      <c r="D272" s="24" t="str">
        <f aca="false">IF(A272="","",DATE(YEAR(A272),MONTH(A272),1))</f>
        <v/>
      </c>
      <c r="E272" s="10"/>
      <c r="F272" s="25"/>
      <c r="G272" s="25"/>
      <c r="H272" s="10"/>
      <c r="I272" s="10"/>
      <c r="J272" s="26"/>
      <c r="K272" s="25"/>
      <c r="L272" s="26"/>
      <c r="M272" s="27"/>
      <c r="N272" s="27"/>
      <c r="O272" s="28" t="str">
        <f aca="false">IF(OR(M272="",M272=0,N272=""),"",N272/M272)</f>
        <v/>
      </c>
      <c r="P272" s="28" t="str">
        <f aca="false">IF(M272="","",IFERROR(IF(INDEX(Parámetros!$B$14:$B$21,MATCH(I272,Parámetros!$A$14:$A$21,0))="",Parámetros!$B$5,INDEX(Parámetros!$B$14:$B$21,MATCH(I272,Parámetros!$A$14:$A$21,0))),Parámetros!$B$5))</f>
        <v/>
      </c>
      <c r="Q272" s="29" t="str">
        <f aca="false">IF(O272="","",(O272-P272)*100)</f>
        <v/>
      </c>
      <c r="R272" s="30" t="str">
        <f aca="false">IF(O272="","",MAX(0,M272*(P272-O272)))</f>
        <v/>
      </c>
      <c r="S272" s="31" t="str">
        <f aca="false">IF(OR(L272="",L272=0,N272=""),"",N272/1000/L272)</f>
        <v/>
      </c>
      <c r="T272" s="27"/>
      <c r="U272" s="27"/>
      <c r="V272" s="27"/>
      <c r="W272" s="27"/>
      <c r="X272" s="27"/>
      <c r="Y272" s="27"/>
      <c r="Z272" s="27"/>
      <c r="AA272" s="25"/>
      <c r="AB272" s="27"/>
      <c r="AC272" s="30" t="str">
        <f aca="false">IF(M272="","",IF(AB272="",M272*Parámetros!$B$6,AB272))</f>
        <v/>
      </c>
      <c r="AD272" s="30" t="str">
        <f aca="false">IF(M272="","",SUM(T272:Z272)+AC272)</f>
        <v/>
      </c>
      <c r="AE272" s="30" t="str">
        <f aca="false">IF(OR(M272="",N272=""),"",M272-N272)</f>
        <v/>
      </c>
      <c r="AF272" s="30" t="str">
        <f aca="false">IF(AE272="","",AE272-AD272)</f>
        <v/>
      </c>
      <c r="AG272" s="28" t="str">
        <f aca="false">IF(OR(AF272="",M272=0),"",AF272/M272)</f>
        <v/>
      </c>
      <c r="AH272" s="32" t="str">
        <f aca="false">IF(OR(AE272="",N272=0),"",AE272/(N272/1000))</f>
        <v/>
      </c>
      <c r="AI272" s="30" t="str">
        <f aca="false">IF(O272="","",M272*P272)</f>
        <v/>
      </c>
      <c r="AJ272" s="11" t="str">
        <f aca="false">IF(O272="","",IF(O272&gt;1,"Error: rend &gt; 100 %",IF(SUM(T272:Z272)=0,"Falta registrar pérdidas",IF(ABS(AG272)&gt;Parámetros!$B$7,"Revisar balance",IF(O272&lt;P272,"Bajo meta","OK")))))</f>
        <v/>
      </c>
      <c r="AK272" s="33"/>
      <c r="AL272" s="10"/>
      <c r="AM272" s="33"/>
      <c r="AN272" s="33"/>
      <c r="AO272" s="10"/>
    </row>
    <row r="273" customFormat="false" ht="15" hidden="false" customHeight="false" outlineLevel="0" collapsed="false">
      <c r="A273" s="22"/>
      <c r="B273" s="23" t="str">
        <f aca="false">IF(A273="","",YEAR(A273-WEEKDAY(A273,2)+4))</f>
        <v/>
      </c>
      <c r="C273" s="23" t="str">
        <f aca="false">IF(A273="","",WEEKNUM(A273,21))</f>
        <v/>
      </c>
      <c r="D273" s="24" t="str">
        <f aca="false">IF(A273="","",DATE(YEAR(A273),MONTH(A273),1))</f>
        <v/>
      </c>
      <c r="E273" s="10"/>
      <c r="F273" s="25"/>
      <c r="G273" s="25"/>
      <c r="H273" s="10"/>
      <c r="I273" s="10"/>
      <c r="J273" s="26"/>
      <c r="K273" s="25"/>
      <c r="L273" s="26"/>
      <c r="M273" s="27"/>
      <c r="N273" s="27"/>
      <c r="O273" s="28" t="str">
        <f aca="false">IF(OR(M273="",M273=0,N273=""),"",N273/M273)</f>
        <v/>
      </c>
      <c r="P273" s="28" t="str">
        <f aca="false">IF(M273="","",IFERROR(IF(INDEX(Parámetros!$B$14:$B$21,MATCH(I273,Parámetros!$A$14:$A$21,0))="",Parámetros!$B$5,INDEX(Parámetros!$B$14:$B$21,MATCH(I273,Parámetros!$A$14:$A$21,0))),Parámetros!$B$5))</f>
        <v/>
      </c>
      <c r="Q273" s="29" t="str">
        <f aca="false">IF(O273="","",(O273-P273)*100)</f>
        <v/>
      </c>
      <c r="R273" s="30" t="str">
        <f aca="false">IF(O273="","",MAX(0,M273*(P273-O273)))</f>
        <v/>
      </c>
      <c r="S273" s="31" t="str">
        <f aca="false">IF(OR(L273="",L273=0,N273=""),"",N273/1000/L273)</f>
        <v/>
      </c>
      <c r="T273" s="27"/>
      <c r="U273" s="27"/>
      <c r="V273" s="27"/>
      <c r="W273" s="27"/>
      <c r="X273" s="27"/>
      <c r="Y273" s="27"/>
      <c r="Z273" s="27"/>
      <c r="AA273" s="25"/>
      <c r="AB273" s="27"/>
      <c r="AC273" s="30" t="str">
        <f aca="false">IF(M273="","",IF(AB273="",M273*Parámetros!$B$6,AB273))</f>
        <v/>
      </c>
      <c r="AD273" s="30" t="str">
        <f aca="false">IF(M273="","",SUM(T273:Z273)+AC273)</f>
        <v/>
      </c>
      <c r="AE273" s="30" t="str">
        <f aca="false">IF(OR(M273="",N273=""),"",M273-N273)</f>
        <v/>
      </c>
      <c r="AF273" s="30" t="str">
        <f aca="false">IF(AE273="","",AE273-AD273)</f>
        <v/>
      </c>
      <c r="AG273" s="28" t="str">
        <f aca="false">IF(OR(AF273="",M273=0),"",AF273/M273)</f>
        <v/>
      </c>
      <c r="AH273" s="32" t="str">
        <f aca="false">IF(OR(AE273="",N273=0),"",AE273/(N273/1000))</f>
        <v/>
      </c>
      <c r="AI273" s="30" t="str">
        <f aca="false">IF(O273="","",M273*P273)</f>
        <v/>
      </c>
      <c r="AJ273" s="11" t="str">
        <f aca="false">IF(O273="","",IF(O273&gt;1,"Error: rend &gt; 100 %",IF(SUM(T273:Z273)=0,"Falta registrar pérdidas",IF(ABS(AG273)&gt;Parámetros!$B$7,"Revisar balance",IF(O273&lt;P273,"Bajo meta","OK")))))</f>
        <v/>
      </c>
      <c r="AK273" s="33"/>
      <c r="AL273" s="10"/>
      <c r="AM273" s="33"/>
      <c r="AN273" s="33"/>
      <c r="AO273" s="10"/>
    </row>
    <row r="274" customFormat="false" ht="15" hidden="false" customHeight="false" outlineLevel="0" collapsed="false">
      <c r="A274" s="22"/>
      <c r="B274" s="23" t="str">
        <f aca="false">IF(A274="","",YEAR(A274-WEEKDAY(A274,2)+4))</f>
        <v/>
      </c>
      <c r="C274" s="23" t="str">
        <f aca="false">IF(A274="","",WEEKNUM(A274,21))</f>
        <v/>
      </c>
      <c r="D274" s="24" t="str">
        <f aca="false">IF(A274="","",DATE(YEAR(A274),MONTH(A274),1))</f>
        <v/>
      </c>
      <c r="E274" s="10"/>
      <c r="F274" s="25"/>
      <c r="G274" s="25"/>
      <c r="H274" s="10"/>
      <c r="I274" s="10"/>
      <c r="J274" s="26"/>
      <c r="K274" s="25"/>
      <c r="L274" s="26"/>
      <c r="M274" s="27"/>
      <c r="N274" s="27"/>
      <c r="O274" s="28" t="str">
        <f aca="false">IF(OR(M274="",M274=0,N274=""),"",N274/M274)</f>
        <v/>
      </c>
      <c r="P274" s="28" t="str">
        <f aca="false">IF(M274="","",IFERROR(IF(INDEX(Parámetros!$B$14:$B$21,MATCH(I274,Parámetros!$A$14:$A$21,0))="",Parámetros!$B$5,INDEX(Parámetros!$B$14:$B$21,MATCH(I274,Parámetros!$A$14:$A$21,0))),Parámetros!$B$5))</f>
        <v/>
      </c>
      <c r="Q274" s="29" t="str">
        <f aca="false">IF(O274="","",(O274-P274)*100)</f>
        <v/>
      </c>
      <c r="R274" s="30" t="str">
        <f aca="false">IF(O274="","",MAX(0,M274*(P274-O274)))</f>
        <v/>
      </c>
      <c r="S274" s="31" t="str">
        <f aca="false">IF(OR(L274="",L274=0,N274=""),"",N274/1000/L274)</f>
        <v/>
      </c>
      <c r="T274" s="27"/>
      <c r="U274" s="27"/>
      <c r="V274" s="27"/>
      <c r="W274" s="27"/>
      <c r="X274" s="27"/>
      <c r="Y274" s="27"/>
      <c r="Z274" s="27"/>
      <c r="AA274" s="25"/>
      <c r="AB274" s="27"/>
      <c r="AC274" s="30" t="str">
        <f aca="false">IF(M274="","",IF(AB274="",M274*Parámetros!$B$6,AB274))</f>
        <v/>
      </c>
      <c r="AD274" s="30" t="str">
        <f aca="false">IF(M274="","",SUM(T274:Z274)+AC274)</f>
        <v/>
      </c>
      <c r="AE274" s="30" t="str">
        <f aca="false">IF(OR(M274="",N274=""),"",M274-N274)</f>
        <v/>
      </c>
      <c r="AF274" s="30" t="str">
        <f aca="false">IF(AE274="","",AE274-AD274)</f>
        <v/>
      </c>
      <c r="AG274" s="28" t="str">
        <f aca="false">IF(OR(AF274="",M274=0),"",AF274/M274)</f>
        <v/>
      </c>
      <c r="AH274" s="32" t="str">
        <f aca="false">IF(OR(AE274="",N274=0),"",AE274/(N274/1000))</f>
        <v/>
      </c>
      <c r="AI274" s="30" t="str">
        <f aca="false">IF(O274="","",M274*P274)</f>
        <v/>
      </c>
      <c r="AJ274" s="11" t="str">
        <f aca="false">IF(O274="","",IF(O274&gt;1,"Error: rend &gt; 100 %",IF(SUM(T274:Z274)=0,"Falta registrar pérdidas",IF(ABS(AG274)&gt;Parámetros!$B$7,"Revisar balance",IF(O274&lt;P274,"Bajo meta","OK")))))</f>
        <v/>
      </c>
      <c r="AK274" s="33"/>
      <c r="AL274" s="10"/>
      <c r="AM274" s="33"/>
      <c r="AN274" s="33"/>
      <c r="AO274" s="10"/>
    </row>
    <row r="275" customFormat="false" ht="15" hidden="false" customHeight="false" outlineLevel="0" collapsed="false">
      <c r="A275" s="22"/>
      <c r="B275" s="23" t="str">
        <f aca="false">IF(A275="","",YEAR(A275-WEEKDAY(A275,2)+4))</f>
        <v/>
      </c>
      <c r="C275" s="23" t="str">
        <f aca="false">IF(A275="","",WEEKNUM(A275,21))</f>
        <v/>
      </c>
      <c r="D275" s="24" t="str">
        <f aca="false">IF(A275="","",DATE(YEAR(A275),MONTH(A275),1))</f>
        <v/>
      </c>
      <c r="E275" s="10"/>
      <c r="F275" s="25"/>
      <c r="G275" s="25"/>
      <c r="H275" s="10"/>
      <c r="I275" s="10"/>
      <c r="J275" s="26"/>
      <c r="K275" s="25"/>
      <c r="L275" s="26"/>
      <c r="M275" s="27"/>
      <c r="N275" s="27"/>
      <c r="O275" s="28" t="str">
        <f aca="false">IF(OR(M275="",M275=0,N275=""),"",N275/M275)</f>
        <v/>
      </c>
      <c r="P275" s="28" t="str">
        <f aca="false">IF(M275="","",IFERROR(IF(INDEX(Parámetros!$B$14:$B$21,MATCH(I275,Parámetros!$A$14:$A$21,0))="",Parámetros!$B$5,INDEX(Parámetros!$B$14:$B$21,MATCH(I275,Parámetros!$A$14:$A$21,0))),Parámetros!$B$5))</f>
        <v/>
      </c>
      <c r="Q275" s="29" t="str">
        <f aca="false">IF(O275="","",(O275-P275)*100)</f>
        <v/>
      </c>
      <c r="R275" s="30" t="str">
        <f aca="false">IF(O275="","",MAX(0,M275*(P275-O275)))</f>
        <v/>
      </c>
      <c r="S275" s="31" t="str">
        <f aca="false">IF(OR(L275="",L275=0,N275=""),"",N275/1000/L275)</f>
        <v/>
      </c>
      <c r="T275" s="27"/>
      <c r="U275" s="27"/>
      <c r="V275" s="27"/>
      <c r="W275" s="27"/>
      <c r="X275" s="27"/>
      <c r="Y275" s="27"/>
      <c r="Z275" s="27"/>
      <c r="AA275" s="25"/>
      <c r="AB275" s="27"/>
      <c r="AC275" s="30" t="str">
        <f aca="false">IF(M275="","",IF(AB275="",M275*Parámetros!$B$6,AB275))</f>
        <v/>
      </c>
      <c r="AD275" s="30" t="str">
        <f aca="false">IF(M275="","",SUM(T275:Z275)+AC275)</f>
        <v/>
      </c>
      <c r="AE275" s="30" t="str">
        <f aca="false">IF(OR(M275="",N275=""),"",M275-N275)</f>
        <v/>
      </c>
      <c r="AF275" s="30" t="str">
        <f aca="false">IF(AE275="","",AE275-AD275)</f>
        <v/>
      </c>
      <c r="AG275" s="28" t="str">
        <f aca="false">IF(OR(AF275="",M275=0),"",AF275/M275)</f>
        <v/>
      </c>
      <c r="AH275" s="32" t="str">
        <f aca="false">IF(OR(AE275="",N275=0),"",AE275/(N275/1000))</f>
        <v/>
      </c>
      <c r="AI275" s="30" t="str">
        <f aca="false">IF(O275="","",M275*P275)</f>
        <v/>
      </c>
      <c r="AJ275" s="11" t="str">
        <f aca="false">IF(O275="","",IF(O275&gt;1,"Error: rend &gt; 100 %",IF(SUM(T275:Z275)=0,"Falta registrar pérdidas",IF(ABS(AG275)&gt;Parámetros!$B$7,"Revisar balance",IF(O275&lt;P275,"Bajo meta","OK")))))</f>
        <v/>
      </c>
      <c r="AK275" s="33"/>
      <c r="AL275" s="10"/>
      <c r="AM275" s="33"/>
      <c r="AN275" s="33"/>
      <c r="AO275" s="10"/>
    </row>
    <row r="276" customFormat="false" ht="15" hidden="false" customHeight="false" outlineLevel="0" collapsed="false">
      <c r="A276" s="22"/>
      <c r="B276" s="23" t="str">
        <f aca="false">IF(A276="","",YEAR(A276-WEEKDAY(A276,2)+4))</f>
        <v/>
      </c>
      <c r="C276" s="23" t="str">
        <f aca="false">IF(A276="","",WEEKNUM(A276,21))</f>
        <v/>
      </c>
      <c r="D276" s="24" t="str">
        <f aca="false">IF(A276="","",DATE(YEAR(A276),MONTH(A276),1))</f>
        <v/>
      </c>
      <c r="E276" s="10"/>
      <c r="F276" s="25"/>
      <c r="G276" s="25"/>
      <c r="H276" s="10"/>
      <c r="I276" s="10"/>
      <c r="J276" s="26"/>
      <c r="K276" s="25"/>
      <c r="L276" s="26"/>
      <c r="M276" s="27"/>
      <c r="N276" s="27"/>
      <c r="O276" s="28" t="str">
        <f aca="false">IF(OR(M276="",M276=0,N276=""),"",N276/M276)</f>
        <v/>
      </c>
      <c r="P276" s="28" t="str">
        <f aca="false">IF(M276="","",IFERROR(IF(INDEX(Parámetros!$B$14:$B$21,MATCH(I276,Parámetros!$A$14:$A$21,0))="",Parámetros!$B$5,INDEX(Parámetros!$B$14:$B$21,MATCH(I276,Parámetros!$A$14:$A$21,0))),Parámetros!$B$5))</f>
        <v/>
      </c>
      <c r="Q276" s="29" t="str">
        <f aca="false">IF(O276="","",(O276-P276)*100)</f>
        <v/>
      </c>
      <c r="R276" s="30" t="str">
        <f aca="false">IF(O276="","",MAX(0,M276*(P276-O276)))</f>
        <v/>
      </c>
      <c r="S276" s="31" t="str">
        <f aca="false">IF(OR(L276="",L276=0,N276=""),"",N276/1000/L276)</f>
        <v/>
      </c>
      <c r="T276" s="27"/>
      <c r="U276" s="27"/>
      <c r="V276" s="27"/>
      <c r="W276" s="27"/>
      <c r="X276" s="27"/>
      <c r="Y276" s="27"/>
      <c r="Z276" s="27"/>
      <c r="AA276" s="25"/>
      <c r="AB276" s="27"/>
      <c r="AC276" s="30" t="str">
        <f aca="false">IF(M276="","",IF(AB276="",M276*Parámetros!$B$6,AB276))</f>
        <v/>
      </c>
      <c r="AD276" s="30" t="str">
        <f aca="false">IF(M276="","",SUM(T276:Z276)+AC276)</f>
        <v/>
      </c>
      <c r="AE276" s="30" t="str">
        <f aca="false">IF(OR(M276="",N276=""),"",M276-N276)</f>
        <v/>
      </c>
      <c r="AF276" s="30" t="str">
        <f aca="false">IF(AE276="","",AE276-AD276)</f>
        <v/>
      </c>
      <c r="AG276" s="28" t="str">
        <f aca="false">IF(OR(AF276="",M276=0),"",AF276/M276)</f>
        <v/>
      </c>
      <c r="AH276" s="32" t="str">
        <f aca="false">IF(OR(AE276="",N276=0),"",AE276/(N276/1000))</f>
        <v/>
      </c>
      <c r="AI276" s="30" t="str">
        <f aca="false">IF(O276="","",M276*P276)</f>
        <v/>
      </c>
      <c r="AJ276" s="11" t="str">
        <f aca="false">IF(O276="","",IF(O276&gt;1,"Error: rend &gt; 100 %",IF(SUM(T276:Z276)=0,"Falta registrar pérdidas",IF(ABS(AG276)&gt;Parámetros!$B$7,"Revisar balance",IF(O276&lt;P276,"Bajo meta","OK")))))</f>
        <v/>
      </c>
      <c r="AK276" s="33"/>
      <c r="AL276" s="10"/>
      <c r="AM276" s="33"/>
      <c r="AN276" s="33"/>
      <c r="AO276" s="10"/>
    </row>
    <row r="277" customFormat="false" ht="15" hidden="false" customHeight="false" outlineLevel="0" collapsed="false">
      <c r="A277" s="22"/>
      <c r="B277" s="23" t="str">
        <f aca="false">IF(A277="","",YEAR(A277-WEEKDAY(A277,2)+4))</f>
        <v/>
      </c>
      <c r="C277" s="23" t="str">
        <f aca="false">IF(A277="","",WEEKNUM(A277,21))</f>
        <v/>
      </c>
      <c r="D277" s="24" t="str">
        <f aca="false">IF(A277="","",DATE(YEAR(A277),MONTH(A277),1))</f>
        <v/>
      </c>
      <c r="E277" s="10"/>
      <c r="F277" s="25"/>
      <c r="G277" s="25"/>
      <c r="H277" s="10"/>
      <c r="I277" s="10"/>
      <c r="J277" s="26"/>
      <c r="K277" s="25"/>
      <c r="L277" s="26"/>
      <c r="M277" s="27"/>
      <c r="N277" s="27"/>
      <c r="O277" s="28" t="str">
        <f aca="false">IF(OR(M277="",M277=0,N277=""),"",N277/M277)</f>
        <v/>
      </c>
      <c r="P277" s="28" t="str">
        <f aca="false">IF(M277="","",IFERROR(IF(INDEX(Parámetros!$B$14:$B$21,MATCH(I277,Parámetros!$A$14:$A$21,0))="",Parámetros!$B$5,INDEX(Parámetros!$B$14:$B$21,MATCH(I277,Parámetros!$A$14:$A$21,0))),Parámetros!$B$5))</f>
        <v/>
      </c>
      <c r="Q277" s="29" t="str">
        <f aca="false">IF(O277="","",(O277-P277)*100)</f>
        <v/>
      </c>
      <c r="R277" s="30" t="str">
        <f aca="false">IF(O277="","",MAX(0,M277*(P277-O277)))</f>
        <v/>
      </c>
      <c r="S277" s="31" t="str">
        <f aca="false">IF(OR(L277="",L277=0,N277=""),"",N277/1000/L277)</f>
        <v/>
      </c>
      <c r="T277" s="27"/>
      <c r="U277" s="27"/>
      <c r="V277" s="27"/>
      <c r="W277" s="27"/>
      <c r="X277" s="27"/>
      <c r="Y277" s="27"/>
      <c r="Z277" s="27"/>
      <c r="AA277" s="25"/>
      <c r="AB277" s="27"/>
      <c r="AC277" s="30" t="str">
        <f aca="false">IF(M277="","",IF(AB277="",M277*Parámetros!$B$6,AB277))</f>
        <v/>
      </c>
      <c r="AD277" s="30" t="str">
        <f aca="false">IF(M277="","",SUM(T277:Z277)+AC277)</f>
        <v/>
      </c>
      <c r="AE277" s="30" t="str">
        <f aca="false">IF(OR(M277="",N277=""),"",M277-N277)</f>
        <v/>
      </c>
      <c r="AF277" s="30" t="str">
        <f aca="false">IF(AE277="","",AE277-AD277)</f>
        <v/>
      </c>
      <c r="AG277" s="28" t="str">
        <f aca="false">IF(OR(AF277="",M277=0),"",AF277/M277)</f>
        <v/>
      </c>
      <c r="AH277" s="32" t="str">
        <f aca="false">IF(OR(AE277="",N277=0),"",AE277/(N277/1000))</f>
        <v/>
      </c>
      <c r="AI277" s="30" t="str">
        <f aca="false">IF(O277="","",M277*P277)</f>
        <v/>
      </c>
      <c r="AJ277" s="11" t="str">
        <f aca="false">IF(O277="","",IF(O277&gt;1,"Error: rend &gt; 100 %",IF(SUM(T277:Z277)=0,"Falta registrar pérdidas",IF(ABS(AG277)&gt;Parámetros!$B$7,"Revisar balance",IF(O277&lt;P277,"Bajo meta","OK")))))</f>
        <v/>
      </c>
      <c r="AK277" s="33"/>
      <c r="AL277" s="10"/>
      <c r="AM277" s="33"/>
      <c r="AN277" s="33"/>
      <c r="AO277" s="10"/>
    </row>
    <row r="278" customFormat="false" ht="15" hidden="false" customHeight="false" outlineLevel="0" collapsed="false">
      <c r="A278" s="22"/>
      <c r="B278" s="23" t="str">
        <f aca="false">IF(A278="","",YEAR(A278-WEEKDAY(A278,2)+4))</f>
        <v/>
      </c>
      <c r="C278" s="23" t="str">
        <f aca="false">IF(A278="","",WEEKNUM(A278,21))</f>
        <v/>
      </c>
      <c r="D278" s="24" t="str">
        <f aca="false">IF(A278="","",DATE(YEAR(A278),MONTH(A278),1))</f>
        <v/>
      </c>
      <c r="E278" s="10"/>
      <c r="F278" s="25"/>
      <c r="G278" s="25"/>
      <c r="H278" s="10"/>
      <c r="I278" s="10"/>
      <c r="J278" s="26"/>
      <c r="K278" s="25"/>
      <c r="L278" s="26"/>
      <c r="M278" s="27"/>
      <c r="N278" s="27"/>
      <c r="O278" s="28" t="str">
        <f aca="false">IF(OR(M278="",M278=0,N278=""),"",N278/M278)</f>
        <v/>
      </c>
      <c r="P278" s="28" t="str">
        <f aca="false">IF(M278="","",IFERROR(IF(INDEX(Parámetros!$B$14:$B$21,MATCH(I278,Parámetros!$A$14:$A$21,0))="",Parámetros!$B$5,INDEX(Parámetros!$B$14:$B$21,MATCH(I278,Parámetros!$A$14:$A$21,0))),Parámetros!$B$5))</f>
        <v/>
      </c>
      <c r="Q278" s="29" t="str">
        <f aca="false">IF(O278="","",(O278-P278)*100)</f>
        <v/>
      </c>
      <c r="R278" s="30" t="str">
        <f aca="false">IF(O278="","",MAX(0,M278*(P278-O278)))</f>
        <v/>
      </c>
      <c r="S278" s="31" t="str">
        <f aca="false">IF(OR(L278="",L278=0,N278=""),"",N278/1000/L278)</f>
        <v/>
      </c>
      <c r="T278" s="27"/>
      <c r="U278" s="27"/>
      <c r="V278" s="27"/>
      <c r="W278" s="27"/>
      <c r="X278" s="27"/>
      <c r="Y278" s="27"/>
      <c r="Z278" s="27"/>
      <c r="AA278" s="25"/>
      <c r="AB278" s="27"/>
      <c r="AC278" s="30" t="str">
        <f aca="false">IF(M278="","",IF(AB278="",M278*Parámetros!$B$6,AB278))</f>
        <v/>
      </c>
      <c r="AD278" s="30" t="str">
        <f aca="false">IF(M278="","",SUM(T278:Z278)+AC278)</f>
        <v/>
      </c>
      <c r="AE278" s="30" t="str">
        <f aca="false">IF(OR(M278="",N278=""),"",M278-N278)</f>
        <v/>
      </c>
      <c r="AF278" s="30" t="str">
        <f aca="false">IF(AE278="","",AE278-AD278)</f>
        <v/>
      </c>
      <c r="AG278" s="28" t="str">
        <f aca="false">IF(OR(AF278="",M278=0),"",AF278/M278)</f>
        <v/>
      </c>
      <c r="AH278" s="32" t="str">
        <f aca="false">IF(OR(AE278="",N278=0),"",AE278/(N278/1000))</f>
        <v/>
      </c>
      <c r="AI278" s="30" t="str">
        <f aca="false">IF(O278="","",M278*P278)</f>
        <v/>
      </c>
      <c r="AJ278" s="11" t="str">
        <f aca="false">IF(O278="","",IF(O278&gt;1,"Error: rend &gt; 100 %",IF(SUM(T278:Z278)=0,"Falta registrar pérdidas",IF(ABS(AG278)&gt;Parámetros!$B$7,"Revisar balance",IF(O278&lt;P278,"Bajo meta","OK")))))</f>
        <v/>
      </c>
      <c r="AK278" s="33"/>
      <c r="AL278" s="10"/>
      <c r="AM278" s="33"/>
      <c r="AN278" s="33"/>
      <c r="AO278" s="10"/>
    </row>
    <row r="279" customFormat="false" ht="15" hidden="false" customHeight="false" outlineLevel="0" collapsed="false">
      <c r="A279" s="22"/>
      <c r="B279" s="23" t="str">
        <f aca="false">IF(A279="","",YEAR(A279-WEEKDAY(A279,2)+4))</f>
        <v/>
      </c>
      <c r="C279" s="23" t="str">
        <f aca="false">IF(A279="","",WEEKNUM(A279,21))</f>
        <v/>
      </c>
      <c r="D279" s="24" t="str">
        <f aca="false">IF(A279="","",DATE(YEAR(A279),MONTH(A279),1))</f>
        <v/>
      </c>
      <c r="E279" s="10"/>
      <c r="F279" s="25"/>
      <c r="G279" s="25"/>
      <c r="H279" s="10"/>
      <c r="I279" s="10"/>
      <c r="J279" s="26"/>
      <c r="K279" s="25"/>
      <c r="L279" s="26"/>
      <c r="M279" s="27"/>
      <c r="N279" s="27"/>
      <c r="O279" s="28" t="str">
        <f aca="false">IF(OR(M279="",M279=0,N279=""),"",N279/M279)</f>
        <v/>
      </c>
      <c r="P279" s="28" t="str">
        <f aca="false">IF(M279="","",IFERROR(IF(INDEX(Parámetros!$B$14:$B$21,MATCH(I279,Parámetros!$A$14:$A$21,0))="",Parámetros!$B$5,INDEX(Parámetros!$B$14:$B$21,MATCH(I279,Parámetros!$A$14:$A$21,0))),Parámetros!$B$5))</f>
        <v/>
      </c>
      <c r="Q279" s="29" t="str">
        <f aca="false">IF(O279="","",(O279-P279)*100)</f>
        <v/>
      </c>
      <c r="R279" s="30" t="str">
        <f aca="false">IF(O279="","",MAX(0,M279*(P279-O279)))</f>
        <v/>
      </c>
      <c r="S279" s="31" t="str">
        <f aca="false">IF(OR(L279="",L279=0,N279=""),"",N279/1000/L279)</f>
        <v/>
      </c>
      <c r="T279" s="27"/>
      <c r="U279" s="27"/>
      <c r="V279" s="27"/>
      <c r="W279" s="27"/>
      <c r="X279" s="27"/>
      <c r="Y279" s="27"/>
      <c r="Z279" s="27"/>
      <c r="AA279" s="25"/>
      <c r="AB279" s="27"/>
      <c r="AC279" s="30" t="str">
        <f aca="false">IF(M279="","",IF(AB279="",M279*Parámetros!$B$6,AB279))</f>
        <v/>
      </c>
      <c r="AD279" s="30" t="str">
        <f aca="false">IF(M279="","",SUM(T279:Z279)+AC279)</f>
        <v/>
      </c>
      <c r="AE279" s="30" t="str">
        <f aca="false">IF(OR(M279="",N279=""),"",M279-N279)</f>
        <v/>
      </c>
      <c r="AF279" s="30" t="str">
        <f aca="false">IF(AE279="","",AE279-AD279)</f>
        <v/>
      </c>
      <c r="AG279" s="28" t="str">
        <f aca="false">IF(OR(AF279="",M279=0),"",AF279/M279)</f>
        <v/>
      </c>
      <c r="AH279" s="32" t="str">
        <f aca="false">IF(OR(AE279="",N279=0),"",AE279/(N279/1000))</f>
        <v/>
      </c>
      <c r="AI279" s="30" t="str">
        <f aca="false">IF(O279="","",M279*P279)</f>
        <v/>
      </c>
      <c r="AJ279" s="11" t="str">
        <f aca="false">IF(O279="","",IF(O279&gt;1,"Error: rend &gt; 100 %",IF(SUM(T279:Z279)=0,"Falta registrar pérdidas",IF(ABS(AG279)&gt;Parámetros!$B$7,"Revisar balance",IF(O279&lt;P279,"Bajo meta","OK")))))</f>
        <v/>
      </c>
      <c r="AK279" s="33"/>
      <c r="AL279" s="10"/>
      <c r="AM279" s="33"/>
      <c r="AN279" s="33"/>
      <c r="AO279" s="10"/>
    </row>
    <row r="280" customFormat="false" ht="15" hidden="false" customHeight="false" outlineLevel="0" collapsed="false">
      <c r="A280" s="22"/>
      <c r="B280" s="23" t="str">
        <f aca="false">IF(A280="","",YEAR(A280-WEEKDAY(A280,2)+4))</f>
        <v/>
      </c>
      <c r="C280" s="23" t="str">
        <f aca="false">IF(A280="","",WEEKNUM(A280,21))</f>
        <v/>
      </c>
      <c r="D280" s="24" t="str">
        <f aca="false">IF(A280="","",DATE(YEAR(A280),MONTH(A280),1))</f>
        <v/>
      </c>
      <c r="E280" s="10"/>
      <c r="F280" s="25"/>
      <c r="G280" s="25"/>
      <c r="H280" s="10"/>
      <c r="I280" s="10"/>
      <c r="J280" s="26"/>
      <c r="K280" s="25"/>
      <c r="L280" s="26"/>
      <c r="M280" s="27"/>
      <c r="N280" s="27"/>
      <c r="O280" s="28" t="str">
        <f aca="false">IF(OR(M280="",M280=0,N280=""),"",N280/M280)</f>
        <v/>
      </c>
      <c r="P280" s="28" t="str">
        <f aca="false">IF(M280="","",IFERROR(IF(INDEX(Parámetros!$B$14:$B$21,MATCH(I280,Parámetros!$A$14:$A$21,0))="",Parámetros!$B$5,INDEX(Parámetros!$B$14:$B$21,MATCH(I280,Parámetros!$A$14:$A$21,0))),Parámetros!$B$5))</f>
        <v/>
      </c>
      <c r="Q280" s="29" t="str">
        <f aca="false">IF(O280="","",(O280-P280)*100)</f>
        <v/>
      </c>
      <c r="R280" s="30" t="str">
        <f aca="false">IF(O280="","",MAX(0,M280*(P280-O280)))</f>
        <v/>
      </c>
      <c r="S280" s="31" t="str">
        <f aca="false">IF(OR(L280="",L280=0,N280=""),"",N280/1000/L280)</f>
        <v/>
      </c>
      <c r="T280" s="27"/>
      <c r="U280" s="27"/>
      <c r="V280" s="27"/>
      <c r="W280" s="27"/>
      <c r="X280" s="27"/>
      <c r="Y280" s="27"/>
      <c r="Z280" s="27"/>
      <c r="AA280" s="25"/>
      <c r="AB280" s="27"/>
      <c r="AC280" s="30" t="str">
        <f aca="false">IF(M280="","",IF(AB280="",M280*Parámetros!$B$6,AB280))</f>
        <v/>
      </c>
      <c r="AD280" s="30" t="str">
        <f aca="false">IF(M280="","",SUM(T280:Z280)+AC280)</f>
        <v/>
      </c>
      <c r="AE280" s="30" t="str">
        <f aca="false">IF(OR(M280="",N280=""),"",M280-N280)</f>
        <v/>
      </c>
      <c r="AF280" s="30" t="str">
        <f aca="false">IF(AE280="","",AE280-AD280)</f>
        <v/>
      </c>
      <c r="AG280" s="28" t="str">
        <f aca="false">IF(OR(AF280="",M280=0),"",AF280/M280)</f>
        <v/>
      </c>
      <c r="AH280" s="32" t="str">
        <f aca="false">IF(OR(AE280="",N280=0),"",AE280/(N280/1000))</f>
        <v/>
      </c>
      <c r="AI280" s="30" t="str">
        <f aca="false">IF(O280="","",M280*P280)</f>
        <v/>
      </c>
      <c r="AJ280" s="11" t="str">
        <f aca="false">IF(O280="","",IF(O280&gt;1,"Error: rend &gt; 100 %",IF(SUM(T280:Z280)=0,"Falta registrar pérdidas",IF(ABS(AG280)&gt;Parámetros!$B$7,"Revisar balance",IF(O280&lt;P280,"Bajo meta","OK")))))</f>
        <v/>
      </c>
      <c r="AK280" s="33"/>
      <c r="AL280" s="10"/>
      <c r="AM280" s="33"/>
      <c r="AN280" s="33"/>
      <c r="AO280" s="10"/>
    </row>
    <row r="281" customFormat="false" ht="15" hidden="false" customHeight="false" outlineLevel="0" collapsed="false">
      <c r="A281" s="22"/>
      <c r="B281" s="23" t="str">
        <f aca="false">IF(A281="","",YEAR(A281-WEEKDAY(A281,2)+4))</f>
        <v/>
      </c>
      <c r="C281" s="23" t="str">
        <f aca="false">IF(A281="","",WEEKNUM(A281,21))</f>
        <v/>
      </c>
      <c r="D281" s="24" t="str">
        <f aca="false">IF(A281="","",DATE(YEAR(A281),MONTH(A281),1))</f>
        <v/>
      </c>
      <c r="E281" s="10"/>
      <c r="F281" s="25"/>
      <c r="G281" s="25"/>
      <c r="H281" s="10"/>
      <c r="I281" s="10"/>
      <c r="J281" s="26"/>
      <c r="K281" s="25"/>
      <c r="L281" s="26"/>
      <c r="M281" s="27"/>
      <c r="N281" s="27"/>
      <c r="O281" s="28" t="str">
        <f aca="false">IF(OR(M281="",M281=0,N281=""),"",N281/M281)</f>
        <v/>
      </c>
      <c r="P281" s="28" t="str">
        <f aca="false">IF(M281="","",IFERROR(IF(INDEX(Parámetros!$B$14:$B$21,MATCH(I281,Parámetros!$A$14:$A$21,0))="",Parámetros!$B$5,INDEX(Parámetros!$B$14:$B$21,MATCH(I281,Parámetros!$A$14:$A$21,0))),Parámetros!$B$5))</f>
        <v/>
      </c>
      <c r="Q281" s="29" t="str">
        <f aca="false">IF(O281="","",(O281-P281)*100)</f>
        <v/>
      </c>
      <c r="R281" s="30" t="str">
        <f aca="false">IF(O281="","",MAX(0,M281*(P281-O281)))</f>
        <v/>
      </c>
      <c r="S281" s="31" t="str">
        <f aca="false">IF(OR(L281="",L281=0,N281=""),"",N281/1000/L281)</f>
        <v/>
      </c>
      <c r="T281" s="27"/>
      <c r="U281" s="27"/>
      <c r="V281" s="27"/>
      <c r="W281" s="27"/>
      <c r="X281" s="27"/>
      <c r="Y281" s="27"/>
      <c r="Z281" s="27"/>
      <c r="AA281" s="25"/>
      <c r="AB281" s="27"/>
      <c r="AC281" s="30" t="str">
        <f aca="false">IF(M281="","",IF(AB281="",M281*Parámetros!$B$6,AB281))</f>
        <v/>
      </c>
      <c r="AD281" s="30" t="str">
        <f aca="false">IF(M281="","",SUM(T281:Z281)+AC281)</f>
        <v/>
      </c>
      <c r="AE281" s="30" t="str">
        <f aca="false">IF(OR(M281="",N281=""),"",M281-N281)</f>
        <v/>
      </c>
      <c r="AF281" s="30" t="str">
        <f aca="false">IF(AE281="","",AE281-AD281)</f>
        <v/>
      </c>
      <c r="AG281" s="28" t="str">
        <f aca="false">IF(OR(AF281="",M281=0),"",AF281/M281)</f>
        <v/>
      </c>
      <c r="AH281" s="32" t="str">
        <f aca="false">IF(OR(AE281="",N281=0),"",AE281/(N281/1000))</f>
        <v/>
      </c>
      <c r="AI281" s="30" t="str">
        <f aca="false">IF(O281="","",M281*P281)</f>
        <v/>
      </c>
      <c r="AJ281" s="11" t="str">
        <f aca="false">IF(O281="","",IF(O281&gt;1,"Error: rend &gt; 100 %",IF(SUM(T281:Z281)=0,"Falta registrar pérdidas",IF(ABS(AG281)&gt;Parámetros!$B$7,"Revisar balance",IF(O281&lt;P281,"Bajo meta","OK")))))</f>
        <v/>
      </c>
      <c r="AK281" s="33"/>
      <c r="AL281" s="10"/>
      <c r="AM281" s="33"/>
      <c r="AN281" s="33"/>
      <c r="AO281" s="10"/>
    </row>
    <row r="282" customFormat="false" ht="15" hidden="false" customHeight="false" outlineLevel="0" collapsed="false">
      <c r="A282" s="22"/>
      <c r="B282" s="23" t="str">
        <f aca="false">IF(A282="","",YEAR(A282-WEEKDAY(A282,2)+4))</f>
        <v/>
      </c>
      <c r="C282" s="23" t="str">
        <f aca="false">IF(A282="","",WEEKNUM(A282,21))</f>
        <v/>
      </c>
      <c r="D282" s="24" t="str">
        <f aca="false">IF(A282="","",DATE(YEAR(A282),MONTH(A282),1))</f>
        <v/>
      </c>
      <c r="E282" s="10"/>
      <c r="F282" s="25"/>
      <c r="G282" s="25"/>
      <c r="H282" s="10"/>
      <c r="I282" s="10"/>
      <c r="J282" s="26"/>
      <c r="K282" s="25"/>
      <c r="L282" s="26"/>
      <c r="M282" s="27"/>
      <c r="N282" s="27"/>
      <c r="O282" s="28" t="str">
        <f aca="false">IF(OR(M282="",M282=0,N282=""),"",N282/M282)</f>
        <v/>
      </c>
      <c r="P282" s="28" t="str">
        <f aca="false">IF(M282="","",IFERROR(IF(INDEX(Parámetros!$B$14:$B$21,MATCH(I282,Parámetros!$A$14:$A$21,0))="",Parámetros!$B$5,INDEX(Parámetros!$B$14:$B$21,MATCH(I282,Parámetros!$A$14:$A$21,0))),Parámetros!$B$5))</f>
        <v/>
      </c>
      <c r="Q282" s="29" t="str">
        <f aca="false">IF(O282="","",(O282-P282)*100)</f>
        <v/>
      </c>
      <c r="R282" s="30" t="str">
        <f aca="false">IF(O282="","",MAX(0,M282*(P282-O282)))</f>
        <v/>
      </c>
      <c r="S282" s="31" t="str">
        <f aca="false">IF(OR(L282="",L282=0,N282=""),"",N282/1000/L282)</f>
        <v/>
      </c>
      <c r="T282" s="27"/>
      <c r="U282" s="27"/>
      <c r="V282" s="27"/>
      <c r="W282" s="27"/>
      <c r="X282" s="27"/>
      <c r="Y282" s="27"/>
      <c r="Z282" s="27"/>
      <c r="AA282" s="25"/>
      <c r="AB282" s="27"/>
      <c r="AC282" s="30" t="str">
        <f aca="false">IF(M282="","",IF(AB282="",M282*Parámetros!$B$6,AB282))</f>
        <v/>
      </c>
      <c r="AD282" s="30" t="str">
        <f aca="false">IF(M282="","",SUM(T282:Z282)+AC282)</f>
        <v/>
      </c>
      <c r="AE282" s="30" t="str">
        <f aca="false">IF(OR(M282="",N282=""),"",M282-N282)</f>
        <v/>
      </c>
      <c r="AF282" s="30" t="str">
        <f aca="false">IF(AE282="","",AE282-AD282)</f>
        <v/>
      </c>
      <c r="AG282" s="28" t="str">
        <f aca="false">IF(OR(AF282="",M282=0),"",AF282/M282)</f>
        <v/>
      </c>
      <c r="AH282" s="32" t="str">
        <f aca="false">IF(OR(AE282="",N282=0),"",AE282/(N282/1000))</f>
        <v/>
      </c>
      <c r="AI282" s="30" t="str">
        <f aca="false">IF(O282="","",M282*P282)</f>
        <v/>
      </c>
      <c r="AJ282" s="11" t="str">
        <f aca="false">IF(O282="","",IF(O282&gt;1,"Error: rend &gt; 100 %",IF(SUM(T282:Z282)=0,"Falta registrar pérdidas",IF(ABS(AG282)&gt;Parámetros!$B$7,"Revisar balance",IF(O282&lt;P282,"Bajo meta","OK")))))</f>
        <v/>
      </c>
      <c r="AK282" s="33"/>
      <c r="AL282" s="10"/>
      <c r="AM282" s="33"/>
      <c r="AN282" s="33"/>
      <c r="AO282" s="10"/>
    </row>
    <row r="283" customFormat="false" ht="15" hidden="false" customHeight="false" outlineLevel="0" collapsed="false">
      <c r="A283" s="22"/>
      <c r="B283" s="23" t="str">
        <f aca="false">IF(A283="","",YEAR(A283-WEEKDAY(A283,2)+4))</f>
        <v/>
      </c>
      <c r="C283" s="23" t="str">
        <f aca="false">IF(A283="","",WEEKNUM(A283,21))</f>
        <v/>
      </c>
      <c r="D283" s="24" t="str">
        <f aca="false">IF(A283="","",DATE(YEAR(A283),MONTH(A283),1))</f>
        <v/>
      </c>
      <c r="E283" s="10"/>
      <c r="F283" s="25"/>
      <c r="G283" s="25"/>
      <c r="H283" s="10"/>
      <c r="I283" s="10"/>
      <c r="J283" s="26"/>
      <c r="K283" s="25"/>
      <c r="L283" s="26"/>
      <c r="M283" s="27"/>
      <c r="N283" s="27"/>
      <c r="O283" s="28" t="str">
        <f aca="false">IF(OR(M283="",M283=0,N283=""),"",N283/M283)</f>
        <v/>
      </c>
      <c r="P283" s="28" t="str">
        <f aca="false">IF(M283="","",IFERROR(IF(INDEX(Parámetros!$B$14:$B$21,MATCH(I283,Parámetros!$A$14:$A$21,0))="",Parámetros!$B$5,INDEX(Parámetros!$B$14:$B$21,MATCH(I283,Parámetros!$A$14:$A$21,0))),Parámetros!$B$5))</f>
        <v/>
      </c>
      <c r="Q283" s="29" t="str">
        <f aca="false">IF(O283="","",(O283-P283)*100)</f>
        <v/>
      </c>
      <c r="R283" s="30" t="str">
        <f aca="false">IF(O283="","",MAX(0,M283*(P283-O283)))</f>
        <v/>
      </c>
      <c r="S283" s="31" t="str">
        <f aca="false">IF(OR(L283="",L283=0,N283=""),"",N283/1000/L283)</f>
        <v/>
      </c>
      <c r="T283" s="27"/>
      <c r="U283" s="27"/>
      <c r="V283" s="27"/>
      <c r="W283" s="27"/>
      <c r="X283" s="27"/>
      <c r="Y283" s="27"/>
      <c r="Z283" s="27"/>
      <c r="AA283" s="25"/>
      <c r="AB283" s="27"/>
      <c r="AC283" s="30" t="str">
        <f aca="false">IF(M283="","",IF(AB283="",M283*Parámetros!$B$6,AB283))</f>
        <v/>
      </c>
      <c r="AD283" s="30" t="str">
        <f aca="false">IF(M283="","",SUM(T283:Z283)+AC283)</f>
        <v/>
      </c>
      <c r="AE283" s="30" t="str">
        <f aca="false">IF(OR(M283="",N283=""),"",M283-N283)</f>
        <v/>
      </c>
      <c r="AF283" s="30" t="str">
        <f aca="false">IF(AE283="","",AE283-AD283)</f>
        <v/>
      </c>
      <c r="AG283" s="28" t="str">
        <f aca="false">IF(OR(AF283="",M283=0),"",AF283/M283)</f>
        <v/>
      </c>
      <c r="AH283" s="32" t="str">
        <f aca="false">IF(OR(AE283="",N283=0),"",AE283/(N283/1000))</f>
        <v/>
      </c>
      <c r="AI283" s="30" t="str">
        <f aca="false">IF(O283="","",M283*P283)</f>
        <v/>
      </c>
      <c r="AJ283" s="11" t="str">
        <f aca="false">IF(O283="","",IF(O283&gt;1,"Error: rend &gt; 100 %",IF(SUM(T283:Z283)=0,"Falta registrar pérdidas",IF(ABS(AG283)&gt;Parámetros!$B$7,"Revisar balance",IF(O283&lt;P283,"Bajo meta","OK")))))</f>
        <v/>
      </c>
      <c r="AK283" s="33"/>
      <c r="AL283" s="10"/>
      <c r="AM283" s="33"/>
      <c r="AN283" s="33"/>
      <c r="AO283" s="10"/>
    </row>
    <row r="284" customFormat="false" ht="15" hidden="false" customHeight="false" outlineLevel="0" collapsed="false">
      <c r="A284" s="22"/>
      <c r="B284" s="23" t="str">
        <f aca="false">IF(A284="","",YEAR(A284-WEEKDAY(A284,2)+4))</f>
        <v/>
      </c>
      <c r="C284" s="23" t="str">
        <f aca="false">IF(A284="","",WEEKNUM(A284,21))</f>
        <v/>
      </c>
      <c r="D284" s="24" t="str">
        <f aca="false">IF(A284="","",DATE(YEAR(A284),MONTH(A284),1))</f>
        <v/>
      </c>
      <c r="E284" s="10"/>
      <c r="F284" s="25"/>
      <c r="G284" s="25"/>
      <c r="H284" s="10"/>
      <c r="I284" s="10"/>
      <c r="J284" s="26"/>
      <c r="K284" s="25"/>
      <c r="L284" s="26"/>
      <c r="M284" s="27"/>
      <c r="N284" s="27"/>
      <c r="O284" s="28" t="str">
        <f aca="false">IF(OR(M284="",M284=0,N284=""),"",N284/M284)</f>
        <v/>
      </c>
      <c r="P284" s="28" t="str">
        <f aca="false">IF(M284="","",IFERROR(IF(INDEX(Parámetros!$B$14:$B$21,MATCH(I284,Parámetros!$A$14:$A$21,0))="",Parámetros!$B$5,INDEX(Parámetros!$B$14:$B$21,MATCH(I284,Parámetros!$A$14:$A$21,0))),Parámetros!$B$5))</f>
        <v/>
      </c>
      <c r="Q284" s="29" t="str">
        <f aca="false">IF(O284="","",(O284-P284)*100)</f>
        <v/>
      </c>
      <c r="R284" s="30" t="str">
        <f aca="false">IF(O284="","",MAX(0,M284*(P284-O284)))</f>
        <v/>
      </c>
      <c r="S284" s="31" t="str">
        <f aca="false">IF(OR(L284="",L284=0,N284=""),"",N284/1000/L284)</f>
        <v/>
      </c>
      <c r="T284" s="27"/>
      <c r="U284" s="27"/>
      <c r="V284" s="27"/>
      <c r="W284" s="27"/>
      <c r="X284" s="27"/>
      <c r="Y284" s="27"/>
      <c r="Z284" s="27"/>
      <c r="AA284" s="25"/>
      <c r="AB284" s="27"/>
      <c r="AC284" s="30" t="str">
        <f aca="false">IF(M284="","",IF(AB284="",M284*Parámetros!$B$6,AB284))</f>
        <v/>
      </c>
      <c r="AD284" s="30" t="str">
        <f aca="false">IF(M284="","",SUM(T284:Z284)+AC284)</f>
        <v/>
      </c>
      <c r="AE284" s="30" t="str">
        <f aca="false">IF(OR(M284="",N284=""),"",M284-N284)</f>
        <v/>
      </c>
      <c r="AF284" s="30" t="str">
        <f aca="false">IF(AE284="","",AE284-AD284)</f>
        <v/>
      </c>
      <c r="AG284" s="28" t="str">
        <f aca="false">IF(OR(AF284="",M284=0),"",AF284/M284)</f>
        <v/>
      </c>
      <c r="AH284" s="32" t="str">
        <f aca="false">IF(OR(AE284="",N284=0),"",AE284/(N284/1000))</f>
        <v/>
      </c>
      <c r="AI284" s="30" t="str">
        <f aca="false">IF(O284="","",M284*P284)</f>
        <v/>
      </c>
      <c r="AJ284" s="11" t="str">
        <f aca="false">IF(O284="","",IF(O284&gt;1,"Error: rend &gt; 100 %",IF(SUM(T284:Z284)=0,"Falta registrar pérdidas",IF(ABS(AG284)&gt;Parámetros!$B$7,"Revisar balance",IF(O284&lt;P284,"Bajo meta","OK")))))</f>
        <v/>
      </c>
      <c r="AK284" s="33"/>
      <c r="AL284" s="10"/>
      <c r="AM284" s="33"/>
      <c r="AN284" s="33"/>
      <c r="AO284" s="10"/>
    </row>
    <row r="285" customFormat="false" ht="15" hidden="false" customHeight="false" outlineLevel="0" collapsed="false">
      <c r="A285" s="22"/>
      <c r="B285" s="23" t="str">
        <f aca="false">IF(A285="","",YEAR(A285-WEEKDAY(A285,2)+4))</f>
        <v/>
      </c>
      <c r="C285" s="23" t="str">
        <f aca="false">IF(A285="","",WEEKNUM(A285,21))</f>
        <v/>
      </c>
      <c r="D285" s="24" t="str">
        <f aca="false">IF(A285="","",DATE(YEAR(A285),MONTH(A285),1))</f>
        <v/>
      </c>
      <c r="E285" s="10"/>
      <c r="F285" s="25"/>
      <c r="G285" s="25"/>
      <c r="H285" s="10"/>
      <c r="I285" s="10"/>
      <c r="J285" s="26"/>
      <c r="K285" s="25"/>
      <c r="L285" s="26"/>
      <c r="M285" s="27"/>
      <c r="N285" s="27"/>
      <c r="O285" s="28" t="str">
        <f aca="false">IF(OR(M285="",M285=0,N285=""),"",N285/M285)</f>
        <v/>
      </c>
      <c r="P285" s="28" t="str">
        <f aca="false">IF(M285="","",IFERROR(IF(INDEX(Parámetros!$B$14:$B$21,MATCH(I285,Parámetros!$A$14:$A$21,0))="",Parámetros!$B$5,INDEX(Parámetros!$B$14:$B$21,MATCH(I285,Parámetros!$A$14:$A$21,0))),Parámetros!$B$5))</f>
        <v/>
      </c>
      <c r="Q285" s="29" t="str">
        <f aca="false">IF(O285="","",(O285-P285)*100)</f>
        <v/>
      </c>
      <c r="R285" s="30" t="str">
        <f aca="false">IF(O285="","",MAX(0,M285*(P285-O285)))</f>
        <v/>
      </c>
      <c r="S285" s="31" t="str">
        <f aca="false">IF(OR(L285="",L285=0,N285=""),"",N285/1000/L285)</f>
        <v/>
      </c>
      <c r="T285" s="27"/>
      <c r="U285" s="27"/>
      <c r="V285" s="27"/>
      <c r="W285" s="27"/>
      <c r="X285" s="27"/>
      <c r="Y285" s="27"/>
      <c r="Z285" s="27"/>
      <c r="AA285" s="25"/>
      <c r="AB285" s="27"/>
      <c r="AC285" s="30" t="str">
        <f aca="false">IF(M285="","",IF(AB285="",M285*Parámetros!$B$6,AB285))</f>
        <v/>
      </c>
      <c r="AD285" s="30" t="str">
        <f aca="false">IF(M285="","",SUM(T285:Z285)+AC285)</f>
        <v/>
      </c>
      <c r="AE285" s="30" t="str">
        <f aca="false">IF(OR(M285="",N285=""),"",M285-N285)</f>
        <v/>
      </c>
      <c r="AF285" s="30" t="str">
        <f aca="false">IF(AE285="","",AE285-AD285)</f>
        <v/>
      </c>
      <c r="AG285" s="28" t="str">
        <f aca="false">IF(OR(AF285="",M285=0),"",AF285/M285)</f>
        <v/>
      </c>
      <c r="AH285" s="32" t="str">
        <f aca="false">IF(OR(AE285="",N285=0),"",AE285/(N285/1000))</f>
        <v/>
      </c>
      <c r="AI285" s="30" t="str">
        <f aca="false">IF(O285="","",M285*P285)</f>
        <v/>
      </c>
      <c r="AJ285" s="11" t="str">
        <f aca="false">IF(O285="","",IF(O285&gt;1,"Error: rend &gt; 100 %",IF(SUM(T285:Z285)=0,"Falta registrar pérdidas",IF(ABS(AG285)&gt;Parámetros!$B$7,"Revisar balance",IF(O285&lt;P285,"Bajo meta","OK")))))</f>
        <v/>
      </c>
      <c r="AK285" s="33"/>
      <c r="AL285" s="10"/>
      <c r="AM285" s="33"/>
      <c r="AN285" s="33"/>
      <c r="AO285" s="10"/>
    </row>
    <row r="286" customFormat="false" ht="15" hidden="false" customHeight="false" outlineLevel="0" collapsed="false">
      <c r="A286" s="22"/>
      <c r="B286" s="23" t="str">
        <f aca="false">IF(A286="","",YEAR(A286-WEEKDAY(A286,2)+4))</f>
        <v/>
      </c>
      <c r="C286" s="23" t="str">
        <f aca="false">IF(A286="","",WEEKNUM(A286,21))</f>
        <v/>
      </c>
      <c r="D286" s="24" t="str">
        <f aca="false">IF(A286="","",DATE(YEAR(A286),MONTH(A286),1))</f>
        <v/>
      </c>
      <c r="E286" s="10"/>
      <c r="F286" s="25"/>
      <c r="G286" s="25"/>
      <c r="H286" s="10"/>
      <c r="I286" s="10"/>
      <c r="J286" s="26"/>
      <c r="K286" s="25"/>
      <c r="L286" s="26"/>
      <c r="M286" s="27"/>
      <c r="N286" s="27"/>
      <c r="O286" s="28" t="str">
        <f aca="false">IF(OR(M286="",M286=0,N286=""),"",N286/M286)</f>
        <v/>
      </c>
      <c r="P286" s="28" t="str">
        <f aca="false">IF(M286="","",IFERROR(IF(INDEX(Parámetros!$B$14:$B$21,MATCH(I286,Parámetros!$A$14:$A$21,0))="",Parámetros!$B$5,INDEX(Parámetros!$B$14:$B$21,MATCH(I286,Parámetros!$A$14:$A$21,0))),Parámetros!$B$5))</f>
        <v/>
      </c>
      <c r="Q286" s="29" t="str">
        <f aca="false">IF(O286="","",(O286-P286)*100)</f>
        <v/>
      </c>
      <c r="R286" s="30" t="str">
        <f aca="false">IF(O286="","",MAX(0,M286*(P286-O286)))</f>
        <v/>
      </c>
      <c r="S286" s="31" t="str">
        <f aca="false">IF(OR(L286="",L286=0,N286=""),"",N286/1000/L286)</f>
        <v/>
      </c>
      <c r="T286" s="27"/>
      <c r="U286" s="27"/>
      <c r="V286" s="27"/>
      <c r="W286" s="27"/>
      <c r="X286" s="27"/>
      <c r="Y286" s="27"/>
      <c r="Z286" s="27"/>
      <c r="AA286" s="25"/>
      <c r="AB286" s="27"/>
      <c r="AC286" s="30" t="str">
        <f aca="false">IF(M286="","",IF(AB286="",M286*Parámetros!$B$6,AB286))</f>
        <v/>
      </c>
      <c r="AD286" s="30" t="str">
        <f aca="false">IF(M286="","",SUM(T286:Z286)+AC286)</f>
        <v/>
      </c>
      <c r="AE286" s="30" t="str">
        <f aca="false">IF(OR(M286="",N286=""),"",M286-N286)</f>
        <v/>
      </c>
      <c r="AF286" s="30" t="str">
        <f aca="false">IF(AE286="","",AE286-AD286)</f>
        <v/>
      </c>
      <c r="AG286" s="28" t="str">
        <f aca="false">IF(OR(AF286="",M286=0),"",AF286/M286)</f>
        <v/>
      </c>
      <c r="AH286" s="32" t="str">
        <f aca="false">IF(OR(AE286="",N286=0),"",AE286/(N286/1000))</f>
        <v/>
      </c>
      <c r="AI286" s="30" t="str">
        <f aca="false">IF(O286="","",M286*P286)</f>
        <v/>
      </c>
      <c r="AJ286" s="11" t="str">
        <f aca="false">IF(O286="","",IF(O286&gt;1,"Error: rend &gt; 100 %",IF(SUM(T286:Z286)=0,"Falta registrar pérdidas",IF(ABS(AG286)&gt;Parámetros!$B$7,"Revisar balance",IF(O286&lt;P286,"Bajo meta","OK")))))</f>
        <v/>
      </c>
      <c r="AK286" s="33"/>
      <c r="AL286" s="10"/>
      <c r="AM286" s="33"/>
      <c r="AN286" s="33"/>
      <c r="AO286" s="10"/>
    </row>
    <row r="287" customFormat="false" ht="15" hidden="false" customHeight="false" outlineLevel="0" collapsed="false">
      <c r="A287" s="22"/>
      <c r="B287" s="23" t="str">
        <f aca="false">IF(A287="","",YEAR(A287-WEEKDAY(A287,2)+4))</f>
        <v/>
      </c>
      <c r="C287" s="23" t="str">
        <f aca="false">IF(A287="","",WEEKNUM(A287,21))</f>
        <v/>
      </c>
      <c r="D287" s="24" t="str">
        <f aca="false">IF(A287="","",DATE(YEAR(A287),MONTH(A287),1))</f>
        <v/>
      </c>
      <c r="E287" s="10"/>
      <c r="F287" s="25"/>
      <c r="G287" s="25"/>
      <c r="H287" s="10"/>
      <c r="I287" s="10"/>
      <c r="J287" s="26"/>
      <c r="K287" s="25"/>
      <c r="L287" s="26"/>
      <c r="M287" s="27"/>
      <c r="N287" s="27"/>
      <c r="O287" s="28" t="str">
        <f aca="false">IF(OR(M287="",M287=0,N287=""),"",N287/M287)</f>
        <v/>
      </c>
      <c r="P287" s="28" t="str">
        <f aca="false">IF(M287="","",IFERROR(IF(INDEX(Parámetros!$B$14:$B$21,MATCH(I287,Parámetros!$A$14:$A$21,0))="",Parámetros!$B$5,INDEX(Parámetros!$B$14:$B$21,MATCH(I287,Parámetros!$A$14:$A$21,0))),Parámetros!$B$5))</f>
        <v/>
      </c>
      <c r="Q287" s="29" t="str">
        <f aca="false">IF(O287="","",(O287-P287)*100)</f>
        <v/>
      </c>
      <c r="R287" s="30" t="str">
        <f aca="false">IF(O287="","",MAX(0,M287*(P287-O287)))</f>
        <v/>
      </c>
      <c r="S287" s="31" t="str">
        <f aca="false">IF(OR(L287="",L287=0,N287=""),"",N287/1000/L287)</f>
        <v/>
      </c>
      <c r="T287" s="27"/>
      <c r="U287" s="27"/>
      <c r="V287" s="27"/>
      <c r="W287" s="27"/>
      <c r="X287" s="27"/>
      <c r="Y287" s="27"/>
      <c r="Z287" s="27"/>
      <c r="AA287" s="25"/>
      <c r="AB287" s="27"/>
      <c r="AC287" s="30" t="str">
        <f aca="false">IF(M287="","",IF(AB287="",M287*Parámetros!$B$6,AB287))</f>
        <v/>
      </c>
      <c r="AD287" s="30" t="str">
        <f aca="false">IF(M287="","",SUM(T287:Z287)+AC287)</f>
        <v/>
      </c>
      <c r="AE287" s="30" t="str">
        <f aca="false">IF(OR(M287="",N287=""),"",M287-N287)</f>
        <v/>
      </c>
      <c r="AF287" s="30" t="str">
        <f aca="false">IF(AE287="","",AE287-AD287)</f>
        <v/>
      </c>
      <c r="AG287" s="28" t="str">
        <f aca="false">IF(OR(AF287="",M287=0),"",AF287/M287)</f>
        <v/>
      </c>
      <c r="AH287" s="32" t="str">
        <f aca="false">IF(OR(AE287="",N287=0),"",AE287/(N287/1000))</f>
        <v/>
      </c>
      <c r="AI287" s="30" t="str">
        <f aca="false">IF(O287="","",M287*P287)</f>
        <v/>
      </c>
      <c r="AJ287" s="11" t="str">
        <f aca="false">IF(O287="","",IF(O287&gt;1,"Error: rend &gt; 100 %",IF(SUM(T287:Z287)=0,"Falta registrar pérdidas",IF(ABS(AG287)&gt;Parámetros!$B$7,"Revisar balance",IF(O287&lt;P287,"Bajo meta","OK")))))</f>
        <v/>
      </c>
      <c r="AK287" s="33"/>
      <c r="AL287" s="10"/>
      <c r="AM287" s="33"/>
      <c r="AN287" s="33"/>
      <c r="AO287" s="10"/>
    </row>
    <row r="288" customFormat="false" ht="15" hidden="false" customHeight="false" outlineLevel="0" collapsed="false">
      <c r="A288" s="22"/>
      <c r="B288" s="23" t="str">
        <f aca="false">IF(A288="","",YEAR(A288-WEEKDAY(A288,2)+4))</f>
        <v/>
      </c>
      <c r="C288" s="23" t="str">
        <f aca="false">IF(A288="","",WEEKNUM(A288,21))</f>
        <v/>
      </c>
      <c r="D288" s="24" t="str">
        <f aca="false">IF(A288="","",DATE(YEAR(A288),MONTH(A288),1))</f>
        <v/>
      </c>
      <c r="E288" s="10"/>
      <c r="F288" s="25"/>
      <c r="G288" s="25"/>
      <c r="H288" s="10"/>
      <c r="I288" s="10"/>
      <c r="J288" s="26"/>
      <c r="K288" s="25"/>
      <c r="L288" s="26"/>
      <c r="M288" s="27"/>
      <c r="N288" s="27"/>
      <c r="O288" s="28" t="str">
        <f aca="false">IF(OR(M288="",M288=0,N288=""),"",N288/M288)</f>
        <v/>
      </c>
      <c r="P288" s="28" t="str">
        <f aca="false">IF(M288="","",IFERROR(IF(INDEX(Parámetros!$B$14:$B$21,MATCH(I288,Parámetros!$A$14:$A$21,0))="",Parámetros!$B$5,INDEX(Parámetros!$B$14:$B$21,MATCH(I288,Parámetros!$A$14:$A$21,0))),Parámetros!$B$5))</f>
        <v/>
      </c>
      <c r="Q288" s="29" t="str">
        <f aca="false">IF(O288="","",(O288-P288)*100)</f>
        <v/>
      </c>
      <c r="R288" s="30" t="str">
        <f aca="false">IF(O288="","",MAX(0,M288*(P288-O288)))</f>
        <v/>
      </c>
      <c r="S288" s="31" t="str">
        <f aca="false">IF(OR(L288="",L288=0,N288=""),"",N288/1000/L288)</f>
        <v/>
      </c>
      <c r="T288" s="27"/>
      <c r="U288" s="27"/>
      <c r="V288" s="27"/>
      <c r="W288" s="27"/>
      <c r="X288" s="27"/>
      <c r="Y288" s="27"/>
      <c r="Z288" s="27"/>
      <c r="AA288" s="25"/>
      <c r="AB288" s="27"/>
      <c r="AC288" s="30" t="str">
        <f aca="false">IF(M288="","",IF(AB288="",M288*Parámetros!$B$6,AB288))</f>
        <v/>
      </c>
      <c r="AD288" s="30" t="str">
        <f aca="false">IF(M288="","",SUM(T288:Z288)+AC288)</f>
        <v/>
      </c>
      <c r="AE288" s="30" t="str">
        <f aca="false">IF(OR(M288="",N288=""),"",M288-N288)</f>
        <v/>
      </c>
      <c r="AF288" s="30" t="str">
        <f aca="false">IF(AE288="","",AE288-AD288)</f>
        <v/>
      </c>
      <c r="AG288" s="28" t="str">
        <f aca="false">IF(OR(AF288="",M288=0),"",AF288/M288)</f>
        <v/>
      </c>
      <c r="AH288" s="32" t="str">
        <f aca="false">IF(OR(AE288="",N288=0),"",AE288/(N288/1000))</f>
        <v/>
      </c>
      <c r="AI288" s="30" t="str">
        <f aca="false">IF(O288="","",M288*P288)</f>
        <v/>
      </c>
      <c r="AJ288" s="11" t="str">
        <f aca="false">IF(O288="","",IF(O288&gt;1,"Error: rend &gt; 100 %",IF(SUM(T288:Z288)=0,"Falta registrar pérdidas",IF(ABS(AG288)&gt;Parámetros!$B$7,"Revisar balance",IF(O288&lt;P288,"Bajo meta","OK")))))</f>
        <v/>
      </c>
      <c r="AK288" s="33"/>
      <c r="AL288" s="10"/>
      <c r="AM288" s="33"/>
      <c r="AN288" s="33"/>
      <c r="AO288" s="10"/>
    </row>
    <row r="289" customFormat="false" ht="15" hidden="false" customHeight="false" outlineLevel="0" collapsed="false">
      <c r="A289" s="22"/>
      <c r="B289" s="23" t="str">
        <f aca="false">IF(A289="","",YEAR(A289-WEEKDAY(A289,2)+4))</f>
        <v/>
      </c>
      <c r="C289" s="23" t="str">
        <f aca="false">IF(A289="","",WEEKNUM(A289,21))</f>
        <v/>
      </c>
      <c r="D289" s="24" t="str">
        <f aca="false">IF(A289="","",DATE(YEAR(A289),MONTH(A289),1))</f>
        <v/>
      </c>
      <c r="E289" s="10"/>
      <c r="F289" s="25"/>
      <c r="G289" s="25"/>
      <c r="H289" s="10"/>
      <c r="I289" s="10"/>
      <c r="J289" s="26"/>
      <c r="K289" s="25"/>
      <c r="L289" s="26"/>
      <c r="M289" s="27"/>
      <c r="N289" s="27"/>
      <c r="O289" s="28" t="str">
        <f aca="false">IF(OR(M289="",M289=0,N289=""),"",N289/M289)</f>
        <v/>
      </c>
      <c r="P289" s="28" t="str">
        <f aca="false">IF(M289="","",IFERROR(IF(INDEX(Parámetros!$B$14:$B$21,MATCH(I289,Parámetros!$A$14:$A$21,0))="",Parámetros!$B$5,INDEX(Parámetros!$B$14:$B$21,MATCH(I289,Parámetros!$A$14:$A$21,0))),Parámetros!$B$5))</f>
        <v/>
      </c>
      <c r="Q289" s="29" t="str">
        <f aca="false">IF(O289="","",(O289-P289)*100)</f>
        <v/>
      </c>
      <c r="R289" s="30" t="str">
        <f aca="false">IF(O289="","",MAX(0,M289*(P289-O289)))</f>
        <v/>
      </c>
      <c r="S289" s="31" t="str">
        <f aca="false">IF(OR(L289="",L289=0,N289=""),"",N289/1000/L289)</f>
        <v/>
      </c>
      <c r="T289" s="27"/>
      <c r="U289" s="27"/>
      <c r="V289" s="27"/>
      <c r="W289" s="27"/>
      <c r="X289" s="27"/>
      <c r="Y289" s="27"/>
      <c r="Z289" s="27"/>
      <c r="AA289" s="25"/>
      <c r="AB289" s="27"/>
      <c r="AC289" s="30" t="str">
        <f aca="false">IF(M289="","",IF(AB289="",M289*Parámetros!$B$6,AB289))</f>
        <v/>
      </c>
      <c r="AD289" s="30" t="str">
        <f aca="false">IF(M289="","",SUM(T289:Z289)+AC289)</f>
        <v/>
      </c>
      <c r="AE289" s="30" t="str">
        <f aca="false">IF(OR(M289="",N289=""),"",M289-N289)</f>
        <v/>
      </c>
      <c r="AF289" s="30" t="str">
        <f aca="false">IF(AE289="","",AE289-AD289)</f>
        <v/>
      </c>
      <c r="AG289" s="28" t="str">
        <f aca="false">IF(OR(AF289="",M289=0),"",AF289/M289)</f>
        <v/>
      </c>
      <c r="AH289" s="32" t="str">
        <f aca="false">IF(OR(AE289="",N289=0),"",AE289/(N289/1000))</f>
        <v/>
      </c>
      <c r="AI289" s="30" t="str">
        <f aca="false">IF(O289="","",M289*P289)</f>
        <v/>
      </c>
      <c r="AJ289" s="11" t="str">
        <f aca="false">IF(O289="","",IF(O289&gt;1,"Error: rend &gt; 100 %",IF(SUM(T289:Z289)=0,"Falta registrar pérdidas",IF(ABS(AG289)&gt;Parámetros!$B$7,"Revisar balance",IF(O289&lt;P289,"Bajo meta","OK")))))</f>
        <v/>
      </c>
      <c r="AK289" s="33"/>
      <c r="AL289" s="10"/>
      <c r="AM289" s="33"/>
      <c r="AN289" s="33"/>
      <c r="AO289" s="10"/>
    </row>
    <row r="290" customFormat="false" ht="15" hidden="false" customHeight="false" outlineLevel="0" collapsed="false">
      <c r="A290" s="22"/>
      <c r="B290" s="23" t="str">
        <f aca="false">IF(A290="","",YEAR(A290-WEEKDAY(A290,2)+4))</f>
        <v/>
      </c>
      <c r="C290" s="23" t="str">
        <f aca="false">IF(A290="","",WEEKNUM(A290,21))</f>
        <v/>
      </c>
      <c r="D290" s="24" t="str">
        <f aca="false">IF(A290="","",DATE(YEAR(A290),MONTH(A290),1))</f>
        <v/>
      </c>
      <c r="E290" s="10"/>
      <c r="F290" s="25"/>
      <c r="G290" s="25"/>
      <c r="H290" s="10"/>
      <c r="I290" s="10"/>
      <c r="J290" s="26"/>
      <c r="K290" s="25"/>
      <c r="L290" s="26"/>
      <c r="M290" s="27"/>
      <c r="N290" s="27"/>
      <c r="O290" s="28" t="str">
        <f aca="false">IF(OR(M290="",M290=0,N290=""),"",N290/M290)</f>
        <v/>
      </c>
      <c r="P290" s="28" t="str">
        <f aca="false">IF(M290="","",IFERROR(IF(INDEX(Parámetros!$B$14:$B$21,MATCH(I290,Parámetros!$A$14:$A$21,0))="",Parámetros!$B$5,INDEX(Parámetros!$B$14:$B$21,MATCH(I290,Parámetros!$A$14:$A$21,0))),Parámetros!$B$5))</f>
        <v/>
      </c>
      <c r="Q290" s="29" t="str">
        <f aca="false">IF(O290="","",(O290-P290)*100)</f>
        <v/>
      </c>
      <c r="R290" s="30" t="str">
        <f aca="false">IF(O290="","",MAX(0,M290*(P290-O290)))</f>
        <v/>
      </c>
      <c r="S290" s="31" t="str">
        <f aca="false">IF(OR(L290="",L290=0,N290=""),"",N290/1000/L290)</f>
        <v/>
      </c>
      <c r="T290" s="27"/>
      <c r="U290" s="27"/>
      <c r="V290" s="27"/>
      <c r="W290" s="27"/>
      <c r="X290" s="27"/>
      <c r="Y290" s="27"/>
      <c r="Z290" s="27"/>
      <c r="AA290" s="25"/>
      <c r="AB290" s="27"/>
      <c r="AC290" s="30" t="str">
        <f aca="false">IF(M290="","",IF(AB290="",M290*Parámetros!$B$6,AB290))</f>
        <v/>
      </c>
      <c r="AD290" s="30" t="str">
        <f aca="false">IF(M290="","",SUM(T290:Z290)+AC290)</f>
        <v/>
      </c>
      <c r="AE290" s="30" t="str">
        <f aca="false">IF(OR(M290="",N290=""),"",M290-N290)</f>
        <v/>
      </c>
      <c r="AF290" s="30" t="str">
        <f aca="false">IF(AE290="","",AE290-AD290)</f>
        <v/>
      </c>
      <c r="AG290" s="28" t="str">
        <f aca="false">IF(OR(AF290="",M290=0),"",AF290/M290)</f>
        <v/>
      </c>
      <c r="AH290" s="32" t="str">
        <f aca="false">IF(OR(AE290="",N290=0),"",AE290/(N290/1000))</f>
        <v/>
      </c>
      <c r="AI290" s="30" t="str">
        <f aca="false">IF(O290="","",M290*P290)</f>
        <v/>
      </c>
      <c r="AJ290" s="11" t="str">
        <f aca="false">IF(O290="","",IF(O290&gt;1,"Error: rend &gt; 100 %",IF(SUM(T290:Z290)=0,"Falta registrar pérdidas",IF(ABS(AG290)&gt;Parámetros!$B$7,"Revisar balance",IF(O290&lt;P290,"Bajo meta","OK")))))</f>
        <v/>
      </c>
      <c r="AK290" s="33"/>
      <c r="AL290" s="10"/>
      <c r="AM290" s="33"/>
      <c r="AN290" s="33"/>
      <c r="AO290" s="10"/>
    </row>
    <row r="291" customFormat="false" ht="15" hidden="false" customHeight="false" outlineLevel="0" collapsed="false">
      <c r="A291" s="22"/>
      <c r="B291" s="23" t="str">
        <f aca="false">IF(A291="","",YEAR(A291-WEEKDAY(A291,2)+4))</f>
        <v/>
      </c>
      <c r="C291" s="23" t="str">
        <f aca="false">IF(A291="","",WEEKNUM(A291,21))</f>
        <v/>
      </c>
      <c r="D291" s="24" t="str">
        <f aca="false">IF(A291="","",DATE(YEAR(A291),MONTH(A291),1))</f>
        <v/>
      </c>
      <c r="E291" s="10"/>
      <c r="F291" s="25"/>
      <c r="G291" s="25"/>
      <c r="H291" s="10"/>
      <c r="I291" s="10"/>
      <c r="J291" s="26"/>
      <c r="K291" s="25"/>
      <c r="L291" s="26"/>
      <c r="M291" s="27"/>
      <c r="N291" s="27"/>
      <c r="O291" s="28" t="str">
        <f aca="false">IF(OR(M291="",M291=0,N291=""),"",N291/M291)</f>
        <v/>
      </c>
      <c r="P291" s="28" t="str">
        <f aca="false">IF(M291="","",IFERROR(IF(INDEX(Parámetros!$B$14:$B$21,MATCH(I291,Parámetros!$A$14:$A$21,0))="",Parámetros!$B$5,INDEX(Parámetros!$B$14:$B$21,MATCH(I291,Parámetros!$A$14:$A$21,0))),Parámetros!$B$5))</f>
        <v/>
      </c>
      <c r="Q291" s="29" t="str">
        <f aca="false">IF(O291="","",(O291-P291)*100)</f>
        <v/>
      </c>
      <c r="R291" s="30" t="str">
        <f aca="false">IF(O291="","",MAX(0,M291*(P291-O291)))</f>
        <v/>
      </c>
      <c r="S291" s="31" t="str">
        <f aca="false">IF(OR(L291="",L291=0,N291=""),"",N291/1000/L291)</f>
        <v/>
      </c>
      <c r="T291" s="27"/>
      <c r="U291" s="27"/>
      <c r="V291" s="27"/>
      <c r="W291" s="27"/>
      <c r="X291" s="27"/>
      <c r="Y291" s="27"/>
      <c r="Z291" s="27"/>
      <c r="AA291" s="25"/>
      <c r="AB291" s="27"/>
      <c r="AC291" s="30" t="str">
        <f aca="false">IF(M291="","",IF(AB291="",M291*Parámetros!$B$6,AB291))</f>
        <v/>
      </c>
      <c r="AD291" s="30" t="str">
        <f aca="false">IF(M291="","",SUM(T291:Z291)+AC291)</f>
        <v/>
      </c>
      <c r="AE291" s="30" t="str">
        <f aca="false">IF(OR(M291="",N291=""),"",M291-N291)</f>
        <v/>
      </c>
      <c r="AF291" s="30" t="str">
        <f aca="false">IF(AE291="","",AE291-AD291)</f>
        <v/>
      </c>
      <c r="AG291" s="28" t="str">
        <f aca="false">IF(OR(AF291="",M291=0),"",AF291/M291)</f>
        <v/>
      </c>
      <c r="AH291" s="32" t="str">
        <f aca="false">IF(OR(AE291="",N291=0),"",AE291/(N291/1000))</f>
        <v/>
      </c>
      <c r="AI291" s="30" t="str">
        <f aca="false">IF(O291="","",M291*P291)</f>
        <v/>
      </c>
      <c r="AJ291" s="11" t="str">
        <f aca="false">IF(O291="","",IF(O291&gt;1,"Error: rend &gt; 100 %",IF(SUM(T291:Z291)=0,"Falta registrar pérdidas",IF(ABS(AG291)&gt;Parámetros!$B$7,"Revisar balance",IF(O291&lt;P291,"Bajo meta","OK")))))</f>
        <v/>
      </c>
      <c r="AK291" s="33"/>
      <c r="AL291" s="10"/>
      <c r="AM291" s="33"/>
      <c r="AN291" s="33"/>
      <c r="AO291" s="10"/>
    </row>
    <row r="292" customFormat="false" ht="15" hidden="false" customHeight="false" outlineLevel="0" collapsed="false">
      <c r="A292" s="22"/>
      <c r="B292" s="23" t="str">
        <f aca="false">IF(A292="","",YEAR(A292-WEEKDAY(A292,2)+4))</f>
        <v/>
      </c>
      <c r="C292" s="23" t="str">
        <f aca="false">IF(A292="","",WEEKNUM(A292,21))</f>
        <v/>
      </c>
      <c r="D292" s="24" t="str">
        <f aca="false">IF(A292="","",DATE(YEAR(A292),MONTH(A292),1))</f>
        <v/>
      </c>
      <c r="E292" s="10"/>
      <c r="F292" s="25"/>
      <c r="G292" s="25"/>
      <c r="H292" s="10"/>
      <c r="I292" s="10"/>
      <c r="J292" s="26"/>
      <c r="K292" s="25"/>
      <c r="L292" s="26"/>
      <c r="M292" s="27"/>
      <c r="N292" s="27"/>
      <c r="O292" s="28" t="str">
        <f aca="false">IF(OR(M292="",M292=0,N292=""),"",N292/M292)</f>
        <v/>
      </c>
      <c r="P292" s="28" t="str">
        <f aca="false">IF(M292="","",IFERROR(IF(INDEX(Parámetros!$B$14:$B$21,MATCH(I292,Parámetros!$A$14:$A$21,0))="",Parámetros!$B$5,INDEX(Parámetros!$B$14:$B$21,MATCH(I292,Parámetros!$A$14:$A$21,0))),Parámetros!$B$5))</f>
        <v/>
      </c>
      <c r="Q292" s="29" t="str">
        <f aca="false">IF(O292="","",(O292-P292)*100)</f>
        <v/>
      </c>
      <c r="R292" s="30" t="str">
        <f aca="false">IF(O292="","",MAX(0,M292*(P292-O292)))</f>
        <v/>
      </c>
      <c r="S292" s="31" t="str">
        <f aca="false">IF(OR(L292="",L292=0,N292=""),"",N292/1000/L292)</f>
        <v/>
      </c>
      <c r="T292" s="27"/>
      <c r="U292" s="27"/>
      <c r="V292" s="27"/>
      <c r="W292" s="27"/>
      <c r="X292" s="27"/>
      <c r="Y292" s="27"/>
      <c r="Z292" s="27"/>
      <c r="AA292" s="25"/>
      <c r="AB292" s="27"/>
      <c r="AC292" s="30" t="str">
        <f aca="false">IF(M292="","",IF(AB292="",M292*Parámetros!$B$6,AB292))</f>
        <v/>
      </c>
      <c r="AD292" s="30" t="str">
        <f aca="false">IF(M292="","",SUM(T292:Z292)+AC292)</f>
        <v/>
      </c>
      <c r="AE292" s="30" t="str">
        <f aca="false">IF(OR(M292="",N292=""),"",M292-N292)</f>
        <v/>
      </c>
      <c r="AF292" s="30" t="str">
        <f aca="false">IF(AE292="","",AE292-AD292)</f>
        <v/>
      </c>
      <c r="AG292" s="28" t="str">
        <f aca="false">IF(OR(AF292="",M292=0),"",AF292/M292)</f>
        <v/>
      </c>
      <c r="AH292" s="32" t="str">
        <f aca="false">IF(OR(AE292="",N292=0),"",AE292/(N292/1000))</f>
        <v/>
      </c>
      <c r="AI292" s="30" t="str">
        <f aca="false">IF(O292="","",M292*P292)</f>
        <v/>
      </c>
      <c r="AJ292" s="11" t="str">
        <f aca="false">IF(O292="","",IF(O292&gt;1,"Error: rend &gt; 100 %",IF(SUM(T292:Z292)=0,"Falta registrar pérdidas",IF(ABS(AG292)&gt;Parámetros!$B$7,"Revisar balance",IF(O292&lt;P292,"Bajo meta","OK")))))</f>
        <v/>
      </c>
      <c r="AK292" s="33"/>
      <c r="AL292" s="10"/>
      <c r="AM292" s="33"/>
      <c r="AN292" s="33"/>
      <c r="AO292" s="10"/>
    </row>
    <row r="293" customFormat="false" ht="15" hidden="false" customHeight="false" outlineLevel="0" collapsed="false">
      <c r="A293" s="22"/>
      <c r="B293" s="23" t="str">
        <f aca="false">IF(A293="","",YEAR(A293-WEEKDAY(A293,2)+4))</f>
        <v/>
      </c>
      <c r="C293" s="23" t="str">
        <f aca="false">IF(A293="","",WEEKNUM(A293,21))</f>
        <v/>
      </c>
      <c r="D293" s="24" t="str">
        <f aca="false">IF(A293="","",DATE(YEAR(A293),MONTH(A293),1))</f>
        <v/>
      </c>
      <c r="E293" s="10"/>
      <c r="F293" s="25"/>
      <c r="G293" s="25"/>
      <c r="H293" s="10"/>
      <c r="I293" s="10"/>
      <c r="J293" s="26"/>
      <c r="K293" s="25"/>
      <c r="L293" s="26"/>
      <c r="M293" s="27"/>
      <c r="N293" s="27"/>
      <c r="O293" s="28" t="str">
        <f aca="false">IF(OR(M293="",M293=0,N293=""),"",N293/M293)</f>
        <v/>
      </c>
      <c r="P293" s="28" t="str">
        <f aca="false">IF(M293="","",IFERROR(IF(INDEX(Parámetros!$B$14:$B$21,MATCH(I293,Parámetros!$A$14:$A$21,0))="",Parámetros!$B$5,INDEX(Parámetros!$B$14:$B$21,MATCH(I293,Parámetros!$A$14:$A$21,0))),Parámetros!$B$5))</f>
        <v/>
      </c>
      <c r="Q293" s="29" t="str">
        <f aca="false">IF(O293="","",(O293-P293)*100)</f>
        <v/>
      </c>
      <c r="R293" s="30" t="str">
        <f aca="false">IF(O293="","",MAX(0,M293*(P293-O293)))</f>
        <v/>
      </c>
      <c r="S293" s="31" t="str">
        <f aca="false">IF(OR(L293="",L293=0,N293=""),"",N293/1000/L293)</f>
        <v/>
      </c>
      <c r="T293" s="27"/>
      <c r="U293" s="27"/>
      <c r="V293" s="27"/>
      <c r="W293" s="27"/>
      <c r="X293" s="27"/>
      <c r="Y293" s="27"/>
      <c r="Z293" s="27"/>
      <c r="AA293" s="25"/>
      <c r="AB293" s="27"/>
      <c r="AC293" s="30" t="str">
        <f aca="false">IF(M293="","",IF(AB293="",M293*Parámetros!$B$6,AB293))</f>
        <v/>
      </c>
      <c r="AD293" s="30" t="str">
        <f aca="false">IF(M293="","",SUM(T293:Z293)+AC293)</f>
        <v/>
      </c>
      <c r="AE293" s="30" t="str">
        <f aca="false">IF(OR(M293="",N293=""),"",M293-N293)</f>
        <v/>
      </c>
      <c r="AF293" s="30" t="str">
        <f aca="false">IF(AE293="","",AE293-AD293)</f>
        <v/>
      </c>
      <c r="AG293" s="28" t="str">
        <f aca="false">IF(OR(AF293="",M293=0),"",AF293/M293)</f>
        <v/>
      </c>
      <c r="AH293" s="32" t="str">
        <f aca="false">IF(OR(AE293="",N293=0),"",AE293/(N293/1000))</f>
        <v/>
      </c>
      <c r="AI293" s="30" t="str">
        <f aca="false">IF(O293="","",M293*P293)</f>
        <v/>
      </c>
      <c r="AJ293" s="11" t="str">
        <f aca="false">IF(O293="","",IF(O293&gt;1,"Error: rend &gt; 100 %",IF(SUM(T293:Z293)=0,"Falta registrar pérdidas",IF(ABS(AG293)&gt;Parámetros!$B$7,"Revisar balance",IF(O293&lt;P293,"Bajo meta","OK")))))</f>
        <v/>
      </c>
      <c r="AK293" s="33"/>
      <c r="AL293" s="10"/>
      <c r="AM293" s="33"/>
      <c r="AN293" s="33"/>
      <c r="AO293" s="10"/>
    </row>
    <row r="294" customFormat="false" ht="15" hidden="false" customHeight="false" outlineLevel="0" collapsed="false">
      <c r="A294" s="22"/>
      <c r="B294" s="23" t="str">
        <f aca="false">IF(A294="","",YEAR(A294-WEEKDAY(A294,2)+4))</f>
        <v/>
      </c>
      <c r="C294" s="23" t="str">
        <f aca="false">IF(A294="","",WEEKNUM(A294,21))</f>
        <v/>
      </c>
      <c r="D294" s="24" t="str">
        <f aca="false">IF(A294="","",DATE(YEAR(A294),MONTH(A294),1))</f>
        <v/>
      </c>
      <c r="E294" s="10"/>
      <c r="F294" s="25"/>
      <c r="G294" s="25"/>
      <c r="H294" s="10"/>
      <c r="I294" s="10"/>
      <c r="J294" s="26"/>
      <c r="K294" s="25"/>
      <c r="L294" s="26"/>
      <c r="M294" s="27"/>
      <c r="N294" s="27"/>
      <c r="O294" s="28" t="str">
        <f aca="false">IF(OR(M294="",M294=0,N294=""),"",N294/M294)</f>
        <v/>
      </c>
      <c r="P294" s="28" t="str">
        <f aca="false">IF(M294="","",IFERROR(IF(INDEX(Parámetros!$B$14:$B$21,MATCH(I294,Parámetros!$A$14:$A$21,0))="",Parámetros!$B$5,INDEX(Parámetros!$B$14:$B$21,MATCH(I294,Parámetros!$A$14:$A$21,0))),Parámetros!$B$5))</f>
        <v/>
      </c>
      <c r="Q294" s="29" t="str">
        <f aca="false">IF(O294="","",(O294-P294)*100)</f>
        <v/>
      </c>
      <c r="R294" s="30" t="str">
        <f aca="false">IF(O294="","",MAX(0,M294*(P294-O294)))</f>
        <v/>
      </c>
      <c r="S294" s="31" t="str">
        <f aca="false">IF(OR(L294="",L294=0,N294=""),"",N294/1000/L294)</f>
        <v/>
      </c>
      <c r="T294" s="27"/>
      <c r="U294" s="27"/>
      <c r="V294" s="27"/>
      <c r="W294" s="27"/>
      <c r="X294" s="27"/>
      <c r="Y294" s="27"/>
      <c r="Z294" s="27"/>
      <c r="AA294" s="25"/>
      <c r="AB294" s="27"/>
      <c r="AC294" s="30" t="str">
        <f aca="false">IF(M294="","",IF(AB294="",M294*Parámetros!$B$6,AB294))</f>
        <v/>
      </c>
      <c r="AD294" s="30" t="str">
        <f aca="false">IF(M294="","",SUM(T294:Z294)+AC294)</f>
        <v/>
      </c>
      <c r="AE294" s="30" t="str">
        <f aca="false">IF(OR(M294="",N294=""),"",M294-N294)</f>
        <v/>
      </c>
      <c r="AF294" s="30" t="str">
        <f aca="false">IF(AE294="","",AE294-AD294)</f>
        <v/>
      </c>
      <c r="AG294" s="28" t="str">
        <f aca="false">IF(OR(AF294="",M294=0),"",AF294/M294)</f>
        <v/>
      </c>
      <c r="AH294" s="32" t="str">
        <f aca="false">IF(OR(AE294="",N294=0),"",AE294/(N294/1000))</f>
        <v/>
      </c>
      <c r="AI294" s="30" t="str">
        <f aca="false">IF(O294="","",M294*P294)</f>
        <v/>
      </c>
      <c r="AJ294" s="11" t="str">
        <f aca="false">IF(O294="","",IF(O294&gt;1,"Error: rend &gt; 100 %",IF(SUM(T294:Z294)=0,"Falta registrar pérdidas",IF(ABS(AG294)&gt;Parámetros!$B$7,"Revisar balance",IF(O294&lt;P294,"Bajo meta","OK")))))</f>
        <v/>
      </c>
      <c r="AK294" s="33"/>
      <c r="AL294" s="10"/>
      <c r="AM294" s="33"/>
      <c r="AN294" s="33"/>
      <c r="AO294" s="10"/>
    </row>
    <row r="295" customFormat="false" ht="15" hidden="false" customHeight="false" outlineLevel="0" collapsed="false">
      <c r="A295" s="22"/>
      <c r="B295" s="23" t="str">
        <f aca="false">IF(A295="","",YEAR(A295-WEEKDAY(A295,2)+4))</f>
        <v/>
      </c>
      <c r="C295" s="23" t="str">
        <f aca="false">IF(A295="","",WEEKNUM(A295,21))</f>
        <v/>
      </c>
      <c r="D295" s="24" t="str">
        <f aca="false">IF(A295="","",DATE(YEAR(A295),MONTH(A295),1))</f>
        <v/>
      </c>
      <c r="E295" s="10"/>
      <c r="F295" s="25"/>
      <c r="G295" s="25"/>
      <c r="H295" s="10"/>
      <c r="I295" s="10"/>
      <c r="J295" s="26"/>
      <c r="K295" s="25"/>
      <c r="L295" s="26"/>
      <c r="M295" s="27"/>
      <c r="N295" s="27"/>
      <c r="O295" s="28" t="str">
        <f aca="false">IF(OR(M295="",M295=0,N295=""),"",N295/M295)</f>
        <v/>
      </c>
      <c r="P295" s="28" t="str">
        <f aca="false">IF(M295="","",IFERROR(IF(INDEX(Parámetros!$B$14:$B$21,MATCH(I295,Parámetros!$A$14:$A$21,0))="",Parámetros!$B$5,INDEX(Parámetros!$B$14:$B$21,MATCH(I295,Parámetros!$A$14:$A$21,0))),Parámetros!$B$5))</f>
        <v/>
      </c>
      <c r="Q295" s="29" t="str">
        <f aca="false">IF(O295="","",(O295-P295)*100)</f>
        <v/>
      </c>
      <c r="R295" s="30" t="str">
        <f aca="false">IF(O295="","",MAX(0,M295*(P295-O295)))</f>
        <v/>
      </c>
      <c r="S295" s="31" t="str">
        <f aca="false">IF(OR(L295="",L295=0,N295=""),"",N295/1000/L295)</f>
        <v/>
      </c>
      <c r="T295" s="27"/>
      <c r="U295" s="27"/>
      <c r="V295" s="27"/>
      <c r="W295" s="27"/>
      <c r="X295" s="27"/>
      <c r="Y295" s="27"/>
      <c r="Z295" s="27"/>
      <c r="AA295" s="25"/>
      <c r="AB295" s="27"/>
      <c r="AC295" s="30" t="str">
        <f aca="false">IF(M295="","",IF(AB295="",M295*Parámetros!$B$6,AB295))</f>
        <v/>
      </c>
      <c r="AD295" s="30" t="str">
        <f aca="false">IF(M295="","",SUM(T295:Z295)+AC295)</f>
        <v/>
      </c>
      <c r="AE295" s="30" t="str">
        <f aca="false">IF(OR(M295="",N295=""),"",M295-N295)</f>
        <v/>
      </c>
      <c r="AF295" s="30" t="str">
        <f aca="false">IF(AE295="","",AE295-AD295)</f>
        <v/>
      </c>
      <c r="AG295" s="28" t="str">
        <f aca="false">IF(OR(AF295="",M295=0),"",AF295/M295)</f>
        <v/>
      </c>
      <c r="AH295" s="32" t="str">
        <f aca="false">IF(OR(AE295="",N295=0),"",AE295/(N295/1000))</f>
        <v/>
      </c>
      <c r="AI295" s="30" t="str">
        <f aca="false">IF(O295="","",M295*P295)</f>
        <v/>
      </c>
      <c r="AJ295" s="11" t="str">
        <f aca="false">IF(O295="","",IF(O295&gt;1,"Error: rend &gt; 100 %",IF(SUM(T295:Z295)=0,"Falta registrar pérdidas",IF(ABS(AG295)&gt;Parámetros!$B$7,"Revisar balance",IF(O295&lt;P295,"Bajo meta","OK")))))</f>
        <v/>
      </c>
      <c r="AK295" s="33"/>
      <c r="AL295" s="10"/>
      <c r="AM295" s="33"/>
      <c r="AN295" s="33"/>
      <c r="AO295" s="10"/>
    </row>
    <row r="296" customFormat="false" ht="15" hidden="false" customHeight="false" outlineLevel="0" collapsed="false">
      <c r="A296" s="22"/>
      <c r="B296" s="23" t="str">
        <f aca="false">IF(A296="","",YEAR(A296-WEEKDAY(A296,2)+4))</f>
        <v/>
      </c>
      <c r="C296" s="23" t="str">
        <f aca="false">IF(A296="","",WEEKNUM(A296,21))</f>
        <v/>
      </c>
      <c r="D296" s="24" t="str">
        <f aca="false">IF(A296="","",DATE(YEAR(A296),MONTH(A296),1))</f>
        <v/>
      </c>
      <c r="E296" s="10"/>
      <c r="F296" s="25"/>
      <c r="G296" s="25"/>
      <c r="H296" s="10"/>
      <c r="I296" s="10"/>
      <c r="J296" s="26"/>
      <c r="K296" s="25"/>
      <c r="L296" s="26"/>
      <c r="M296" s="27"/>
      <c r="N296" s="27"/>
      <c r="O296" s="28" t="str">
        <f aca="false">IF(OR(M296="",M296=0,N296=""),"",N296/M296)</f>
        <v/>
      </c>
      <c r="P296" s="28" t="str">
        <f aca="false">IF(M296="","",IFERROR(IF(INDEX(Parámetros!$B$14:$B$21,MATCH(I296,Parámetros!$A$14:$A$21,0))="",Parámetros!$B$5,INDEX(Parámetros!$B$14:$B$21,MATCH(I296,Parámetros!$A$14:$A$21,0))),Parámetros!$B$5))</f>
        <v/>
      </c>
      <c r="Q296" s="29" t="str">
        <f aca="false">IF(O296="","",(O296-P296)*100)</f>
        <v/>
      </c>
      <c r="R296" s="30" t="str">
        <f aca="false">IF(O296="","",MAX(0,M296*(P296-O296)))</f>
        <v/>
      </c>
      <c r="S296" s="31" t="str">
        <f aca="false">IF(OR(L296="",L296=0,N296=""),"",N296/1000/L296)</f>
        <v/>
      </c>
      <c r="T296" s="27"/>
      <c r="U296" s="27"/>
      <c r="V296" s="27"/>
      <c r="W296" s="27"/>
      <c r="X296" s="27"/>
      <c r="Y296" s="27"/>
      <c r="Z296" s="27"/>
      <c r="AA296" s="25"/>
      <c r="AB296" s="27"/>
      <c r="AC296" s="30" t="str">
        <f aca="false">IF(M296="","",IF(AB296="",M296*Parámetros!$B$6,AB296))</f>
        <v/>
      </c>
      <c r="AD296" s="30" t="str">
        <f aca="false">IF(M296="","",SUM(T296:Z296)+AC296)</f>
        <v/>
      </c>
      <c r="AE296" s="30" t="str">
        <f aca="false">IF(OR(M296="",N296=""),"",M296-N296)</f>
        <v/>
      </c>
      <c r="AF296" s="30" t="str">
        <f aca="false">IF(AE296="","",AE296-AD296)</f>
        <v/>
      </c>
      <c r="AG296" s="28" t="str">
        <f aca="false">IF(OR(AF296="",M296=0),"",AF296/M296)</f>
        <v/>
      </c>
      <c r="AH296" s="32" t="str">
        <f aca="false">IF(OR(AE296="",N296=0),"",AE296/(N296/1000))</f>
        <v/>
      </c>
      <c r="AI296" s="30" t="str">
        <f aca="false">IF(O296="","",M296*P296)</f>
        <v/>
      </c>
      <c r="AJ296" s="11" t="str">
        <f aca="false">IF(O296="","",IF(O296&gt;1,"Error: rend &gt; 100 %",IF(SUM(T296:Z296)=0,"Falta registrar pérdidas",IF(ABS(AG296)&gt;Parámetros!$B$7,"Revisar balance",IF(O296&lt;P296,"Bajo meta","OK")))))</f>
        <v/>
      </c>
      <c r="AK296" s="33"/>
      <c r="AL296" s="10"/>
      <c r="AM296" s="33"/>
      <c r="AN296" s="33"/>
      <c r="AO296" s="10"/>
    </row>
    <row r="297" customFormat="false" ht="15" hidden="false" customHeight="false" outlineLevel="0" collapsed="false">
      <c r="A297" s="22"/>
      <c r="B297" s="23" t="str">
        <f aca="false">IF(A297="","",YEAR(A297-WEEKDAY(A297,2)+4))</f>
        <v/>
      </c>
      <c r="C297" s="23" t="str">
        <f aca="false">IF(A297="","",WEEKNUM(A297,21))</f>
        <v/>
      </c>
      <c r="D297" s="24" t="str">
        <f aca="false">IF(A297="","",DATE(YEAR(A297),MONTH(A297),1))</f>
        <v/>
      </c>
      <c r="E297" s="10"/>
      <c r="F297" s="25"/>
      <c r="G297" s="25"/>
      <c r="H297" s="10"/>
      <c r="I297" s="10"/>
      <c r="J297" s="26"/>
      <c r="K297" s="25"/>
      <c r="L297" s="26"/>
      <c r="M297" s="27"/>
      <c r="N297" s="27"/>
      <c r="O297" s="28" t="str">
        <f aca="false">IF(OR(M297="",M297=0,N297=""),"",N297/M297)</f>
        <v/>
      </c>
      <c r="P297" s="28" t="str">
        <f aca="false">IF(M297="","",IFERROR(IF(INDEX(Parámetros!$B$14:$B$21,MATCH(I297,Parámetros!$A$14:$A$21,0))="",Parámetros!$B$5,INDEX(Parámetros!$B$14:$B$21,MATCH(I297,Parámetros!$A$14:$A$21,0))),Parámetros!$B$5))</f>
        <v/>
      </c>
      <c r="Q297" s="29" t="str">
        <f aca="false">IF(O297="","",(O297-P297)*100)</f>
        <v/>
      </c>
      <c r="R297" s="30" t="str">
        <f aca="false">IF(O297="","",MAX(0,M297*(P297-O297)))</f>
        <v/>
      </c>
      <c r="S297" s="31" t="str">
        <f aca="false">IF(OR(L297="",L297=0,N297=""),"",N297/1000/L297)</f>
        <v/>
      </c>
      <c r="T297" s="27"/>
      <c r="U297" s="27"/>
      <c r="V297" s="27"/>
      <c r="W297" s="27"/>
      <c r="X297" s="27"/>
      <c r="Y297" s="27"/>
      <c r="Z297" s="27"/>
      <c r="AA297" s="25"/>
      <c r="AB297" s="27"/>
      <c r="AC297" s="30" t="str">
        <f aca="false">IF(M297="","",IF(AB297="",M297*Parámetros!$B$6,AB297))</f>
        <v/>
      </c>
      <c r="AD297" s="30" t="str">
        <f aca="false">IF(M297="","",SUM(T297:Z297)+AC297)</f>
        <v/>
      </c>
      <c r="AE297" s="30" t="str">
        <f aca="false">IF(OR(M297="",N297=""),"",M297-N297)</f>
        <v/>
      </c>
      <c r="AF297" s="30" t="str">
        <f aca="false">IF(AE297="","",AE297-AD297)</f>
        <v/>
      </c>
      <c r="AG297" s="28" t="str">
        <f aca="false">IF(OR(AF297="",M297=0),"",AF297/M297)</f>
        <v/>
      </c>
      <c r="AH297" s="32" t="str">
        <f aca="false">IF(OR(AE297="",N297=0),"",AE297/(N297/1000))</f>
        <v/>
      </c>
      <c r="AI297" s="30" t="str">
        <f aca="false">IF(O297="","",M297*P297)</f>
        <v/>
      </c>
      <c r="AJ297" s="11" t="str">
        <f aca="false">IF(O297="","",IF(O297&gt;1,"Error: rend &gt; 100 %",IF(SUM(T297:Z297)=0,"Falta registrar pérdidas",IF(ABS(AG297)&gt;Parámetros!$B$7,"Revisar balance",IF(O297&lt;P297,"Bajo meta","OK")))))</f>
        <v/>
      </c>
      <c r="AK297" s="33"/>
      <c r="AL297" s="10"/>
      <c r="AM297" s="33"/>
      <c r="AN297" s="33"/>
      <c r="AO297" s="10"/>
    </row>
    <row r="298" customFormat="false" ht="15" hidden="false" customHeight="false" outlineLevel="0" collapsed="false">
      <c r="A298" s="22"/>
      <c r="B298" s="23" t="str">
        <f aca="false">IF(A298="","",YEAR(A298-WEEKDAY(A298,2)+4))</f>
        <v/>
      </c>
      <c r="C298" s="23" t="str">
        <f aca="false">IF(A298="","",WEEKNUM(A298,21))</f>
        <v/>
      </c>
      <c r="D298" s="24" t="str">
        <f aca="false">IF(A298="","",DATE(YEAR(A298),MONTH(A298),1))</f>
        <v/>
      </c>
      <c r="E298" s="10"/>
      <c r="F298" s="25"/>
      <c r="G298" s="25"/>
      <c r="H298" s="10"/>
      <c r="I298" s="10"/>
      <c r="J298" s="26"/>
      <c r="K298" s="25"/>
      <c r="L298" s="26"/>
      <c r="M298" s="27"/>
      <c r="N298" s="27"/>
      <c r="O298" s="28" t="str">
        <f aca="false">IF(OR(M298="",M298=0,N298=""),"",N298/M298)</f>
        <v/>
      </c>
      <c r="P298" s="28" t="str">
        <f aca="false">IF(M298="","",IFERROR(IF(INDEX(Parámetros!$B$14:$B$21,MATCH(I298,Parámetros!$A$14:$A$21,0))="",Parámetros!$B$5,INDEX(Parámetros!$B$14:$B$21,MATCH(I298,Parámetros!$A$14:$A$21,0))),Parámetros!$B$5))</f>
        <v/>
      </c>
      <c r="Q298" s="29" t="str">
        <f aca="false">IF(O298="","",(O298-P298)*100)</f>
        <v/>
      </c>
      <c r="R298" s="30" t="str">
        <f aca="false">IF(O298="","",MAX(0,M298*(P298-O298)))</f>
        <v/>
      </c>
      <c r="S298" s="31" t="str">
        <f aca="false">IF(OR(L298="",L298=0,N298=""),"",N298/1000/L298)</f>
        <v/>
      </c>
      <c r="T298" s="27"/>
      <c r="U298" s="27"/>
      <c r="V298" s="27"/>
      <c r="W298" s="27"/>
      <c r="X298" s="27"/>
      <c r="Y298" s="27"/>
      <c r="Z298" s="27"/>
      <c r="AA298" s="25"/>
      <c r="AB298" s="27"/>
      <c r="AC298" s="30" t="str">
        <f aca="false">IF(M298="","",IF(AB298="",M298*Parámetros!$B$6,AB298))</f>
        <v/>
      </c>
      <c r="AD298" s="30" t="str">
        <f aca="false">IF(M298="","",SUM(T298:Z298)+AC298)</f>
        <v/>
      </c>
      <c r="AE298" s="30" t="str">
        <f aca="false">IF(OR(M298="",N298=""),"",M298-N298)</f>
        <v/>
      </c>
      <c r="AF298" s="30" t="str">
        <f aca="false">IF(AE298="","",AE298-AD298)</f>
        <v/>
      </c>
      <c r="AG298" s="28" t="str">
        <f aca="false">IF(OR(AF298="",M298=0),"",AF298/M298)</f>
        <v/>
      </c>
      <c r="AH298" s="32" t="str">
        <f aca="false">IF(OR(AE298="",N298=0),"",AE298/(N298/1000))</f>
        <v/>
      </c>
      <c r="AI298" s="30" t="str">
        <f aca="false">IF(O298="","",M298*P298)</f>
        <v/>
      </c>
      <c r="AJ298" s="11" t="str">
        <f aca="false">IF(O298="","",IF(O298&gt;1,"Error: rend &gt; 100 %",IF(SUM(T298:Z298)=0,"Falta registrar pérdidas",IF(ABS(AG298)&gt;Parámetros!$B$7,"Revisar balance",IF(O298&lt;P298,"Bajo meta","OK")))))</f>
        <v/>
      </c>
      <c r="AK298" s="33"/>
      <c r="AL298" s="10"/>
      <c r="AM298" s="33"/>
      <c r="AN298" s="33"/>
      <c r="AO298" s="10"/>
    </row>
    <row r="299" customFormat="false" ht="15" hidden="false" customHeight="false" outlineLevel="0" collapsed="false">
      <c r="A299" s="22"/>
      <c r="B299" s="23" t="str">
        <f aca="false">IF(A299="","",YEAR(A299-WEEKDAY(A299,2)+4))</f>
        <v/>
      </c>
      <c r="C299" s="23" t="str">
        <f aca="false">IF(A299="","",WEEKNUM(A299,21))</f>
        <v/>
      </c>
      <c r="D299" s="24" t="str">
        <f aca="false">IF(A299="","",DATE(YEAR(A299),MONTH(A299),1))</f>
        <v/>
      </c>
      <c r="E299" s="10"/>
      <c r="F299" s="25"/>
      <c r="G299" s="25"/>
      <c r="H299" s="10"/>
      <c r="I299" s="10"/>
      <c r="J299" s="26"/>
      <c r="K299" s="25"/>
      <c r="L299" s="26"/>
      <c r="M299" s="27"/>
      <c r="N299" s="27"/>
      <c r="O299" s="28" t="str">
        <f aca="false">IF(OR(M299="",M299=0,N299=""),"",N299/M299)</f>
        <v/>
      </c>
      <c r="P299" s="28" t="str">
        <f aca="false">IF(M299="","",IFERROR(IF(INDEX(Parámetros!$B$14:$B$21,MATCH(I299,Parámetros!$A$14:$A$21,0))="",Parámetros!$B$5,INDEX(Parámetros!$B$14:$B$21,MATCH(I299,Parámetros!$A$14:$A$21,0))),Parámetros!$B$5))</f>
        <v/>
      </c>
      <c r="Q299" s="29" t="str">
        <f aca="false">IF(O299="","",(O299-P299)*100)</f>
        <v/>
      </c>
      <c r="R299" s="30" t="str">
        <f aca="false">IF(O299="","",MAX(0,M299*(P299-O299)))</f>
        <v/>
      </c>
      <c r="S299" s="31" t="str">
        <f aca="false">IF(OR(L299="",L299=0,N299=""),"",N299/1000/L299)</f>
        <v/>
      </c>
      <c r="T299" s="27"/>
      <c r="U299" s="27"/>
      <c r="V299" s="27"/>
      <c r="W299" s="27"/>
      <c r="X299" s="27"/>
      <c r="Y299" s="27"/>
      <c r="Z299" s="27"/>
      <c r="AA299" s="25"/>
      <c r="AB299" s="27"/>
      <c r="AC299" s="30" t="str">
        <f aca="false">IF(M299="","",IF(AB299="",M299*Parámetros!$B$6,AB299))</f>
        <v/>
      </c>
      <c r="AD299" s="30" t="str">
        <f aca="false">IF(M299="","",SUM(T299:Z299)+AC299)</f>
        <v/>
      </c>
      <c r="AE299" s="30" t="str">
        <f aca="false">IF(OR(M299="",N299=""),"",M299-N299)</f>
        <v/>
      </c>
      <c r="AF299" s="30" t="str">
        <f aca="false">IF(AE299="","",AE299-AD299)</f>
        <v/>
      </c>
      <c r="AG299" s="28" t="str">
        <f aca="false">IF(OR(AF299="",M299=0),"",AF299/M299)</f>
        <v/>
      </c>
      <c r="AH299" s="32" t="str">
        <f aca="false">IF(OR(AE299="",N299=0),"",AE299/(N299/1000))</f>
        <v/>
      </c>
      <c r="AI299" s="30" t="str">
        <f aca="false">IF(O299="","",M299*P299)</f>
        <v/>
      </c>
      <c r="AJ299" s="11" t="str">
        <f aca="false">IF(O299="","",IF(O299&gt;1,"Error: rend &gt; 100 %",IF(SUM(T299:Z299)=0,"Falta registrar pérdidas",IF(ABS(AG299)&gt;Parámetros!$B$7,"Revisar balance",IF(O299&lt;P299,"Bajo meta","OK")))))</f>
        <v/>
      </c>
      <c r="AK299" s="33"/>
      <c r="AL299" s="10"/>
      <c r="AM299" s="33"/>
      <c r="AN299" s="33"/>
      <c r="AO299" s="10"/>
    </row>
    <row r="300" customFormat="false" ht="15" hidden="false" customHeight="false" outlineLevel="0" collapsed="false">
      <c r="A300" s="22"/>
      <c r="B300" s="23" t="str">
        <f aca="false">IF(A300="","",YEAR(A300-WEEKDAY(A300,2)+4))</f>
        <v/>
      </c>
      <c r="C300" s="23" t="str">
        <f aca="false">IF(A300="","",WEEKNUM(A300,21))</f>
        <v/>
      </c>
      <c r="D300" s="24" t="str">
        <f aca="false">IF(A300="","",DATE(YEAR(A300),MONTH(A300),1))</f>
        <v/>
      </c>
      <c r="E300" s="10"/>
      <c r="F300" s="25"/>
      <c r="G300" s="25"/>
      <c r="H300" s="10"/>
      <c r="I300" s="10"/>
      <c r="J300" s="26"/>
      <c r="K300" s="25"/>
      <c r="L300" s="26"/>
      <c r="M300" s="27"/>
      <c r="N300" s="27"/>
      <c r="O300" s="28" t="str">
        <f aca="false">IF(OR(M300="",M300=0,N300=""),"",N300/M300)</f>
        <v/>
      </c>
      <c r="P300" s="28" t="str">
        <f aca="false">IF(M300="","",IFERROR(IF(INDEX(Parámetros!$B$14:$B$21,MATCH(I300,Parámetros!$A$14:$A$21,0))="",Parámetros!$B$5,INDEX(Parámetros!$B$14:$B$21,MATCH(I300,Parámetros!$A$14:$A$21,0))),Parámetros!$B$5))</f>
        <v/>
      </c>
      <c r="Q300" s="29" t="str">
        <f aca="false">IF(O300="","",(O300-P300)*100)</f>
        <v/>
      </c>
      <c r="R300" s="30" t="str">
        <f aca="false">IF(O300="","",MAX(0,M300*(P300-O300)))</f>
        <v/>
      </c>
      <c r="S300" s="31" t="str">
        <f aca="false">IF(OR(L300="",L300=0,N300=""),"",N300/1000/L300)</f>
        <v/>
      </c>
      <c r="T300" s="27"/>
      <c r="U300" s="27"/>
      <c r="V300" s="27"/>
      <c r="W300" s="27"/>
      <c r="X300" s="27"/>
      <c r="Y300" s="27"/>
      <c r="Z300" s="27"/>
      <c r="AA300" s="25"/>
      <c r="AB300" s="27"/>
      <c r="AC300" s="30" t="str">
        <f aca="false">IF(M300="","",IF(AB300="",M300*Parámetros!$B$6,AB300))</f>
        <v/>
      </c>
      <c r="AD300" s="30" t="str">
        <f aca="false">IF(M300="","",SUM(T300:Z300)+AC300)</f>
        <v/>
      </c>
      <c r="AE300" s="30" t="str">
        <f aca="false">IF(OR(M300="",N300=""),"",M300-N300)</f>
        <v/>
      </c>
      <c r="AF300" s="30" t="str">
        <f aca="false">IF(AE300="","",AE300-AD300)</f>
        <v/>
      </c>
      <c r="AG300" s="28" t="str">
        <f aca="false">IF(OR(AF300="",M300=0),"",AF300/M300)</f>
        <v/>
      </c>
      <c r="AH300" s="32" t="str">
        <f aca="false">IF(OR(AE300="",N300=0),"",AE300/(N300/1000))</f>
        <v/>
      </c>
      <c r="AI300" s="30" t="str">
        <f aca="false">IF(O300="","",M300*P300)</f>
        <v/>
      </c>
      <c r="AJ300" s="11" t="str">
        <f aca="false">IF(O300="","",IF(O300&gt;1,"Error: rend &gt; 100 %",IF(SUM(T300:Z300)=0,"Falta registrar pérdidas",IF(ABS(AG300)&gt;Parámetros!$B$7,"Revisar balance",IF(O300&lt;P300,"Bajo meta","OK")))))</f>
        <v/>
      </c>
      <c r="AK300" s="33"/>
      <c r="AL300" s="10"/>
      <c r="AM300" s="33"/>
      <c r="AN300" s="33"/>
      <c r="AO300" s="10"/>
    </row>
    <row r="301" customFormat="false" ht="15" hidden="false" customHeight="false" outlineLevel="0" collapsed="false">
      <c r="A301" s="22"/>
      <c r="B301" s="23" t="str">
        <f aca="false">IF(A301="","",YEAR(A301-WEEKDAY(A301,2)+4))</f>
        <v/>
      </c>
      <c r="C301" s="23" t="str">
        <f aca="false">IF(A301="","",WEEKNUM(A301,21))</f>
        <v/>
      </c>
      <c r="D301" s="24" t="str">
        <f aca="false">IF(A301="","",DATE(YEAR(A301),MONTH(A301),1))</f>
        <v/>
      </c>
      <c r="E301" s="10"/>
      <c r="F301" s="25"/>
      <c r="G301" s="25"/>
      <c r="H301" s="10"/>
      <c r="I301" s="10"/>
      <c r="J301" s="26"/>
      <c r="K301" s="25"/>
      <c r="L301" s="26"/>
      <c r="M301" s="27"/>
      <c r="N301" s="27"/>
      <c r="O301" s="28" t="str">
        <f aca="false">IF(OR(M301="",M301=0,N301=""),"",N301/M301)</f>
        <v/>
      </c>
      <c r="P301" s="28" t="str">
        <f aca="false">IF(M301="","",IFERROR(IF(INDEX(Parámetros!$B$14:$B$21,MATCH(I301,Parámetros!$A$14:$A$21,0))="",Parámetros!$B$5,INDEX(Parámetros!$B$14:$B$21,MATCH(I301,Parámetros!$A$14:$A$21,0))),Parámetros!$B$5))</f>
        <v/>
      </c>
      <c r="Q301" s="29" t="str">
        <f aca="false">IF(O301="","",(O301-P301)*100)</f>
        <v/>
      </c>
      <c r="R301" s="30" t="str">
        <f aca="false">IF(O301="","",MAX(0,M301*(P301-O301)))</f>
        <v/>
      </c>
      <c r="S301" s="31" t="str">
        <f aca="false">IF(OR(L301="",L301=0,N301=""),"",N301/1000/L301)</f>
        <v/>
      </c>
      <c r="T301" s="27"/>
      <c r="U301" s="27"/>
      <c r="V301" s="27"/>
      <c r="W301" s="27"/>
      <c r="X301" s="27"/>
      <c r="Y301" s="27"/>
      <c r="Z301" s="27"/>
      <c r="AA301" s="25"/>
      <c r="AB301" s="27"/>
      <c r="AC301" s="30" t="str">
        <f aca="false">IF(M301="","",IF(AB301="",M301*Parámetros!$B$6,AB301))</f>
        <v/>
      </c>
      <c r="AD301" s="30" t="str">
        <f aca="false">IF(M301="","",SUM(T301:Z301)+AC301)</f>
        <v/>
      </c>
      <c r="AE301" s="30" t="str">
        <f aca="false">IF(OR(M301="",N301=""),"",M301-N301)</f>
        <v/>
      </c>
      <c r="AF301" s="30" t="str">
        <f aca="false">IF(AE301="","",AE301-AD301)</f>
        <v/>
      </c>
      <c r="AG301" s="28" t="str">
        <f aca="false">IF(OR(AF301="",M301=0),"",AF301/M301)</f>
        <v/>
      </c>
      <c r="AH301" s="32" t="str">
        <f aca="false">IF(OR(AE301="",N301=0),"",AE301/(N301/1000))</f>
        <v/>
      </c>
      <c r="AI301" s="30" t="str">
        <f aca="false">IF(O301="","",M301*P301)</f>
        <v/>
      </c>
      <c r="AJ301" s="11" t="str">
        <f aca="false">IF(O301="","",IF(O301&gt;1,"Error: rend &gt; 100 %",IF(SUM(T301:Z301)=0,"Falta registrar pérdidas",IF(ABS(AG301)&gt;Parámetros!$B$7,"Revisar balance",IF(O301&lt;P301,"Bajo meta","OK")))))</f>
        <v/>
      </c>
      <c r="AK301" s="33"/>
      <c r="AL301" s="10"/>
      <c r="AM301" s="33"/>
      <c r="AN301" s="33"/>
      <c r="AO301" s="10"/>
    </row>
    <row r="302" customFormat="false" ht="15" hidden="false" customHeight="false" outlineLevel="0" collapsed="false">
      <c r="A302" s="22"/>
      <c r="B302" s="23" t="str">
        <f aca="false">IF(A302="","",YEAR(A302-WEEKDAY(A302,2)+4))</f>
        <v/>
      </c>
      <c r="C302" s="23" t="str">
        <f aca="false">IF(A302="","",WEEKNUM(A302,21))</f>
        <v/>
      </c>
      <c r="D302" s="24" t="str">
        <f aca="false">IF(A302="","",DATE(YEAR(A302),MONTH(A302),1))</f>
        <v/>
      </c>
      <c r="E302" s="10"/>
      <c r="F302" s="25"/>
      <c r="G302" s="25"/>
      <c r="H302" s="10"/>
      <c r="I302" s="10"/>
      <c r="J302" s="26"/>
      <c r="K302" s="25"/>
      <c r="L302" s="26"/>
      <c r="M302" s="27"/>
      <c r="N302" s="27"/>
      <c r="O302" s="28" t="str">
        <f aca="false">IF(OR(M302="",M302=0,N302=""),"",N302/M302)</f>
        <v/>
      </c>
      <c r="P302" s="28" t="str">
        <f aca="false">IF(M302="","",IFERROR(IF(INDEX(Parámetros!$B$14:$B$21,MATCH(I302,Parámetros!$A$14:$A$21,0))="",Parámetros!$B$5,INDEX(Parámetros!$B$14:$B$21,MATCH(I302,Parámetros!$A$14:$A$21,0))),Parámetros!$B$5))</f>
        <v/>
      </c>
      <c r="Q302" s="29" t="str">
        <f aca="false">IF(O302="","",(O302-P302)*100)</f>
        <v/>
      </c>
      <c r="R302" s="30" t="str">
        <f aca="false">IF(O302="","",MAX(0,M302*(P302-O302)))</f>
        <v/>
      </c>
      <c r="S302" s="31" t="str">
        <f aca="false">IF(OR(L302="",L302=0,N302=""),"",N302/1000/L302)</f>
        <v/>
      </c>
      <c r="T302" s="27"/>
      <c r="U302" s="27"/>
      <c r="V302" s="27"/>
      <c r="W302" s="27"/>
      <c r="X302" s="27"/>
      <c r="Y302" s="27"/>
      <c r="Z302" s="27"/>
      <c r="AA302" s="25"/>
      <c r="AB302" s="27"/>
      <c r="AC302" s="30" t="str">
        <f aca="false">IF(M302="","",IF(AB302="",M302*Parámetros!$B$6,AB302))</f>
        <v/>
      </c>
      <c r="AD302" s="30" t="str">
        <f aca="false">IF(M302="","",SUM(T302:Z302)+AC302)</f>
        <v/>
      </c>
      <c r="AE302" s="30" t="str">
        <f aca="false">IF(OR(M302="",N302=""),"",M302-N302)</f>
        <v/>
      </c>
      <c r="AF302" s="30" t="str">
        <f aca="false">IF(AE302="","",AE302-AD302)</f>
        <v/>
      </c>
      <c r="AG302" s="28" t="str">
        <f aca="false">IF(OR(AF302="",M302=0),"",AF302/M302)</f>
        <v/>
      </c>
      <c r="AH302" s="32" t="str">
        <f aca="false">IF(OR(AE302="",N302=0),"",AE302/(N302/1000))</f>
        <v/>
      </c>
      <c r="AI302" s="30" t="str">
        <f aca="false">IF(O302="","",M302*P302)</f>
        <v/>
      </c>
      <c r="AJ302" s="11" t="str">
        <f aca="false">IF(O302="","",IF(O302&gt;1,"Error: rend &gt; 100 %",IF(SUM(T302:Z302)=0,"Falta registrar pérdidas",IF(ABS(AG302)&gt;Parámetros!$B$7,"Revisar balance",IF(O302&lt;P302,"Bajo meta","OK")))))</f>
        <v/>
      </c>
      <c r="AK302" s="33"/>
      <c r="AL302" s="10"/>
      <c r="AM302" s="33"/>
      <c r="AN302" s="33"/>
      <c r="AO302" s="10"/>
    </row>
    <row r="303" customFormat="false" ht="15" hidden="false" customHeight="false" outlineLevel="0" collapsed="false">
      <c r="A303" s="22"/>
      <c r="B303" s="23" t="str">
        <f aca="false">IF(A303="","",YEAR(A303-WEEKDAY(A303,2)+4))</f>
        <v/>
      </c>
      <c r="C303" s="23" t="str">
        <f aca="false">IF(A303="","",WEEKNUM(A303,21))</f>
        <v/>
      </c>
      <c r="D303" s="24" t="str">
        <f aca="false">IF(A303="","",DATE(YEAR(A303),MONTH(A303),1))</f>
        <v/>
      </c>
      <c r="E303" s="10"/>
      <c r="F303" s="25"/>
      <c r="G303" s="25"/>
      <c r="H303" s="10"/>
      <c r="I303" s="10"/>
      <c r="J303" s="26"/>
      <c r="K303" s="25"/>
      <c r="L303" s="26"/>
      <c r="M303" s="27"/>
      <c r="N303" s="27"/>
      <c r="O303" s="28" t="str">
        <f aca="false">IF(OR(M303="",M303=0,N303=""),"",N303/M303)</f>
        <v/>
      </c>
      <c r="P303" s="28" t="str">
        <f aca="false">IF(M303="","",IFERROR(IF(INDEX(Parámetros!$B$14:$B$21,MATCH(I303,Parámetros!$A$14:$A$21,0))="",Parámetros!$B$5,INDEX(Parámetros!$B$14:$B$21,MATCH(I303,Parámetros!$A$14:$A$21,0))),Parámetros!$B$5))</f>
        <v/>
      </c>
      <c r="Q303" s="29" t="str">
        <f aca="false">IF(O303="","",(O303-P303)*100)</f>
        <v/>
      </c>
      <c r="R303" s="30" t="str">
        <f aca="false">IF(O303="","",MAX(0,M303*(P303-O303)))</f>
        <v/>
      </c>
      <c r="S303" s="31" t="str">
        <f aca="false">IF(OR(L303="",L303=0,N303=""),"",N303/1000/L303)</f>
        <v/>
      </c>
      <c r="T303" s="27"/>
      <c r="U303" s="27"/>
      <c r="V303" s="27"/>
      <c r="W303" s="27"/>
      <c r="X303" s="27"/>
      <c r="Y303" s="27"/>
      <c r="Z303" s="27"/>
      <c r="AA303" s="25"/>
      <c r="AB303" s="27"/>
      <c r="AC303" s="30" t="str">
        <f aca="false">IF(M303="","",IF(AB303="",M303*Parámetros!$B$6,AB303))</f>
        <v/>
      </c>
      <c r="AD303" s="30" t="str">
        <f aca="false">IF(M303="","",SUM(T303:Z303)+AC303)</f>
        <v/>
      </c>
      <c r="AE303" s="30" t="str">
        <f aca="false">IF(OR(M303="",N303=""),"",M303-N303)</f>
        <v/>
      </c>
      <c r="AF303" s="30" t="str">
        <f aca="false">IF(AE303="","",AE303-AD303)</f>
        <v/>
      </c>
      <c r="AG303" s="28" t="str">
        <f aca="false">IF(OR(AF303="",M303=0),"",AF303/M303)</f>
        <v/>
      </c>
      <c r="AH303" s="32" t="str">
        <f aca="false">IF(OR(AE303="",N303=0),"",AE303/(N303/1000))</f>
        <v/>
      </c>
      <c r="AI303" s="30" t="str">
        <f aca="false">IF(O303="","",M303*P303)</f>
        <v/>
      </c>
      <c r="AJ303" s="11" t="str">
        <f aca="false">IF(O303="","",IF(O303&gt;1,"Error: rend &gt; 100 %",IF(SUM(T303:Z303)=0,"Falta registrar pérdidas",IF(ABS(AG303)&gt;Parámetros!$B$7,"Revisar balance",IF(O303&lt;P303,"Bajo meta","OK")))))</f>
        <v/>
      </c>
      <c r="AK303" s="33"/>
      <c r="AL303" s="10"/>
      <c r="AM303" s="33"/>
      <c r="AN303" s="33"/>
      <c r="AO303" s="10"/>
    </row>
    <row r="304" customFormat="false" ht="15" hidden="false" customHeight="false" outlineLevel="0" collapsed="false">
      <c r="A304" s="22"/>
      <c r="B304" s="23" t="str">
        <f aca="false">IF(A304="","",YEAR(A304-WEEKDAY(A304,2)+4))</f>
        <v/>
      </c>
      <c r="C304" s="23" t="str">
        <f aca="false">IF(A304="","",WEEKNUM(A304,21))</f>
        <v/>
      </c>
      <c r="D304" s="24" t="str">
        <f aca="false">IF(A304="","",DATE(YEAR(A304),MONTH(A304),1))</f>
        <v/>
      </c>
      <c r="E304" s="10"/>
      <c r="F304" s="25"/>
      <c r="G304" s="25"/>
      <c r="H304" s="10"/>
      <c r="I304" s="10"/>
      <c r="J304" s="26"/>
      <c r="K304" s="25"/>
      <c r="L304" s="26"/>
      <c r="M304" s="27"/>
      <c r="N304" s="27"/>
      <c r="O304" s="28" t="str">
        <f aca="false">IF(OR(M304="",M304=0,N304=""),"",N304/M304)</f>
        <v/>
      </c>
      <c r="P304" s="28" t="str">
        <f aca="false">IF(M304="","",IFERROR(IF(INDEX(Parámetros!$B$14:$B$21,MATCH(I304,Parámetros!$A$14:$A$21,0))="",Parámetros!$B$5,INDEX(Parámetros!$B$14:$B$21,MATCH(I304,Parámetros!$A$14:$A$21,0))),Parámetros!$B$5))</f>
        <v/>
      </c>
      <c r="Q304" s="29" t="str">
        <f aca="false">IF(O304="","",(O304-P304)*100)</f>
        <v/>
      </c>
      <c r="R304" s="30" t="str">
        <f aca="false">IF(O304="","",MAX(0,M304*(P304-O304)))</f>
        <v/>
      </c>
      <c r="S304" s="31" t="str">
        <f aca="false">IF(OR(L304="",L304=0,N304=""),"",N304/1000/L304)</f>
        <v/>
      </c>
      <c r="T304" s="27"/>
      <c r="U304" s="27"/>
      <c r="V304" s="27"/>
      <c r="W304" s="27"/>
      <c r="X304" s="27"/>
      <c r="Y304" s="27"/>
      <c r="Z304" s="27"/>
      <c r="AA304" s="25"/>
      <c r="AB304" s="27"/>
      <c r="AC304" s="30" t="str">
        <f aca="false">IF(M304="","",IF(AB304="",M304*Parámetros!$B$6,AB304))</f>
        <v/>
      </c>
      <c r="AD304" s="30" t="str">
        <f aca="false">IF(M304="","",SUM(T304:Z304)+AC304)</f>
        <v/>
      </c>
      <c r="AE304" s="30" t="str">
        <f aca="false">IF(OR(M304="",N304=""),"",M304-N304)</f>
        <v/>
      </c>
      <c r="AF304" s="30" t="str">
        <f aca="false">IF(AE304="","",AE304-AD304)</f>
        <v/>
      </c>
      <c r="AG304" s="28" t="str">
        <f aca="false">IF(OR(AF304="",M304=0),"",AF304/M304)</f>
        <v/>
      </c>
      <c r="AH304" s="32" t="str">
        <f aca="false">IF(OR(AE304="",N304=0),"",AE304/(N304/1000))</f>
        <v/>
      </c>
      <c r="AI304" s="30" t="str">
        <f aca="false">IF(O304="","",M304*P304)</f>
        <v/>
      </c>
      <c r="AJ304" s="11" t="str">
        <f aca="false">IF(O304="","",IF(O304&gt;1,"Error: rend &gt; 100 %",IF(SUM(T304:Z304)=0,"Falta registrar pérdidas",IF(ABS(AG304)&gt;Parámetros!$B$7,"Revisar balance",IF(O304&lt;P304,"Bajo meta","OK")))))</f>
        <v/>
      </c>
      <c r="AK304" s="33"/>
      <c r="AL304" s="10"/>
      <c r="AM304" s="33"/>
      <c r="AN304" s="33"/>
      <c r="AO304" s="10"/>
    </row>
    <row r="305" customFormat="false" ht="15" hidden="false" customHeight="false" outlineLevel="0" collapsed="false">
      <c r="A305" s="22"/>
      <c r="B305" s="23" t="str">
        <f aca="false">IF(A305="","",YEAR(A305-WEEKDAY(A305,2)+4))</f>
        <v/>
      </c>
      <c r="C305" s="23" t="str">
        <f aca="false">IF(A305="","",WEEKNUM(A305,21))</f>
        <v/>
      </c>
      <c r="D305" s="24" t="str">
        <f aca="false">IF(A305="","",DATE(YEAR(A305),MONTH(A305),1))</f>
        <v/>
      </c>
      <c r="E305" s="10"/>
      <c r="F305" s="25"/>
      <c r="G305" s="25"/>
      <c r="H305" s="10"/>
      <c r="I305" s="10"/>
      <c r="J305" s="26"/>
      <c r="K305" s="25"/>
      <c r="L305" s="26"/>
      <c r="M305" s="27"/>
      <c r="N305" s="27"/>
      <c r="O305" s="28" t="str">
        <f aca="false">IF(OR(M305="",M305=0,N305=""),"",N305/M305)</f>
        <v/>
      </c>
      <c r="P305" s="28" t="str">
        <f aca="false">IF(M305="","",IFERROR(IF(INDEX(Parámetros!$B$14:$B$21,MATCH(I305,Parámetros!$A$14:$A$21,0))="",Parámetros!$B$5,INDEX(Parámetros!$B$14:$B$21,MATCH(I305,Parámetros!$A$14:$A$21,0))),Parámetros!$B$5))</f>
        <v/>
      </c>
      <c r="Q305" s="29" t="str">
        <f aca="false">IF(O305="","",(O305-P305)*100)</f>
        <v/>
      </c>
      <c r="R305" s="30" t="str">
        <f aca="false">IF(O305="","",MAX(0,M305*(P305-O305)))</f>
        <v/>
      </c>
      <c r="S305" s="31" t="str">
        <f aca="false">IF(OR(L305="",L305=0,N305=""),"",N305/1000/L305)</f>
        <v/>
      </c>
      <c r="T305" s="27"/>
      <c r="U305" s="27"/>
      <c r="V305" s="27"/>
      <c r="W305" s="27"/>
      <c r="X305" s="27"/>
      <c r="Y305" s="27"/>
      <c r="Z305" s="27"/>
      <c r="AA305" s="25"/>
      <c r="AB305" s="27"/>
      <c r="AC305" s="30" t="str">
        <f aca="false">IF(M305="","",IF(AB305="",M305*Parámetros!$B$6,AB305))</f>
        <v/>
      </c>
      <c r="AD305" s="30" t="str">
        <f aca="false">IF(M305="","",SUM(T305:Z305)+AC305)</f>
        <v/>
      </c>
      <c r="AE305" s="30" t="str">
        <f aca="false">IF(OR(M305="",N305=""),"",M305-N305)</f>
        <v/>
      </c>
      <c r="AF305" s="30" t="str">
        <f aca="false">IF(AE305="","",AE305-AD305)</f>
        <v/>
      </c>
      <c r="AG305" s="28" t="str">
        <f aca="false">IF(OR(AF305="",M305=0),"",AF305/M305)</f>
        <v/>
      </c>
      <c r="AH305" s="32" t="str">
        <f aca="false">IF(OR(AE305="",N305=0),"",AE305/(N305/1000))</f>
        <v/>
      </c>
      <c r="AI305" s="30" t="str">
        <f aca="false">IF(O305="","",M305*P305)</f>
        <v/>
      </c>
      <c r="AJ305" s="11" t="str">
        <f aca="false">IF(O305="","",IF(O305&gt;1,"Error: rend &gt; 100 %",IF(SUM(T305:Z305)=0,"Falta registrar pérdidas",IF(ABS(AG305)&gt;Parámetros!$B$7,"Revisar balance",IF(O305&lt;P305,"Bajo meta","OK")))))</f>
        <v/>
      </c>
      <c r="AK305" s="33"/>
      <c r="AL305" s="10"/>
      <c r="AM305" s="33"/>
      <c r="AN305" s="33"/>
      <c r="AO305" s="10"/>
    </row>
    <row r="306" customFormat="false" ht="15" hidden="false" customHeight="false" outlineLevel="0" collapsed="false">
      <c r="A306" s="22"/>
      <c r="B306" s="23" t="str">
        <f aca="false">IF(A306="","",YEAR(A306-WEEKDAY(A306,2)+4))</f>
        <v/>
      </c>
      <c r="C306" s="23" t="str">
        <f aca="false">IF(A306="","",WEEKNUM(A306,21))</f>
        <v/>
      </c>
      <c r="D306" s="24" t="str">
        <f aca="false">IF(A306="","",DATE(YEAR(A306),MONTH(A306),1))</f>
        <v/>
      </c>
      <c r="E306" s="10"/>
      <c r="F306" s="25"/>
      <c r="G306" s="25"/>
      <c r="H306" s="10"/>
      <c r="I306" s="10"/>
      <c r="J306" s="26"/>
      <c r="K306" s="25"/>
      <c r="L306" s="26"/>
      <c r="M306" s="27"/>
      <c r="N306" s="27"/>
      <c r="O306" s="28" t="str">
        <f aca="false">IF(OR(M306="",M306=0,N306=""),"",N306/M306)</f>
        <v/>
      </c>
      <c r="P306" s="28" t="str">
        <f aca="false">IF(M306="","",IFERROR(IF(INDEX(Parámetros!$B$14:$B$21,MATCH(I306,Parámetros!$A$14:$A$21,0))="",Parámetros!$B$5,INDEX(Parámetros!$B$14:$B$21,MATCH(I306,Parámetros!$A$14:$A$21,0))),Parámetros!$B$5))</f>
        <v/>
      </c>
      <c r="Q306" s="29" t="str">
        <f aca="false">IF(O306="","",(O306-P306)*100)</f>
        <v/>
      </c>
      <c r="R306" s="30" t="str">
        <f aca="false">IF(O306="","",MAX(0,M306*(P306-O306)))</f>
        <v/>
      </c>
      <c r="S306" s="31" t="str">
        <f aca="false">IF(OR(L306="",L306=0,N306=""),"",N306/1000/L306)</f>
        <v/>
      </c>
      <c r="T306" s="27"/>
      <c r="U306" s="27"/>
      <c r="V306" s="27"/>
      <c r="W306" s="27"/>
      <c r="X306" s="27"/>
      <c r="Y306" s="27"/>
      <c r="Z306" s="27"/>
      <c r="AA306" s="25"/>
      <c r="AB306" s="27"/>
      <c r="AC306" s="30" t="str">
        <f aca="false">IF(M306="","",IF(AB306="",M306*Parámetros!$B$6,AB306))</f>
        <v/>
      </c>
      <c r="AD306" s="30" t="str">
        <f aca="false">IF(M306="","",SUM(T306:Z306)+AC306)</f>
        <v/>
      </c>
      <c r="AE306" s="30" t="str">
        <f aca="false">IF(OR(M306="",N306=""),"",M306-N306)</f>
        <v/>
      </c>
      <c r="AF306" s="30" t="str">
        <f aca="false">IF(AE306="","",AE306-AD306)</f>
        <v/>
      </c>
      <c r="AG306" s="28" t="str">
        <f aca="false">IF(OR(AF306="",M306=0),"",AF306/M306)</f>
        <v/>
      </c>
      <c r="AH306" s="32" t="str">
        <f aca="false">IF(OR(AE306="",N306=0),"",AE306/(N306/1000))</f>
        <v/>
      </c>
      <c r="AI306" s="30" t="str">
        <f aca="false">IF(O306="","",M306*P306)</f>
        <v/>
      </c>
      <c r="AJ306" s="11" t="str">
        <f aca="false">IF(O306="","",IF(O306&gt;1,"Error: rend &gt; 100 %",IF(SUM(T306:Z306)=0,"Falta registrar pérdidas",IF(ABS(AG306)&gt;Parámetros!$B$7,"Revisar balance",IF(O306&lt;P306,"Bajo meta","OK")))))</f>
        <v/>
      </c>
      <c r="AK306" s="33"/>
      <c r="AL306" s="10"/>
      <c r="AM306" s="33"/>
      <c r="AN306" s="33"/>
      <c r="AO306" s="10"/>
    </row>
    <row r="307" customFormat="false" ht="15" hidden="false" customHeight="false" outlineLevel="0" collapsed="false">
      <c r="A307" s="22"/>
      <c r="B307" s="23" t="str">
        <f aca="false">IF(A307="","",YEAR(A307-WEEKDAY(A307,2)+4))</f>
        <v/>
      </c>
      <c r="C307" s="23" t="str">
        <f aca="false">IF(A307="","",WEEKNUM(A307,21))</f>
        <v/>
      </c>
      <c r="D307" s="24" t="str">
        <f aca="false">IF(A307="","",DATE(YEAR(A307),MONTH(A307),1))</f>
        <v/>
      </c>
      <c r="E307" s="10"/>
      <c r="F307" s="25"/>
      <c r="G307" s="25"/>
      <c r="H307" s="10"/>
      <c r="I307" s="10"/>
      <c r="J307" s="26"/>
      <c r="K307" s="25"/>
      <c r="L307" s="26"/>
      <c r="M307" s="27"/>
      <c r="N307" s="27"/>
      <c r="O307" s="28" t="str">
        <f aca="false">IF(OR(M307="",M307=0,N307=""),"",N307/M307)</f>
        <v/>
      </c>
      <c r="P307" s="28" t="str">
        <f aca="false">IF(M307="","",IFERROR(IF(INDEX(Parámetros!$B$14:$B$21,MATCH(I307,Parámetros!$A$14:$A$21,0))="",Parámetros!$B$5,INDEX(Parámetros!$B$14:$B$21,MATCH(I307,Parámetros!$A$14:$A$21,0))),Parámetros!$B$5))</f>
        <v/>
      </c>
      <c r="Q307" s="29" t="str">
        <f aca="false">IF(O307="","",(O307-P307)*100)</f>
        <v/>
      </c>
      <c r="R307" s="30" t="str">
        <f aca="false">IF(O307="","",MAX(0,M307*(P307-O307)))</f>
        <v/>
      </c>
      <c r="S307" s="31" t="str">
        <f aca="false">IF(OR(L307="",L307=0,N307=""),"",N307/1000/L307)</f>
        <v/>
      </c>
      <c r="T307" s="27"/>
      <c r="U307" s="27"/>
      <c r="V307" s="27"/>
      <c r="W307" s="27"/>
      <c r="X307" s="27"/>
      <c r="Y307" s="27"/>
      <c r="Z307" s="27"/>
      <c r="AA307" s="25"/>
      <c r="AB307" s="27"/>
      <c r="AC307" s="30" t="str">
        <f aca="false">IF(M307="","",IF(AB307="",M307*Parámetros!$B$6,AB307))</f>
        <v/>
      </c>
      <c r="AD307" s="30" t="str">
        <f aca="false">IF(M307="","",SUM(T307:Z307)+AC307)</f>
        <v/>
      </c>
      <c r="AE307" s="30" t="str">
        <f aca="false">IF(OR(M307="",N307=""),"",M307-N307)</f>
        <v/>
      </c>
      <c r="AF307" s="30" t="str">
        <f aca="false">IF(AE307="","",AE307-AD307)</f>
        <v/>
      </c>
      <c r="AG307" s="28" t="str">
        <f aca="false">IF(OR(AF307="",M307=0),"",AF307/M307)</f>
        <v/>
      </c>
      <c r="AH307" s="32" t="str">
        <f aca="false">IF(OR(AE307="",N307=0),"",AE307/(N307/1000))</f>
        <v/>
      </c>
      <c r="AI307" s="30" t="str">
        <f aca="false">IF(O307="","",M307*P307)</f>
        <v/>
      </c>
      <c r="AJ307" s="11" t="str">
        <f aca="false">IF(O307="","",IF(O307&gt;1,"Error: rend &gt; 100 %",IF(SUM(T307:Z307)=0,"Falta registrar pérdidas",IF(ABS(AG307)&gt;Parámetros!$B$7,"Revisar balance",IF(O307&lt;P307,"Bajo meta","OK")))))</f>
        <v/>
      </c>
      <c r="AK307" s="33"/>
      <c r="AL307" s="10"/>
      <c r="AM307" s="33"/>
      <c r="AN307" s="33"/>
      <c r="AO307" s="10"/>
    </row>
    <row r="308" customFormat="false" ht="15" hidden="false" customHeight="false" outlineLevel="0" collapsed="false">
      <c r="A308" s="22"/>
      <c r="B308" s="23" t="str">
        <f aca="false">IF(A308="","",YEAR(A308-WEEKDAY(A308,2)+4))</f>
        <v/>
      </c>
      <c r="C308" s="23" t="str">
        <f aca="false">IF(A308="","",WEEKNUM(A308,21))</f>
        <v/>
      </c>
      <c r="D308" s="24" t="str">
        <f aca="false">IF(A308="","",DATE(YEAR(A308),MONTH(A308),1))</f>
        <v/>
      </c>
      <c r="E308" s="10"/>
      <c r="F308" s="25"/>
      <c r="G308" s="25"/>
      <c r="H308" s="10"/>
      <c r="I308" s="10"/>
      <c r="J308" s="26"/>
      <c r="K308" s="25"/>
      <c r="L308" s="26"/>
      <c r="M308" s="27"/>
      <c r="N308" s="27"/>
      <c r="O308" s="28" t="str">
        <f aca="false">IF(OR(M308="",M308=0,N308=""),"",N308/M308)</f>
        <v/>
      </c>
      <c r="P308" s="28" t="str">
        <f aca="false">IF(M308="","",IFERROR(IF(INDEX(Parámetros!$B$14:$B$21,MATCH(I308,Parámetros!$A$14:$A$21,0))="",Parámetros!$B$5,INDEX(Parámetros!$B$14:$B$21,MATCH(I308,Parámetros!$A$14:$A$21,0))),Parámetros!$B$5))</f>
        <v/>
      </c>
      <c r="Q308" s="29" t="str">
        <f aca="false">IF(O308="","",(O308-P308)*100)</f>
        <v/>
      </c>
      <c r="R308" s="30" t="str">
        <f aca="false">IF(O308="","",MAX(0,M308*(P308-O308)))</f>
        <v/>
      </c>
      <c r="S308" s="31" t="str">
        <f aca="false">IF(OR(L308="",L308=0,N308=""),"",N308/1000/L308)</f>
        <v/>
      </c>
      <c r="T308" s="27"/>
      <c r="U308" s="27"/>
      <c r="V308" s="27"/>
      <c r="W308" s="27"/>
      <c r="X308" s="27"/>
      <c r="Y308" s="27"/>
      <c r="Z308" s="27"/>
      <c r="AA308" s="25"/>
      <c r="AB308" s="27"/>
      <c r="AC308" s="30" t="str">
        <f aca="false">IF(M308="","",IF(AB308="",M308*Parámetros!$B$6,AB308))</f>
        <v/>
      </c>
      <c r="AD308" s="30" t="str">
        <f aca="false">IF(M308="","",SUM(T308:Z308)+AC308)</f>
        <v/>
      </c>
      <c r="AE308" s="30" t="str">
        <f aca="false">IF(OR(M308="",N308=""),"",M308-N308)</f>
        <v/>
      </c>
      <c r="AF308" s="30" t="str">
        <f aca="false">IF(AE308="","",AE308-AD308)</f>
        <v/>
      </c>
      <c r="AG308" s="28" t="str">
        <f aca="false">IF(OR(AF308="",M308=0),"",AF308/M308)</f>
        <v/>
      </c>
      <c r="AH308" s="32" t="str">
        <f aca="false">IF(OR(AE308="",N308=0),"",AE308/(N308/1000))</f>
        <v/>
      </c>
      <c r="AI308" s="30" t="str">
        <f aca="false">IF(O308="","",M308*P308)</f>
        <v/>
      </c>
      <c r="AJ308" s="11" t="str">
        <f aca="false">IF(O308="","",IF(O308&gt;1,"Error: rend &gt; 100 %",IF(SUM(T308:Z308)=0,"Falta registrar pérdidas",IF(ABS(AG308)&gt;Parámetros!$B$7,"Revisar balance",IF(O308&lt;P308,"Bajo meta","OK")))))</f>
        <v/>
      </c>
      <c r="AK308" s="33"/>
      <c r="AL308" s="10"/>
      <c r="AM308" s="33"/>
      <c r="AN308" s="33"/>
      <c r="AO308" s="10"/>
    </row>
    <row r="309" customFormat="false" ht="15" hidden="false" customHeight="false" outlineLevel="0" collapsed="false">
      <c r="A309" s="22"/>
      <c r="B309" s="23" t="str">
        <f aca="false">IF(A309="","",YEAR(A309-WEEKDAY(A309,2)+4))</f>
        <v/>
      </c>
      <c r="C309" s="23" t="str">
        <f aca="false">IF(A309="","",WEEKNUM(A309,21))</f>
        <v/>
      </c>
      <c r="D309" s="24" t="str">
        <f aca="false">IF(A309="","",DATE(YEAR(A309),MONTH(A309),1))</f>
        <v/>
      </c>
      <c r="E309" s="10"/>
      <c r="F309" s="25"/>
      <c r="G309" s="25"/>
      <c r="H309" s="10"/>
      <c r="I309" s="10"/>
      <c r="J309" s="26"/>
      <c r="K309" s="25"/>
      <c r="L309" s="26"/>
      <c r="M309" s="27"/>
      <c r="N309" s="27"/>
      <c r="O309" s="28" t="str">
        <f aca="false">IF(OR(M309="",M309=0,N309=""),"",N309/M309)</f>
        <v/>
      </c>
      <c r="P309" s="28" t="str">
        <f aca="false">IF(M309="","",IFERROR(IF(INDEX(Parámetros!$B$14:$B$21,MATCH(I309,Parámetros!$A$14:$A$21,0))="",Parámetros!$B$5,INDEX(Parámetros!$B$14:$B$21,MATCH(I309,Parámetros!$A$14:$A$21,0))),Parámetros!$B$5))</f>
        <v/>
      </c>
      <c r="Q309" s="29" t="str">
        <f aca="false">IF(O309="","",(O309-P309)*100)</f>
        <v/>
      </c>
      <c r="R309" s="30" t="str">
        <f aca="false">IF(O309="","",MAX(0,M309*(P309-O309)))</f>
        <v/>
      </c>
      <c r="S309" s="31" t="str">
        <f aca="false">IF(OR(L309="",L309=0,N309=""),"",N309/1000/L309)</f>
        <v/>
      </c>
      <c r="T309" s="27"/>
      <c r="U309" s="27"/>
      <c r="V309" s="27"/>
      <c r="W309" s="27"/>
      <c r="X309" s="27"/>
      <c r="Y309" s="27"/>
      <c r="Z309" s="27"/>
      <c r="AA309" s="25"/>
      <c r="AB309" s="27"/>
      <c r="AC309" s="30" t="str">
        <f aca="false">IF(M309="","",IF(AB309="",M309*Parámetros!$B$6,AB309))</f>
        <v/>
      </c>
      <c r="AD309" s="30" t="str">
        <f aca="false">IF(M309="","",SUM(T309:Z309)+AC309)</f>
        <v/>
      </c>
      <c r="AE309" s="30" t="str">
        <f aca="false">IF(OR(M309="",N309=""),"",M309-N309)</f>
        <v/>
      </c>
      <c r="AF309" s="30" t="str">
        <f aca="false">IF(AE309="","",AE309-AD309)</f>
        <v/>
      </c>
      <c r="AG309" s="28" t="str">
        <f aca="false">IF(OR(AF309="",M309=0),"",AF309/M309)</f>
        <v/>
      </c>
      <c r="AH309" s="32" t="str">
        <f aca="false">IF(OR(AE309="",N309=0),"",AE309/(N309/1000))</f>
        <v/>
      </c>
      <c r="AI309" s="30" t="str">
        <f aca="false">IF(O309="","",M309*P309)</f>
        <v/>
      </c>
      <c r="AJ309" s="11" t="str">
        <f aca="false">IF(O309="","",IF(O309&gt;1,"Error: rend &gt; 100 %",IF(SUM(T309:Z309)=0,"Falta registrar pérdidas",IF(ABS(AG309)&gt;Parámetros!$B$7,"Revisar balance",IF(O309&lt;P309,"Bajo meta","OK")))))</f>
        <v/>
      </c>
      <c r="AK309" s="33"/>
      <c r="AL309" s="10"/>
      <c r="AM309" s="33"/>
      <c r="AN309" s="33"/>
      <c r="AO309" s="10"/>
    </row>
    <row r="310" customFormat="false" ht="15" hidden="false" customHeight="false" outlineLevel="0" collapsed="false">
      <c r="A310" s="22"/>
      <c r="B310" s="23" t="str">
        <f aca="false">IF(A310="","",YEAR(A310-WEEKDAY(A310,2)+4))</f>
        <v/>
      </c>
      <c r="C310" s="23" t="str">
        <f aca="false">IF(A310="","",WEEKNUM(A310,21))</f>
        <v/>
      </c>
      <c r="D310" s="24" t="str">
        <f aca="false">IF(A310="","",DATE(YEAR(A310),MONTH(A310),1))</f>
        <v/>
      </c>
      <c r="E310" s="10"/>
      <c r="F310" s="25"/>
      <c r="G310" s="25"/>
      <c r="H310" s="10"/>
      <c r="I310" s="10"/>
      <c r="J310" s="26"/>
      <c r="K310" s="25"/>
      <c r="L310" s="26"/>
      <c r="M310" s="27"/>
      <c r="N310" s="27"/>
      <c r="O310" s="28" t="str">
        <f aca="false">IF(OR(M310="",M310=0,N310=""),"",N310/M310)</f>
        <v/>
      </c>
      <c r="P310" s="28" t="str">
        <f aca="false">IF(M310="","",IFERROR(IF(INDEX(Parámetros!$B$14:$B$21,MATCH(I310,Parámetros!$A$14:$A$21,0))="",Parámetros!$B$5,INDEX(Parámetros!$B$14:$B$21,MATCH(I310,Parámetros!$A$14:$A$21,0))),Parámetros!$B$5))</f>
        <v/>
      </c>
      <c r="Q310" s="29" t="str">
        <f aca="false">IF(O310="","",(O310-P310)*100)</f>
        <v/>
      </c>
      <c r="R310" s="30" t="str">
        <f aca="false">IF(O310="","",MAX(0,M310*(P310-O310)))</f>
        <v/>
      </c>
      <c r="S310" s="31" t="str">
        <f aca="false">IF(OR(L310="",L310=0,N310=""),"",N310/1000/L310)</f>
        <v/>
      </c>
      <c r="T310" s="27"/>
      <c r="U310" s="27"/>
      <c r="V310" s="27"/>
      <c r="W310" s="27"/>
      <c r="X310" s="27"/>
      <c r="Y310" s="27"/>
      <c r="Z310" s="27"/>
      <c r="AA310" s="25"/>
      <c r="AB310" s="27"/>
      <c r="AC310" s="30" t="str">
        <f aca="false">IF(M310="","",IF(AB310="",M310*Parámetros!$B$6,AB310))</f>
        <v/>
      </c>
      <c r="AD310" s="30" t="str">
        <f aca="false">IF(M310="","",SUM(T310:Z310)+AC310)</f>
        <v/>
      </c>
      <c r="AE310" s="30" t="str">
        <f aca="false">IF(OR(M310="",N310=""),"",M310-N310)</f>
        <v/>
      </c>
      <c r="AF310" s="30" t="str">
        <f aca="false">IF(AE310="","",AE310-AD310)</f>
        <v/>
      </c>
      <c r="AG310" s="28" t="str">
        <f aca="false">IF(OR(AF310="",M310=0),"",AF310/M310)</f>
        <v/>
      </c>
      <c r="AH310" s="32" t="str">
        <f aca="false">IF(OR(AE310="",N310=0),"",AE310/(N310/1000))</f>
        <v/>
      </c>
      <c r="AI310" s="30" t="str">
        <f aca="false">IF(O310="","",M310*P310)</f>
        <v/>
      </c>
      <c r="AJ310" s="11" t="str">
        <f aca="false">IF(O310="","",IF(O310&gt;1,"Error: rend &gt; 100 %",IF(SUM(T310:Z310)=0,"Falta registrar pérdidas",IF(ABS(AG310)&gt;Parámetros!$B$7,"Revisar balance",IF(O310&lt;P310,"Bajo meta","OK")))))</f>
        <v/>
      </c>
      <c r="AK310" s="33"/>
      <c r="AL310" s="10"/>
      <c r="AM310" s="33"/>
      <c r="AN310" s="33"/>
      <c r="AO310" s="10"/>
    </row>
    <row r="311" customFormat="false" ht="15" hidden="false" customHeight="false" outlineLevel="0" collapsed="false">
      <c r="A311" s="22"/>
      <c r="B311" s="23" t="str">
        <f aca="false">IF(A311="","",YEAR(A311-WEEKDAY(A311,2)+4))</f>
        <v/>
      </c>
      <c r="C311" s="23" t="str">
        <f aca="false">IF(A311="","",WEEKNUM(A311,21))</f>
        <v/>
      </c>
      <c r="D311" s="24" t="str">
        <f aca="false">IF(A311="","",DATE(YEAR(A311),MONTH(A311),1))</f>
        <v/>
      </c>
      <c r="E311" s="10"/>
      <c r="F311" s="25"/>
      <c r="G311" s="25"/>
      <c r="H311" s="10"/>
      <c r="I311" s="10"/>
      <c r="J311" s="26"/>
      <c r="K311" s="25"/>
      <c r="L311" s="26"/>
      <c r="M311" s="27"/>
      <c r="N311" s="27"/>
      <c r="O311" s="28" t="str">
        <f aca="false">IF(OR(M311="",M311=0,N311=""),"",N311/M311)</f>
        <v/>
      </c>
      <c r="P311" s="28" t="str">
        <f aca="false">IF(M311="","",IFERROR(IF(INDEX(Parámetros!$B$14:$B$21,MATCH(I311,Parámetros!$A$14:$A$21,0))="",Parámetros!$B$5,INDEX(Parámetros!$B$14:$B$21,MATCH(I311,Parámetros!$A$14:$A$21,0))),Parámetros!$B$5))</f>
        <v/>
      </c>
      <c r="Q311" s="29" t="str">
        <f aca="false">IF(O311="","",(O311-P311)*100)</f>
        <v/>
      </c>
      <c r="R311" s="30" t="str">
        <f aca="false">IF(O311="","",MAX(0,M311*(P311-O311)))</f>
        <v/>
      </c>
      <c r="S311" s="31" t="str">
        <f aca="false">IF(OR(L311="",L311=0,N311=""),"",N311/1000/L311)</f>
        <v/>
      </c>
      <c r="T311" s="27"/>
      <c r="U311" s="27"/>
      <c r="V311" s="27"/>
      <c r="W311" s="27"/>
      <c r="X311" s="27"/>
      <c r="Y311" s="27"/>
      <c r="Z311" s="27"/>
      <c r="AA311" s="25"/>
      <c r="AB311" s="27"/>
      <c r="AC311" s="30" t="str">
        <f aca="false">IF(M311="","",IF(AB311="",M311*Parámetros!$B$6,AB311))</f>
        <v/>
      </c>
      <c r="AD311" s="30" t="str">
        <f aca="false">IF(M311="","",SUM(T311:Z311)+AC311)</f>
        <v/>
      </c>
      <c r="AE311" s="30" t="str">
        <f aca="false">IF(OR(M311="",N311=""),"",M311-N311)</f>
        <v/>
      </c>
      <c r="AF311" s="30" t="str">
        <f aca="false">IF(AE311="","",AE311-AD311)</f>
        <v/>
      </c>
      <c r="AG311" s="28" t="str">
        <f aca="false">IF(OR(AF311="",M311=0),"",AF311/M311)</f>
        <v/>
      </c>
      <c r="AH311" s="32" t="str">
        <f aca="false">IF(OR(AE311="",N311=0),"",AE311/(N311/1000))</f>
        <v/>
      </c>
      <c r="AI311" s="30" t="str">
        <f aca="false">IF(O311="","",M311*P311)</f>
        <v/>
      </c>
      <c r="AJ311" s="11" t="str">
        <f aca="false">IF(O311="","",IF(O311&gt;1,"Error: rend &gt; 100 %",IF(SUM(T311:Z311)=0,"Falta registrar pérdidas",IF(ABS(AG311)&gt;Parámetros!$B$7,"Revisar balance",IF(O311&lt;P311,"Bajo meta","OK")))))</f>
        <v/>
      </c>
      <c r="AK311" s="33"/>
      <c r="AL311" s="10"/>
      <c r="AM311" s="33"/>
      <c r="AN311" s="33"/>
      <c r="AO311" s="10"/>
    </row>
    <row r="312" customFormat="false" ht="15" hidden="false" customHeight="false" outlineLevel="0" collapsed="false">
      <c r="A312" s="22"/>
      <c r="B312" s="23" t="str">
        <f aca="false">IF(A312="","",YEAR(A312-WEEKDAY(A312,2)+4))</f>
        <v/>
      </c>
      <c r="C312" s="23" t="str">
        <f aca="false">IF(A312="","",WEEKNUM(A312,21))</f>
        <v/>
      </c>
      <c r="D312" s="24" t="str">
        <f aca="false">IF(A312="","",DATE(YEAR(A312),MONTH(A312),1))</f>
        <v/>
      </c>
      <c r="E312" s="10"/>
      <c r="F312" s="25"/>
      <c r="G312" s="25"/>
      <c r="H312" s="10"/>
      <c r="I312" s="10"/>
      <c r="J312" s="26"/>
      <c r="K312" s="25"/>
      <c r="L312" s="26"/>
      <c r="M312" s="27"/>
      <c r="N312" s="27"/>
      <c r="O312" s="28" t="str">
        <f aca="false">IF(OR(M312="",M312=0,N312=""),"",N312/M312)</f>
        <v/>
      </c>
      <c r="P312" s="28" t="str">
        <f aca="false">IF(M312="","",IFERROR(IF(INDEX(Parámetros!$B$14:$B$21,MATCH(I312,Parámetros!$A$14:$A$21,0))="",Parámetros!$B$5,INDEX(Parámetros!$B$14:$B$21,MATCH(I312,Parámetros!$A$14:$A$21,0))),Parámetros!$B$5))</f>
        <v/>
      </c>
      <c r="Q312" s="29" t="str">
        <f aca="false">IF(O312="","",(O312-P312)*100)</f>
        <v/>
      </c>
      <c r="R312" s="30" t="str">
        <f aca="false">IF(O312="","",MAX(0,M312*(P312-O312)))</f>
        <v/>
      </c>
      <c r="S312" s="31" t="str">
        <f aca="false">IF(OR(L312="",L312=0,N312=""),"",N312/1000/L312)</f>
        <v/>
      </c>
      <c r="T312" s="27"/>
      <c r="U312" s="27"/>
      <c r="V312" s="27"/>
      <c r="W312" s="27"/>
      <c r="X312" s="27"/>
      <c r="Y312" s="27"/>
      <c r="Z312" s="27"/>
      <c r="AA312" s="25"/>
      <c r="AB312" s="27"/>
      <c r="AC312" s="30" t="str">
        <f aca="false">IF(M312="","",IF(AB312="",M312*Parámetros!$B$6,AB312))</f>
        <v/>
      </c>
      <c r="AD312" s="30" t="str">
        <f aca="false">IF(M312="","",SUM(T312:Z312)+AC312)</f>
        <v/>
      </c>
      <c r="AE312" s="30" t="str">
        <f aca="false">IF(OR(M312="",N312=""),"",M312-N312)</f>
        <v/>
      </c>
      <c r="AF312" s="30" t="str">
        <f aca="false">IF(AE312="","",AE312-AD312)</f>
        <v/>
      </c>
      <c r="AG312" s="28" t="str">
        <f aca="false">IF(OR(AF312="",M312=0),"",AF312/M312)</f>
        <v/>
      </c>
      <c r="AH312" s="32" t="str">
        <f aca="false">IF(OR(AE312="",N312=0),"",AE312/(N312/1000))</f>
        <v/>
      </c>
      <c r="AI312" s="30" t="str">
        <f aca="false">IF(O312="","",M312*P312)</f>
        <v/>
      </c>
      <c r="AJ312" s="11" t="str">
        <f aca="false">IF(O312="","",IF(O312&gt;1,"Error: rend &gt; 100 %",IF(SUM(T312:Z312)=0,"Falta registrar pérdidas",IF(ABS(AG312)&gt;Parámetros!$B$7,"Revisar balance",IF(O312&lt;P312,"Bajo meta","OK")))))</f>
        <v/>
      </c>
      <c r="AK312" s="33"/>
      <c r="AL312" s="10"/>
      <c r="AM312" s="33"/>
      <c r="AN312" s="33"/>
      <c r="AO312" s="10"/>
    </row>
    <row r="313" customFormat="false" ht="15" hidden="false" customHeight="false" outlineLevel="0" collapsed="false">
      <c r="A313" s="22"/>
      <c r="B313" s="23" t="str">
        <f aca="false">IF(A313="","",YEAR(A313-WEEKDAY(A313,2)+4))</f>
        <v/>
      </c>
      <c r="C313" s="23" t="str">
        <f aca="false">IF(A313="","",WEEKNUM(A313,21))</f>
        <v/>
      </c>
      <c r="D313" s="24" t="str">
        <f aca="false">IF(A313="","",DATE(YEAR(A313),MONTH(A313),1))</f>
        <v/>
      </c>
      <c r="E313" s="10"/>
      <c r="F313" s="25"/>
      <c r="G313" s="25"/>
      <c r="H313" s="10"/>
      <c r="I313" s="10"/>
      <c r="J313" s="26"/>
      <c r="K313" s="25"/>
      <c r="L313" s="26"/>
      <c r="M313" s="27"/>
      <c r="N313" s="27"/>
      <c r="O313" s="28" t="str">
        <f aca="false">IF(OR(M313="",M313=0,N313=""),"",N313/M313)</f>
        <v/>
      </c>
      <c r="P313" s="28" t="str">
        <f aca="false">IF(M313="","",IFERROR(IF(INDEX(Parámetros!$B$14:$B$21,MATCH(I313,Parámetros!$A$14:$A$21,0))="",Parámetros!$B$5,INDEX(Parámetros!$B$14:$B$21,MATCH(I313,Parámetros!$A$14:$A$21,0))),Parámetros!$B$5))</f>
        <v/>
      </c>
      <c r="Q313" s="29" t="str">
        <f aca="false">IF(O313="","",(O313-P313)*100)</f>
        <v/>
      </c>
      <c r="R313" s="30" t="str">
        <f aca="false">IF(O313="","",MAX(0,M313*(P313-O313)))</f>
        <v/>
      </c>
      <c r="S313" s="31" t="str">
        <f aca="false">IF(OR(L313="",L313=0,N313=""),"",N313/1000/L313)</f>
        <v/>
      </c>
      <c r="T313" s="27"/>
      <c r="U313" s="27"/>
      <c r="V313" s="27"/>
      <c r="W313" s="27"/>
      <c r="X313" s="27"/>
      <c r="Y313" s="27"/>
      <c r="Z313" s="27"/>
      <c r="AA313" s="25"/>
      <c r="AB313" s="27"/>
      <c r="AC313" s="30" t="str">
        <f aca="false">IF(M313="","",IF(AB313="",M313*Parámetros!$B$6,AB313))</f>
        <v/>
      </c>
      <c r="AD313" s="30" t="str">
        <f aca="false">IF(M313="","",SUM(T313:Z313)+AC313)</f>
        <v/>
      </c>
      <c r="AE313" s="30" t="str">
        <f aca="false">IF(OR(M313="",N313=""),"",M313-N313)</f>
        <v/>
      </c>
      <c r="AF313" s="30" t="str">
        <f aca="false">IF(AE313="","",AE313-AD313)</f>
        <v/>
      </c>
      <c r="AG313" s="28" t="str">
        <f aca="false">IF(OR(AF313="",M313=0),"",AF313/M313)</f>
        <v/>
      </c>
      <c r="AH313" s="32" t="str">
        <f aca="false">IF(OR(AE313="",N313=0),"",AE313/(N313/1000))</f>
        <v/>
      </c>
      <c r="AI313" s="30" t="str">
        <f aca="false">IF(O313="","",M313*P313)</f>
        <v/>
      </c>
      <c r="AJ313" s="11" t="str">
        <f aca="false">IF(O313="","",IF(O313&gt;1,"Error: rend &gt; 100 %",IF(SUM(T313:Z313)=0,"Falta registrar pérdidas",IF(ABS(AG313)&gt;Parámetros!$B$7,"Revisar balance",IF(O313&lt;P313,"Bajo meta","OK")))))</f>
        <v/>
      </c>
      <c r="AK313" s="33"/>
      <c r="AL313" s="10"/>
      <c r="AM313" s="33"/>
      <c r="AN313" s="33"/>
      <c r="AO313" s="10"/>
    </row>
    <row r="314" customFormat="false" ht="15" hidden="false" customHeight="false" outlineLevel="0" collapsed="false">
      <c r="A314" s="22"/>
      <c r="B314" s="23" t="str">
        <f aca="false">IF(A314="","",YEAR(A314-WEEKDAY(A314,2)+4))</f>
        <v/>
      </c>
      <c r="C314" s="23" t="str">
        <f aca="false">IF(A314="","",WEEKNUM(A314,21))</f>
        <v/>
      </c>
      <c r="D314" s="24" t="str">
        <f aca="false">IF(A314="","",DATE(YEAR(A314),MONTH(A314),1))</f>
        <v/>
      </c>
      <c r="E314" s="10"/>
      <c r="F314" s="25"/>
      <c r="G314" s="25"/>
      <c r="H314" s="10"/>
      <c r="I314" s="10"/>
      <c r="J314" s="26"/>
      <c r="K314" s="25"/>
      <c r="L314" s="26"/>
      <c r="M314" s="27"/>
      <c r="N314" s="27"/>
      <c r="O314" s="28" t="str">
        <f aca="false">IF(OR(M314="",M314=0,N314=""),"",N314/M314)</f>
        <v/>
      </c>
      <c r="P314" s="28" t="str">
        <f aca="false">IF(M314="","",IFERROR(IF(INDEX(Parámetros!$B$14:$B$21,MATCH(I314,Parámetros!$A$14:$A$21,0))="",Parámetros!$B$5,INDEX(Parámetros!$B$14:$B$21,MATCH(I314,Parámetros!$A$14:$A$21,0))),Parámetros!$B$5))</f>
        <v/>
      </c>
      <c r="Q314" s="29" t="str">
        <f aca="false">IF(O314="","",(O314-P314)*100)</f>
        <v/>
      </c>
      <c r="R314" s="30" t="str">
        <f aca="false">IF(O314="","",MAX(0,M314*(P314-O314)))</f>
        <v/>
      </c>
      <c r="S314" s="31" t="str">
        <f aca="false">IF(OR(L314="",L314=0,N314=""),"",N314/1000/L314)</f>
        <v/>
      </c>
      <c r="T314" s="27"/>
      <c r="U314" s="27"/>
      <c r="V314" s="27"/>
      <c r="W314" s="27"/>
      <c r="X314" s="27"/>
      <c r="Y314" s="27"/>
      <c r="Z314" s="27"/>
      <c r="AA314" s="25"/>
      <c r="AB314" s="27"/>
      <c r="AC314" s="30" t="str">
        <f aca="false">IF(M314="","",IF(AB314="",M314*Parámetros!$B$6,AB314))</f>
        <v/>
      </c>
      <c r="AD314" s="30" t="str">
        <f aca="false">IF(M314="","",SUM(T314:Z314)+AC314)</f>
        <v/>
      </c>
      <c r="AE314" s="30" t="str">
        <f aca="false">IF(OR(M314="",N314=""),"",M314-N314)</f>
        <v/>
      </c>
      <c r="AF314" s="30" t="str">
        <f aca="false">IF(AE314="","",AE314-AD314)</f>
        <v/>
      </c>
      <c r="AG314" s="28" t="str">
        <f aca="false">IF(OR(AF314="",M314=0),"",AF314/M314)</f>
        <v/>
      </c>
      <c r="AH314" s="32" t="str">
        <f aca="false">IF(OR(AE314="",N314=0),"",AE314/(N314/1000))</f>
        <v/>
      </c>
      <c r="AI314" s="30" t="str">
        <f aca="false">IF(O314="","",M314*P314)</f>
        <v/>
      </c>
      <c r="AJ314" s="11" t="str">
        <f aca="false">IF(O314="","",IF(O314&gt;1,"Error: rend &gt; 100 %",IF(SUM(T314:Z314)=0,"Falta registrar pérdidas",IF(ABS(AG314)&gt;Parámetros!$B$7,"Revisar balance",IF(O314&lt;P314,"Bajo meta","OK")))))</f>
        <v/>
      </c>
      <c r="AK314" s="33"/>
      <c r="AL314" s="10"/>
      <c r="AM314" s="33"/>
      <c r="AN314" s="33"/>
      <c r="AO314" s="10"/>
    </row>
    <row r="315" customFormat="false" ht="15" hidden="false" customHeight="false" outlineLevel="0" collapsed="false">
      <c r="A315" s="22"/>
      <c r="B315" s="23" t="str">
        <f aca="false">IF(A315="","",YEAR(A315-WEEKDAY(A315,2)+4))</f>
        <v/>
      </c>
      <c r="C315" s="23" t="str">
        <f aca="false">IF(A315="","",WEEKNUM(A315,21))</f>
        <v/>
      </c>
      <c r="D315" s="24" t="str">
        <f aca="false">IF(A315="","",DATE(YEAR(A315),MONTH(A315),1))</f>
        <v/>
      </c>
      <c r="E315" s="10"/>
      <c r="F315" s="25"/>
      <c r="G315" s="25"/>
      <c r="H315" s="10"/>
      <c r="I315" s="10"/>
      <c r="J315" s="26"/>
      <c r="K315" s="25"/>
      <c r="L315" s="26"/>
      <c r="M315" s="27"/>
      <c r="N315" s="27"/>
      <c r="O315" s="28" t="str">
        <f aca="false">IF(OR(M315="",M315=0,N315=""),"",N315/M315)</f>
        <v/>
      </c>
      <c r="P315" s="28" t="str">
        <f aca="false">IF(M315="","",IFERROR(IF(INDEX(Parámetros!$B$14:$B$21,MATCH(I315,Parámetros!$A$14:$A$21,0))="",Parámetros!$B$5,INDEX(Parámetros!$B$14:$B$21,MATCH(I315,Parámetros!$A$14:$A$21,0))),Parámetros!$B$5))</f>
        <v/>
      </c>
      <c r="Q315" s="29" t="str">
        <f aca="false">IF(O315="","",(O315-P315)*100)</f>
        <v/>
      </c>
      <c r="R315" s="30" t="str">
        <f aca="false">IF(O315="","",MAX(0,M315*(P315-O315)))</f>
        <v/>
      </c>
      <c r="S315" s="31" t="str">
        <f aca="false">IF(OR(L315="",L315=0,N315=""),"",N315/1000/L315)</f>
        <v/>
      </c>
      <c r="T315" s="27"/>
      <c r="U315" s="27"/>
      <c r="V315" s="27"/>
      <c r="W315" s="27"/>
      <c r="X315" s="27"/>
      <c r="Y315" s="27"/>
      <c r="Z315" s="27"/>
      <c r="AA315" s="25"/>
      <c r="AB315" s="27"/>
      <c r="AC315" s="30" t="str">
        <f aca="false">IF(M315="","",IF(AB315="",M315*Parámetros!$B$6,AB315))</f>
        <v/>
      </c>
      <c r="AD315" s="30" t="str">
        <f aca="false">IF(M315="","",SUM(T315:Z315)+AC315)</f>
        <v/>
      </c>
      <c r="AE315" s="30" t="str">
        <f aca="false">IF(OR(M315="",N315=""),"",M315-N315)</f>
        <v/>
      </c>
      <c r="AF315" s="30" t="str">
        <f aca="false">IF(AE315="","",AE315-AD315)</f>
        <v/>
      </c>
      <c r="AG315" s="28" t="str">
        <f aca="false">IF(OR(AF315="",M315=0),"",AF315/M315)</f>
        <v/>
      </c>
      <c r="AH315" s="32" t="str">
        <f aca="false">IF(OR(AE315="",N315=0),"",AE315/(N315/1000))</f>
        <v/>
      </c>
      <c r="AI315" s="30" t="str">
        <f aca="false">IF(O315="","",M315*P315)</f>
        <v/>
      </c>
      <c r="AJ315" s="11" t="str">
        <f aca="false">IF(O315="","",IF(O315&gt;1,"Error: rend &gt; 100 %",IF(SUM(T315:Z315)=0,"Falta registrar pérdidas",IF(ABS(AG315)&gt;Parámetros!$B$7,"Revisar balance",IF(O315&lt;P315,"Bajo meta","OK")))))</f>
        <v/>
      </c>
      <c r="AK315" s="33"/>
      <c r="AL315" s="10"/>
      <c r="AM315" s="33"/>
      <c r="AN315" s="33"/>
      <c r="AO315" s="10"/>
    </row>
    <row r="316" customFormat="false" ht="15" hidden="false" customHeight="false" outlineLevel="0" collapsed="false">
      <c r="A316" s="22"/>
      <c r="B316" s="23" t="str">
        <f aca="false">IF(A316="","",YEAR(A316-WEEKDAY(A316,2)+4))</f>
        <v/>
      </c>
      <c r="C316" s="23" t="str">
        <f aca="false">IF(A316="","",WEEKNUM(A316,21))</f>
        <v/>
      </c>
      <c r="D316" s="24" t="str">
        <f aca="false">IF(A316="","",DATE(YEAR(A316),MONTH(A316),1))</f>
        <v/>
      </c>
      <c r="E316" s="10"/>
      <c r="F316" s="25"/>
      <c r="G316" s="25"/>
      <c r="H316" s="10"/>
      <c r="I316" s="10"/>
      <c r="J316" s="26"/>
      <c r="K316" s="25"/>
      <c r="L316" s="26"/>
      <c r="M316" s="27"/>
      <c r="N316" s="27"/>
      <c r="O316" s="28" t="str">
        <f aca="false">IF(OR(M316="",M316=0,N316=""),"",N316/M316)</f>
        <v/>
      </c>
      <c r="P316" s="28" t="str">
        <f aca="false">IF(M316="","",IFERROR(IF(INDEX(Parámetros!$B$14:$B$21,MATCH(I316,Parámetros!$A$14:$A$21,0))="",Parámetros!$B$5,INDEX(Parámetros!$B$14:$B$21,MATCH(I316,Parámetros!$A$14:$A$21,0))),Parámetros!$B$5))</f>
        <v/>
      </c>
      <c r="Q316" s="29" t="str">
        <f aca="false">IF(O316="","",(O316-P316)*100)</f>
        <v/>
      </c>
      <c r="R316" s="30" t="str">
        <f aca="false">IF(O316="","",MAX(0,M316*(P316-O316)))</f>
        <v/>
      </c>
      <c r="S316" s="31" t="str">
        <f aca="false">IF(OR(L316="",L316=0,N316=""),"",N316/1000/L316)</f>
        <v/>
      </c>
      <c r="T316" s="27"/>
      <c r="U316" s="27"/>
      <c r="V316" s="27"/>
      <c r="W316" s="27"/>
      <c r="X316" s="27"/>
      <c r="Y316" s="27"/>
      <c r="Z316" s="27"/>
      <c r="AA316" s="25"/>
      <c r="AB316" s="27"/>
      <c r="AC316" s="30" t="str">
        <f aca="false">IF(M316="","",IF(AB316="",M316*Parámetros!$B$6,AB316))</f>
        <v/>
      </c>
      <c r="AD316" s="30" t="str">
        <f aca="false">IF(M316="","",SUM(T316:Z316)+AC316)</f>
        <v/>
      </c>
      <c r="AE316" s="30" t="str">
        <f aca="false">IF(OR(M316="",N316=""),"",M316-N316)</f>
        <v/>
      </c>
      <c r="AF316" s="30" t="str">
        <f aca="false">IF(AE316="","",AE316-AD316)</f>
        <v/>
      </c>
      <c r="AG316" s="28" t="str">
        <f aca="false">IF(OR(AF316="",M316=0),"",AF316/M316)</f>
        <v/>
      </c>
      <c r="AH316" s="32" t="str">
        <f aca="false">IF(OR(AE316="",N316=0),"",AE316/(N316/1000))</f>
        <v/>
      </c>
      <c r="AI316" s="30" t="str">
        <f aca="false">IF(O316="","",M316*P316)</f>
        <v/>
      </c>
      <c r="AJ316" s="11" t="str">
        <f aca="false">IF(O316="","",IF(O316&gt;1,"Error: rend &gt; 100 %",IF(SUM(T316:Z316)=0,"Falta registrar pérdidas",IF(ABS(AG316)&gt;Parámetros!$B$7,"Revisar balance",IF(O316&lt;P316,"Bajo meta","OK")))))</f>
        <v/>
      </c>
      <c r="AK316" s="33"/>
      <c r="AL316" s="10"/>
      <c r="AM316" s="33"/>
      <c r="AN316" s="33"/>
      <c r="AO316" s="10"/>
    </row>
    <row r="317" customFormat="false" ht="15" hidden="false" customHeight="false" outlineLevel="0" collapsed="false">
      <c r="A317" s="22"/>
      <c r="B317" s="23" t="str">
        <f aca="false">IF(A317="","",YEAR(A317-WEEKDAY(A317,2)+4))</f>
        <v/>
      </c>
      <c r="C317" s="23" t="str">
        <f aca="false">IF(A317="","",WEEKNUM(A317,21))</f>
        <v/>
      </c>
      <c r="D317" s="24" t="str">
        <f aca="false">IF(A317="","",DATE(YEAR(A317),MONTH(A317),1))</f>
        <v/>
      </c>
      <c r="E317" s="10"/>
      <c r="F317" s="25"/>
      <c r="G317" s="25"/>
      <c r="H317" s="10"/>
      <c r="I317" s="10"/>
      <c r="J317" s="26"/>
      <c r="K317" s="25"/>
      <c r="L317" s="26"/>
      <c r="M317" s="27"/>
      <c r="N317" s="27"/>
      <c r="O317" s="28" t="str">
        <f aca="false">IF(OR(M317="",M317=0,N317=""),"",N317/M317)</f>
        <v/>
      </c>
      <c r="P317" s="28" t="str">
        <f aca="false">IF(M317="","",IFERROR(IF(INDEX(Parámetros!$B$14:$B$21,MATCH(I317,Parámetros!$A$14:$A$21,0))="",Parámetros!$B$5,INDEX(Parámetros!$B$14:$B$21,MATCH(I317,Parámetros!$A$14:$A$21,0))),Parámetros!$B$5))</f>
        <v/>
      </c>
      <c r="Q317" s="29" t="str">
        <f aca="false">IF(O317="","",(O317-P317)*100)</f>
        <v/>
      </c>
      <c r="R317" s="30" t="str">
        <f aca="false">IF(O317="","",MAX(0,M317*(P317-O317)))</f>
        <v/>
      </c>
      <c r="S317" s="31" t="str">
        <f aca="false">IF(OR(L317="",L317=0,N317=""),"",N317/1000/L317)</f>
        <v/>
      </c>
      <c r="T317" s="27"/>
      <c r="U317" s="27"/>
      <c r="V317" s="27"/>
      <c r="W317" s="27"/>
      <c r="X317" s="27"/>
      <c r="Y317" s="27"/>
      <c r="Z317" s="27"/>
      <c r="AA317" s="25"/>
      <c r="AB317" s="27"/>
      <c r="AC317" s="30" t="str">
        <f aca="false">IF(M317="","",IF(AB317="",M317*Parámetros!$B$6,AB317))</f>
        <v/>
      </c>
      <c r="AD317" s="30" t="str">
        <f aca="false">IF(M317="","",SUM(T317:Z317)+AC317)</f>
        <v/>
      </c>
      <c r="AE317" s="30" t="str">
        <f aca="false">IF(OR(M317="",N317=""),"",M317-N317)</f>
        <v/>
      </c>
      <c r="AF317" s="30" t="str">
        <f aca="false">IF(AE317="","",AE317-AD317)</f>
        <v/>
      </c>
      <c r="AG317" s="28" t="str">
        <f aca="false">IF(OR(AF317="",M317=0),"",AF317/M317)</f>
        <v/>
      </c>
      <c r="AH317" s="32" t="str">
        <f aca="false">IF(OR(AE317="",N317=0),"",AE317/(N317/1000))</f>
        <v/>
      </c>
      <c r="AI317" s="30" t="str">
        <f aca="false">IF(O317="","",M317*P317)</f>
        <v/>
      </c>
      <c r="AJ317" s="11" t="str">
        <f aca="false">IF(O317="","",IF(O317&gt;1,"Error: rend &gt; 100 %",IF(SUM(T317:Z317)=0,"Falta registrar pérdidas",IF(ABS(AG317)&gt;Parámetros!$B$7,"Revisar balance",IF(O317&lt;P317,"Bajo meta","OK")))))</f>
        <v/>
      </c>
      <c r="AK317" s="33"/>
      <c r="AL317" s="10"/>
      <c r="AM317" s="33"/>
      <c r="AN317" s="33"/>
      <c r="AO317" s="10"/>
    </row>
    <row r="318" customFormat="false" ht="15" hidden="false" customHeight="false" outlineLevel="0" collapsed="false">
      <c r="A318" s="22"/>
      <c r="B318" s="23" t="str">
        <f aca="false">IF(A318="","",YEAR(A318-WEEKDAY(A318,2)+4))</f>
        <v/>
      </c>
      <c r="C318" s="23" t="str">
        <f aca="false">IF(A318="","",WEEKNUM(A318,21))</f>
        <v/>
      </c>
      <c r="D318" s="24" t="str">
        <f aca="false">IF(A318="","",DATE(YEAR(A318),MONTH(A318),1))</f>
        <v/>
      </c>
      <c r="E318" s="10"/>
      <c r="F318" s="25"/>
      <c r="G318" s="25"/>
      <c r="H318" s="10"/>
      <c r="I318" s="10"/>
      <c r="J318" s="26"/>
      <c r="K318" s="25"/>
      <c r="L318" s="26"/>
      <c r="M318" s="27"/>
      <c r="N318" s="27"/>
      <c r="O318" s="28" t="str">
        <f aca="false">IF(OR(M318="",M318=0,N318=""),"",N318/M318)</f>
        <v/>
      </c>
      <c r="P318" s="28" t="str">
        <f aca="false">IF(M318="","",IFERROR(IF(INDEX(Parámetros!$B$14:$B$21,MATCH(I318,Parámetros!$A$14:$A$21,0))="",Parámetros!$B$5,INDEX(Parámetros!$B$14:$B$21,MATCH(I318,Parámetros!$A$14:$A$21,0))),Parámetros!$B$5))</f>
        <v/>
      </c>
      <c r="Q318" s="29" t="str">
        <f aca="false">IF(O318="","",(O318-P318)*100)</f>
        <v/>
      </c>
      <c r="R318" s="30" t="str">
        <f aca="false">IF(O318="","",MAX(0,M318*(P318-O318)))</f>
        <v/>
      </c>
      <c r="S318" s="31" t="str">
        <f aca="false">IF(OR(L318="",L318=0,N318=""),"",N318/1000/L318)</f>
        <v/>
      </c>
      <c r="T318" s="27"/>
      <c r="U318" s="27"/>
      <c r="V318" s="27"/>
      <c r="W318" s="27"/>
      <c r="X318" s="27"/>
      <c r="Y318" s="27"/>
      <c r="Z318" s="27"/>
      <c r="AA318" s="25"/>
      <c r="AB318" s="27"/>
      <c r="AC318" s="30" t="str">
        <f aca="false">IF(M318="","",IF(AB318="",M318*Parámetros!$B$6,AB318))</f>
        <v/>
      </c>
      <c r="AD318" s="30" t="str">
        <f aca="false">IF(M318="","",SUM(T318:Z318)+AC318)</f>
        <v/>
      </c>
      <c r="AE318" s="30" t="str">
        <f aca="false">IF(OR(M318="",N318=""),"",M318-N318)</f>
        <v/>
      </c>
      <c r="AF318" s="30" t="str">
        <f aca="false">IF(AE318="","",AE318-AD318)</f>
        <v/>
      </c>
      <c r="AG318" s="28" t="str">
        <f aca="false">IF(OR(AF318="",M318=0),"",AF318/M318)</f>
        <v/>
      </c>
      <c r="AH318" s="32" t="str">
        <f aca="false">IF(OR(AE318="",N318=0),"",AE318/(N318/1000))</f>
        <v/>
      </c>
      <c r="AI318" s="30" t="str">
        <f aca="false">IF(O318="","",M318*P318)</f>
        <v/>
      </c>
      <c r="AJ318" s="11" t="str">
        <f aca="false">IF(O318="","",IF(O318&gt;1,"Error: rend &gt; 100 %",IF(SUM(T318:Z318)=0,"Falta registrar pérdidas",IF(ABS(AG318)&gt;Parámetros!$B$7,"Revisar balance",IF(O318&lt;P318,"Bajo meta","OK")))))</f>
        <v/>
      </c>
      <c r="AK318" s="33"/>
      <c r="AL318" s="10"/>
      <c r="AM318" s="33"/>
      <c r="AN318" s="33"/>
      <c r="AO318" s="10"/>
    </row>
    <row r="319" customFormat="false" ht="15" hidden="false" customHeight="false" outlineLevel="0" collapsed="false">
      <c r="A319" s="22"/>
      <c r="B319" s="23" t="str">
        <f aca="false">IF(A319="","",YEAR(A319-WEEKDAY(A319,2)+4))</f>
        <v/>
      </c>
      <c r="C319" s="23" t="str">
        <f aca="false">IF(A319="","",WEEKNUM(A319,21))</f>
        <v/>
      </c>
      <c r="D319" s="24" t="str">
        <f aca="false">IF(A319="","",DATE(YEAR(A319),MONTH(A319),1))</f>
        <v/>
      </c>
      <c r="E319" s="10"/>
      <c r="F319" s="25"/>
      <c r="G319" s="25"/>
      <c r="H319" s="10"/>
      <c r="I319" s="10"/>
      <c r="J319" s="26"/>
      <c r="K319" s="25"/>
      <c r="L319" s="26"/>
      <c r="M319" s="27"/>
      <c r="N319" s="27"/>
      <c r="O319" s="28" t="str">
        <f aca="false">IF(OR(M319="",M319=0,N319=""),"",N319/M319)</f>
        <v/>
      </c>
      <c r="P319" s="28" t="str">
        <f aca="false">IF(M319="","",IFERROR(IF(INDEX(Parámetros!$B$14:$B$21,MATCH(I319,Parámetros!$A$14:$A$21,0))="",Parámetros!$B$5,INDEX(Parámetros!$B$14:$B$21,MATCH(I319,Parámetros!$A$14:$A$21,0))),Parámetros!$B$5))</f>
        <v/>
      </c>
      <c r="Q319" s="29" t="str">
        <f aca="false">IF(O319="","",(O319-P319)*100)</f>
        <v/>
      </c>
      <c r="R319" s="30" t="str">
        <f aca="false">IF(O319="","",MAX(0,M319*(P319-O319)))</f>
        <v/>
      </c>
      <c r="S319" s="31" t="str">
        <f aca="false">IF(OR(L319="",L319=0,N319=""),"",N319/1000/L319)</f>
        <v/>
      </c>
      <c r="T319" s="27"/>
      <c r="U319" s="27"/>
      <c r="V319" s="27"/>
      <c r="W319" s="27"/>
      <c r="X319" s="27"/>
      <c r="Y319" s="27"/>
      <c r="Z319" s="27"/>
      <c r="AA319" s="25"/>
      <c r="AB319" s="27"/>
      <c r="AC319" s="30" t="str">
        <f aca="false">IF(M319="","",IF(AB319="",M319*Parámetros!$B$6,AB319))</f>
        <v/>
      </c>
      <c r="AD319" s="30" t="str">
        <f aca="false">IF(M319="","",SUM(T319:Z319)+AC319)</f>
        <v/>
      </c>
      <c r="AE319" s="30" t="str">
        <f aca="false">IF(OR(M319="",N319=""),"",M319-N319)</f>
        <v/>
      </c>
      <c r="AF319" s="30" t="str">
        <f aca="false">IF(AE319="","",AE319-AD319)</f>
        <v/>
      </c>
      <c r="AG319" s="28" t="str">
        <f aca="false">IF(OR(AF319="",M319=0),"",AF319/M319)</f>
        <v/>
      </c>
      <c r="AH319" s="32" t="str">
        <f aca="false">IF(OR(AE319="",N319=0),"",AE319/(N319/1000))</f>
        <v/>
      </c>
      <c r="AI319" s="30" t="str">
        <f aca="false">IF(O319="","",M319*P319)</f>
        <v/>
      </c>
      <c r="AJ319" s="11" t="str">
        <f aca="false">IF(O319="","",IF(O319&gt;1,"Error: rend &gt; 100 %",IF(SUM(T319:Z319)=0,"Falta registrar pérdidas",IF(ABS(AG319)&gt;Parámetros!$B$7,"Revisar balance",IF(O319&lt;P319,"Bajo meta","OK")))))</f>
        <v/>
      </c>
      <c r="AK319" s="33"/>
      <c r="AL319" s="10"/>
      <c r="AM319" s="33"/>
      <c r="AN319" s="33"/>
      <c r="AO319" s="10"/>
    </row>
    <row r="320" customFormat="false" ht="15" hidden="false" customHeight="false" outlineLevel="0" collapsed="false">
      <c r="A320" s="22"/>
      <c r="B320" s="23" t="str">
        <f aca="false">IF(A320="","",YEAR(A320-WEEKDAY(A320,2)+4))</f>
        <v/>
      </c>
      <c r="C320" s="23" t="str">
        <f aca="false">IF(A320="","",WEEKNUM(A320,21))</f>
        <v/>
      </c>
      <c r="D320" s="24" t="str">
        <f aca="false">IF(A320="","",DATE(YEAR(A320),MONTH(A320),1))</f>
        <v/>
      </c>
      <c r="E320" s="10"/>
      <c r="F320" s="25"/>
      <c r="G320" s="25"/>
      <c r="H320" s="10"/>
      <c r="I320" s="10"/>
      <c r="J320" s="26"/>
      <c r="K320" s="25"/>
      <c r="L320" s="26"/>
      <c r="M320" s="27"/>
      <c r="N320" s="27"/>
      <c r="O320" s="28" t="str">
        <f aca="false">IF(OR(M320="",M320=0,N320=""),"",N320/M320)</f>
        <v/>
      </c>
      <c r="P320" s="28" t="str">
        <f aca="false">IF(M320="","",IFERROR(IF(INDEX(Parámetros!$B$14:$B$21,MATCH(I320,Parámetros!$A$14:$A$21,0))="",Parámetros!$B$5,INDEX(Parámetros!$B$14:$B$21,MATCH(I320,Parámetros!$A$14:$A$21,0))),Parámetros!$B$5))</f>
        <v/>
      </c>
      <c r="Q320" s="29" t="str">
        <f aca="false">IF(O320="","",(O320-P320)*100)</f>
        <v/>
      </c>
      <c r="R320" s="30" t="str">
        <f aca="false">IF(O320="","",MAX(0,M320*(P320-O320)))</f>
        <v/>
      </c>
      <c r="S320" s="31" t="str">
        <f aca="false">IF(OR(L320="",L320=0,N320=""),"",N320/1000/L320)</f>
        <v/>
      </c>
      <c r="T320" s="27"/>
      <c r="U320" s="27"/>
      <c r="V320" s="27"/>
      <c r="W320" s="27"/>
      <c r="X320" s="27"/>
      <c r="Y320" s="27"/>
      <c r="Z320" s="27"/>
      <c r="AA320" s="25"/>
      <c r="AB320" s="27"/>
      <c r="AC320" s="30" t="str">
        <f aca="false">IF(M320="","",IF(AB320="",M320*Parámetros!$B$6,AB320))</f>
        <v/>
      </c>
      <c r="AD320" s="30" t="str">
        <f aca="false">IF(M320="","",SUM(T320:Z320)+AC320)</f>
        <v/>
      </c>
      <c r="AE320" s="30" t="str">
        <f aca="false">IF(OR(M320="",N320=""),"",M320-N320)</f>
        <v/>
      </c>
      <c r="AF320" s="30" t="str">
        <f aca="false">IF(AE320="","",AE320-AD320)</f>
        <v/>
      </c>
      <c r="AG320" s="28" t="str">
        <f aca="false">IF(OR(AF320="",M320=0),"",AF320/M320)</f>
        <v/>
      </c>
      <c r="AH320" s="32" t="str">
        <f aca="false">IF(OR(AE320="",N320=0),"",AE320/(N320/1000))</f>
        <v/>
      </c>
      <c r="AI320" s="30" t="str">
        <f aca="false">IF(O320="","",M320*P320)</f>
        <v/>
      </c>
      <c r="AJ320" s="11" t="str">
        <f aca="false">IF(O320="","",IF(O320&gt;1,"Error: rend &gt; 100 %",IF(SUM(T320:Z320)=0,"Falta registrar pérdidas",IF(ABS(AG320)&gt;Parámetros!$B$7,"Revisar balance",IF(O320&lt;P320,"Bajo meta","OK")))))</f>
        <v/>
      </c>
      <c r="AK320" s="33"/>
      <c r="AL320" s="10"/>
      <c r="AM320" s="33"/>
      <c r="AN320" s="33"/>
      <c r="AO320" s="10"/>
    </row>
    <row r="321" customFormat="false" ht="15" hidden="false" customHeight="false" outlineLevel="0" collapsed="false">
      <c r="A321" s="22"/>
      <c r="B321" s="23" t="str">
        <f aca="false">IF(A321="","",YEAR(A321-WEEKDAY(A321,2)+4))</f>
        <v/>
      </c>
      <c r="C321" s="23" t="str">
        <f aca="false">IF(A321="","",WEEKNUM(A321,21))</f>
        <v/>
      </c>
      <c r="D321" s="24" t="str">
        <f aca="false">IF(A321="","",DATE(YEAR(A321),MONTH(A321),1))</f>
        <v/>
      </c>
      <c r="E321" s="10"/>
      <c r="F321" s="25"/>
      <c r="G321" s="25"/>
      <c r="H321" s="10"/>
      <c r="I321" s="10"/>
      <c r="J321" s="26"/>
      <c r="K321" s="25"/>
      <c r="L321" s="26"/>
      <c r="M321" s="27"/>
      <c r="N321" s="27"/>
      <c r="O321" s="28" t="str">
        <f aca="false">IF(OR(M321="",M321=0,N321=""),"",N321/M321)</f>
        <v/>
      </c>
      <c r="P321" s="28" t="str">
        <f aca="false">IF(M321="","",IFERROR(IF(INDEX(Parámetros!$B$14:$B$21,MATCH(I321,Parámetros!$A$14:$A$21,0))="",Parámetros!$B$5,INDEX(Parámetros!$B$14:$B$21,MATCH(I321,Parámetros!$A$14:$A$21,0))),Parámetros!$B$5))</f>
        <v/>
      </c>
      <c r="Q321" s="29" t="str">
        <f aca="false">IF(O321="","",(O321-P321)*100)</f>
        <v/>
      </c>
      <c r="R321" s="30" t="str">
        <f aca="false">IF(O321="","",MAX(0,M321*(P321-O321)))</f>
        <v/>
      </c>
      <c r="S321" s="31" t="str">
        <f aca="false">IF(OR(L321="",L321=0,N321=""),"",N321/1000/L321)</f>
        <v/>
      </c>
      <c r="T321" s="27"/>
      <c r="U321" s="27"/>
      <c r="V321" s="27"/>
      <c r="W321" s="27"/>
      <c r="X321" s="27"/>
      <c r="Y321" s="27"/>
      <c r="Z321" s="27"/>
      <c r="AA321" s="25"/>
      <c r="AB321" s="27"/>
      <c r="AC321" s="30" t="str">
        <f aca="false">IF(M321="","",IF(AB321="",M321*Parámetros!$B$6,AB321))</f>
        <v/>
      </c>
      <c r="AD321" s="30" t="str">
        <f aca="false">IF(M321="","",SUM(T321:Z321)+AC321)</f>
        <v/>
      </c>
      <c r="AE321" s="30" t="str">
        <f aca="false">IF(OR(M321="",N321=""),"",M321-N321)</f>
        <v/>
      </c>
      <c r="AF321" s="30" t="str">
        <f aca="false">IF(AE321="","",AE321-AD321)</f>
        <v/>
      </c>
      <c r="AG321" s="28" t="str">
        <f aca="false">IF(OR(AF321="",M321=0),"",AF321/M321)</f>
        <v/>
      </c>
      <c r="AH321" s="32" t="str">
        <f aca="false">IF(OR(AE321="",N321=0),"",AE321/(N321/1000))</f>
        <v/>
      </c>
      <c r="AI321" s="30" t="str">
        <f aca="false">IF(O321="","",M321*P321)</f>
        <v/>
      </c>
      <c r="AJ321" s="11" t="str">
        <f aca="false">IF(O321="","",IF(O321&gt;1,"Error: rend &gt; 100 %",IF(SUM(T321:Z321)=0,"Falta registrar pérdidas",IF(ABS(AG321)&gt;Parámetros!$B$7,"Revisar balance",IF(O321&lt;P321,"Bajo meta","OK")))))</f>
        <v/>
      </c>
      <c r="AK321" s="33"/>
      <c r="AL321" s="10"/>
      <c r="AM321" s="33"/>
      <c r="AN321" s="33"/>
      <c r="AO321" s="10"/>
    </row>
    <row r="322" customFormat="false" ht="15" hidden="false" customHeight="false" outlineLevel="0" collapsed="false">
      <c r="A322" s="22"/>
      <c r="B322" s="23" t="str">
        <f aca="false">IF(A322="","",YEAR(A322-WEEKDAY(A322,2)+4))</f>
        <v/>
      </c>
      <c r="C322" s="23" t="str">
        <f aca="false">IF(A322="","",WEEKNUM(A322,21))</f>
        <v/>
      </c>
      <c r="D322" s="24" t="str">
        <f aca="false">IF(A322="","",DATE(YEAR(A322),MONTH(A322),1))</f>
        <v/>
      </c>
      <c r="E322" s="10"/>
      <c r="F322" s="25"/>
      <c r="G322" s="25"/>
      <c r="H322" s="10"/>
      <c r="I322" s="10"/>
      <c r="J322" s="26"/>
      <c r="K322" s="25"/>
      <c r="L322" s="26"/>
      <c r="M322" s="27"/>
      <c r="N322" s="27"/>
      <c r="O322" s="28" t="str">
        <f aca="false">IF(OR(M322="",M322=0,N322=""),"",N322/M322)</f>
        <v/>
      </c>
      <c r="P322" s="28" t="str">
        <f aca="false">IF(M322="","",IFERROR(IF(INDEX(Parámetros!$B$14:$B$21,MATCH(I322,Parámetros!$A$14:$A$21,0))="",Parámetros!$B$5,INDEX(Parámetros!$B$14:$B$21,MATCH(I322,Parámetros!$A$14:$A$21,0))),Parámetros!$B$5))</f>
        <v/>
      </c>
      <c r="Q322" s="29" t="str">
        <f aca="false">IF(O322="","",(O322-P322)*100)</f>
        <v/>
      </c>
      <c r="R322" s="30" t="str">
        <f aca="false">IF(O322="","",MAX(0,M322*(P322-O322)))</f>
        <v/>
      </c>
      <c r="S322" s="31" t="str">
        <f aca="false">IF(OR(L322="",L322=0,N322=""),"",N322/1000/L322)</f>
        <v/>
      </c>
      <c r="T322" s="27"/>
      <c r="U322" s="27"/>
      <c r="V322" s="27"/>
      <c r="W322" s="27"/>
      <c r="X322" s="27"/>
      <c r="Y322" s="27"/>
      <c r="Z322" s="27"/>
      <c r="AA322" s="25"/>
      <c r="AB322" s="27"/>
      <c r="AC322" s="30" t="str">
        <f aca="false">IF(M322="","",IF(AB322="",M322*Parámetros!$B$6,AB322))</f>
        <v/>
      </c>
      <c r="AD322" s="30" t="str">
        <f aca="false">IF(M322="","",SUM(T322:Z322)+AC322)</f>
        <v/>
      </c>
      <c r="AE322" s="30" t="str">
        <f aca="false">IF(OR(M322="",N322=""),"",M322-N322)</f>
        <v/>
      </c>
      <c r="AF322" s="30" t="str">
        <f aca="false">IF(AE322="","",AE322-AD322)</f>
        <v/>
      </c>
      <c r="AG322" s="28" t="str">
        <f aca="false">IF(OR(AF322="",M322=0),"",AF322/M322)</f>
        <v/>
      </c>
      <c r="AH322" s="32" t="str">
        <f aca="false">IF(OR(AE322="",N322=0),"",AE322/(N322/1000))</f>
        <v/>
      </c>
      <c r="AI322" s="30" t="str">
        <f aca="false">IF(O322="","",M322*P322)</f>
        <v/>
      </c>
      <c r="AJ322" s="11" t="str">
        <f aca="false">IF(O322="","",IF(O322&gt;1,"Error: rend &gt; 100 %",IF(SUM(T322:Z322)=0,"Falta registrar pérdidas",IF(ABS(AG322)&gt;Parámetros!$B$7,"Revisar balance",IF(O322&lt;P322,"Bajo meta","OK")))))</f>
        <v/>
      </c>
      <c r="AK322" s="33"/>
      <c r="AL322" s="10"/>
      <c r="AM322" s="33"/>
      <c r="AN322" s="33"/>
      <c r="AO322" s="10"/>
    </row>
    <row r="323" customFormat="false" ht="15" hidden="false" customHeight="false" outlineLevel="0" collapsed="false">
      <c r="A323" s="22"/>
      <c r="B323" s="23" t="str">
        <f aca="false">IF(A323="","",YEAR(A323-WEEKDAY(A323,2)+4))</f>
        <v/>
      </c>
      <c r="C323" s="23" t="str">
        <f aca="false">IF(A323="","",WEEKNUM(A323,21))</f>
        <v/>
      </c>
      <c r="D323" s="24" t="str">
        <f aca="false">IF(A323="","",DATE(YEAR(A323),MONTH(A323),1))</f>
        <v/>
      </c>
      <c r="E323" s="10"/>
      <c r="F323" s="25"/>
      <c r="G323" s="25"/>
      <c r="H323" s="10"/>
      <c r="I323" s="10"/>
      <c r="J323" s="26"/>
      <c r="K323" s="25"/>
      <c r="L323" s="26"/>
      <c r="M323" s="27"/>
      <c r="N323" s="27"/>
      <c r="O323" s="28" t="str">
        <f aca="false">IF(OR(M323="",M323=0,N323=""),"",N323/M323)</f>
        <v/>
      </c>
      <c r="P323" s="28" t="str">
        <f aca="false">IF(M323="","",IFERROR(IF(INDEX(Parámetros!$B$14:$B$21,MATCH(I323,Parámetros!$A$14:$A$21,0))="",Parámetros!$B$5,INDEX(Parámetros!$B$14:$B$21,MATCH(I323,Parámetros!$A$14:$A$21,0))),Parámetros!$B$5))</f>
        <v/>
      </c>
      <c r="Q323" s="29" t="str">
        <f aca="false">IF(O323="","",(O323-P323)*100)</f>
        <v/>
      </c>
      <c r="R323" s="30" t="str">
        <f aca="false">IF(O323="","",MAX(0,M323*(P323-O323)))</f>
        <v/>
      </c>
      <c r="S323" s="31" t="str">
        <f aca="false">IF(OR(L323="",L323=0,N323=""),"",N323/1000/L323)</f>
        <v/>
      </c>
      <c r="T323" s="27"/>
      <c r="U323" s="27"/>
      <c r="V323" s="27"/>
      <c r="W323" s="27"/>
      <c r="X323" s="27"/>
      <c r="Y323" s="27"/>
      <c r="Z323" s="27"/>
      <c r="AA323" s="25"/>
      <c r="AB323" s="27"/>
      <c r="AC323" s="30" t="str">
        <f aca="false">IF(M323="","",IF(AB323="",M323*Parámetros!$B$6,AB323))</f>
        <v/>
      </c>
      <c r="AD323" s="30" t="str">
        <f aca="false">IF(M323="","",SUM(T323:Z323)+AC323)</f>
        <v/>
      </c>
      <c r="AE323" s="30" t="str">
        <f aca="false">IF(OR(M323="",N323=""),"",M323-N323)</f>
        <v/>
      </c>
      <c r="AF323" s="30" t="str">
        <f aca="false">IF(AE323="","",AE323-AD323)</f>
        <v/>
      </c>
      <c r="AG323" s="28" t="str">
        <f aca="false">IF(OR(AF323="",M323=0),"",AF323/M323)</f>
        <v/>
      </c>
      <c r="AH323" s="32" t="str">
        <f aca="false">IF(OR(AE323="",N323=0),"",AE323/(N323/1000))</f>
        <v/>
      </c>
      <c r="AI323" s="30" t="str">
        <f aca="false">IF(O323="","",M323*P323)</f>
        <v/>
      </c>
      <c r="AJ323" s="11" t="str">
        <f aca="false">IF(O323="","",IF(O323&gt;1,"Error: rend &gt; 100 %",IF(SUM(T323:Z323)=0,"Falta registrar pérdidas",IF(ABS(AG323)&gt;Parámetros!$B$7,"Revisar balance",IF(O323&lt;P323,"Bajo meta","OK")))))</f>
        <v/>
      </c>
      <c r="AK323" s="33"/>
      <c r="AL323" s="10"/>
      <c r="AM323" s="33"/>
      <c r="AN323" s="33"/>
      <c r="AO323" s="10"/>
    </row>
    <row r="324" customFormat="false" ht="15" hidden="false" customHeight="false" outlineLevel="0" collapsed="false">
      <c r="A324" s="22"/>
      <c r="B324" s="23" t="str">
        <f aca="false">IF(A324="","",YEAR(A324-WEEKDAY(A324,2)+4))</f>
        <v/>
      </c>
      <c r="C324" s="23" t="str">
        <f aca="false">IF(A324="","",WEEKNUM(A324,21))</f>
        <v/>
      </c>
      <c r="D324" s="24" t="str">
        <f aca="false">IF(A324="","",DATE(YEAR(A324),MONTH(A324),1))</f>
        <v/>
      </c>
      <c r="E324" s="10"/>
      <c r="F324" s="25"/>
      <c r="G324" s="25"/>
      <c r="H324" s="10"/>
      <c r="I324" s="10"/>
      <c r="J324" s="26"/>
      <c r="K324" s="25"/>
      <c r="L324" s="26"/>
      <c r="M324" s="27"/>
      <c r="N324" s="27"/>
      <c r="O324" s="28" t="str">
        <f aca="false">IF(OR(M324="",M324=0,N324=""),"",N324/M324)</f>
        <v/>
      </c>
      <c r="P324" s="28" t="str">
        <f aca="false">IF(M324="","",IFERROR(IF(INDEX(Parámetros!$B$14:$B$21,MATCH(I324,Parámetros!$A$14:$A$21,0))="",Parámetros!$B$5,INDEX(Parámetros!$B$14:$B$21,MATCH(I324,Parámetros!$A$14:$A$21,0))),Parámetros!$B$5))</f>
        <v/>
      </c>
      <c r="Q324" s="29" t="str">
        <f aca="false">IF(O324="","",(O324-P324)*100)</f>
        <v/>
      </c>
      <c r="R324" s="30" t="str">
        <f aca="false">IF(O324="","",MAX(0,M324*(P324-O324)))</f>
        <v/>
      </c>
      <c r="S324" s="31" t="str">
        <f aca="false">IF(OR(L324="",L324=0,N324=""),"",N324/1000/L324)</f>
        <v/>
      </c>
      <c r="T324" s="27"/>
      <c r="U324" s="27"/>
      <c r="V324" s="27"/>
      <c r="W324" s="27"/>
      <c r="X324" s="27"/>
      <c r="Y324" s="27"/>
      <c r="Z324" s="27"/>
      <c r="AA324" s="25"/>
      <c r="AB324" s="27"/>
      <c r="AC324" s="30" t="str">
        <f aca="false">IF(M324="","",IF(AB324="",M324*Parámetros!$B$6,AB324))</f>
        <v/>
      </c>
      <c r="AD324" s="30" t="str">
        <f aca="false">IF(M324="","",SUM(T324:Z324)+AC324)</f>
        <v/>
      </c>
      <c r="AE324" s="30" t="str">
        <f aca="false">IF(OR(M324="",N324=""),"",M324-N324)</f>
        <v/>
      </c>
      <c r="AF324" s="30" t="str">
        <f aca="false">IF(AE324="","",AE324-AD324)</f>
        <v/>
      </c>
      <c r="AG324" s="28" t="str">
        <f aca="false">IF(OR(AF324="",M324=0),"",AF324/M324)</f>
        <v/>
      </c>
      <c r="AH324" s="32" t="str">
        <f aca="false">IF(OR(AE324="",N324=0),"",AE324/(N324/1000))</f>
        <v/>
      </c>
      <c r="AI324" s="30" t="str">
        <f aca="false">IF(O324="","",M324*P324)</f>
        <v/>
      </c>
      <c r="AJ324" s="11" t="str">
        <f aca="false">IF(O324="","",IF(O324&gt;1,"Error: rend &gt; 100 %",IF(SUM(T324:Z324)=0,"Falta registrar pérdidas",IF(ABS(AG324)&gt;Parámetros!$B$7,"Revisar balance",IF(O324&lt;P324,"Bajo meta","OK")))))</f>
        <v/>
      </c>
      <c r="AK324" s="33"/>
      <c r="AL324" s="10"/>
      <c r="AM324" s="33"/>
      <c r="AN324" s="33"/>
      <c r="AO324" s="10"/>
    </row>
    <row r="325" customFormat="false" ht="15" hidden="false" customHeight="false" outlineLevel="0" collapsed="false">
      <c r="A325" s="22"/>
      <c r="B325" s="23" t="str">
        <f aca="false">IF(A325="","",YEAR(A325-WEEKDAY(A325,2)+4))</f>
        <v/>
      </c>
      <c r="C325" s="23" t="str">
        <f aca="false">IF(A325="","",WEEKNUM(A325,21))</f>
        <v/>
      </c>
      <c r="D325" s="24" t="str">
        <f aca="false">IF(A325="","",DATE(YEAR(A325),MONTH(A325),1))</f>
        <v/>
      </c>
      <c r="E325" s="10"/>
      <c r="F325" s="25"/>
      <c r="G325" s="25"/>
      <c r="H325" s="10"/>
      <c r="I325" s="10"/>
      <c r="J325" s="26"/>
      <c r="K325" s="25"/>
      <c r="L325" s="26"/>
      <c r="M325" s="27"/>
      <c r="N325" s="27"/>
      <c r="O325" s="28" t="str">
        <f aca="false">IF(OR(M325="",M325=0,N325=""),"",N325/M325)</f>
        <v/>
      </c>
      <c r="P325" s="28" t="str">
        <f aca="false">IF(M325="","",IFERROR(IF(INDEX(Parámetros!$B$14:$B$21,MATCH(I325,Parámetros!$A$14:$A$21,0))="",Parámetros!$B$5,INDEX(Parámetros!$B$14:$B$21,MATCH(I325,Parámetros!$A$14:$A$21,0))),Parámetros!$B$5))</f>
        <v/>
      </c>
      <c r="Q325" s="29" t="str">
        <f aca="false">IF(O325="","",(O325-P325)*100)</f>
        <v/>
      </c>
      <c r="R325" s="30" t="str">
        <f aca="false">IF(O325="","",MAX(0,M325*(P325-O325)))</f>
        <v/>
      </c>
      <c r="S325" s="31" t="str">
        <f aca="false">IF(OR(L325="",L325=0,N325=""),"",N325/1000/L325)</f>
        <v/>
      </c>
      <c r="T325" s="27"/>
      <c r="U325" s="27"/>
      <c r="V325" s="27"/>
      <c r="W325" s="27"/>
      <c r="X325" s="27"/>
      <c r="Y325" s="27"/>
      <c r="Z325" s="27"/>
      <c r="AA325" s="25"/>
      <c r="AB325" s="27"/>
      <c r="AC325" s="30" t="str">
        <f aca="false">IF(M325="","",IF(AB325="",M325*Parámetros!$B$6,AB325))</f>
        <v/>
      </c>
      <c r="AD325" s="30" t="str">
        <f aca="false">IF(M325="","",SUM(T325:Z325)+AC325)</f>
        <v/>
      </c>
      <c r="AE325" s="30" t="str">
        <f aca="false">IF(OR(M325="",N325=""),"",M325-N325)</f>
        <v/>
      </c>
      <c r="AF325" s="30" t="str">
        <f aca="false">IF(AE325="","",AE325-AD325)</f>
        <v/>
      </c>
      <c r="AG325" s="28" t="str">
        <f aca="false">IF(OR(AF325="",M325=0),"",AF325/M325)</f>
        <v/>
      </c>
      <c r="AH325" s="32" t="str">
        <f aca="false">IF(OR(AE325="",N325=0),"",AE325/(N325/1000))</f>
        <v/>
      </c>
      <c r="AI325" s="30" t="str">
        <f aca="false">IF(O325="","",M325*P325)</f>
        <v/>
      </c>
      <c r="AJ325" s="11" t="str">
        <f aca="false">IF(O325="","",IF(O325&gt;1,"Error: rend &gt; 100 %",IF(SUM(T325:Z325)=0,"Falta registrar pérdidas",IF(ABS(AG325)&gt;Parámetros!$B$7,"Revisar balance",IF(O325&lt;P325,"Bajo meta","OK")))))</f>
        <v/>
      </c>
      <c r="AK325" s="33"/>
      <c r="AL325" s="10"/>
      <c r="AM325" s="33"/>
      <c r="AN325" s="33"/>
      <c r="AO325" s="10"/>
    </row>
    <row r="326" customFormat="false" ht="15" hidden="false" customHeight="false" outlineLevel="0" collapsed="false">
      <c r="A326" s="22"/>
      <c r="B326" s="23" t="str">
        <f aca="false">IF(A326="","",YEAR(A326-WEEKDAY(A326,2)+4))</f>
        <v/>
      </c>
      <c r="C326" s="23" t="str">
        <f aca="false">IF(A326="","",WEEKNUM(A326,21))</f>
        <v/>
      </c>
      <c r="D326" s="24" t="str">
        <f aca="false">IF(A326="","",DATE(YEAR(A326),MONTH(A326),1))</f>
        <v/>
      </c>
      <c r="E326" s="10"/>
      <c r="F326" s="25"/>
      <c r="G326" s="25"/>
      <c r="H326" s="10"/>
      <c r="I326" s="10"/>
      <c r="J326" s="26"/>
      <c r="K326" s="25"/>
      <c r="L326" s="26"/>
      <c r="M326" s="27"/>
      <c r="N326" s="27"/>
      <c r="O326" s="28" t="str">
        <f aca="false">IF(OR(M326="",M326=0,N326=""),"",N326/M326)</f>
        <v/>
      </c>
      <c r="P326" s="28" t="str">
        <f aca="false">IF(M326="","",IFERROR(IF(INDEX(Parámetros!$B$14:$B$21,MATCH(I326,Parámetros!$A$14:$A$21,0))="",Parámetros!$B$5,INDEX(Parámetros!$B$14:$B$21,MATCH(I326,Parámetros!$A$14:$A$21,0))),Parámetros!$B$5))</f>
        <v/>
      </c>
      <c r="Q326" s="29" t="str">
        <f aca="false">IF(O326="","",(O326-P326)*100)</f>
        <v/>
      </c>
      <c r="R326" s="30" t="str">
        <f aca="false">IF(O326="","",MAX(0,M326*(P326-O326)))</f>
        <v/>
      </c>
      <c r="S326" s="31" t="str">
        <f aca="false">IF(OR(L326="",L326=0,N326=""),"",N326/1000/L326)</f>
        <v/>
      </c>
      <c r="T326" s="27"/>
      <c r="U326" s="27"/>
      <c r="V326" s="27"/>
      <c r="W326" s="27"/>
      <c r="X326" s="27"/>
      <c r="Y326" s="27"/>
      <c r="Z326" s="27"/>
      <c r="AA326" s="25"/>
      <c r="AB326" s="27"/>
      <c r="AC326" s="30" t="str">
        <f aca="false">IF(M326="","",IF(AB326="",M326*Parámetros!$B$6,AB326))</f>
        <v/>
      </c>
      <c r="AD326" s="30" t="str">
        <f aca="false">IF(M326="","",SUM(T326:Z326)+AC326)</f>
        <v/>
      </c>
      <c r="AE326" s="30" t="str">
        <f aca="false">IF(OR(M326="",N326=""),"",M326-N326)</f>
        <v/>
      </c>
      <c r="AF326" s="30" t="str">
        <f aca="false">IF(AE326="","",AE326-AD326)</f>
        <v/>
      </c>
      <c r="AG326" s="28" t="str">
        <f aca="false">IF(OR(AF326="",M326=0),"",AF326/M326)</f>
        <v/>
      </c>
      <c r="AH326" s="32" t="str">
        <f aca="false">IF(OR(AE326="",N326=0),"",AE326/(N326/1000))</f>
        <v/>
      </c>
      <c r="AI326" s="30" t="str">
        <f aca="false">IF(O326="","",M326*P326)</f>
        <v/>
      </c>
      <c r="AJ326" s="11" t="str">
        <f aca="false">IF(O326="","",IF(O326&gt;1,"Error: rend &gt; 100 %",IF(SUM(T326:Z326)=0,"Falta registrar pérdidas",IF(ABS(AG326)&gt;Parámetros!$B$7,"Revisar balance",IF(O326&lt;P326,"Bajo meta","OK")))))</f>
        <v/>
      </c>
      <c r="AK326" s="33"/>
      <c r="AL326" s="10"/>
      <c r="AM326" s="33"/>
      <c r="AN326" s="33"/>
      <c r="AO326" s="10"/>
    </row>
    <row r="327" customFormat="false" ht="15" hidden="false" customHeight="false" outlineLevel="0" collapsed="false">
      <c r="A327" s="22"/>
      <c r="B327" s="23" t="str">
        <f aca="false">IF(A327="","",YEAR(A327-WEEKDAY(A327,2)+4))</f>
        <v/>
      </c>
      <c r="C327" s="23" t="str">
        <f aca="false">IF(A327="","",WEEKNUM(A327,21))</f>
        <v/>
      </c>
      <c r="D327" s="24" t="str">
        <f aca="false">IF(A327="","",DATE(YEAR(A327),MONTH(A327),1))</f>
        <v/>
      </c>
      <c r="E327" s="10"/>
      <c r="F327" s="25"/>
      <c r="G327" s="25"/>
      <c r="H327" s="10"/>
      <c r="I327" s="10"/>
      <c r="J327" s="26"/>
      <c r="K327" s="25"/>
      <c r="L327" s="26"/>
      <c r="M327" s="27"/>
      <c r="N327" s="27"/>
      <c r="O327" s="28" t="str">
        <f aca="false">IF(OR(M327="",M327=0,N327=""),"",N327/M327)</f>
        <v/>
      </c>
      <c r="P327" s="28" t="str">
        <f aca="false">IF(M327="","",IFERROR(IF(INDEX(Parámetros!$B$14:$B$21,MATCH(I327,Parámetros!$A$14:$A$21,0))="",Parámetros!$B$5,INDEX(Parámetros!$B$14:$B$21,MATCH(I327,Parámetros!$A$14:$A$21,0))),Parámetros!$B$5))</f>
        <v/>
      </c>
      <c r="Q327" s="29" t="str">
        <f aca="false">IF(O327="","",(O327-P327)*100)</f>
        <v/>
      </c>
      <c r="R327" s="30" t="str">
        <f aca="false">IF(O327="","",MAX(0,M327*(P327-O327)))</f>
        <v/>
      </c>
      <c r="S327" s="31" t="str">
        <f aca="false">IF(OR(L327="",L327=0,N327=""),"",N327/1000/L327)</f>
        <v/>
      </c>
      <c r="T327" s="27"/>
      <c r="U327" s="27"/>
      <c r="V327" s="27"/>
      <c r="W327" s="27"/>
      <c r="X327" s="27"/>
      <c r="Y327" s="27"/>
      <c r="Z327" s="27"/>
      <c r="AA327" s="25"/>
      <c r="AB327" s="27"/>
      <c r="AC327" s="30" t="str">
        <f aca="false">IF(M327="","",IF(AB327="",M327*Parámetros!$B$6,AB327))</f>
        <v/>
      </c>
      <c r="AD327" s="30" t="str">
        <f aca="false">IF(M327="","",SUM(T327:Z327)+AC327)</f>
        <v/>
      </c>
      <c r="AE327" s="30" t="str">
        <f aca="false">IF(OR(M327="",N327=""),"",M327-N327)</f>
        <v/>
      </c>
      <c r="AF327" s="30" t="str">
        <f aca="false">IF(AE327="","",AE327-AD327)</f>
        <v/>
      </c>
      <c r="AG327" s="28" t="str">
        <f aca="false">IF(OR(AF327="",M327=0),"",AF327/M327)</f>
        <v/>
      </c>
      <c r="AH327" s="32" t="str">
        <f aca="false">IF(OR(AE327="",N327=0),"",AE327/(N327/1000))</f>
        <v/>
      </c>
      <c r="AI327" s="30" t="str">
        <f aca="false">IF(O327="","",M327*P327)</f>
        <v/>
      </c>
      <c r="AJ327" s="11" t="str">
        <f aca="false">IF(O327="","",IF(O327&gt;1,"Error: rend &gt; 100 %",IF(SUM(T327:Z327)=0,"Falta registrar pérdidas",IF(ABS(AG327)&gt;Parámetros!$B$7,"Revisar balance",IF(O327&lt;P327,"Bajo meta","OK")))))</f>
        <v/>
      </c>
      <c r="AK327" s="33"/>
      <c r="AL327" s="10"/>
      <c r="AM327" s="33"/>
      <c r="AN327" s="33"/>
      <c r="AO327" s="10"/>
    </row>
    <row r="328" customFormat="false" ht="15" hidden="false" customHeight="false" outlineLevel="0" collapsed="false">
      <c r="A328" s="22"/>
      <c r="B328" s="23" t="str">
        <f aca="false">IF(A328="","",YEAR(A328-WEEKDAY(A328,2)+4))</f>
        <v/>
      </c>
      <c r="C328" s="23" t="str">
        <f aca="false">IF(A328="","",WEEKNUM(A328,21))</f>
        <v/>
      </c>
      <c r="D328" s="24" t="str">
        <f aca="false">IF(A328="","",DATE(YEAR(A328),MONTH(A328),1))</f>
        <v/>
      </c>
      <c r="E328" s="10"/>
      <c r="F328" s="25"/>
      <c r="G328" s="25"/>
      <c r="H328" s="10"/>
      <c r="I328" s="10"/>
      <c r="J328" s="26"/>
      <c r="K328" s="25"/>
      <c r="L328" s="26"/>
      <c r="M328" s="27"/>
      <c r="N328" s="27"/>
      <c r="O328" s="28" t="str">
        <f aca="false">IF(OR(M328="",M328=0,N328=""),"",N328/M328)</f>
        <v/>
      </c>
      <c r="P328" s="28" t="str">
        <f aca="false">IF(M328="","",IFERROR(IF(INDEX(Parámetros!$B$14:$B$21,MATCH(I328,Parámetros!$A$14:$A$21,0))="",Parámetros!$B$5,INDEX(Parámetros!$B$14:$B$21,MATCH(I328,Parámetros!$A$14:$A$21,0))),Parámetros!$B$5))</f>
        <v/>
      </c>
      <c r="Q328" s="29" t="str">
        <f aca="false">IF(O328="","",(O328-P328)*100)</f>
        <v/>
      </c>
      <c r="R328" s="30" t="str">
        <f aca="false">IF(O328="","",MAX(0,M328*(P328-O328)))</f>
        <v/>
      </c>
      <c r="S328" s="31" t="str">
        <f aca="false">IF(OR(L328="",L328=0,N328=""),"",N328/1000/L328)</f>
        <v/>
      </c>
      <c r="T328" s="27"/>
      <c r="U328" s="27"/>
      <c r="V328" s="27"/>
      <c r="W328" s="27"/>
      <c r="X328" s="27"/>
      <c r="Y328" s="27"/>
      <c r="Z328" s="27"/>
      <c r="AA328" s="25"/>
      <c r="AB328" s="27"/>
      <c r="AC328" s="30" t="str">
        <f aca="false">IF(M328="","",IF(AB328="",M328*Parámetros!$B$6,AB328))</f>
        <v/>
      </c>
      <c r="AD328" s="30" t="str">
        <f aca="false">IF(M328="","",SUM(T328:Z328)+AC328)</f>
        <v/>
      </c>
      <c r="AE328" s="30" t="str">
        <f aca="false">IF(OR(M328="",N328=""),"",M328-N328)</f>
        <v/>
      </c>
      <c r="AF328" s="30" t="str">
        <f aca="false">IF(AE328="","",AE328-AD328)</f>
        <v/>
      </c>
      <c r="AG328" s="28" t="str">
        <f aca="false">IF(OR(AF328="",M328=0),"",AF328/M328)</f>
        <v/>
      </c>
      <c r="AH328" s="32" t="str">
        <f aca="false">IF(OR(AE328="",N328=0),"",AE328/(N328/1000))</f>
        <v/>
      </c>
      <c r="AI328" s="30" t="str">
        <f aca="false">IF(O328="","",M328*P328)</f>
        <v/>
      </c>
      <c r="AJ328" s="11" t="str">
        <f aca="false">IF(O328="","",IF(O328&gt;1,"Error: rend &gt; 100 %",IF(SUM(T328:Z328)=0,"Falta registrar pérdidas",IF(ABS(AG328)&gt;Parámetros!$B$7,"Revisar balance",IF(O328&lt;P328,"Bajo meta","OK")))))</f>
        <v/>
      </c>
      <c r="AK328" s="33"/>
      <c r="AL328" s="10"/>
      <c r="AM328" s="33"/>
      <c r="AN328" s="33"/>
      <c r="AO328" s="10"/>
    </row>
    <row r="329" customFormat="false" ht="15" hidden="false" customHeight="false" outlineLevel="0" collapsed="false">
      <c r="A329" s="22"/>
      <c r="B329" s="23" t="str">
        <f aca="false">IF(A329="","",YEAR(A329-WEEKDAY(A329,2)+4))</f>
        <v/>
      </c>
      <c r="C329" s="23" t="str">
        <f aca="false">IF(A329="","",WEEKNUM(A329,21))</f>
        <v/>
      </c>
      <c r="D329" s="24" t="str">
        <f aca="false">IF(A329="","",DATE(YEAR(A329),MONTH(A329),1))</f>
        <v/>
      </c>
      <c r="E329" s="10"/>
      <c r="F329" s="25"/>
      <c r="G329" s="25"/>
      <c r="H329" s="10"/>
      <c r="I329" s="10"/>
      <c r="J329" s="26"/>
      <c r="K329" s="25"/>
      <c r="L329" s="26"/>
      <c r="M329" s="27"/>
      <c r="N329" s="27"/>
      <c r="O329" s="28" t="str">
        <f aca="false">IF(OR(M329="",M329=0,N329=""),"",N329/M329)</f>
        <v/>
      </c>
      <c r="P329" s="28" t="str">
        <f aca="false">IF(M329="","",IFERROR(IF(INDEX(Parámetros!$B$14:$B$21,MATCH(I329,Parámetros!$A$14:$A$21,0))="",Parámetros!$B$5,INDEX(Parámetros!$B$14:$B$21,MATCH(I329,Parámetros!$A$14:$A$21,0))),Parámetros!$B$5))</f>
        <v/>
      </c>
      <c r="Q329" s="29" t="str">
        <f aca="false">IF(O329="","",(O329-P329)*100)</f>
        <v/>
      </c>
      <c r="R329" s="30" t="str">
        <f aca="false">IF(O329="","",MAX(0,M329*(P329-O329)))</f>
        <v/>
      </c>
      <c r="S329" s="31" t="str">
        <f aca="false">IF(OR(L329="",L329=0,N329=""),"",N329/1000/L329)</f>
        <v/>
      </c>
      <c r="T329" s="27"/>
      <c r="U329" s="27"/>
      <c r="V329" s="27"/>
      <c r="W329" s="27"/>
      <c r="X329" s="27"/>
      <c r="Y329" s="27"/>
      <c r="Z329" s="27"/>
      <c r="AA329" s="25"/>
      <c r="AB329" s="27"/>
      <c r="AC329" s="30" t="str">
        <f aca="false">IF(M329="","",IF(AB329="",M329*Parámetros!$B$6,AB329))</f>
        <v/>
      </c>
      <c r="AD329" s="30" t="str">
        <f aca="false">IF(M329="","",SUM(T329:Z329)+AC329)</f>
        <v/>
      </c>
      <c r="AE329" s="30" t="str">
        <f aca="false">IF(OR(M329="",N329=""),"",M329-N329)</f>
        <v/>
      </c>
      <c r="AF329" s="30" t="str">
        <f aca="false">IF(AE329="","",AE329-AD329)</f>
        <v/>
      </c>
      <c r="AG329" s="28" t="str">
        <f aca="false">IF(OR(AF329="",M329=0),"",AF329/M329)</f>
        <v/>
      </c>
      <c r="AH329" s="32" t="str">
        <f aca="false">IF(OR(AE329="",N329=0),"",AE329/(N329/1000))</f>
        <v/>
      </c>
      <c r="AI329" s="30" t="str">
        <f aca="false">IF(O329="","",M329*P329)</f>
        <v/>
      </c>
      <c r="AJ329" s="11" t="str">
        <f aca="false">IF(O329="","",IF(O329&gt;1,"Error: rend &gt; 100 %",IF(SUM(T329:Z329)=0,"Falta registrar pérdidas",IF(ABS(AG329)&gt;Parámetros!$B$7,"Revisar balance",IF(O329&lt;P329,"Bajo meta","OK")))))</f>
        <v/>
      </c>
      <c r="AK329" s="33"/>
      <c r="AL329" s="10"/>
      <c r="AM329" s="33"/>
      <c r="AN329" s="33"/>
      <c r="AO329" s="10"/>
    </row>
    <row r="330" customFormat="false" ht="15" hidden="false" customHeight="false" outlineLevel="0" collapsed="false">
      <c r="A330" s="22"/>
      <c r="B330" s="23" t="str">
        <f aca="false">IF(A330="","",YEAR(A330-WEEKDAY(A330,2)+4))</f>
        <v/>
      </c>
      <c r="C330" s="23" t="str">
        <f aca="false">IF(A330="","",WEEKNUM(A330,21))</f>
        <v/>
      </c>
      <c r="D330" s="24" t="str">
        <f aca="false">IF(A330="","",DATE(YEAR(A330),MONTH(A330),1))</f>
        <v/>
      </c>
      <c r="E330" s="10"/>
      <c r="F330" s="25"/>
      <c r="G330" s="25"/>
      <c r="H330" s="10"/>
      <c r="I330" s="10"/>
      <c r="J330" s="26"/>
      <c r="K330" s="25"/>
      <c r="L330" s="26"/>
      <c r="M330" s="27"/>
      <c r="N330" s="27"/>
      <c r="O330" s="28" t="str">
        <f aca="false">IF(OR(M330="",M330=0,N330=""),"",N330/M330)</f>
        <v/>
      </c>
      <c r="P330" s="28" t="str">
        <f aca="false">IF(M330="","",IFERROR(IF(INDEX(Parámetros!$B$14:$B$21,MATCH(I330,Parámetros!$A$14:$A$21,0))="",Parámetros!$B$5,INDEX(Parámetros!$B$14:$B$21,MATCH(I330,Parámetros!$A$14:$A$21,0))),Parámetros!$B$5))</f>
        <v/>
      </c>
      <c r="Q330" s="29" t="str">
        <f aca="false">IF(O330="","",(O330-P330)*100)</f>
        <v/>
      </c>
      <c r="R330" s="30" t="str">
        <f aca="false">IF(O330="","",MAX(0,M330*(P330-O330)))</f>
        <v/>
      </c>
      <c r="S330" s="31" t="str">
        <f aca="false">IF(OR(L330="",L330=0,N330=""),"",N330/1000/L330)</f>
        <v/>
      </c>
      <c r="T330" s="27"/>
      <c r="U330" s="27"/>
      <c r="V330" s="27"/>
      <c r="W330" s="27"/>
      <c r="X330" s="27"/>
      <c r="Y330" s="27"/>
      <c r="Z330" s="27"/>
      <c r="AA330" s="25"/>
      <c r="AB330" s="27"/>
      <c r="AC330" s="30" t="str">
        <f aca="false">IF(M330="","",IF(AB330="",M330*Parámetros!$B$6,AB330))</f>
        <v/>
      </c>
      <c r="AD330" s="30" t="str">
        <f aca="false">IF(M330="","",SUM(T330:Z330)+AC330)</f>
        <v/>
      </c>
      <c r="AE330" s="30" t="str">
        <f aca="false">IF(OR(M330="",N330=""),"",M330-N330)</f>
        <v/>
      </c>
      <c r="AF330" s="30" t="str">
        <f aca="false">IF(AE330="","",AE330-AD330)</f>
        <v/>
      </c>
      <c r="AG330" s="28" t="str">
        <f aca="false">IF(OR(AF330="",M330=0),"",AF330/M330)</f>
        <v/>
      </c>
      <c r="AH330" s="32" t="str">
        <f aca="false">IF(OR(AE330="",N330=0),"",AE330/(N330/1000))</f>
        <v/>
      </c>
      <c r="AI330" s="30" t="str">
        <f aca="false">IF(O330="","",M330*P330)</f>
        <v/>
      </c>
      <c r="AJ330" s="11" t="str">
        <f aca="false">IF(O330="","",IF(O330&gt;1,"Error: rend &gt; 100 %",IF(SUM(T330:Z330)=0,"Falta registrar pérdidas",IF(ABS(AG330)&gt;Parámetros!$B$7,"Revisar balance",IF(O330&lt;P330,"Bajo meta","OK")))))</f>
        <v/>
      </c>
      <c r="AK330" s="33"/>
      <c r="AL330" s="10"/>
      <c r="AM330" s="33"/>
      <c r="AN330" s="33"/>
      <c r="AO330" s="10"/>
    </row>
    <row r="331" customFormat="false" ht="15" hidden="false" customHeight="false" outlineLevel="0" collapsed="false">
      <c r="A331" s="22"/>
      <c r="B331" s="23" t="str">
        <f aca="false">IF(A331="","",YEAR(A331-WEEKDAY(A331,2)+4))</f>
        <v/>
      </c>
      <c r="C331" s="23" t="str">
        <f aca="false">IF(A331="","",WEEKNUM(A331,21))</f>
        <v/>
      </c>
      <c r="D331" s="24" t="str">
        <f aca="false">IF(A331="","",DATE(YEAR(A331),MONTH(A331),1))</f>
        <v/>
      </c>
      <c r="E331" s="10"/>
      <c r="F331" s="25"/>
      <c r="G331" s="25"/>
      <c r="H331" s="10"/>
      <c r="I331" s="10"/>
      <c r="J331" s="26"/>
      <c r="K331" s="25"/>
      <c r="L331" s="26"/>
      <c r="M331" s="27"/>
      <c r="N331" s="27"/>
      <c r="O331" s="28" t="str">
        <f aca="false">IF(OR(M331="",M331=0,N331=""),"",N331/M331)</f>
        <v/>
      </c>
      <c r="P331" s="28" t="str">
        <f aca="false">IF(M331="","",IFERROR(IF(INDEX(Parámetros!$B$14:$B$21,MATCH(I331,Parámetros!$A$14:$A$21,0))="",Parámetros!$B$5,INDEX(Parámetros!$B$14:$B$21,MATCH(I331,Parámetros!$A$14:$A$21,0))),Parámetros!$B$5))</f>
        <v/>
      </c>
      <c r="Q331" s="29" t="str">
        <f aca="false">IF(O331="","",(O331-P331)*100)</f>
        <v/>
      </c>
      <c r="R331" s="30" t="str">
        <f aca="false">IF(O331="","",MAX(0,M331*(P331-O331)))</f>
        <v/>
      </c>
      <c r="S331" s="31" t="str">
        <f aca="false">IF(OR(L331="",L331=0,N331=""),"",N331/1000/L331)</f>
        <v/>
      </c>
      <c r="T331" s="27"/>
      <c r="U331" s="27"/>
      <c r="V331" s="27"/>
      <c r="W331" s="27"/>
      <c r="X331" s="27"/>
      <c r="Y331" s="27"/>
      <c r="Z331" s="27"/>
      <c r="AA331" s="25"/>
      <c r="AB331" s="27"/>
      <c r="AC331" s="30" t="str">
        <f aca="false">IF(M331="","",IF(AB331="",M331*Parámetros!$B$6,AB331))</f>
        <v/>
      </c>
      <c r="AD331" s="30" t="str">
        <f aca="false">IF(M331="","",SUM(T331:Z331)+AC331)</f>
        <v/>
      </c>
      <c r="AE331" s="30" t="str">
        <f aca="false">IF(OR(M331="",N331=""),"",M331-N331)</f>
        <v/>
      </c>
      <c r="AF331" s="30" t="str">
        <f aca="false">IF(AE331="","",AE331-AD331)</f>
        <v/>
      </c>
      <c r="AG331" s="28" t="str">
        <f aca="false">IF(OR(AF331="",M331=0),"",AF331/M331)</f>
        <v/>
      </c>
      <c r="AH331" s="32" t="str">
        <f aca="false">IF(OR(AE331="",N331=0),"",AE331/(N331/1000))</f>
        <v/>
      </c>
      <c r="AI331" s="30" t="str">
        <f aca="false">IF(O331="","",M331*P331)</f>
        <v/>
      </c>
      <c r="AJ331" s="11" t="str">
        <f aca="false">IF(O331="","",IF(O331&gt;1,"Error: rend &gt; 100 %",IF(SUM(T331:Z331)=0,"Falta registrar pérdidas",IF(ABS(AG331)&gt;Parámetros!$B$7,"Revisar balance",IF(O331&lt;P331,"Bajo meta","OK")))))</f>
        <v/>
      </c>
      <c r="AK331" s="33"/>
      <c r="AL331" s="10"/>
      <c r="AM331" s="33"/>
      <c r="AN331" s="33"/>
      <c r="AO331" s="10"/>
    </row>
    <row r="332" customFormat="false" ht="15" hidden="false" customHeight="false" outlineLevel="0" collapsed="false">
      <c r="A332" s="22"/>
      <c r="B332" s="23" t="str">
        <f aca="false">IF(A332="","",YEAR(A332-WEEKDAY(A332,2)+4))</f>
        <v/>
      </c>
      <c r="C332" s="23" t="str">
        <f aca="false">IF(A332="","",WEEKNUM(A332,21))</f>
        <v/>
      </c>
      <c r="D332" s="24" t="str">
        <f aca="false">IF(A332="","",DATE(YEAR(A332),MONTH(A332),1))</f>
        <v/>
      </c>
      <c r="E332" s="10"/>
      <c r="F332" s="25"/>
      <c r="G332" s="25"/>
      <c r="H332" s="10"/>
      <c r="I332" s="10"/>
      <c r="J332" s="26"/>
      <c r="K332" s="25"/>
      <c r="L332" s="26"/>
      <c r="M332" s="27"/>
      <c r="N332" s="27"/>
      <c r="O332" s="28" t="str">
        <f aca="false">IF(OR(M332="",M332=0,N332=""),"",N332/M332)</f>
        <v/>
      </c>
      <c r="P332" s="28" t="str">
        <f aca="false">IF(M332="","",IFERROR(IF(INDEX(Parámetros!$B$14:$B$21,MATCH(I332,Parámetros!$A$14:$A$21,0))="",Parámetros!$B$5,INDEX(Parámetros!$B$14:$B$21,MATCH(I332,Parámetros!$A$14:$A$21,0))),Parámetros!$B$5))</f>
        <v/>
      </c>
      <c r="Q332" s="29" t="str">
        <f aca="false">IF(O332="","",(O332-P332)*100)</f>
        <v/>
      </c>
      <c r="R332" s="30" t="str">
        <f aca="false">IF(O332="","",MAX(0,M332*(P332-O332)))</f>
        <v/>
      </c>
      <c r="S332" s="31" t="str">
        <f aca="false">IF(OR(L332="",L332=0,N332=""),"",N332/1000/L332)</f>
        <v/>
      </c>
      <c r="T332" s="27"/>
      <c r="U332" s="27"/>
      <c r="V332" s="27"/>
      <c r="W332" s="27"/>
      <c r="X332" s="27"/>
      <c r="Y332" s="27"/>
      <c r="Z332" s="27"/>
      <c r="AA332" s="25"/>
      <c r="AB332" s="27"/>
      <c r="AC332" s="30" t="str">
        <f aca="false">IF(M332="","",IF(AB332="",M332*Parámetros!$B$6,AB332))</f>
        <v/>
      </c>
      <c r="AD332" s="30" t="str">
        <f aca="false">IF(M332="","",SUM(T332:Z332)+AC332)</f>
        <v/>
      </c>
      <c r="AE332" s="30" t="str">
        <f aca="false">IF(OR(M332="",N332=""),"",M332-N332)</f>
        <v/>
      </c>
      <c r="AF332" s="30" t="str">
        <f aca="false">IF(AE332="","",AE332-AD332)</f>
        <v/>
      </c>
      <c r="AG332" s="28" t="str">
        <f aca="false">IF(OR(AF332="",M332=0),"",AF332/M332)</f>
        <v/>
      </c>
      <c r="AH332" s="32" t="str">
        <f aca="false">IF(OR(AE332="",N332=0),"",AE332/(N332/1000))</f>
        <v/>
      </c>
      <c r="AI332" s="30" t="str">
        <f aca="false">IF(O332="","",M332*P332)</f>
        <v/>
      </c>
      <c r="AJ332" s="11" t="str">
        <f aca="false">IF(O332="","",IF(O332&gt;1,"Error: rend &gt; 100 %",IF(SUM(T332:Z332)=0,"Falta registrar pérdidas",IF(ABS(AG332)&gt;Parámetros!$B$7,"Revisar balance",IF(O332&lt;P332,"Bajo meta","OK")))))</f>
        <v/>
      </c>
      <c r="AK332" s="33"/>
      <c r="AL332" s="10"/>
      <c r="AM332" s="33"/>
      <c r="AN332" s="33"/>
      <c r="AO332" s="10"/>
    </row>
    <row r="333" customFormat="false" ht="15" hidden="false" customHeight="false" outlineLevel="0" collapsed="false">
      <c r="A333" s="22"/>
      <c r="B333" s="23" t="str">
        <f aca="false">IF(A333="","",YEAR(A333-WEEKDAY(A333,2)+4))</f>
        <v/>
      </c>
      <c r="C333" s="23" t="str">
        <f aca="false">IF(A333="","",WEEKNUM(A333,21))</f>
        <v/>
      </c>
      <c r="D333" s="24" t="str">
        <f aca="false">IF(A333="","",DATE(YEAR(A333),MONTH(A333),1))</f>
        <v/>
      </c>
      <c r="E333" s="10"/>
      <c r="F333" s="25"/>
      <c r="G333" s="25"/>
      <c r="H333" s="10"/>
      <c r="I333" s="10"/>
      <c r="J333" s="26"/>
      <c r="K333" s="25"/>
      <c r="L333" s="26"/>
      <c r="M333" s="27"/>
      <c r="N333" s="27"/>
      <c r="O333" s="28" t="str">
        <f aca="false">IF(OR(M333="",M333=0,N333=""),"",N333/M333)</f>
        <v/>
      </c>
      <c r="P333" s="28" t="str">
        <f aca="false">IF(M333="","",IFERROR(IF(INDEX(Parámetros!$B$14:$B$21,MATCH(I333,Parámetros!$A$14:$A$21,0))="",Parámetros!$B$5,INDEX(Parámetros!$B$14:$B$21,MATCH(I333,Parámetros!$A$14:$A$21,0))),Parámetros!$B$5))</f>
        <v/>
      </c>
      <c r="Q333" s="29" t="str">
        <f aca="false">IF(O333="","",(O333-P333)*100)</f>
        <v/>
      </c>
      <c r="R333" s="30" t="str">
        <f aca="false">IF(O333="","",MAX(0,M333*(P333-O333)))</f>
        <v/>
      </c>
      <c r="S333" s="31" t="str">
        <f aca="false">IF(OR(L333="",L333=0,N333=""),"",N333/1000/L333)</f>
        <v/>
      </c>
      <c r="T333" s="27"/>
      <c r="U333" s="27"/>
      <c r="V333" s="27"/>
      <c r="W333" s="27"/>
      <c r="X333" s="27"/>
      <c r="Y333" s="27"/>
      <c r="Z333" s="27"/>
      <c r="AA333" s="25"/>
      <c r="AB333" s="27"/>
      <c r="AC333" s="30" t="str">
        <f aca="false">IF(M333="","",IF(AB333="",M333*Parámetros!$B$6,AB333))</f>
        <v/>
      </c>
      <c r="AD333" s="30" t="str">
        <f aca="false">IF(M333="","",SUM(T333:Z333)+AC333)</f>
        <v/>
      </c>
      <c r="AE333" s="30" t="str">
        <f aca="false">IF(OR(M333="",N333=""),"",M333-N333)</f>
        <v/>
      </c>
      <c r="AF333" s="30" t="str">
        <f aca="false">IF(AE333="","",AE333-AD333)</f>
        <v/>
      </c>
      <c r="AG333" s="28" t="str">
        <f aca="false">IF(OR(AF333="",M333=0),"",AF333/M333)</f>
        <v/>
      </c>
      <c r="AH333" s="32" t="str">
        <f aca="false">IF(OR(AE333="",N333=0),"",AE333/(N333/1000))</f>
        <v/>
      </c>
      <c r="AI333" s="30" t="str">
        <f aca="false">IF(O333="","",M333*P333)</f>
        <v/>
      </c>
      <c r="AJ333" s="11" t="str">
        <f aca="false">IF(O333="","",IF(O333&gt;1,"Error: rend &gt; 100 %",IF(SUM(T333:Z333)=0,"Falta registrar pérdidas",IF(ABS(AG333)&gt;Parámetros!$B$7,"Revisar balance",IF(O333&lt;P333,"Bajo meta","OK")))))</f>
        <v/>
      </c>
      <c r="AK333" s="33"/>
      <c r="AL333" s="10"/>
      <c r="AM333" s="33"/>
      <c r="AN333" s="33"/>
      <c r="AO333" s="10"/>
    </row>
    <row r="334" customFormat="false" ht="15" hidden="false" customHeight="false" outlineLevel="0" collapsed="false">
      <c r="A334" s="22"/>
      <c r="B334" s="23" t="str">
        <f aca="false">IF(A334="","",YEAR(A334-WEEKDAY(A334,2)+4))</f>
        <v/>
      </c>
      <c r="C334" s="23" t="str">
        <f aca="false">IF(A334="","",WEEKNUM(A334,21))</f>
        <v/>
      </c>
      <c r="D334" s="24" t="str">
        <f aca="false">IF(A334="","",DATE(YEAR(A334),MONTH(A334),1))</f>
        <v/>
      </c>
      <c r="E334" s="10"/>
      <c r="F334" s="25"/>
      <c r="G334" s="25"/>
      <c r="H334" s="10"/>
      <c r="I334" s="10"/>
      <c r="J334" s="26"/>
      <c r="K334" s="25"/>
      <c r="L334" s="26"/>
      <c r="M334" s="27"/>
      <c r="N334" s="27"/>
      <c r="O334" s="28" t="str">
        <f aca="false">IF(OR(M334="",M334=0,N334=""),"",N334/M334)</f>
        <v/>
      </c>
      <c r="P334" s="28" t="str">
        <f aca="false">IF(M334="","",IFERROR(IF(INDEX(Parámetros!$B$14:$B$21,MATCH(I334,Parámetros!$A$14:$A$21,0))="",Parámetros!$B$5,INDEX(Parámetros!$B$14:$B$21,MATCH(I334,Parámetros!$A$14:$A$21,0))),Parámetros!$B$5))</f>
        <v/>
      </c>
      <c r="Q334" s="29" t="str">
        <f aca="false">IF(O334="","",(O334-P334)*100)</f>
        <v/>
      </c>
      <c r="R334" s="30" t="str">
        <f aca="false">IF(O334="","",MAX(0,M334*(P334-O334)))</f>
        <v/>
      </c>
      <c r="S334" s="31" t="str">
        <f aca="false">IF(OR(L334="",L334=0,N334=""),"",N334/1000/L334)</f>
        <v/>
      </c>
      <c r="T334" s="27"/>
      <c r="U334" s="27"/>
      <c r="V334" s="27"/>
      <c r="W334" s="27"/>
      <c r="X334" s="27"/>
      <c r="Y334" s="27"/>
      <c r="Z334" s="27"/>
      <c r="AA334" s="25"/>
      <c r="AB334" s="27"/>
      <c r="AC334" s="30" t="str">
        <f aca="false">IF(M334="","",IF(AB334="",M334*Parámetros!$B$6,AB334))</f>
        <v/>
      </c>
      <c r="AD334" s="30" t="str">
        <f aca="false">IF(M334="","",SUM(T334:Z334)+AC334)</f>
        <v/>
      </c>
      <c r="AE334" s="30" t="str">
        <f aca="false">IF(OR(M334="",N334=""),"",M334-N334)</f>
        <v/>
      </c>
      <c r="AF334" s="30" t="str">
        <f aca="false">IF(AE334="","",AE334-AD334)</f>
        <v/>
      </c>
      <c r="AG334" s="28" t="str">
        <f aca="false">IF(OR(AF334="",M334=0),"",AF334/M334)</f>
        <v/>
      </c>
      <c r="AH334" s="32" t="str">
        <f aca="false">IF(OR(AE334="",N334=0),"",AE334/(N334/1000))</f>
        <v/>
      </c>
      <c r="AI334" s="30" t="str">
        <f aca="false">IF(O334="","",M334*P334)</f>
        <v/>
      </c>
      <c r="AJ334" s="11" t="str">
        <f aca="false">IF(O334="","",IF(O334&gt;1,"Error: rend &gt; 100 %",IF(SUM(T334:Z334)=0,"Falta registrar pérdidas",IF(ABS(AG334)&gt;Parámetros!$B$7,"Revisar balance",IF(O334&lt;P334,"Bajo meta","OK")))))</f>
        <v/>
      </c>
      <c r="AK334" s="33"/>
      <c r="AL334" s="10"/>
      <c r="AM334" s="33"/>
      <c r="AN334" s="33"/>
      <c r="AO334" s="10"/>
    </row>
    <row r="335" customFormat="false" ht="15" hidden="false" customHeight="false" outlineLevel="0" collapsed="false">
      <c r="A335" s="22"/>
      <c r="B335" s="23" t="str">
        <f aca="false">IF(A335="","",YEAR(A335-WEEKDAY(A335,2)+4))</f>
        <v/>
      </c>
      <c r="C335" s="23" t="str">
        <f aca="false">IF(A335="","",WEEKNUM(A335,21))</f>
        <v/>
      </c>
      <c r="D335" s="24" t="str">
        <f aca="false">IF(A335="","",DATE(YEAR(A335),MONTH(A335),1))</f>
        <v/>
      </c>
      <c r="E335" s="10"/>
      <c r="F335" s="25"/>
      <c r="G335" s="25"/>
      <c r="H335" s="10"/>
      <c r="I335" s="10"/>
      <c r="J335" s="26"/>
      <c r="K335" s="25"/>
      <c r="L335" s="26"/>
      <c r="M335" s="27"/>
      <c r="N335" s="27"/>
      <c r="O335" s="28" t="str">
        <f aca="false">IF(OR(M335="",M335=0,N335=""),"",N335/M335)</f>
        <v/>
      </c>
      <c r="P335" s="28" t="str">
        <f aca="false">IF(M335="","",IFERROR(IF(INDEX(Parámetros!$B$14:$B$21,MATCH(I335,Parámetros!$A$14:$A$21,0))="",Parámetros!$B$5,INDEX(Parámetros!$B$14:$B$21,MATCH(I335,Parámetros!$A$14:$A$21,0))),Parámetros!$B$5))</f>
        <v/>
      </c>
      <c r="Q335" s="29" t="str">
        <f aca="false">IF(O335="","",(O335-P335)*100)</f>
        <v/>
      </c>
      <c r="R335" s="30" t="str">
        <f aca="false">IF(O335="","",MAX(0,M335*(P335-O335)))</f>
        <v/>
      </c>
      <c r="S335" s="31" t="str">
        <f aca="false">IF(OR(L335="",L335=0,N335=""),"",N335/1000/L335)</f>
        <v/>
      </c>
      <c r="T335" s="27"/>
      <c r="U335" s="27"/>
      <c r="V335" s="27"/>
      <c r="W335" s="27"/>
      <c r="X335" s="27"/>
      <c r="Y335" s="27"/>
      <c r="Z335" s="27"/>
      <c r="AA335" s="25"/>
      <c r="AB335" s="27"/>
      <c r="AC335" s="30" t="str">
        <f aca="false">IF(M335="","",IF(AB335="",M335*Parámetros!$B$6,AB335))</f>
        <v/>
      </c>
      <c r="AD335" s="30" t="str">
        <f aca="false">IF(M335="","",SUM(T335:Z335)+AC335)</f>
        <v/>
      </c>
      <c r="AE335" s="30" t="str">
        <f aca="false">IF(OR(M335="",N335=""),"",M335-N335)</f>
        <v/>
      </c>
      <c r="AF335" s="30" t="str">
        <f aca="false">IF(AE335="","",AE335-AD335)</f>
        <v/>
      </c>
      <c r="AG335" s="28" t="str">
        <f aca="false">IF(OR(AF335="",M335=0),"",AF335/M335)</f>
        <v/>
      </c>
      <c r="AH335" s="32" t="str">
        <f aca="false">IF(OR(AE335="",N335=0),"",AE335/(N335/1000))</f>
        <v/>
      </c>
      <c r="AI335" s="30" t="str">
        <f aca="false">IF(O335="","",M335*P335)</f>
        <v/>
      </c>
      <c r="AJ335" s="11" t="str">
        <f aca="false">IF(O335="","",IF(O335&gt;1,"Error: rend &gt; 100 %",IF(SUM(T335:Z335)=0,"Falta registrar pérdidas",IF(ABS(AG335)&gt;Parámetros!$B$7,"Revisar balance",IF(O335&lt;P335,"Bajo meta","OK")))))</f>
        <v/>
      </c>
      <c r="AK335" s="33"/>
      <c r="AL335" s="10"/>
      <c r="AM335" s="33"/>
      <c r="AN335" s="33"/>
      <c r="AO335" s="10"/>
    </row>
    <row r="336" customFormat="false" ht="15" hidden="false" customHeight="false" outlineLevel="0" collapsed="false">
      <c r="A336" s="22"/>
      <c r="B336" s="23" t="str">
        <f aca="false">IF(A336="","",YEAR(A336-WEEKDAY(A336,2)+4))</f>
        <v/>
      </c>
      <c r="C336" s="23" t="str">
        <f aca="false">IF(A336="","",WEEKNUM(A336,21))</f>
        <v/>
      </c>
      <c r="D336" s="24" t="str">
        <f aca="false">IF(A336="","",DATE(YEAR(A336),MONTH(A336),1))</f>
        <v/>
      </c>
      <c r="E336" s="10"/>
      <c r="F336" s="25"/>
      <c r="G336" s="25"/>
      <c r="H336" s="10"/>
      <c r="I336" s="10"/>
      <c r="J336" s="26"/>
      <c r="K336" s="25"/>
      <c r="L336" s="26"/>
      <c r="M336" s="27"/>
      <c r="N336" s="27"/>
      <c r="O336" s="28" t="str">
        <f aca="false">IF(OR(M336="",M336=0,N336=""),"",N336/M336)</f>
        <v/>
      </c>
      <c r="P336" s="28" t="str">
        <f aca="false">IF(M336="","",IFERROR(IF(INDEX(Parámetros!$B$14:$B$21,MATCH(I336,Parámetros!$A$14:$A$21,0))="",Parámetros!$B$5,INDEX(Parámetros!$B$14:$B$21,MATCH(I336,Parámetros!$A$14:$A$21,0))),Parámetros!$B$5))</f>
        <v/>
      </c>
      <c r="Q336" s="29" t="str">
        <f aca="false">IF(O336="","",(O336-P336)*100)</f>
        <v/>
      </c>
      <c r="R336" s="30" t="str">
        <f aca="false">IF(O336="","",MAX(0,M336*(P336-O336)))</f>
        <v/>
      </c>
      <c r="S336" s="31" t="str">
        <f aca="false">IF(OR(L336="",L336=0,N336=""),"",N336/1000/L336)</f>
        <v/>
      </c>
      <c r="T336" s="27"/>
      <c r="U336" s="27"/>
      <c r="V336" s="27"/>
      <c r="W336" s="27"/>
      <c r="X336" s="27"/>
      <c r="Y336" s="27"/>
      <c r="Z336" s="27"/>
      <c r="AA336" s="25"/>
      <c r="AB336" s="27"/>
      <c r="AC336" s="30" t="str">
        <f aca="false">IF(M336="","",IF(AB336="",M336*Parámetros!$B$6,AB336))</f>
        <v/>
      </c>
      <c r="AD336" s="30" t="str">
        <f aca="false">IF(M336="","",SUM(T336:Z336)+AC336)</f>
        <v/>
      </c>
      <c r="AE336" s="30" t="str">
        <f aca="false">IF(OR(M336="",N336=""),"",M336-N336)</f>
        <v/>
      </c>
      <c r="AF336" s="30" t="str">
        <f aca="false">IF(AE336="","",AE336-AD336)</f>
        <v/>
      </c>
      <c r="AG336" s="28" t="str">
        <f aca="false">IF(OR(AF336="",M336=0),"",AF336/M336)</f>
        <v/>
      </c>
      <c r="AH336" s="32" t="str">
        <f aca="false">IF(OR(AE336="",N336=0),"",AE336/(N336/1000))</f>
        <v/>
      </c>
      <c r="AI336" s="30" t="str">
        <f aca="false">IF(O336="","",M336*P336)</f>
        <v/>
      </c>
      <c r="AJ336" s="11" t="str">
        <f aca="false">IF(O336="","",IF(O336&gt;1,"Error: rend &gt; 100 %",IF(SUM(T336:Z336)=0,"Falta registrar pérdidas",IF(ABS(AG336)&gt;Parámetros!$B$7,"Revisar balance",IF(O336&lt;P336,"Bajo meta","OK")))))</f>
        <v/>
      </c>
      <c r="AK336" s="33"/>
      <c r="AL336" s="10"/>
      <c r="AM336" s="33"/>
      <c r="AN336" s="33"/>
      <c r="AO336" s="10"/>
    </row>
    <row r="337" customFormat="false" ht="15" hidden="false" customHeight="false" outlineLevel="0" collapsed="false">
      <c r="A337" s="22"/>
      <c r="B337" s="23" t="str">
        <f aca="false">IF(A337="","",YEAR(A337-WEEKDAY(A337,2)+4))</f>
        <v/>
      </c>
      <c r="C337" s="23" t="str">
        <f aca="false">IF(A337="","",WEEKNUM(A337,21))</f>
        <v/>
      </c>
      <c r="D337" s="24" t="str">
        <f aca="false">IF(A337="","",DATE(YEAR(A337),MONTH(A337),1))</f>
        <v/>
      </c>
      <c r="E337" s="10"/>
      <c r="F337" s="25"/>
      <c r="G337" s="25"/>
      <c r="H337" s="10"/>
      <c r="I337" s="10"/>
      <c r="J337" s="26"/>
      <c r="K337" s="25"/>
      <c r="L337" s="26"/>
      <c r="M337" s="27"/>
      <c r="N337" s="27"/>
      <c r="O337" s="28" t="str">
        <f aca="false">IF(OR(M337="",M337=0,N337=""),"",N337/M337)</f>
        <v/>
      </c>
      <c r="P337" s="28" t="str">
        <f aca="false">IF(M337="","",IFERROR(IF(INDEX(Parámetros!$B$14:$B$21,MATCH(I337,Parámetros!$A$14:$A$21,0))="",Parámetros!$B$5,INDEX(Parámetros!$B$14:$B$21,MATCH(I337,Parámetros!$A$14:$A$21,0))),Parámetros!$B$5))</f>
        <v/>
      </c>
      <c r="Q337" s="29" t="str">
        <f aca="false">IF(O337="","",(O337-P337)*100)</f>
        <v/>
      </c>
      <c r="R337" s="30" t="str">
        <f aca="false">IF(O337="","",MAX(0,M337*(P337-O337)))</f>
        <v/>
      </c>
      <c r="S337" s="31" t="str">
        <f aca="false">IF(OR(L337="",L337=0,N337=""),"",N337/1000/L337)</f>
        <v/>
      </c>
      <c r="T337" s="27"/>
      <c r="U337" s="27"/>
      <c r="V337" s="27"/>
      <c r="W337" s="27"/>
      <c r="X337" s="27"/>
      <c r="Y337" s="27"/>
      <c r="Z337" s="27"/>
      <c r="AA337" s="25"/>
      <c r="AB337" s="27"/>
      <c r="AC337" s="30" t="str">
        <f aca="false">IF(M337="","",IF(AB337="",M337*Parámetros!$B$6,AB337))</f>
        <v/>
      </c>
      <c r="AD337" s="30" t="str">
        <f aca="false">IF(M337="","",SUM(T337:Z337)+AC337)</f>
        <v/>
      </c>
      <c r="AE337" s="30" t="str">
        <f aca="false">IF(OR(M337="",N337=""),"",M337-N337)</f>
        <v/>
      </c>
      <c r="AF337" s="30" t="str">
        <f aca="false">IF(AE337="","",AE337-AD337)</f>
        <v/>
      </c>
      <c r="AG337" s="28" t="str">
        <f aca="false">IF(OR(AF337="",M337=0),"",AF337/M337)</f>
        <v/>
      </c>
      <c r="AH337" s="32" t="str">
        <f aca="false">IF(OR(AE337="",N337=0),"",AE337/(N337/1000))</f>
        <v/>
      </c>
      <c r="AI337" s="30" t="str">
        <f aca="false">IF(O337="","",M337*P337)</f>
        <v/>
      </c>
      <c r="AJ337" s="11" t="str">
        <f aca="false">IF(O337="","",IF(O337&gt;1,"Error: rend &gt; 100 %",IF(SUM(T337:Z337)=0,"Falta registrar pérdidas",IF(ABS(AG337)&gt;Parámetros!$B$7,"Revisar balance",IF(O337&lt;P337,"Bajo meta","OK")))))</f>
        <v/>
      </c>
      <c r="AK337" s="33"/>
      <c r="AL337" s="10"/>
      <c r="AM337" s="33"/>
      <c r="AN337" s="33"/>
      <c r="AO337" s="10"/>
    </row>
    <row r="338" customFormat="false" ht="15" hidden="false" customHeight="false" outlineLevel="0" collapsed="false">
      <c r="A338" s="22"/>
      <c r="B338" s="23" t="str">
        <f aca="false">IF(A338="","",YEAR(A338-WEEKDAY(A338,2)+4))</f>
        <v/>
      </c>
      <c r="C338" s="23" t="str">
        <f aca="false">IF(A338="","",WEEKNUM(A338,21))</f>
        <v/>
      </c>
      <c r="D338" s="24" t="str">
        <f aca="false">IF(A338="","",DATE(YEAR(A338),MONTH(A338),1))</f>
        <v/>
      </c>
      <c r="E338" s="10"/>
      <c r="F338" s="25"/>
      <c r="G338" s="25"/>
      <c r="H338" s="10"/>
      <c r="I338" s="10"/>
      <c r="J338" s="26"/>
      <c r="K338" s="25"/>
      <c r="L338" s="26"/>
      <c r="M338" s="27"/>
      <c r="N338" s="27"/>
      <c r="O338" s="28" t="str">
        <f aca="false">IF(OR(M338="",M338=0,N338=""),"",N338/M338)</f>
        <v/>
      </c>
      <c r="P338" s="28" t="str">
        <f aca="false">IF(M338="","",IFERROR(IF(INDEX(Parámetros!$B$14:$B$21,MATCH(I338,Parámetros!$A$14:$A$21,0))="",Parámetros!$B$5,INDEX(Parámetros!$B$14:$B$21,MATCH(I338,Parámetros!$A$14:$A$21,0))),Parámetros!$B$5))</f>
        <v/>
      </c>
      <c r="Q338" s="29" t="str">
        <f aca="false">IF(O338="","",(O338-P338)*100)</f>
        <v/>
      </c>
      <c r="R338" s="30" t="str">
        <f aca="false">IF(O338="","",MAX(0,M338*(P338-O338)))</f>
        <v/>
      </c>
      <c r="S338" s="31" t="str">
        <f aca="false">IF(OR(L338="",L338=0,N338=""),"",N338/1000/L338)</f>
        <v/>
      </c>
      <c r="T338" s="27"/>
      <c r="U338" s="27"/>
      <c r="V338" s="27"/>
      <c r="W338" s="27"/>
      <c r="X338" s="27"/>
      <c r="Y338" s="27"/>
      <c r="Z338" s="27"/>
      <c r="AA338" s="25"/>
      <c r="AB338" s="27"/>
      <c r="AC338" s="30" t="str">
        <f aca="false">IF(M338="","",IF(AB338="",M338*Parámetros!$B$6,AB338))</f>
        <v/>
      </c>
      <c r="AD338" s="30" t="str">
        <f aca="false">IF(M338="","",SUM(T338:Z338)+AC338)</f>
        <v/>
      </c>
      <c r="AE338" s="30" t="str">
        <f aca="false">IF(OR(M338="",N338=""),"",M338-N338)</f>
        <v/>
      </c>
      <c r="AF338" s="30" t="str">
        <f aca="false">IF(AE338="","",AE338-AD338)</f>
        <v/>
      </c>
      <c r="AG338" s="28" t="str">
        <f aca="false">IF(OR(AF338="",M338=0),"",AF338/M338)</f>
        <v/>
      </c>
      <c r="AH338" s="32" t="str">
        <f aca="false">IF(OR(AE338="",N338=0),"",AE338/(N338/1000))</f>
        <v/>
      </c>
      <c r="AI338" s="30" t="str">
        <f aca="false">IF(O338="","",M338*P338)</f>
        <v/>
      </c>
      <c r="AJ338" s="11" t="str">
        <f aca="false">IF(O338="","",IF(O338&gt;1,"Error: rend &gt; 100 %",IF(SUM(T338:Z338)=0,"Falta registrar pérdidas",IF(ABS(AG338)&gt;Parámetros!$B$7,"Revisar balance",IF(O338&lt;P338,"Bajo meta","OK")))))</f>
        <v/>
      </c>
      <c r="AK338" s="33"/>
      <c r="AL338" s="10"/>
      <c r="AM338" s="33"/>
      <c r="AN338" s="33"/>
      <c r="AO338" s="10"/>
    </row>
    <row r="339" customFormat="false" ht="15" hidden="false" customHeight="false" outlineLevel="0" collapsed="false">
      <c r="A339" s="22"/>
      <c r="B339" s="23" t="str">
        <f aca="false">IF(A339="","",YEAR(A339-WEEKDAY(A339,2)+4))</f>
        <v/>
      </c>
      <c r="C339" s="23" t="str">
        <f aca="false">IF(A339="","",WEEKNUM(A339,21))</f>
        <v/>
      </c>
      <c r="D339" s="24" t="str">
        <f aca="false">IF(A339="","",DATE(YEAR(A339),MONTH(A339),1))</f>
        <v/>
      </c>
      <c r="E339" s="10"/>
      <c r="F339" s="25"/>
      <c r="G339" s="25"/>
      <c r="H339" s="10"/>
      <c r="I339" s="10"/>
      <c r="J339" s="26"/>
      <c r="K339" s="25"/>
      <c r="L339" s="26"/>
      <c r="M339" s="27"/>
      <c r="N339" s="27"/>
      <c r="O339" s="28" t="str">
        <f aca="false">IF(OR(M339="",M339=0,N339=""),"",N339/M339)</f>
        <v/>
      </c>
      <c r="P339" s="28" t="str">
        <f aca="false">IF(M339="","",IFERROR(IF(INDEX(Parámetros!$B$14:$B$21,MATCH(I339,Parámetros!$A$14:$A$21,0))="",Parámetros!$B$5,INDEX(Parámetros!$B$14:$B$21,MATCH(I339,Parámetros!$A$14:$A$21,0))),Parámetros!$B$5))</f>
        <v/>
      </c>
      <c r="Q339" s="29" t="str">
        <f aca="false">IF(O339="","",(O339-P339)*100)</f>
        <v/>
      </c>
      <c r="R339" s="30" t="str">
        <f aca="false">IF(O339="","",MAX(0,M339*(P339-O339)))</f>
        <v/>
      </c>
      <c r="S339" s="31" t="str">
        <f aca="false">IF(OR(L339="",L339=0,N339=""),"",N339/1000/L339)</f>
        <v/>
      </c>
      <c r="T339" s="27"/>
      <c r="U339" s="27"/>
      <c r="V339" s="27"/>
      <c r="W339" s="27"/>
      <c r="X339" s="27"/>
      <c r="Y339" s="27"/>
      <c r="Z339" s="27"/>
      <c r="AA339" s="25"/>
      <c r="AB339" s="27"/>
      <c r="AC339" s="30" t="str">
        <f aca="false">IF(M339="","",IF(AB339="",M339*Parámetros!$B$6,AB339))</f>
        <v/>
      </c>
      <c r="AD339" s="30" t="str">
        <f aca="false">IF(M339="","",SUM(T339:Z339)+AC339)</f>
        <v/>
      </c>
      <c r="AE339" s="30" t="str">
        <f aca="false">IF(OR(M339="",N339=""),"",M339-N339)</f>
        <v/>
      </c>
      <c r="AF339" s="30" t="str">
        <f aca="false">IF(AE339="","",AE339-AD339)</f>
        <v/>
      </c>
      <c r="AG339" s="28" t="str">
        <f aca="false">IF(OR(AF339="",M339=0),"",AF339/M339)</f>
        <v/>
      </c>
      <c r="AH339" s="32" t="str">
        <f aca="false">IF(OR(AE339="",N339=0),"",AE339/(N339/1000))</f>
        <v/>
      </c>
      <c r="AI339" s="30" t="str">
        <f aca="false">IF(O339="","",M339*P339)</f>
        <v/>
      </c>
      <c r="AJ339" s="11" t="str">
        <f aca="false">IF(O339="","",IF(O339&gt;1,"Error: rend &gt; 100 %",IF(SUM(T339:Z339)=0,"Falta registrar pérdidas",IF(ABS(AG339)&gt;Parámetros!$B$7,"Revisar balance",IF(O339&lt;P339,"Bajo meta","OK")))))</f>
        <v/>
      </c>
      <c r="AK339" s="33"/>
      <c r="AL339" s="10"/>
      <c r="AM339" s="33"/>
      <c r="AN339" s="33"/>
      <c r="AO339" s="10"/>
    </row>
    <row r="340" customFormat="false" ht="15" hidden="false" customHeight="false" outlineLevel="0" collapsed="false">
      <c r="A340" s="22"/>
      <c r="B340" s="23" t="str">
        <f aca="false">IF(A340="","",YEAR(A340-WEEKDAY(A340,2)+4))</f>
        <v/>
      </c>
      <c r="C340" s="23" t="str">
        <f aca="false">IF(A340="","",WEEKNUM(A340,21))</f>
        <v/>
      </c>
      <c r="D340" s="24" t="str">
        <f aca="false">IF(A340="","",DATE(YEAR(A340),MONTH(A340),1))</f>
        <v/>
      </c>
      <c r="E340" s="10"/>
      <c r="F340" s="25"/>
      <c r="G340" s="25"/>
      <c r="H340" s="10"/>
      <c r="I340" s="10"/>
      <c r="J340" s="26"/>
      <c r="K340" s="25"/>
      <c r="L340" s="26"/>
      <c r="M340" s="27"/>
      <c r="N340" s="27"/>
      <c r="O340" s="28" t="str">
        <f aca="false">IF(OR(M340="",M340=0,N340=""),"",N340/M340)</f>
        <v/>
      </c>
      <c r="P340" s="28" t="str">
        <f aca="false">IF(M340="","",IFERROR(IF(INDEX(Parámetros!$B$14:$B$21,MATCH(I340,Parámetros!$A$14:$A$21,0))="",Parámetros!$B$5,INDEX(Parámetros!$B$14:$B$21,MATCH(I340,Parámetros!$A$14:$A$21,0))),Parámetros!$B$5))</f>
        <v/>
      </c>
      <c r="Q340" s="29" t="str">
        <f aca="false">IF(O340="","",(O340-P340)*100)</f>
        <v/>
      </c>
      <c r="R340" s="30" t="str">
        <f aca="false">IF(O340="","",MAX(0,M340*(P340-O340)))</f>
        <v/>
      </c>
      <c r="S340" s="31" t="str">
        <f aca="false">IF(OR(L340="",L340=0,N340=""),"",N340/1000/L340)</f>
        <v/>
      </c>
      <c r="T340" s="27"/>
      <c r="U340" s="27"/>
      <c r="V340" s="27"/>
      <c r="W340" s="27"/>
      <c r="X340" s="27"/>
      <c r="Y340" s="27"/>
      <c r="Z340" s="27"/>
      <c r="AA340" s="25"/>
      <c r="AB340" s="27"/>
      <c r="AC340" s="30" t="str">
        <f aca="false">IF(M340="","",IF(AB340="",M340*Parámetros!$B$6,AB340))</f>
        <v/>
      </c>
      <c r="AD340" s="30" t="str">
        <f aca="false">IF(M340="","",SUM(T340:Z340)+AC340)</f>
        <v/>
      </c>
      <c r="AE340" s="30" t="str">
        <f aca="false">IF(OR(M340="",N340=""),"",M340-N340)</f>
        <v/>
      </c>
      <c r="AF340" s="30" t="str">
        <f aca="false">IF(AE340="","",AE340-AD340)</f>
        <v/>
      </c>
      <c r="AG340" s="28" t="str">
        <f aca="false">IF(OR(AF340="",M340=0),"",AF340/M340)</f>
        <v/>
      </c>
      <c r="AH340" s="32" t="str">
        <f aca="false">IF(OR(AE340="",N340=0),"",AE340/(N340/1000))</f>
        <v/>
      </c>
      <c r="AI340" s="30" t="str">
        <f aca="false">IF(O340="","",M340*P340)</f>
        <v/>
      </c>
      <c r="AJ340" s="11" t="str">
        <f aca="false">IF(O340="","",IF(O340&gt;1,"Error: rend &gt; 100 %",IF(SUM(T340:Z340)=0,"Falta registrar pérdidas",IF(ABS(AG340)&gt;Parámetros!$B$7,"Revisar balance",IF(O340&lt;P340,"Bajo meta","OK")))))</f>
        <v/>
      </c>
      <c r="AK340" s="33"/>
      <c r="AL340" s="10"/>
      <c r="AM340" s="33"/>
      <c r="AN340" s="33"/>
      <c r="AO340" s="10"/>
    </row>
    <row r="341" customFormat="false" ht="15" hidden="false" customHeight="false" outlineLevel="0" collapsed="false">
      <c r="A341" s="22"/>
      <c r="B341" s="23" t="str">
        <f aca="false">IF(A341="","",YEAR(A341-WEEKDAY(A341,2)+4))</f>
        <v/>
      </c>
      <c r="C341" s="23" t="str">
        <f aca="false">IF(A341="","",WEEKNUM(A341,21))</f>
        <v/>
      </c>
      <c r="D341" s="24" t="str">
        <f aca="false">IF(A341="","",DATE(YEAR(A341),MONTH(A341),1))</f>
        <v/>
      </c>
      <c r="E341" s="10"/>
      <c r="F341" s="25"/>
      <c r="G341" s="25"/>
      <c r="H341" s="10"/>
      <c r="I341" s="10"/>
      <c r="J341" s="26"/>
      <c r="K341" s="25"/>
      <c r="L341" s="26"/>
      <c r="M341" s="27"/>
      <c r="N341" s="27"/>
      <c r="O341" s="28" t="str">
        <f aca="false">IF(OR(M341="",M341=0,N341=""),"",N341/M341)</f>
        <v/>
      </c>
      <c r="P341" s="28" t="str">
        <f aca="false">IF(M341="","",IFERROR(IF(INDEX(Parámetros!$B$14:$B$21,MATCH(I341,Parámetros!$A$14:$A$21,0))="",Parámetros!$B$5,INDEX(Parámetros!$B$14:$B$21,MATCH(I341,Parámetros!$A$14:$A$21,0))),Parámetros!$B$5))</f>
        <v/>
      </c>
      <c r="Q341" s="29" t="str">
        <f aca="false">IF(O341="","",(O341-P341)*100)</f>
        <v/>
      </c>
      <c r="R341" s="30" t="str">
        <f aca="false">IF(O341="","",MAX(0,M341*(P341-O341)))</f>
        <v/>
      </c>
      <c r="S341" s="31" t="str">
        <f aca="false">IF(OR(L341="",L341=0,N341=""),"",N341/1000/L341)</f>
        <v/>
      </c>
      <c r="T341" s="27"/>
      <c r="U341" s="27"/>
      <c r="V341" s="27"/>
      <c r="W341" s="27"/>
      <c r="X341" s="27"/>
      <c r="Y341" s="27"/>
      <c r="Z341" s="27"/>
      <c r="AA341" s="25"/>
      <c r="AB341" s="27"/>
      <c r="AC341" s="30" t="str">
        <f aca="false">IF(M341="","",IF(AB341="",M341*Parámetros!$B$6,AB341))</f>
        <v/>
      </c>
      <c r="AD341" s="30" t="str">
        <f aca="false">IF(M341="","",SUM(T341:Z341)+AC341)</f>
        <v/>
      </c>
      <c r="AE341" s="30" t="str">
        <f aca="false">IF(OR(M341="",N341=""),"",M341-N341)</f>
        <v/>
      </c>
      <c r="AF341" s="30" t="str">
        <f aca="false">IF(AE341="","",AE341-AD341)</f>
        <v/>
      </c>
      <c r="AG341" s="28" t="str">
        <f aca="false">IF(OR(AF341="",M341=0),"",AF341/M341)</f>
        <v/>
      </c>
      <c r="AH341" s="32" t="str">
        <f aca="false">IF(OR(AE341="",N341=0),"",AE341/(N341/1000))</f>
        <v/>
      </c>
      <c r="AI341" s="30" t="str">
        <f aca="false">IF(O341="","",M341*P341)</f>
        <v/>
      </c>
      <c r="AJ341" s="11" t="str">
        <f aca="false">IF(O341="","",IF(O341&gt;1,"Error: rend &gt; 100 %",IF(SUM(T341:Z341)=0,"Falta registrar pérdidas",IF(ABS(AG341)&gt;Parámetros!$B$7,"Revisar balance",IF(O341&lt;P341,"Bajo meta","OK")))))</f>
        <v/>
      </c>
      <c r="AK341" s="33"/>
      <c r="AL341" s="10"/>
      <c r="AM341" s="33"/>
      <c r="AN341" s="33"/>
      <c r="AO341" s="10"/>
    </row>
    <row r="342" customFormat="false" ht="15" hidden="false" customHeight="false" outlineLevel="0" collapsed="false">
      <c r="A342" s="22"/>
      <c r="B342" s="23" t="str">
        <f aca="false">IF(A342="","",YEAR(A342-WEEKDAY(A342,2)+4))</f>
        <v/>
      </c>
      <c r="C342" s="23" t="str">
        <f aca="false">IF(A342="","",WEEKNUM(A342,21))</f>
        <v/>
      </c>
      <c r="D342" s="24" t="str">
        <f aca="false">IF(A342="","",DATE(YEAR(A342),MONTH(A342),1))</f>
        <v/>
      </c>
      <c r="E342" s="10"/>
      <c r="F342" s="25"/>
      <c r="G342" s="25"/>
      <c r="H342" s="10"/>
      <c r="I342" s="10"/>
      <c r="J342" s="26"/>
      <c r="K342" s="25"/>
      <c r="L342" s="26"/>
      <c r="M342" s="27"/>
      <c r="N342" s="27"/>
      <c r="O342" s="28" t="str">
        <f aca="false">IF(OR(M342="",M342=0,N342=""),"",N342/M342)</f>
        <v/>
      </c>
      <c r="P342" s="28" t="str">
        <f aca="false">IF(M342="","",IFERROR(IF(INDEX(Parámetros!$B$14:$B$21,MATCH(I342,Parámetros!$A$14:$A$21,0))="",Parámetros!$B$5,INDEX(Parámetros!$B$14:$B$21,MATCH(I342,Parámetros!$A$14:$A$21,0))),Parámetros!$B$5))</f>
        <v/>
      </c>
      <c r="Q342" s="29" t="str">
        <f aca="false">IF(O342="","",(O342-P342)*100)</f>
        <v/>
      </c>
      <c r="R342" s="30" t="str">
        <f aca="false">IF(O342="","",MAX(0,M342*(P342-O342)))</f>
        <v/>
      </c>
      <c r="S342" s="31" t="str">
        <f aca="false">IF(OR(L342="",L342=0,N342=""),"",N342/1000/L342)</f>
        <v/>
      </c>
      <c r="T342" s="27"/>
      <c r="U342" s="27"/>
      <c r="V342" s="27"/>
      <c r="W342" s="27"/>
      <c r="X342" s="27"/>
      <c r="Y342" s="27"/>
      <c r="Z342" s="27"/>
      <c r="AA342" s="25"/>
      <c r="AB342" s="27"/>
      <c r="AC342" s="30" t="str">
        <f aca="false">IF(M342="","",IF(AB342="",M342*Parámetros!$B$6,AB342))</f>
        <v/>
      </c>
      <c r="AD342" s="30" t="str">
        <f aca="false">IF(M342="","",SUM(T342:Z342)+AC342)</f>
        <v/>
      </c>
      <c r="AE342" s="30" t="str">
        <f aca="false">IF(OR(M342="",N342=""),"",M342-N342)</f>
        <v/>
      </c>
      <c r="AF342" s="30" t="str">
        <f aca="false">IF(AE342="","",AE342-AD342)</f>
        <v/>
      </c>
      <c r="AG342" s="28" t="str">
        <f aca="false">IF(OR(AF342="",M342=0),"",AF342/M342)</f>
        <v/>
      </c>
      <c r="AH342" s="32" t="str">
        <f aca="false">IF(OR(AE342="",N342=0),"",AE342/(N342/1000))</f>
        <v/>
      </c>
      <c r="AI342" s="30" t="str">
        <f aca="false">IF(O342="","",M342*P342)</f>
        <v/>
      </c>
      <c r="AJ342" s="11" t="str">
        <f aca="false">IF(O342="","",IF(O342&gt;1,"Error: rend &gt; 100 %",IF(SUM(T342:Z342)=0,"Falta registrar pérdidas",IF(ABS(AG342)&gt;Parámetros!$B$7,"Revisar balance",IF(O342&lt;P342,"Bajo meta","OK")))))</f>
        <v/>
      </c>
      <c r="AK342" s="33"/>
      <c r="AL342" s="10"/>
      <c r="AM342" s="33"/>
      <c r="AN342" s="33"/>
      <c r="AO342" s="10"/>
    </row>
    <row r="343" customFormat="false" ht="15" hidden="false" customHeight="false" outlineLevel="0" collapsed="false">
      <c r="A343" s="22"/>
      <c r="B343" s="23" t="str">
        <f aca="false">IF(A343="","",YEAR(A343-WEEKDAY(A343,2)+4))</f>
        <v/>
      </c>
      <c r="C343" s="23" t="str">
        <f aca="false">IF(A343="","",WEEKNUM(A343,21))</f>
        <v/>
      </c>
      <c r="D343" s="24" t="str">
        <f aca="false">IF(A343="","",DATE(YEAR(A343),MONTH(A343),1))</f>
        <v/>
      </c>
      <c r="E343" s="10"/>
      <c r="F343" s="25"/>
      <c r="G343" s="25"/>
      <c r="H343" s="10"/>
      <c r="I343" s="10"/>
      <c r="J343" s="26"/>
      <c r="K343" s="25"/>
      <c r="L343" s="26"/>
      <c r="M343" s="27"/>
      <c r="N343" s="27"/>
      <c r="O343" s="28" t="str">
        <f aca="false">IF(OR(M343="",M343=0,N343=""),"",N343/M343)</f>
        <v/>
      </c>
      <c r="P343" s="28" t="str">
        <f aca="false">IF(M343="","",IFERROR(IF(INDEX(Parámetros!$B$14:$B$21,MATCH(I343,Parámetros!$A$14:$A$21,0))="",Parámetros!$B$5,INDEX(Parámetros!$B$14:$B$21,MATCH(I343,Parámetros!$A$14:$A$21,0))),Parámetros!$B$5))</f>
        <v/>
      </c>
      <c r="Q343" s="29" t="str">
        <f aca="false">IF(O343="","",(O343-P343)*100)</f>
        <v/>
      </c>
      <c r="R343" s="30" t="str">
        <f aca="false">IF(O343="","",MAX(0,M343*(P343-O343)))</f>
        <v/>
      </c>
      <c r="S343" s="31" t="str">
        <f aca="false">IF(OR(L343="",L343=0,N343=""),"",N343/1000/L343)</f>
        <v/>
      </c>
      <c r="T343" s="27"/>
      <c r="U343" s="27"/>
      <c r="V343" s="27"/>
      <c r="W343" s="27"/>
      <c r="X343" s="27"/>
      <c r="Y343" s="27"/>
      <c r="Z343" s="27"/>
      <c r="AA343" s="25"/>
      <c r="AB343" s="27"/>
      <c r="AC343" s="30" t="str">
        <f aca="false">IF(M343="","",IF(AB343="",M343*Parámetros!$B$6,AB343))</f>
        <v/>
      </c>
      <c r="AD343" s="30" t="str">
        <f aca="false">IF(M343="","",SUM(T343:Z343)+AC343)</f>
        <v/>
      </c>
      <c r="AE343" s="30" t="str">
        <f aca="false">IF(OR(M343="",N343=""),"",M343-N343)</f>
        <v/>
      </c>
      <c r="AF343" s="30" t="str">
        <f aca="false">IF(AE343="","",AE343-AD343)</f>
        <v/>
      </c>
      <c r="AG343" s="28" t="str">
        <f aca="false">IF(OR(AF343="",M343=0),"",AF343/M343)</f>
        <v/>
      </c>
      <c r="AH343" s="32" t="str">
        <f aca="false">IF(OR(AE343="",N343=0),"",AE343/(N343/1000))</f>
        <v/>
      </c>
      <c r="AI343" s="30" t="str">
        <f aca="false">IF(O343="","",M343*P343)</f>
        <v/>
      </c>
      <c r="AJ343" s="11" t="str">
        <f aca="false">IF(O343="","",IF(O343&gt;1,"Error: rend &gt; 100 %",IF(SUM(T343:Z343)=0,"Falta registrar pérdidas",IF(ABS(AG343)&gt;Parámetros!$B$7,"Revisar balance",IF(O343&lt;P343,"Bajo meta","OK")))))</f>
        <v/>
      </c>
      <c r="AK343" s="33"/>
      <c r="AL343" s="10"/>
      <c r="AM343" s="33"/>
      <c r="AN343" s="33"/>
      <c r="AO343" s="10"/>
    </row>
    <row r="344" customFormat="false" ht="15" hidden="false" customHeight="false" outlineLevel="0" collapsed="false">
      <c r="A344" s="22"/>
      <c r="B344" s="23" t="str">
        <f aca="false">IF(A344="","",YEAR(A344-WEEKDAY(A344,2)+4))</f>
        <v/>
      </c>
      <c r="C344" s="23" t="str">
        <f aca="false">IF(A344="","",WEEKNUM(A344,21))</f>
        <v/>
      </c>
      <c r="D344" s="24" t="str">
        <f aca="false">IF(A344="","",DATE(YEAR(A344),MONTH(A344),1))</f>
        <v/>
      </c>
      <c r="E344" s="10"/>
      <c r="F344" s="25"/>
      <c r="G344" s="25"/>
      <c r="H344" s="10"/>
      <c r="I344" s="10"/>
      <c r="J344" s="26"/>
      <c r="K344" s="25"/>
      <c r="L344" s="26"/>
      <c r="M344" s="27"/>
      <c r="N344" s="27"/>
      <c r="O344" s="28" t="str">
        <f aca="false">IF(OR(M344="",M344=0,N344=""),"",N344/M344)</f>
        <v/>
      </c>
      <c r="P344" s="28" t="str">
        <f aca="false">IF(M344="","",IFERROR(IF(INDEX(Parámetros!$B$14:$B$21,MATCH(I344,Parámetros!$A$14:$A$21,0))="",Parámetros!$B$5,INDEX(Parámetros!$B$14:$B$21,MATCH(I344,Parámetros!$A$14:$A$21,0))),Parámetros!$B$5))</f>
        <v/>
      </c>
      <c r="Q344" s="29" t="str">
        <f aca="false">IF(O344="","",(O344-P344)*100)</f>
        <v/>
      </c>
      <c r="R344" s="30" t="str">
        <f aca="false">IF(O344="","",MAX(0,M344*(P344-O344)))</f>
        <v/>
      </c>
      <c r="S344" s="31" t="str">
        <f aca="false">IF(OR(L344="",L344=0,N344=""),"",N344/1000/L344)</f>
        <v/>
      </c>
      <c r="T344" s="27"/>
      <c r="U344" s="27"/>
      <c r="V344" s="27"/>
      <c r="W344" s="27"/>
      <c r="X344" s="27"/>
      <c r="Y344" s="27"/>
      <c r="Z344" s="27"/>
      <c r="AA344" s="25"/>
      <c r="AB344" s="27"/>
      <c r="AC344" s="30" t="str">
        <f aca="false">IF(M344="","",IF(AB344="",M344*Parámetros!$B$6,AB344))</f>
        <v/>
      </c>
      <c r="AD344" s="30" t="str">
        <f aca="false">IF(M344="","",SUM(T344:Z344)+AC344)</f>
        <v/>
      </c>
      <c r="AE344" s="30" t="str">
        <f aca="false">IF(OR(M344="",N344=""),"",M344-N344)</f>
        <v/>
      </c>
      <c r="AF344" s="30" t="str">
        <f aca="false">IF(AE344="","",AE344-AD344)</f>
        <v/>
      </c>
      <c r="AG344" s="28" t="str">
        <f aca="false">IF(OR(AF344="",M344=0),"",AF344/M344)</f>
        <v/>
      </c>
      <c r="AH344" s="32" t="str">
        <f aca="false">IF(OR(AE344="",N344=0),"",AE344/(N344/1000))</f>
        <v/>
      </c>
      <c r="AI344" s="30" t="str">
        <f aca="false">IF(O344="","",M344*P344)</f>
        <v/>
      </c>
      <c r="AJ344" s="11" t="str">
        <f aca="false">IF(O344="","",IF(O344&gt;1,"Error: rend &gt; 100 %",IF(SUM(T344:Z344)=0,"Falta registrar pérdidas",IF(ABS(AG344)&gt;Parámetros!$B$7,"Revisar balance",IF(O344&lt;P344,"Bajo meta","OK")))))</f>
        <v/>
      </c>
      <c r="AK344" s="33"/>
      <c r="AL344" s="10"/>
      <c r="AM344" s="33"/>
      <c r="AN344" s="33"/>
      <c r="AO344" s="10"/>
    </row>
    <row r="345" customFormat="false" ht="15" hidden="false" customHeight="false" outlineLevel="0" collapsed="false">
      <c r="A345" s="22"/>
      <c r="B345" s="23" t="str">
        <f aca="false">IF(A345="","",YEAR(A345-WEEKDAY(A345,2)+4))</f>
        <v/>
      </c>
      <c r="C345" s="23" t="str">
        <f aca="false">IF(A345="","",WEEKNUM(A345,21))</f>
        <v/>
      </c>
      <c r="D345" s="24" t="str">
        <f aca="false">IF(A345="","",DATE(YEAR(A345),MONTH(A345),1))</f>
        <v/>
      </c>
      <c r="E345" s="10"/>
      <c r="F345" s="25"/>
      <c r="G345" s="25"/>
      <c r="H345" s="10"/>
      <c r="I345" s="10"/>
      <c r="J345" s="26"/>
      <c r="K345" s="25"/>
      <c r="L345" s="26"/>
      <c r="M345" s="27"/>
      <c r="N345" s="27"/>
      <c r="O345" s="28" t="str">
        <f aca="false">IF(OR(M345="",M345=0,N345=""),"",N345/M345)</f>
        <v/>
      </c>
      <c r="P345" s="28" t="str">
        <f aca="false">IF(M345="","",IFERROR(IF(INDEX(Parámetros!$B$14:$B$21,MATCH(I345,Parámetros!$A$14:$A$21,0))="",Parámetros!$B$5,INDEX(Parámetros!$B$14:$B$21,MATCH(I345,Parámetros!$A$14:$A$21,0))),Parámetros!$B$5))</f>
        <v/>
      </c>
      <c r="Q345" s="29" t="str">
        <f aca="false">IF(O345="","",(O345-P345)*100)</f>
        <v/>
      </c>
      <c r="R345" s="30" t="str">
        <f aca="false">IF(O345="","",MAX(0,M345*(P345-O345)))</f>
        <v/>
      </c>
      <c r="S345" s="31" t="str">
        <f aca="false">IF(OR(L345="",L345=0,N345=""),"",N345/1000/L345)</f>
        <v/>
      </c>
      <c r="T345" s="27"/>
      <c r="U345" s="27"/>
      <c r="V345" s="27"/>
      <c r="W345" s="27"/>
      <c r="X345" s="27"/>
      <c r="Y345" s="27"/>
      <c r="Z345" s="27"/>
      <c r="AA345" s="25"/>
      <c r="AB345" s="27"/>
      <c r="AC345" s="30" t="str">
        <f aca="false">IF(M345="","",IF(AB345="",M345*Parámetros!$B$6,AB345))</f>
        <v/>
      </c>
      <c r="AD345" s="30" t="str">
        <f aca="false">IF(M345="","",SUM(T345:Z345)+AC345)</f>
        <v/>
      </c>
      <c r="AE345" s="30" t="str">
        <f aca="false">IF(OR(M345="",N345=""),"",M345-N345)</f>
        <v/>
      </c>
      <c r="AF345" s="30" t="str">
        <f aca="false">IF(AE345="","",AE345-AD345)</f>
        <v/>
      </c>
      <c r="AG345" s="28" t="str">
        <f aca="false">IF(OR(AF345="",M345=0),"",AF345/M345)</f>
        <v/>
      </c>
      <c r="AH345" s="32" t="str">
        <f aca="false">IF(OR(AE345="",N345=0),"",AE345/(N345/1000))</f>
        <v/>
      </c>
      <c r="AI345" s="30" t="str">
        <f aca="false">IF(O345="","",M345*P345)</f>
        <v/>
      </c>
      <c r="AJ345" s="11" t="str">
        <f aca="false">IF(O345="","",IF(O345&gt;1,"Error: rend &gt; 100 %",IF(SUM(T345:Z345)=0,"Falta registrar pérdidas",IF(ABS(AG345)&gt;Parámetros!$B$7,"Revisar balance",IF(O345&lt;P345,"Bajo meta","OK")))))</f>
        <v/>
      </c>
      <c r="AK345" s="33"/>
      <c r="AL345" s="10"/>
      <c r="AM345" s="33"/>
      <c r="AN345" s="33"/>
      <c r="AO345" s="10"/>
    </row>
    <row r="346" customFormat="false" ht="15" hidden="false" customHeight="false" outlineLevel="0" collapsed="false">
      <c r="A346" s="22"/>
      <c r="B346" s="23" t="str">
        <f aca="false">IF(A346="","",YEAR(A346-WEEKDAY(A346,2)+4))</f>
        <v/>
      </c>
      <c r="C346" s="23" t="str">
        <f aca="false">IF(A346="","",WEEKNUM(A346,21))</f>
        <v/>
      </c>
      <c r="D346" s="24" t="str">
        <f aca="false">IF(A346="","",DATE(YEAR(A346),MONTH(A346),1))</f>
        <v/>
      </c>
      <c r="E346" s="10"/>
      <c r="F346" s="25"/>
      <c r="G346" s="25"/>
      <c r="H346" s="10"/>
      <c r="I346" s="10"/>
      <c r="J346" s="26"/>
      <c r="K346" s="25"/>
      <c r="L346" s="26"/>
      <c r="M346" s="27"/>
      <c r="N346" s="27"/>
      <c r="O346" s="28" t="str">
        <f aca="false">IF(OR(M346="",M346=0,N346=""),"",N346/M346)</f>
        <v/>
      </c>
      <c r="P346" s="28" t="str">
        <f aca="false">IF(M346="","",IFERROR(IF(INDEX(Parámetros!$B$14:$B$21,MATCH(I346,Parámetros!$A$14:$A$21,0))="",Parámetros!$B$5,INDEX(Parámetros!$B$14:$B$21,MATCH(I346,Parámetros!$A$14:$A$21,0))),Parámetros!$B$5))</f>
        <v/>
      </c>
      <c r="Q346" s="29" t="str">
        <f aca="false">IF(O346="","",(O346-P346)*100)</f>
        <v/>
      </c>
      <c r="R346" s="30" t="str">
        <f aca="false">IF(O346="","",MAX(0,M346*(P346-O346)))</f>
        <v/>
      </c>
      <c r="S346" s="31" t="str">
        <f aca="false">IF(OR(L346="",L346=0,N346=""),"",N346/1000/L346)</f>
        <v/>
      </c>
      <c r="T346" s="27"/>
      <c r="U346" s="27"/>
      <c r="V346" s="27"/>
      <c r="W346" s="27"/>
      <c r="X346" s="27"/>
      <c r="Y346" s="27"/>
      <c r="Z346" s="27"/>
      <c r="AA346" s="25"/>
      <c r="AB346" s="27"/>
      <c r="AC346" s="30" t="str">
        <f aca="false">IF(M346="","",IF(AB346="",M346*Parámetros!$B$6,AB346))</f>
        <v/>
      </c>
      <c r="AD346" s="30" t="str">
        <f aca="false">IF(M346="","",SUM(T346:Z346)+AC346)</f>
        <v/>
      </c>
      <c r="AE346" s="30" t="str">
        <f aca="false">IF(OR(M346="",N346=""),"",M346-N346)</f>
        <v/>
      </c>
      <c r="AF346" s="30" t="str">
        <f aca="false">IF(AE346="","",AE346-AD346)</f>
        <v/>
      </c>
      <c r="AG346" s="28" t="str">
        <f aca="false">IF(OR(AF346="",M346=0),"",AF346/M346)</f>
        <v/>
      </c>
      <c r="AH346" s="32" t="str">
        <f aca="false">IF(OR(AE346="",N346=0),"",AE346/(N346/1000))</f>
        <v/>
      </c>
      <c r="AI346" s="30" t="str">
        <f aca="false">IF(O346="","",M346*P346)</f>
        <v/>
      </c>
      <c r="AJ346" s="11" t="str">
        <f aca="false">IF(O346="","",IF(O346&gt;1,"Error: rend &gt; 100 %",IF(SUM(T346:Z346)=0,"Falta registrar pérdidas",IF(ABS(AG346)&gt;Parámetros!$B$7,"Revisar balance",IF(O346&lt;P346,"Bajo meta","OK")))))</f>
        <v/>
      </c>
      <c r="AK346" s="33"/>
      <c r="AL346" s="10"/>
      <c r="AM346" s="33"/>
      <c r="AN346" s="33"/>
      <c r="AO346" s="10"/>
    </row>
    <row r="347" customFormat="false" ht="15" hidden="false" customHeight="false" outlineLevel="0" collapsed="false">
      <c r="A347" s="22"/>
      <c r="B347" s="23" t="str">
        <f aca="false">IF(A347="","",YEAR(A347-WEEKDAY(A347,2)+4))</f>
        <v/>
      </c>
      <c r="C347" s="23" t="str">
        <f aca="false">IF(A347="","",WEEKNUM(A347,21))</f>
        <v/>
      </c>
      <c r="D347" s="24" t="str">
        <f aca="false">IF(A347="","",DATE(YEAR(A347),MONTH(A347),1))</f>
        <v/>
      </c>
      <c r="E347" s="10"/>
      <c r="F347" s="25"/>
      <c r="G347" s="25"/>
      <c r="H347" s="10"/>
      <c r="I347" s="10"/>
      <c r="J347" s="26"/>
      <c r="K347" s="25"/>
      <c r="L347" s="26"/>
      <c r="M347" s="27"/>
      <c r="N347" s="27"/>
      <c r="O347" s="28" t="str">
        <f aca="false">IF(OR(M347="",M347=0,N347=""),"",N347/M347)</f>
        <v/>
      </c>
      <c r="P347" s="28" t="str">
        <f aca="false">IF(M347="","",IFERROR(IF(INDEX(Parámetros!$B$14:$B$21,MATCH(I347,Parámetros!$A$14:$A$21,0))="",Parámetros!$B$5,INDEX(Parámetros!$B$14:$B$21,MATCH(I347,Parámetros!$A$14:$A$21,0))),Parámetros!$B$5))</f>
        <v/>
      </c>
      <c r="Q347" s="29" t="str">
        <f aca="false">IF(O347="","",(O347-P347)*100)</f>
        <v/>
      </c>
      <c r="R347" s="30" t="str">
        <f aca="false">IF(O347="","",MAX(0,M347*(P347-O347)))</f>
        <v/>
      </c>
      <c r="S347" s="31" t="str">
        <f aca="false">IF(OR(L347="",L347=0,N347=""),"",N347/1000/L347)</f>
        <v/>
      </c>
      <c r="T347" s="27"/>
      <c r="U347" s="27"/>
      <c r="V347" s="27"/>
      <c r="W347" s="27"/>
      <c r="X347" s="27"/>
      <c r="Y347" s="27"/>
      <c r="Z347" s="27"/>
      <c r="AA347" s="25"/>
      <c r="AB347" s="27"/>
      <c r="AC347" s="30" t="str">
        <f aca="false">IF(M347="","",IF(AB347="",M347*Parámetros!$B$6,AB347))</f>
        <v/>
      </c>
      <c r="AD347" s="30" t="str">
        <f aca="false">IF(M347="","",SUM(T347:Z347)+AC347)</f>
        <v/>
      </c>
      <c r="AE347" s="30" t="str">
        <f aca="false">IF(OR(M347="",N347=""),"",M347-N347)</f>
        <v/>
      </c>
      <c r="AF347" s="30" t="str">
        <f aca="false">IF(AE347="","",AE347-AD347)</f>
        <v/>
      </c>
      <c r="AG347" s="28" t="str">
        <f aca="false">IF(OR(AF347="",M347=0),"",AF347/M347)</f>
        <v/>
      </c>
      <c r="AH347" s="32" t="str">
        <f aca="false">IF(OR(AE347="",N347=0),"",AE347/(N347/1000))</f>
        <v/>
      </c>
      <c r="AI347" s="30" t="str">
        <f aca="false">IF(O347="","",M347*P347)</f>
        <v/>
      </c>
      <c r="AJ347" s="11" t="str">
        <f aca="false">IF(O347="","",IF(O347&gt;1,"Error: rend &gt; 100 %",IF(SUM(T347:Z347)=0,"Falta registrar pérdidas",IF(ABS(AG347)&gt;Parámetros!$B$7,"Revisar balance",IF(O347&lt;P347,"Bajo meta","OK")))))</f>
        <v/>
      </c>
      <c r="AK347" s="33"/>
      <c r="AL347" s="10"/>
      <c r="AM347" s="33"/>
      <c r="AN347" s="33"/>
      <c r="AO347" s="10"/>
    </row>
    <row r="348" customFormat="false" ht="15" hidden="false" customHeight="false" outlineLevel="0" collapsed="false">
      <c r="A348" s="22"/>
      <c r="B348" s="23" t="str">
        <f aca="false">IF(A348="","",YEAR(A348-WEEKDAY(A348,2)+4))</f>
        <v/>
      </c>
      <c r="C348" s="23" t="str">
        <f aca="false">IF(A348="","",WEEKNUM(A348,21))</f>
        <v/>
      </c>
      <c r="D348" s="24" t="str">
        <f aca="false">IF(A348="","",DATE(YEAR(A348),MONTH(A348),1))</f>
        <v/>
      </c>
      <c r="E348" s="10"/>
      <c r="F348" s="25"/>
      <c r="G348" s="25"/>
      <c r="H348" s="10"/>
      <c r="I348" s="10"/>
      <c r="J348" s="26"/>
      <c r="K348" s="25"/>
      <c r="L348" s="26"/>
      <c r="M348" s="27"/>
      <c r="N348" s="27"/>
      <c r="O348" s="28" t="str">
        <f aca="false">IF(OR(M348="",M348=0,N348=""),"",N348/M348)</f>
        <v/>
      </c>
      <c r="P348" s="28" t="str">
        <f aca="false">IF(M348="","",IFERROR(IF(INDEX(Parámetros!$B$14:$B$21,MATCH(I348,Parámetros!$A$14:$A$21,0))="",Parámetros!$B$5,INDEX(Parámetros!$B$14:$B$21,MATCH(I348,Parámetros!$A$14:$A$21,0))),Parámetros!$B$5))</f>
        <v/>
      </c>
      <c r="Q348" s="29" t="str">
        <f aca="false">IF(O348="","",(O348-P348)*100)</f>
        <v/>
      </c>
      <c r="R348" s="30" t="str">
        <f aca="false">IF(O348="","",MAX(0,M348*(P348-O348)))</f>
        <v/>
      </c>
      <c r="S348" s="31" t="str">
        <f aca="false">IF(OR(L348="",L348=0,N348=""),"",N348/1000/L348)</f>
        <v/>
      </c>
      <c r="T348" s="27"/>
      <c r="U348" s="27"/>
      <c r="V348" s="27"/>
      <c r="W348" s="27"/>
      <c r="X348" s="27"/>
      <c r="Y348" s="27"/>
      <c r="Z348" s="27"/>
      <c r="AA348" s="25"/>
      <c r="AB348" s="27"/>
      <c r="AC348" s="30" t="str">
        <f aca="false">IF(M348="","",IF(AB348="",M348*Parámetros!$B$6,AB348))</f>
        <v/>
      </c>
      <c r="AD348" s="30" t="str">
        <f aca="false">IF(M348="","",SUM(T348:Z348)+AC348)</f>
        <v/>
      </c>
      <c r="AE348" s="30" t="str">
        <f aca="false">IF(OR(M348="",N348=""),"",M348-N348)</f>
        <v/>
      </c>
      <c r="AF348" s="30" t="str">
        <f aca="false">IF(AE348="","",AE348-AD348)</f>
        <v/>
      </c>
      <c r="AG348" s="28" t="str">
        <f aca="false">IF(OR(AF348="",M348=0),"",AF348/M348)</f>
        <v/>
      </c>
      <c r="AH348" s="32" t="str">
        <f aca="false">IF(OR(AE348="",N348=0),"",AE348/(N348/1000))</f>
        <v/>
      </c>
      <c r="AI348" s="30" t="str">
        <f aca="false">IF(O348="","",M348*P348)</f>
        <v/>
      </c>
      <c r="AJ348" s="11" t="str">
        <f aca="false">IF(O348="","",IF(O348&gt;1,"Error: rend &gt; 100 %",IF(SUM(T348:Z348)=0,"Falta registrar pérdidas",IF(ABS(AG348)&gt;Parámetros!$B$7,"Revisar balance",IF(O348&lt;P348,"Bajo meta","OK")))))</f>
        <v/>
      </c>
      <c r="AK348" s="33"/>
      <c r="AL348" s="10"/>
      <c r="AM348" s="33"/>
      <c r="AN348" s="33"/>
      <c r="AO348" s="10"/>
    </row>
    <row r="349" customFormat="false" ht="15" hidden="false" customHeight="false" outlineLevel="0" collapsed="false">
      <c r="A349" s="22"/>
      <c r="B349" s="23" t="str">
        <f aca="false">IF(A349="","",YEAR(A349-WEEKDAY(A349,2)+4))</f>
        <v/>
      </c>
      <c r="C349" s="23" t="str">
        <f aca="false">IF(A349="","",WEEKNUM(A349,21))</f>
        <v/>
      </c>
      <c r="D349" s="24" t="str">
        <f aca="false">IF(A349="","",DATE(YEAR(A349),MONTH(A349),1))</f>
        <v/>
      </c>
      <c r="E349" s="10"/>
      <c r="F349" s="25"/>
      <c r="G349" s="25"/>
      <c r="H349" s="10"/>
      <c r="I349" s="10"/>
      <c r="J349" s="26"/>
      <c r="K349" s="25"/>
      <c r="L349" s="26"/>
      <c r="M349" s="27"/>
      <c r="N349" s="27"/>
      <c r="O349" s="28" t="str">
        <f aca="false">IF(OR(M349="",M349=0,N349=""),"",N349/M349)</f>
        <v/>
      </c>
      <c r="P349" s="28" t="str">
        <f aca="false">IF(M349="","",IFERROR(IF(INDEX(Parámetros!$B$14:$B$21,MATCH(I349,Parámetros!$A$14:$A$21,0))="",Parámetros!$B$5,INDEX(Parámetros!$B$14:$B$21,MATCH(I349,Parámetros!$A$14:$A$21,0))),Parámetros!$B$5))</f>
        <v/>
      </c>
      <c r="Q349" s="29" t="str">
        <f aca="false">IF(O349="","",(O349-P349)*100)</f>
        <v/>
      </c>
      <c r="R349" s="30" t="str">
        <f aca="false">IF(O349="","",MAX(0,M349*(P349-O349)))</f>
        <v/>
      </c>
      <c r="S349" s="31" t="str">
        <f aca="false">IF(OR(L349="",L349=0,N349=""),"",N349/1000/L349)</f>
        <v/>
      </c>
      <c r="T349" s="27"/>
      <c r="U349" s="27"/>
      <c r="V349" s="27"/>
      <c r="W349" s="27"/>
      <c r="X349" s="27"/>
      <c r="Y349" s="27"/>
      <c r="Z349" s="27"/>
      <c r="AA349" s="25"/>
      <c r="AB349" s="27"/>
      <c r="AC349" s="30" t="str">
        <f aca="false">IF(M349="","",IF(AB349="",M349*Parámetros!$B$6,AB349))</f>
        <v/>
      </c>
      <c r="AD349" s="30" t="str">
        <f aca="false">IF(M349="","",SUM(T349:Z349)+AC349)</f>
        <v/>
      </c>
      <c r="AE349" s="30" t="str">
        <f aca="false">IF(OR(M349="",N349=""),"",M349-N349)</f>
        <v/>
      </c>
      <c r="AF349" s="30" t="str">
        <f aca="false">IF(AE349="","",AE349-AD349)</f>
        <v/>
      </c>
      <c r="AG349" s="28" t="str">
        <f aca="false">IF(OR(AF349="",M349=0),"",AF349/M349)</f>
        <v/>
      </c>
      <c r="AH349" s="32" t="str">
        <f aca="false">IF(OR(AE349="",N349=0),"",AE349/(N349/1000))</f>
        <v/>
      </c>
      <c r="AI349" s="30" t="str">
        <f aca="false">IF(O349="","",M349*P349)</f>
        <v/>
      </c>
      <c r="AJ349" s="11" t="str">
        <f aca="false">IF(O349="","",IF(O349&gt;1,"Error: rend &gt; 100 %",IF(SUM(T349:Z349)=0,"Falta registrar pérdidas",IF(ABS(AG349)&gt;Parámetros!$B$7,"Revisar balance",IF(O349&lt;P349,"Bajo meta","OK")))))</f>
        <v/>
      </c>
      <c r="AK349" s="33"/>
      <c r="AL349" s="10"/>
      <c r="AM349" s="33"/>
      <c r="AN349" s="33"/>
      <c r="AO349" s="10"/>
    </row>
    <row r="350" customFormat="false" ht="15" hidden="false" customHeight="false" outlineLevel="0" collapsed="false">
      <c r="A350" s="22"/>
      <c r="B350" s="23" t="str">
        <f aca="false">IF(A350="","",YEAR(A350-WEEKDAY(A350,2)+4))</f>
        <v/>
      </c>
      <c r="C350" s="23" t="str">
        <f aca="false">IF(A350="","",WEEKNUM(A350,21))</f>
        <v/>
      </c>
      <c r="D350" s="24" t="str">
        <f aca="false">IF(A350="","",DATE(YEAR(A350),MONTH(A350),1))</f>
        <v/>
      </c>
      <c r="E350" s="10"/>
      <c r="F350" s="25"/>
      <c r="G350" s="25"/>
      <c r="H350" s="10"/>
      <c r="I350" s="10"/>
      <c r="J350" s="26"/>
      <c r="K350" s="25"/>
      <c r="L350" s="26"/>
      <c r="M350" s="27"/>
      <c r="N350" s="27"/>
      <c r="O350" s="28" t="str">
        <f aca="false">IF(OR(M350="",M350=0,N350=""),"",N350/M350)</f>
        <v/>
      </c>
      <c r="P350" s="28" t="str">
        <f aca="false">IF(M350="","",IFERROR(IF(INDEX(Parámetros!$B$14:$B$21,MATCH(I350,Parámetros!$A$14:$A$21,0))="",Parámetros!$B$5,INDEX(Parámetros!$B$14:$B$21,MATCH(I350,Parámetros!$A$14:$A$21,0))),Parámetros!$B$5))</f>
        <v/>
      </c>
      <c r="Q350" s="29" t="str">
        <f aca="false">IF(O350="","",(O350-P350)*100)</f>
        <v/>
      </c>
      <c r="R350" s="30" t="str">
        <f aca="false">IF(O350="","",MAX(0,M350*(P350-O350)))</f>
        <v/>
      </c>
      <c r="S350" s="31" t="str">
        <f aca="false">IF(OR(L350="",L350=0,N350=""),"",N350/1000/L350)</f>
        <v/>
      </c>
      <c r="T350" s="27"/>
      <c r="U350" s="27"/>
      <c r="V350" s="27"/>
      <c r="W350" s="27"/>
      <c r="X350" s="27"/>
      <c r="Y350" s="27"/>
      <c r="Z350" s="27"/>
      <c r="AA350" s="25"/>
      <c r="AB350" s="27"/>
      <c r="AC350" s="30" t="str">
        <f aca="false">IF(M350="","",IF(AB350="",M350*Parámetros!$B$6,AB350))</f>
        <v/>
      </c>
      <c r="AD350" s="30" t="str">
        <f aca="false">IF(M350="","",SUM(T350:Z350)+AC350)</f>
        <v/>
      </c>
      <c r="AE350" s="30" t="str">
        <f aca="false">IF(OR(M350="",N350=""),"",M350-N350)</f>
        <v/>
      </c>
      <c r="AF350" s="30" t="str">
        <f aca="false">IF(AE350="","",AE350-AD350)</f>
        <v/>
      </c>
      <c r="AG350" s="28" t="str">
        <f aca="false">IF(OR(AF350="",M350=0),"",AF350/M350)</f>
        <v/>
      </c>
      <c r="AH350" s="32" t="str">
        <f aca="false">IF(OR(AE350="",N350=0),"",AE350/(N350/1000))</f>
        <v/>
      </c>
      <c r="AI350" s="30" t="str">
        <f aca="false">IF(O350="","",M350*P350)</f>
        <v/>
      </c>
      <c r="AJ350" s="11" t="str">
        <f aca="false">IF(O350="","",IF(O350&gt;1,"Error: rend &gt; 100 %",IF(SUM(T350:Z350)=0,"Falta registrar pérdidas",IF(ABS(AG350)&gt;Parámetros!$B$7,"Revisar balance",IF(O350&lt;P350,"Bajo meta","OK")))))</f>
        <v/>
      </c>
      <c r="AK350" s="33"/>
      <c r="AL350" s="10"/>
      <c r="AM350" s="33"/>
      <c r="AN350" s="33"/>
      <c r="AO350" s="10"/>
    </row>
    <row r="351" customFormat="false" ht="15" hidden="false" customHeight="false" outlineLevel="0" collapsed="false">
      <c r="A351" s="22"/>
      <c r="B351" s="23" t="str">
        <f aca="false">IF(A351="","",YEAR(A351-WEEKDAY(A351,2)+4))</f>
        <v/>
      </c>
      <c r="C351" s="23" t="str">
        <f aca="false">IF(A351="","",WEEKNUM(A351,21))</f>
        <v/>
      </c>
      <c r="D351" s="24" t="str">
        <f aca="false">IF(A351="","",DATE(YEAR(A351),MONTH(A351),1))</f>
        <v/>
      </c>
      <c r="E351" s="10"/>
      <c r="F351" s="25"/>
      <c r="G351" s="25"/>
      <c r="H351" s="10"/>
      <c r="I351" s="10"/>
      <c r="J351" s="26"/>
      <c r="K351" s="25"/>
      <c r="L351" s="26"/>
      <c r="M351" s="27"/>
      <c r="N351" s="27"/>
      <c r="O351" s="28" t="str">
        <f aca="false">IF(OR(M351="",M351=0,N351=""),"",N351/M351)</f>
        <v/>
      </c>
      <c r="P351" s="28" t="str">
        <f aca="false">IF(M351="","",IFERROR(IF(INDEX(Parámetros!$B$14:$B$21,MATCH(I351,Parámetros!$A$14:$A$21,0))="",Parámetros!$B$5,INDEX(Parámetros!$B$14:$B$21,MATCH(I351,Parámetros!$A$14:$A$21,0))),Parámetros!$B$5))</f>
        <v/>
      </c>
      <c r="Q351" s="29" t="str">
        <f aca="false">IF(O351="","",(O351-P351)*100)</f>
        <v/>
      </c>
      <c r="R351" s="30" t="str">
        <f aca="false">IF(O351="","",MAX(0,M351*(P351-O351)))</f>
        <v/>
      </c>
      <c r="S351" s="31" t="str">
        <f aca="false">IF(OR(L351="",L351=0,N351=""),"",N351/1000/L351)</f>
        <v/>
      </c>
      <c r="T351" s="27"/>
      <c r="U351" s="27"/>
      <c r="V351" s="27"/>
      <c r="W351" s="27"/>
      <c r="X351" s="27"/>
      <c r="Y351" s="27"/>
      <c r="Z351" s="27"/>
      <c r="AA351" s="25"/>
      <c r="AB351" s="27"/>
      <c r="AC351" s="30" t="str">
        <f aca="false">IF(M351="","",IF(AB351="",M351*Parámetros!$B$6,AB351))</f>
        <v/>
      </c>
      <c r="AD351" s="30" t="str">
        <f aca="false">IF(M351="","",SUM(T351:Z351)+AC351)</f>
        <v/>
      </c>
      <c r="AE351" s="30" t="str">
        <f aca="false">IF(OR(M351="",N351=""),"",M351-N351)</f>
        <v/>
      </c>
      <c r="AF351" s="30" t="str">
        <f aca="false">IF(AE351="","",AE351-AD351)</f>
        <v/>
      </c>
      <c r="AG351" s="28" t="str">
        <f aca="false">IF(OR(AF351="",M351=0),"",AF351/M351)</f>
        <v/>
      </c>
      <c r="AH351" s="32" t="str">
        <f aca="false">IF(OR(AE351="",N351=0),"",AE351/(N351/1000))</f>
        <v/>
      </c>
      <c r="AI351" s="30" t="str">
        <f aca="false">IF(O351="","",M351*P351)</f>
        <v/>
      </c>
      <c r="AJ351" s="11" t="str">
        <f aca="false">IF(O351="","",IF(O351&gt;1,"Error: rend &gt; 100 %",IF(SUM(T351:Z351)=0,"Falta registrar pérdidas",IF(ABS(AG351)&gt;Parámetros!$B$7,"Revisar balance",IF(O351&lt;P351,"Bajo meta","OK")))))</f>
        <v/>
      </c>
      <c r="AK351" s="33"/>
      <c r="AL351" s="10"/>
      <c r="AM351" s="33"/>
      <c r="AN351" s="33"/>
      <c r="AO351" s="10"/>
    </row>
    <row r="352" customFormat="false" ht="15" hidden="false" customHeight="false" outlineLevel="0" collapsed="false">
      <c r="A352" s="22"/>
      <c r="B352" s="23" t="str">
        <f aca="false">IF(A352="","",YEAR(A352-WEEKDAY(A352,2)+4))</f>
        <v/>
      </c>
      <c r="C352" s="23" t="str">
        <f aca="false">IF(A352="","",WEEKNUM(A352,21))</f>
        <v/>
      </c>
      <c r="D352" s="24" t="str">
        <f aca="false">IF(A352="","",DATE(YEAR(A352),MONTH(A352),1))</f>
        <v/>
      </c>
      <c r="E352" s="10"/>
      <c r="F352" s="25"/>
      <c r="G352" s="25"/>
      <c r="H352" s="10"/>
      <c r="I352" s="10"/>
      <c r="J352" s="26"/>
      <c r="K352" s="25"/>
      <c r="L352" s="26"/>
      <c r="M352" s="27"/>
      <c r="N352" s="27"/>
      <c r="O352" s="28" t="str">
        <f aca="false">IF(OR(M352="",M352=0,N352=""),"",N352/M352)</f>
        <v/>
      </c>
      <c r="P352" s="28" t="str">
        <f aca="false">IF(M352="","",IFERROR(IF(INDEX(Parámetros!$B$14:$B$21,MATCH(I352,Parámetros!$A$14:$A$21,0))="",Parámetros!$B$5,INDEX(Parámetros!$B$14:$B$21,MATCH(I352,Parámetros!$A$14:$A$21,0))),Parámetros!$B$5))</f>
        <v/>
      </c>
      <c r="Q352" s="29" t="str">
        <f aca="false">IF(O352="","",(O352-P352)*100)</f>
        <v/>
      </c>
      <c r="R352" s="30" t="str">
        <f aca="false">IF(O352="","",MAX(0,M352*(P352-O352)))</f>
        <v/>
      </c>
      <c r="S352" s="31" t="str">
        <f aca="false">IF(OR(L352="",L352=0,N352=""),"",N352/1000/L352)</f>
        <v/>
      </c>
      <c r="T352" s="27"/>
      <c r="U352" s="27"/>
      <c r="V352" s="27"/>
      <c r="W352" s="27"/>
      <c r="X352" s="27"/>
      <c r="Y352" s="27"/>
      <c r="Z352" s="27"/>
      <c r="AA352" s="25"/>
      <c r="AB352" s="27"/>
      <c r="AC352" s="30" t="str">
        <f aca="false">IF(M352="","",IF(AB352="",M352*Parámetros!$B$6,AB352))</f>
        <v/>
      </c>
      <c r="AD352" s="30" t="str">
        <f aca="false">IF(M352="","",SUM(T352:Z352)+AC352)</f>
        <v/>
      </c>
      <c r="AE352" s="30" t="str">
        <f aca="false">IF(OR(M352="",N352=""),"",M352-N352)</f>
        <v/>
      </c>
      <c r="AF352" s="30" t="str">
        <f aca="false">IF(AE352="","",AE352-AD352)</f>
        <v/>
      </c>
      <c r="AG352" s="28" t="str">
        <f aca="false">IF(OR(AF352="",M352=0),"",AF352/M352)</f>
        <v/>
      </c>
      <c r="AH352" s="32" t="str">
        <f aca="false">IF(OR(AE352="",N352=0),"",AE352/(N352/1000))</f>
        <v/>
      </c>
      <c r="AI352" s="30" t="str">
        <f aca="false">IF(O352="","",M352*P352)</f>
        <v/>
      </c>
      <c r="AJ352" s="11" t="str">
        <f aca="false">IF(O352="","",IF(O352&gt;1,"Error: rend &gt; 100 %",IF(SUM(T352:Z352)=0,"Falta registrar pérdidas",IF(ABS(AG352)&gt;Parámetros!$B$7,"Revisar balance",IF(O352&lt;P352,"Bajo meta","OK")))))</f>
        <v/>
      </c>
      <c r="AK352" s="33"/>
      <c r="AL352" s="10"/>
      <c r="AM352" s="33"/>
      <c r="AN352" s="33"/>
      <c r="AO352" s="10"/>
    </row>
    <row r="353" customFormat="false" ht="15" hidden="false" customHeight="false" outlineLevel="0" collapsed="false">
      <c r="A353" s="22"/>
      <c r="B353" s="23" t="str">
        <f aca="false">IF(A353="","",YEAR(A353-WEEKDAY(A353,2)+4))</f>
        <v/>
      </c>
      <c r="C353" s="23" t="str">
        <f aca="false">IF(A353="","",WEEKNUM(A353,21))</f>
        <v/>
      </c>
      <c r="D353" s="24" t="str">
        <f aca="false">IF(A353="","",DATE(YEAR(A353),MONTH(A353),1))</f>
        <v/>
      </c>
      <c r="E353" s="10"/>
      <c r="F353" s="25"/>
      <c r="G353" s="25"/>
      <c r="H353" s="10"/>
      <c r="I353" s="10"/>
      <c r="J353" s="26"/>
      <c r="K353" s="25"/>
      <c r="L353" s="26"/>
      <c r="M353" s="27"/>
      <c r="N353" s="27"/>
      <c r="O353" s="28" t="str">
        <f aca="false">IF(OR(M353="",M353=0,N353=""),"",N353/M353)</f>
        <v/>
      </c>
      <c r="P353" s="28" t="str">
        <f aca="false">IF(M353="","",IFERROR(IF(INDEX(Parámetros!$B$14:$B$21,MATCH(I353,Parámetros!$A$14:$A$21,0))="",Parámetros!$B$5,INDEX(Parámetros!$B$14:$B$21,MATCH(I353,Parámetros!$A$14:$A$21,0))),Parámetros!$B$5))</f>
        <v/>
      </c>
      <c r="Q353" s="29" t="str">
        <f aca="false">IF(O353="","",(O353-P353)*100)</f>
        <v/>
      </c>
      <c r="R353" s="30" t="str">
        <f aca="false">IF(O353="","",MAX(0,M353*(P353-O353)))</f>
        <v/>
      </c>
      <c r="S353" s="31" t="str">
        <f aca="false">IF(OR(L353="",L353=0,N353=""),"",N353/1000/L353)</f>
        <v/>
      </c>
      <c r="T353" s="27"/>
      <c r="U353" s="27"/>
      <c r="V353" s="27"/>
      <c r="W353" s="27"/>
      <c r="X353" s="27"/>
      <c r="Y353" s="27"/>
      <c r="Z353" s="27"/>
      <c r="AA353" s="25"/>
      <c r="AB353" s="27"/>
      <c r="AC353" s="30" t="str">
        <f aca="false">IF(M353="","",IF(AB353="",M353*Parámetros!$B$6,AB353))</f>
        <v/>
      </c>
      <c r="AD353" s="30" t="str">
        <f aca="false">IF(M353="","",SUM(T353:Z353)+AC353)</f>
        <v/>
      </c>
      <c r="AE353" s="30" t="str">
        <f aca="false">IF(OR(M353="",N353=""),"",M353-N353)</f>
        <v/>
      </c>
      <c r="AF353" s="30" t="str">
        <f aca="false">IF(AE353="","",AE353-AD353)</f>
        <v/>
      </c>
      <c r="AG353" s="28" t="str">
        <f aca="false">IF(OR(AF353="",M353=0),"",AF353/M353)</f>
        <v/>
      </c>
      <c r="AH353" s="32" t="str">
        <f aca="false">IF(OR(AE353="",N353=0),"",AE353/(N353/1000))</f>
        <v/>
      </c>
      <c r="AI353" s="30" t="str">
        <f aca="false">IF(O353="","",M353*P353)</f>
        <v/>
      </c>
      <c r="AJ353" s="11" t="str">
        <f aca="false">IF(O353="","",IF(O353&gt;1,"Error: rend &gt; 100 %",IF(SUM(T353:Z353)=0,"Falta registrar pérdidas",IF(ABS(AG353)&gt;Parámetros!$B$7,"Revisar balance",IF(O353&lt;P353,"Bajo meta","OK")))))</f>
        <v/>
      </c>
      <c r="AK353" s="33"/>
      <c r="AL353" s="10"/>
      <c r="AM353" s="33"/>
      <c r="AN353" s="33"/>
      <c r="AO353" s="10"/>
    </row>
    <row r="354" customFormat="false" ht="15" hidden="false" customHeight="false" outlineLevel="0" collapsed="false">
      <c r="A354" s="22"/>
      <c r="B354" s="23" t="str">
        <f aca="false">IF(A354="","",YEAR(A354-WEEKDAY(A354,2)+4))</f>
        <v/>
      </c>
      <c r="C354" s="23" t="str">
        <f aca="false">IF(A354="","",WEEKNUM(A354,21))</f>
        <v/>
      </c>
      <c r="D354" s="24" t="str">
        <f aca="false">IF(A354="","",DATE(YEAR(A354),MONTH(A354),1))</f>
        <v/>
      </c>
      <c r="E354" s="10"/>
      <c r="F354" s="25"/>
      <c r="G354" s="25"/>
      <c r="H354" s="10"/>
      <c r="I354" s="10"/>
      <c r="J354" s="26"/>
      <c r="K354" s="25"/>
      <c r="L354" s="26"/>
      <c r="M354" s="27"/>
      <c r="N354" s="27"/>
      <c r="O354" s="28" t="str">
        <f aca="false">IF(OR(M354="",M354=0,N354=""),"",N354/M354)</f>
        <v/>
      </c>
      <c r="P354" s="28" t="str">
        <f aca="false">IF(M354="","",IFERROR(IF(INDEX(Parámetros!$B$14:$B$21,MATCH(I354,Parámetros!$A$14:$A$21,0))="",Parámetros!$B$5,INDEX(Parámetros!$B$14:$B$21,MATCH(I354,Parámetros!$A$14:$A$21,0))),Parámetros!$B$5))</f>
        <v/>
      </c>
      <c r="Q354" s="29" t="str">
        <f aca="false">IF(O354="","",(O354-P354)*100)</f>
        <v/>
      </c>
      <c r="R354" s="30" t="str">
        <f aca="false">IF(O354="","",MAX(0,M354*(P354-O354)))</f>
        <v/>
      </c>
      <c r="S354" s="31" t="str">
        <f aca="false">IF(OR(L354="",L354=0,N354=""),"",N354/1000/L354)</f>
        <v/>
      </c>
      <c r="T354" s="27"/>
      <c r="U354" s="27"/>
      <c r="V354" s="27"/>
      <c r="W354" s="27"/>
      <c r="X354" s="27"/>
      <c r="Y354" s="27"/>
      <c r="Z354" s="27"/>
      <c r="AA354" s="25"/>
      <c r="AB354" s="27"/>
      <c r="AC354" s="30" t="str">
        <f aca="false">IF(M354="","",IF(AB354="",M354*Parámetros!$B$6,AB354))</f>
        <v/>
      </c>
      <c r="AD354" s="30" t="str">
        <f aca="false">IF(M354="","",SUM(T354:Z354)+AC354)</f>
        <v/>
      </c>
      <c r="AE354" s="30" t="str">
        <f aca="false">IF(OR(M354="",N354=""),"",M354-N354)</f>
        <v/>
      </c>
      <c r="AF354" s="30" t="str">
        <f aca="false">IF(AE354="","",AE354-AD354)</f>
        <v/>
      </c>
      <c r="AG354" s="28" t="str">
        <f aca="false">IF(OR(AF354="",M354=0),"",AF354/M354)</f>
        <v/>
      </c>
      <c r="AH354" s="32" t="str">
        <f aca="false">IF(OR(AE354="",N354=0),"",AE354/(N354/1000))</f>
        <v/>
      </c>
      <c r="AI354" s="30" t="str">
        <f aca="false">IF(O354="","",M354*P354)</f>
        <v/>
      </c>
      <c r="AJ354" s="11" t="str">
        <f aca="false">IF(O354="","",IF(O354&gt;1,"Error: rend &gt; 100 %",IF(SUM(T354:Z354)=0,"Falta registrar pérdidas",IF(ABS(AG354)&gt;Parámetros!$B$7,"Revisar balance",IF(O354&lt;P354,"Bajo meta","OK")))))</f>
        <v/>
      </c>
      <c r="AK354" s="33"/>
      <c r="AL354" s="10"/>
      <c r="AM354" s="33"/>
      <c r="AN354" s="33"/>
      <c r="AO354" s="10"/>
    </row>
    <row r="355" customFormat="false" ht="15" hidden="false" customHeight="false" outlineLevel="0" collapsed="false">
      <c r="A355" s="22"/>
      <c r="B355" s="23" t="str">
        <f aca="false">IF(A355="","",YEAR(A355-WEEKDAY(A355,2)+4))</f>
        <v/>
      </c>
      <c r="C355" s="23" t="str">
        <f aca="false">IF(A355="","",WEEKNUM(A355,21))</f>
        <v/>
      </c>
      <c r="D355" s="24" t="str">
        <f aca="false">IF(A355="","",DATE(YEAR(A355),MONTH(A355),1))</f>
        <v/>
      </c>
      <c r="E355" s="10"/>
      <c r="F355" s="25"/>
      <c r="G355" s="25"/>
      <c r="H355" s="10"/>
      <c r="I355" s="10"/>
      <c r="J355" s="26"/>
      <c r="K355" s="25"/>
      <c r="L355" s="26"/>
      <c r="M355" s="27"/>
      <c r="N355" s="27"/>
      <c r="O355" s="28" t="str">
        <f aca="false">IF(OR(M355="",M355=0,N355=""),"",N355/M355)</f>
        <v/>
      </c>
      <c r="P355" s="28" t="str">
        <f aca="false">IF(M355="","",IFERROR(IF(INDEX(Parámetros!$B$14:$B$21,MATCH(I355,Parámetros!$A$14:$A$21,0))="",Parámetros!$B$5,INDEX(Parámetros!$B$14:$B$21,MATCH(I355,Parámetros!$A$14:$A$21,0))),Parámetros!$B$5))</f>
        <v/>
      </c>
      <c r="Q355" s="29" t="str">
        <f aca="false">IF(O355="","",(O355-P355)*100)</f>
        <v/>
      </c>
      <c r="R355" s="30" t="str">
        <f aca="false">IF(O355="","",MAX(0,M355*(P355-O355)))</f>
        <v/>
      </c>
      <c r="S355" s="31" t="str">
        <f aca="false">IF(OR(L355="",L355=0,N355=""),"",N355/1000/L355)</f>
        <v/>
      </c>
      <c r="T355" s="27"/>
      <c r="U355" s="27"/>
      <c r="V355" s="27"/>
      <c r="W355" s="27"/>
      <c r="X355" s="27"/>
      <c r="Y355" s="27"/>
      <c r="Z355" s="27"/>
      <c r="AA355" s="25"/>
      <c r="AB355" s="27"/>
      <c r="AC355" s="30" t="str">
        <f aca="false">IF(M355="","",IF(AB355="",M355*Parámetros!$B$6,AB355))</f>
        <v/>
      </c>
      <c r="AD355" s="30" t="str">
        <f aca="false">IF(M355="","",SUM(T355:Z355)+AC355)</f>
        <v/>
      </c>
      <c r="AE355" s="30" t="str">
        <f aca="false">IF(OR(M355="",N355=""),"",M355-N355)</f>
        <v/>
      </c>
      <c r="AF355" s="30" t="str">
        <f aca="false">IF(AE355="","",AE355-AD355)</f>
        <v/>
      </c>
      <c r="AG355" s="28" t="str">
        <f aca="false">IF(OR(AF355="",M355=0),"",AF355/M355)</f>
        <v/>
      </c>
      <c r="AH355" s="32" t="str">
        <f aca="false">IF(OR(AE355="",N355=0),"",AE355/(N355/1000))</f>
        <v/>
      </c>
      <c r="AI355" s="30" t="str">
        <f aca="false">IF(O355="","",M355*P355)</f>
        <v/>
      </c>
      <c r="AJ355" s="11" t="str">
        <f aca="false">IF(O355="","",IF(O355&gt;1,"Error: rend &gt; 100 %",IF(SUM(T355:Z355)=0,"Falta registrar pérdidas",IF(ABS(AG355)&gt;Parámetros!$B$7,"Revisar balance",IF(O355&lt;P355,"Bajo meta","OK")))))</f>
        <v/>
      </c>
      <c r="AK355" s="33"/>
      <c r="AL355" s="10"/>
      <c r="AM355" s="33"/>
      <c r="AN355" s="33"/>
      <c r="AO355" s="10"/>
    </row>
    <row r="356" customFormat="false" ht="15" hidden="false" customHeight="false" outlineLevel="0" collapsed="false">
      <c r="A356" s="22"/>
      <c r="B356" s="23" t="str">
        <f aca="false">IF(A356="","",YEAR(A356-WEEKDAY(A356,2)+4))</f>
        <v/>
      </c>
      <c r="C356" s="23" t="str">
        <f aca="false">IF(A356="","",WEEKNUM(A356,21))</f>
        <v/>
      </c>
      <c r="D356" s="24" t="str">
        <f aca="false">IF(A356="","",DATE(YEAR(A356),MONTH(A356),1))</f>
        <v/>
      </c>
      <c r="E356" s="10"/>
      <c r="F356" s="25"/>
      <c r="G356" s="25"/>
      <c r="H356" s="10"/>
      <c r="I356" s="10"/>
      <c r="J356" s="26"/>
      <c r="K356" s="25"/>
      <c r="L356" s="26"/>
      <c r="M356" s="27"/>
      <c r="N356" s="27"/>
      <c r="O356" s="28" t="str">
        <f aca="false">IF(OR(M356="",M356=0,N356=""),"",N356/M356)</f>
        <v/>
      </c>
      <c r="P356" s="28" t="str">
        <f aca="false">IF(M356="","",IFERROR(IF(INDEX(Parámetros!$B$14:$B$21,MATCH(I356,Parámetros!$A$14:$A$21,0))="",Parámetros!$B$5,INDEX(Parámetros!$B$14:$B$21,MATCH(I356,Parámetros!$A$14:$A$21,0))),Parámetros!$B$5))</f>
        <v/>
      </c>
      <c r="Q356" s="29" t="str">
        <f aca="false">IF(O356="","",(O356-P356)*100)</f>
        <v/>
      </c>
      <c r="R356" s="30" t="str">
        <f aca="false">IF(O356="","",MAX(0,M356*(P356-O356)))</f>
        <v/>
      </c>
      <c r="S356" s="31" t="str">
        <f aca="false">IF(OR(L356="",L356=0,N356=""),"",N356/1000/L356)</f>
        <v/>
      </c>
      <c r="T356" s="27"/>
      <c r="U356" s="27"/>
      <c r="V356" s="27"/>
      <c r="W356" s="27"/>
      <c r="X356" s="27"/>
      <c r="Y356" s="27"/>
      <c r="Z356" s="27"/>
      <c r="AA356" s="25"/>
      <c r="AB356" s="27"/>
      <c r="AC356" s="30" t="str">
        <f aca="false">IF(M356="","",IF(AB356="",M356*Parámetros!$B$6,AB356))</f>
        <v/>
      </c>
      <c r="AD356" s="30" t="str">
        <f aca="false">IF(M356="","",SUM(T356:Z356)+AC356)</f>
        <v/>
      </c>
      <c r="AE356" s="30" t="str">
        <f aca="false">IF(OR(M356="",N356=""),"",M356-N356)</f>
        <v/>
      </c>
      <c r="AF356" s="30" t="str">
        <f aca="false">IF(AE356="","",AE356-AD356)</f>
        <v/>
      </c>
      <c r="AG356" s="28" t="str">
        <f aca="false">IF(OR(AF356="",M356=0),"",AF356/M356)</f>
        <v/>
      </c>
      <c r="AH356" s="32" t="str">
        <f aca="false">IF(OR(AE356="",N356=0),"",AE356/(N356/1000))</f>
        <v/>
      </c>
      <c r="AI356" s="30" t="str">
        <f aca="false">IF(O356="","",M356*P356)</f>
        <v/>
      </c>
      <c r="AJ356" s="11" t="str">
        <f aca="false">IF(O356="","",IF(O356&gt;1,"Error: rend &gt; 100 %",IF(SUM(T356:Z356)=0,"Falta registrar pérdidas",IF(ABS(AG356)&gt;Parámetros!$B$7,"Revisar balance",IF(O356&lt;P356,"Bajo meta","OK")))))</f>
        <v/>
      </c>
      <c r="AK356" s="33"/>
      <c r="AL356" s="10"/>
      <c r="AM356" s="33"/>
      <c r="AN356" s="33"/>
      <c r="AO356" s="10"/>
    </row>
    <row r="357" customFormat="false" ht="15" hidden="false" customHeight="false" outlineLevel="0" collapsed="false">
      <c r="A357" s="22"/>
      <c r="B357" s="23" t="str">
        <f aca="false">IF(A357="","",YEAR(A357-WEEKDAY(A357,2)+4))</f>
        <v/>
      </c>
      <c r="C357" s="23" t="str">
        <f aca="false">IF(A357="","",WEEKNUM(A357,21))</f>
        <v/>
      </c>
      <c r="D357" s="24" t="str">
        <f aca="false">IF(A357="","",DATE(YEAR(A357),MONTH(A357),1))</f>
        <v/>
      </c>
      <c r="E357" s="10"/>
      <c r="F357" s="25"/>
      <c r="G357" s="25"/>
      <c r="H357" s="10"/>
      <c r="I357" s="10"/>
      <c r="J357" s="26"/>
      <c r="K357" s="25"/>
      <c r="L357" s="26"/>
      <c r="M357" s="27"/>
      <c r="N357" s="27"/>
      <c r="O357" s="28" t="str">
        <f aca="false">IF(OR(M357="",M357=0,N357=""),"",N357/M357)</f>
        <v/>
      </c>
      <c r="P357" s="28" t="str">
        <f aca="false">IF(M357="","",IFERROR(IF(INDEX(Parámetros!$B$14:$B$21,MATCH(I357,Parámetros!$A$14:$A$21,0))="",Parámetros!$B$5,INDEX(Parámetros!$B$14:$B$21,MATCH(I357,Parámetros!$A$14:$A$21,0))),Parámetros!$B$5))</f>
        <v/>
      </c>
      <c r="Q357" s="29" t="str">
        <f aca="false">IF(O357="","",(O357-P357)*100)</f>
        <v/>
      </c>
      <c r="R357" s="30" t="str">
        <f aca="false">IF(O357="","",MAX(0,M357*(P357-O357)))</f>
        <v/>
      </c>
      <c r="S357" s="31" t="str">
        <f aca="false">IF(OR(L357="",L357=0,N357=""),"",N357/1000/L357)</f>
        <v/>
      </c>
      <c r="T357" s="27"/>
      <c r="U357" s="27"/>
      <c r="V357" s="27"/>
      <c r="W357" s="27"/>
      <c r="X357" s="27"/>
      <c r="Y357" s="27"/>
      <c r="Z357" s="27"/>
      <c r="AA357" s="25"/>
      <c r="AB357" s="27"/>
      <c r="AC357" s="30" t="str">
        <f aca="false">IF(M357="","",IF(AB357="",M357*Parámetros!$B$6,AB357))</f>
        <v/>
      </c>
      <c r="AD357" s="30" t="str">
        <f aca="false">IF(M357="","",SUM(T357:Z357)+AC357)</f>
        <v/>
      </c>
      <c r="AE357" s="30" t="str">
        <f aca="false">IF(OR(M357="",N357=""),"",M357-N357)</f>
        <v/>
      </c>
      <c r="AF357" s="30" t="str">
        <f aca="false">IF(AE357="","",AE357-AD357)</f>
        <v/>
      </c>
      <c r="AG357" s="28" t="str">
        <f aca="false">IF(OR(AF357="",M357=0),"",AF357/M357)</f>
        <v/>
      </c>
      <c r="AH357" s="32" t="str">
        <f aca="false">IF(OR(AE357="",N357=0),"",AE357/(N357/1000))</f>
        <v/>
      </c>
      <c r="AI357" s="30" t="str">
        <f aca="false">IF(O357="","",M357*P357)</f>
        <v/>
      </c>
      <c r="AJ357" s="11" t="str">
        <f aca="false">IF(O357="","",IF(O357&gt;1,"Error: rend &gt; 100 %",IF(SUM(T357:Z357)=0,"Falta registrar pérdidas",IF(ABS(AG357)&gt;Parámetros!$B$7,"Revisar balance",IF(O357&lt;P357,"Bajo meta","OK")))))</f>
        <v/>
      </c>
      <c r="AK357" s="33"/>
      <c r="AL357" s="10"/>
      <c r="AM357" s="33"/>
      <c r="AN357" s="33"/>
      <c r="AO357" s="10"/>
    </row>
    <row r="358" customFormat="false" ht="15" hidden="false" customHeight="false" outlineLevel="0" collapsed="false">
      <c r="A358" s="22"/>
      <c r="B358" s="23" t="str">
        <f aca="false">IF(A358="","",YEAR(A358-WEEKDAY(A358,2)+4))</f>
        <v/>
      </c>
      <c r="C358" s="23" t="str">
        <f aca="false">IF(A358="","",WEEKNUM(A358,21))</f>
        <v/>
      </c>
      <c r="D358" s="24" t="str">
        <f aca="false">IF(A358="","",DATE(YEAR(A358),MONTH(A358),1))</f>
        <v/>
      </c>
      <c r="E358" s="10"/>
      <c r="F358" s="25"/>
      <c r="G358" s="25"/>
      <c r="H358" s="10"/>
      <c r="I358" s="10"/>
      <c r="J358" s="26"/>
      <c r="K358" s="25"/>
      <c r="L358" s="26"/>
      <c r="M358" s="27"/>
      <c r="N358" s="27"/>
      <c r="O358" s="28" t="str">
        <f aca="false">IF(OR(M358="",M358=0,N358=""),"",N358/M358)</f>
        <v/>
      </c>
      <c r="P358" s="28" t="str">
        <f aca="false">IF(M358="","",IFERROR(IF(INDEX(Parámetros!$B$14:$B$21,MATCH(I358,Parámetros!$A$14:$A$21,0))="",Parámetros!$B$5,INDEX(Parámetros!$B$14:$B$21,MATCH(I358,Parámetros!$A$14:$A$21,0))),Parámetros!$B$5))</f>
        <v/>
      </c>
      <c r="Q358" s="29" t="str">
        <f aca="false">IF(O358="","",(O358-P358)*100)</f>
        <v/>
      </c>
      <c r="R358" s="30" t="str">
        <f aca="false">IF(O358="","",MAX(0,M358*(P358-O358)))</f>
        <v/>
      </c>
      <c r="S358" s="31" t="str">
        <f aca="false">IF(OR(L358="",L358=0,N358=""),"",N358/1000/L358)</f>
        <v/>
      </c>
      <c r="T358" s="27"/>
      <c r="U358" s="27"/>
      <c r="V358" s="27"/>
      <c r="W358" s="27"/>
      <c r="X358" s="27"/>
      <c r="Y358" s="27"/>
      <c r="Z358" s="27"/>
      <c r="AA358" s="25"/>
      <c r="AB358" s="27"/>
      <c r="AC358" s="30" t="str">
        <f aca="false">IF(M358="","",IF(AB358="",M358*Parámetros!$B$6,AB358))</f>
        <v/>
      </c>
      <c r="AD358" s="30" t="str">
        <f aca="false">IF(M358="","",SUM(T358:Z358)+AC358)</f>
        <v/>
      </c>
      <c r="AE358" s="30" t="str">
        <f aca="false">IF(OR(M358="",N358=""),"",M358-N358)</f>
        <v/>
      </c>
      <c r="AF358" s="30" t="str">
        <f aca="false">IF(AE358="","",AE358-AD358)</f>
        <v/>
      </c>
      <c r="AG358" s="28" t="str">
        <f aca="false">IF(OR(AF358="",M358=0),"",AF358/M358)</f>
        <v/>
      </c>
      <c r="AH358" s="32" t="str">
        <f aca="false">IF(OR(AE358="",N358=0),"",AE358/(N358/1000))</f>
        <v/>
      </c>
      <c r="AI358" s="30" t="str">
        <f aca="false">IF(O358="","",M358*P358)</f>
        <v/>
      </c>
      <c r="AJ358" s="11" t="str">
        <f aca="false">IF(O358="","",IF(O358&gt;1,"Error: rend &gt; 100 %",IF(SUM(T358:Z358)=0,"Falta registrar pérdidas",IF(ABS(AG358)&gt;Parámetros!$B$7,"Revisar balance",IF(O358&lt;P358,"Bajo meta","OK")))))</f>
        <v/>
      </c>
      <c r="AK358" s="33"/>
      <c r="AL358" s="10"/>
      <c r="AM358" s="33"/>
      <c r="AN358" s="33"/>
      <c r="AO358" s="10"/>
    </row>
    <row r="359" customFormat="false" ht="15" hidden="false" customHeight="false" outlineLevel="0" collapsed="false">
      <c r="A359" s="22"/>
      <c r="B359" s="23" t="str">
        <f aca="false">IF(A359="","",YEAR(A359-WEEKDAY(A359,2)+4))</f>
        <v/>
      </c>
      <c r="C359" s="23" t="str">
        <f aca="false">IF(A359="","",WEEKNUM(A359,21))</f>
        <v/>
      </c>
      <c r="D359" s="24" t="str">
        <f aca="false">IF(A359="","",DATE(YEAR(A359),MONTH(A359),1))</f>
        <v/>
      </c>
      <c r="E359" s="10"/>
      <c r="F359" s="25"/>
      <c r="G359" s="25"/>
      <c r="H359" s="10"/>
      <c r="I359" s="10"/>
      <c r="J359" s="26"/>
      <c r="K359" s="25"/>
      <c r="L359" s="26"/>
      <c r="M359" s="27"/>
      <c r="N359" s="27"/>
      <c r="O359" s="28" t="str">
        <f aca="false">IF(OR(M359="",M359=0,N359=""),"",N359/M359)</f>
        <v/>
      </c>
      <c r="P359" s="28" t="str">
        <f aca="false">IF(M359="","",IFERROR(IF(INDEX(Parámetros!$B$14:$B$21,MATCH(I359,Parámetros!$A$14:$A$21,0))="",Parámetros!$B$5,INDEX(Parámetros!$B$14:$B$21,MATCH(I359,Parámetros!$A$14:$A$21,0))),Parámetros!$B$5))</f>
        <v/>
      </c>
      <c r="Q359" s="29" t="str">
        <f aca="false">IF(O359="","",(O359-P359)*100)</f>
        <v/>
      </c>
      <c r="R359" s="30" t="str">
        <f aca="false">IF(O359="","",MAX(0,M359*(P359-O359)))</f>
        <v/>
      </c>
      <c r="S359" s="31" t="str">
        <f aca="false">IF(OR(L359="",L359=0,N359=""),"",N359/1000/L359)</f>
        <v/>
      </c>
      <c r="T359" s="27"/>
      <c r="U359" s="27"/>
      <c r="V359" s="27"/>
      <c r="W359" s="27"/>
      <c r="X359" s="27"/>
      <c r="Y359" s="27"/>
      <c r="Z359" s="27"/>
      <c r="AA359" s="25"/>
      <c r="AB359" s="27"/>
      <c r="AC359" s="30" t="str">
        <f aca="false">IF(M359="","",IF(AB359="",M359*Parámetros!$B$6,AB359))</f>
        <v/>
      </c>
      <c r="AD359" s="30" t="str">
        <f aca="false">IF(M359="","",SUM(T359:Z359)+AC359)</f>
        <v/>
      </c>
      <c r="AE359" s="30" t="str">
        <f aca="false">IF(OR(M359="",N359=""),"",M359-N359)</f>
        <v/>
      </c>
      <c r="AF359" s="30" t="str">
        <f aca="false">IF(AE359="","",AE359-AD359)</f>
        <v/>
      </c>
      <c r="AG359" s="28" t="str">
        <f aca="false">IF(OR(AF359="",M359=0),"",AF359/M359)</f>
        <v/>
      </c>
      <c r="AH359" s="32" t="str">
        <f aca="false">IF(OR(AE359="",N359=0),"",AE359/(N359/1000))</f>
        <v/>
      </c>
      <c r="AI359" s="30" t="str">
        <f aca="false">IF(O359="","",M359*P359)</f>
        <v/>
      </c>
      <c r="AJ359" s="11" t="str">
        <f aca="false">IF(O359="","",IF(O359&gt;1,"Error: rend &gt; 100 %",IF(SUM(T359:Z359)=0,"Falta registrar pérdidas",IF(ABS(AG359)&gt;Parámetros!$B$7,"Revisar balance",IF(O359&lt;P359,"Bajo meta","OK")))))</f>
        <v/>
      </c>
      <c r="AK359" s="33"/>
      <c r="AL359" s="10"/>
      <c r="AM359" s="33"/>
      <c r="AN359" s="33"/>
      <c r="AO359" s="10"/>
    </row>
    <row r="360" customFormat="false" ht="15" hidden="false" customHeight="false" outlineLevel="0" collapsed="false">
      <c r="A360" s="22"/>
      <c r="B360" s="23" t="str">
        <f aca="false">IF(A360="","",YEAR(A360-WEEKDAY(A360,2)+4))</f>
        <v/>
      </c>
      <c r="C360" s="23" t="str">
        <f aca="false">IF(A360="","",WEEKNUM(A360,21))</f>
        <v/>
      </c>
      <c r="D360" s="24" t="str">
        <f aca="false">IF(A360="","",DATE(YEAR(A360),MONTH(A360),1))</f>
        <v/>
      </c>
      <c r="E360" s="10"/>
      <c r="F360" s="25"/>
      <c r="G360" s="25"/>
      <c r="H360" s="10"/>
      <c r="I360" s="10"/>
      <c r="J360" s="26"/>
      <c r="K360" s="25"/>
      <c r="L360" s="26"/>
      <c r="M360" s="27"/>
      <c r="N360" s="27"/>
      <c r="O360" s="28" t="str">
        <f aca="false">IF(OR(M360="",M360=0,N360=""),"",N360/M360)</f>
        <v/>
      </c>
      <c r="P360" s="28" t="str">
        <f aca="false">IF(M360="","",IFERROR(IF(INDEX(Parámetros!$B$14:$B$21,MATCH(I360,Parámetros!$A$14:$A$21,0))="",Parámetros!$B$5,INDEX(Parámetros!$B$14:$B$21,MATCH(I360,Parámetros!$A$14:$A$21,0))),Parámetros!$B$5))</f>
        <v/>
      </c>
      <c r="Q360" s="29" t="str">
        <f aca="false">IF(O360="","",(O360-P360)*100)</f>
        <v/>
      </c>
      <c r="R360" s="30" t="str">
        <f aca="false">IF(O360="","",MAX(0,M360*(P360-O360)))</f>
        <v/>
      </c>
      <c r="S360" s="31" t="str">
        <f aca="false">IF(OR(L360="",L360=0,N360=""),"",N360/1000/L360)</f>
        <v/>
      </c>
      <c r="T360" s="27"/>
      <c r="U360" s="27"/>
      <c r="V360" s="27"/>
      <c r="W360" s="27"/>
      <c r="X360" s="27"/>
      <c r="Y360" s="27"/>
      <c r="Z360" s="27"/>
      <c r="AA360" s="25"/>
      <c r="AB360" s="27"/>
      <c r="AC360" s="30" t="str">
        <f aca="false">IF(M360="","",IF(AB360="",M360*Parámetros!$B$6,AB360))</f>
        <v/>
      </c>
      <c r="AD360" s="30" t="str">
        <f aca="false">IF(M360="","",SUM(T360:Z360)+AC360)</f>
        <v/>
      </c>
      <c r="AE360" s="30" t="str">
        <f aca="false">IF(OR(M360="",N360=""),"",M360-N360)</f>
        <v/>
      </c>
      <c r="AF360" s="30" t="str">
        <f aca="false">IF(AE360="","",AE360-AD360)</f>
        <v/>
      </c>
      <c r="AG360" s="28" t="str">
        <f aca="false">IF(OR(AF360="",M360=0),"",AF360/M360)</f>
        <v/>
      </c>
      <c r="AH360" s="32" t="str">
        <f aca="false">IF(OR(AE360="",N360=0),"",AE360/(N360/1000))</f>
        <v/>
      </c>
      <c r="AI360" s="30" t="str">
        <f aca="false">IF(O360="","",M360*P360)</f>
        <v/>
      </c>
      <c r="AJ360" s="11" t="str">
        <f aca="false">IF(O360="","",IF(O360&gt;1,"Error: rend &gt; 100 %",IF(SUM(T360:Z360)=0,"Falta registrar pérdidas",IF(ABS(AG360)&gt;Parámetros!$B$7,"Revisar balance",IF(O360&lt;P360,"Bajo meta","OK")))))</f>
        <v/>
      </c>
      <c r="AK360" s="33"/>
      <c r="AL360" s="10"/>
      <c r="AM360" s="33"/>
      <c r="AN360" s="33"/>
      <c r="AO360" s="10"/>
    </row>
    <row r="361" customFormat="false" ht="15" hidden="false" customHeight="false" outlineLevel="0" collapsed="false">
      <c r="A361" s="22"/>
      <c r="B361" s="23" t="str">
        <f aca="false">IF(A361="","",YEAR(A361-WEEKDAY(A361,2)+4))</f>
        <v/>
      </c>
      <c r="C361" s="23" t="str">
        <f aca="false">IF(A361="","",WEEKNUM(A361,21))</f>
        <v/>
      </c>
      <c r="D361" s="24" t="str">
        <f aca="false">IF(A361="","",DATE(YEAR(A361),MONTH(A361),1))</f>
        <v/>
      </c>
      <c r="E361" s="10"/>
      <c r="F361" s="25"/>
      <c r="G361" s="25"/>
      <c r="H361" s="10"/>
      <c r="I361" s="10"/>
      <c r="J361" s="26"/>
      <c r="K361" s="25"/>
      <c r="L361" s="26"/>
      <c r="M361" s="27"/>
      <c r="N361" s="27"/>
      <c r="O361" s="28" t="str">
        <f aca="false">IF(OR(M361="",M361=0,N361=""),"",N361/M361)</f>
        <v/>
      </c>
      <c r="P361" s="28" t="str">
        <f aca="false">IF(M361="","",IFERROR(IF(INDEX(Parámetros!$B$14:$B$21,MATCH(I361,Parámetros!$A$14:$A$21,0))="",Parámetros!$B$5,INDEX(Parámetros!$B$14:$B$21,MATCH(I361,Parámetros!$A$14:$A$21,0))),Parámetros!$B$5))</f>
        <v/>
      </c>
      <c r="Q361" s="29" t="str">
        <f aca="false">IF(O361="","",(O361-P361)*100)</f>
        <v/>
      </c>
      <c r="R361" s="30" t="str">
        <f aca="false">IF(O361="","",MAX(0,M361*(P361-O361)))</f>
        <v/>
      </c>
      <c r="S361" s="31" t="str">
        <f aca="false">IF(OR(L361="",L361=0,N361=""),"",N361/1000/L361)</f>
        <v/>
      </c>
      <c r="T361" s="27"/>
      <c r="U361" s="27"/>
      <c r="V361" s="27"/>
      <c r="W361" s="27"/>
      <c r="X361" s="27"/>
      <c r="Y361" s="27"/>
      <c r="Z361" s="27"/>
      <c r="AA361" s="25"/>
      <c r="AB361" s="27"/>
      <c r="AC361" s="30" t="str">
        <f aca="false">IF(M361="","",IF(AB361="",M361*Parámetros!$B$6,AB361))</f>
        <v/>
      </c>
      <c r="AD361" s="30" t="str">
        <f aca="false">IF(M361="","",SUM(T361:Z361)+AC361)</f>
        <v/>
      </c>
      <c r="AE361" s="30" t="str">
        <f aca="false">IF(OR(M361="",N361=""),"",M361-N361)</f>
        <v/>
      </c>
      <c r="AF361" s="30" t="str">
        <f aca="false">IF(AE361="","",AE361-AD361)</f>
        <v/>
      </c>
      <c r="AG361" s="28" t="str">
        <f aca="false">IF(OR(AF361="",M361=0),"",AF361/M361)</f>
        <v/>
      </c>
      <c r="AH361" s="32" t="str">
        <f aca="false">IF(OR(AE361="",N361=0),"",AE361/(N361/1000))</f>
        <v/>
      </c>
      <c r="AI361" s="30" t="str">
        <f aca="false">IF(O361="","",M361*P361)</f>
        <v/>
      </c>
      <c r="AJ361" s="11" t="str">
        <f aca="false">IF(O361="","",IF(O361&gt;1,"Error: rend &gt; 100 %",IF(SUM(T361:Z361)=0,"Falta registrar pérdidas",IF(ABS(AG361)&gt;Parámetros!$B$7,"Revisar balance",IF(O361&lt;P361,"Bajo meta","OK")))))</f>
        <v/>
      </c>
      <c r="AK361" s="33"/>
      <c r="AL361" s="10"/>
      <c r="AM361" s="33"/>
      <c r="AN361" s="33"/>
      <c r="AO361" s="10"/>
    </row>
    <row r="362" customFormat="false" ht="15" hidden="false" customHeight="false" outlineLevel="0" collapsed="false">
      <c r="A362" s="22"/>
      <c r="B362" s="23" t="str">
        <f aca="false">IF(A362="","",YEAR(A362-WEEKDAY(A362,2)+4))</f>
        <v/>
      </c>
      <c r="C362" s="23" t="str">
        <f aca="false">IF(A362="","",WEEKNUM(A362,21))</f>
        <v/>
      </c>
      <c r="D362" s="24" t="str">
        <f aca="false">IF(A362="","",DATE(YEAR(A362),MONTH(A362),1))</f>
        <v/>
      </c>
      <c r="E362" s="10"/>
      <c r="F362" s="25"/>
      <c r="G362" s="25"/>
      <c r="H362" s="10"/>
      <c r="I362" s="10"/>
      <c r="J362" s="26"/>
      <c r="K362" s="25"/>
      <c r="L362" s="26"/>
      <c r="M362" s="27"/>
      <c r="N362" s="27"/>
      <c r="O362" s="28" t="str">
        <f aca="false">IF(OR(M362="",M362=0,N362=""),"",N362/M362)</f>
        <v/>
      </c>
      <c r="P362" s="28" t="str">
        <f aca="false">IF(M362="","",IFERROR(IF(INDEX(Parámetros!$B$14:$B$21,MATCH(I362,Parámetros!$A$14:$A$21,0))="",Parámetros!$B$5,INDEX(Parámetros!$B$14:$B$21,MATCH(I362,Parámetros!$A$14:$A$21,0))),Parámetros!$B$5))</f>
        <v/>
      </c>
      <c r="Q362" s="29" t="str">
        <f aca="false">IF(O362="","",(O362-P362)*100)</f>
        <v/>
      </c>
      <c r="R362" s="30" t="str">
        <f aca="false">IF(O362="","",MAX(0,M362*(P362-O362)))</f>
        <v/>
      </c>
      <c r="S362" s="31" t="str">
        <f aca="false">IF(OR(L362="",L362=0,N362=""),"",N362/1000/L362)</f>
        <v/>
      </c>
      <c r="T362" s="27"/>
      <c r="U362" s="27"/>
      <c r="V362" s="27"/>
      <c r="W362" s="27"/>
      <c r="X362" s="27"/>
      <c r="Y362" s="27"/>
      <c r="Z362" s="27"/>
      <c r="AA362" s="25"/>
      <c r="AB362" s="27"/>
      <c r="AC362" s="30" t="str">
        <f aca="false">IF(M362="","",IF(AB362="",M362*Parámetros!$B$6,AB362))</f>
        <v/>
      </c>
      <c r="AD362" s="30" t="str">
        <f aca="false">IF(M362="","",SUM(T362:Z362)+AC362)</f>
        <v/>
      </c>
      <c r="AE362" s="30" t="str">
        <f aca="false">IF(OR(M362="",N362=""),"",M362-N362)</f>
        <v/>
      </c>
      <c r="AF362" s="30" t="str">
        <f aca="false">IF(AE362="","",AE362-AD362)</f>
        <v/>
      </c>
      <c r="AG362" s="28" t="str">
        <f aca="false">IF(OR(AF362="",M362=0),"",AF362/M362)</f>
        <v/>
      </c>
      <c r="AH362" s="32" t="str">
        <f aca="false">IF(OR(AE362="",N362=0),"",AE362/(N362/1000))</f>
        <v/>
      </c>
      <c r="AI362" s="30" t="str">
        <f aca="false">IF(O362="","",M362*P362)</f>
        <v/>
      </c>
      <c r="AJ362" s="11" t="str">
        <f aca="false">IF(O362="","",IF(O362&gt;1,"Error: rend &gt; 100 %",IF(SUM(T362:Z362)=0,"Falta registrar pérdidas",IF(ABS(AG362)&gt;Parámetros!$B$7,"Revisar balance",IF(O362&lt;P362,"Bajo meta","OK")))))</f>
        <v/>
      </c>
      <c r="AK362" s="33"/>
      <c r="AL362" s="10"/>
      <c r="AM362" s="33"/>
      <c r="AN362" s="33"/>
      <c r="AO362" s="10"/>
    </row>
    <row r="363" customFormat="false" ht="15" hidden="false" customHeight="false" outlineLevel="0" collapsed="false">
      <c r="A363" s="22"/>
      <c r="B363" s="23" t="str">
        <f aca="false">IF(A363="","",YEAR(A363-WEEKDAY(A363,2)+4))</f>
        <v/>
      </c>
      <c r="C363" s="23" t="str">
        <f aca="false">IF(A363="","",WEEKNUM(A363,21))</f>
        <v/>
      </c>
      <c r="D363" s="24" t="str">
        <f aca="false">IF(A363="","",DATE(YEAR(A363),MONTH(A363),1))</f>
        <v/>
      </c>
      <c r="E363" s="10"/>
      <c r="F363" s="25"/>
      <c r="G363" s="25"/>
      <c r="H363" s="10"/>
      <c r="I363" s="10"/>
      <c r="J363" s="26"/>
      <c r="K363" s="25"/>
      <c r="L363" s="26"/>
      <c r="M363" s="27"/>
      <c r="N363" s="27"/>
      <c r="O363" s="28" t="str">
        <f aca="false">IF(OR(M363="",M363=0,N363=""),"",N363/M363)</f>
        <v/>
      </c>
      <c r="P363" s="28" t="str">
        <f aca="false">IF(M363="","",IFERROR(IF(INDEX(Parámetros!$B$14:$B$21,MATCH(I363,Parámetros!$A$14:$A$21,0))="",Parámetros!$B$5,INDEX(Parámetros!$B$14:$B$21,MATCH(I363,Parámetros!$A$14:$A$21,0))),Parámetros!$B$5))</f>
        <v/>
      </c>
      <c r="Q363" s="29" t="str">
        <f aca="false">IF(O363="","",(O363-P363)*100)</f>
        <v/>
      </c>
      <c r="R363" s="30" t="str">
        <f aca="false">IF(O363="","",MAX(0,M363*(P363-O363)))</f>
        <v/>
      </c>
      <c r="S363" s="31" t="str">
        <f aca="false">IF(OR(L363="",L363=0,N363=""),"",N363/1000/L363)</f>
        <v/>
      </c>
      <c r="T363" s="27"/>
      <c r="U363" s="27"/>
      <c r="V363" s="27"/>
      <c r="W363" s="27"/>
      <c r="X363" s="27"/>
      <c r="Y363" s="27"/>
      <c r="Z363" s="27"/>
      <c r="AA363" s="25"/>
      <c r="AB363" s="27"/>
      <c r="AC363" s="30" t="str">
        <f aca="false">IF(M363="","",IF(AB363="",M363*Parámetros!$B$6,AB363))</f>
        <v/>
      </c>
      <c r="AD363" s="30" t="str">
        <f aca="false">IF(M363="","",SUM(T363:Z363)+AC363)</f>
        <v/>
      </c>
      <c r="AE363" s="30" t="str">
        <f aca="false">IF(OR(M363="",N363=""),"",M363-N363)</f>
        <v/>
      </c>
      <c r="AF363" s="30" t="str">
        <f aca="false">IF(AE363="","",AE363-AD363)</f>
        <v/>
      </c>
      <c r="AG363" s="28" t="str">
        <f aca="false">IF(OR(AF363="",M363=0),"",AF363/M363)</f>
        <v/>
      </c>
      <c r="AH363" s="32" t="str">
        <f aca="false">IF(OR(AE363="",N363=0),"",AE363/(N363/1000))</f>
        <v/>
      </c>
      <c r="AI363" s="30" t="str">
        <f aca="false">IF(O363="","",M363*P363)</f>
        <v/>
      </c>
      <c r="AJ363" s="11" t="str">
        <f aca="false">IF(O363="","",IF(O363&gt;1,"Error: rend &gt; 100 %",IF(SUM(T363:Z363)=0,"Falta registrar pérdidas",IF(ABS(AG363)&gt;Parámetros!$B$7,"Revisar balance",IF(O363&lt;P363,"Bajo meta","OK")))))</f>
        <v/>
      </c>
      <c r="AK363" s="33"/>
      <c r="AL363" s="10"/>
      <c r="AM363" s="33"/>
      <c r="AN363" s="33"/>
      <c r="AO363" s="10"/>
    </row>
    <row r="364" customFormat="false" ht="15" hidden="false" customHeight="false" outlineLevel="0" collapsed="false">
      <c r="A364" s="22"/>
      <c r="B364" s="23" t="str">
        <f aca="false">IF(A364="","",YEAR(A364-WEEKDAY(A364,2)+4))</f>
        <v/>
      </c>
      <c r="C364" s="23" t="str">
        <f aca="false">IF(A364="","",WEEKNUM(A364,21))</f>
        <v/>
      </c>
      <c r="D364" s="24" t="str">
        <f aca="false">IF(A364="","",DATE(YEAR(A364),MONTH(A364),1))</f>
        <v/>
      </c>
      <c r="E364" s="10"/>
      <c r="F364" s="25"/>
      <c r="G364" s="25"/>
      <c r="H364" s="10"/>
      <c r="I364" s="10"/>
      <c r="J364" s="26"/>
      <c r="K364" s="25"/>
      <c r="L364" s="26"/>
      <c r="M364" s="27"/>
      <c r="N364" s="27"/>
      <c r="O364" s="28" t="str">
        <f aca="false">IF(OR(M364="",M364=0,N364=""),"",N364/M364)</f>
        <v/>
      </c>
      <c r="P364" s="28" t="str">
        <f aca="false">IF(M364="","",IFERROR(IF(INDEX(Parámetros!$B$14:$B$21,MATCH(I364,Parámetros!$A$14:$A$21,0))="",Parámetros!$B$5,INDEX(Parámetros!$B$14:$B$21,MATCH(I364,Parámetros!$A$14:$A$21,0))),Parámetros!$B$5))</f>
        <v/>
      </c>
      <c r="Q364" s="29" t="str">
        <f aca="false">IF(O364="","",(O364-P364)*100)</f>
        <v/>
      </c>
      <c r="R364" s="30" t="str">
        <f aca="false">IF(O364="","",MAX(0,M364*(P364-O364)))</f>
        <v/>
      </c>
      <c r="S364" s="31" t="str">
        <f aca="false">IF(OR(L364="",L364=0,N364=""),"",N364/1000/L364)</f>
        <v/>
      </c>
      <c r="T364" s="27"/>
      <c r="U364" s="27"/>
      <c r="V364" s="27"/>
      <c r="W364" s="27"/>
      <c r="X364" s="27"/>
      <c r="Y364" s="27"/>
      <c r="Z364" s="27"/>
      <c r="AA364" s="25"/>
      <c r="AB364" s="27"/>
      <c r="AC364" s="30" t="str">
        <f aca="false">IF(M364="","",IF(AB364="",M364*Parámetros!$B$6,AB364))</f>
        <v/>
      </c>
      <c r="AD364" s="30" t="str">
        <f aca="false">IF(M364="","",SUM(T364:Z364)+AC364)</f>
        <v/>
      </c>
      <c r="AE364" s="30" t="str">
        <f aca="false">IF(OR(M364="",N364=""),"",M364-N364)</f>
        <v/>
      </c>
      <c r="AF364" s="30" t="str">
        <f aca="false">IF(AE364="","",AE364-AD364)</f>
        <v/>
      </c>
      <c r="AG364" s="28" t="str">
        <f aca="false">IF(OR(AF364="",M364=0),"",AF364/M364)</f>
        <v/>
      </c>
      <c r="AH364" s="32" t="str">
        <f aca="false">IF(OR(AE364="",N364=0),"",AE364/(N364/1000))</f>
        <v/>
      </c>
      <c r="AI364" s="30" t="str">
        <f aca="false">IF(O364="","",M364*P364)</f>
        <v/>
      </c>
      <c r="AJ364" s="11" t="str">
        <f aca="false">IF(O364="","",IF(O364&gt;1,"Error: rend &gt; 100 %",IF(SUM(T364:Z364)=0,"Falta registrar pérdidas",IF(ABS(AG364)&gt;Parámetros!$B$7,"Revisar balance",IF(O364&lt;P364,"Bajo meta","OK")))))</f>
        <v/>
      </c>
      <c r="AK364" s="33"/>
      <c r="AL364" s="10"/>
      <c r="AM364" s="33"/>
      <c r="AN364" s="33"/>
      <c r="AO364" s="10"/>
    </row>
    <row r="365" customFormat="false" ht="15" hidden="false" customHeight="false" outlineLevel="0" collapsed="false">
      <c r="A365" s="22"/>
      <c r="B365" s="23" t="str">
        <f aca="false">IF(A365="","",YEAR(A365-WEEKDAY(A365,2)+4))</f>
        <v/>
      </c>
      <c r="C365" s="23" t="str">
        <f aca="false">IF(A365="","",WEEKNUM(A365,21))</f>
        <v/>
      </c>
      <c r="D365" s="24" t="str">
        <f aca="false">IF(A365="","",DATE(YEAR(A365),MONTH(A365),1))</f>
        <v/>
      </c>
      <c r="E365" s="10"/>
      <c r="F365" s="25"/>
      <c r="G365" s="25"/>
      <c r="H365" s="10"/>
      <c r="I365" s="10"/>
      <c r="J365" s="26"/>
      <c r="K365" s="25"/>
      <c r="L365" s="26"/>
      <c r="M365" s="27"/>
      <c r="N365" s="27"/>
      <c r="O365" s="28" t="str">
        <f aca="false">IF(OR(M365="",M365=0,N365=""),"",N365/M365)</f>
        <v/>
      </c>
      <c r="P365" s="28" t="str">
        <f aca="false">IF(M365="","",IFERROR(IF(INDEX(Parámetros!$B$14:$B$21,MATCH(I365,Parámetros!$A$14:$A$21,0))="",Parámetros!$B$5,INDEX(Parámetros!$B$14:$B$21,MATCH(I365,Parámetros!$A$14:$A$21,0))),Parámetros!$B$5))</f>
        <v/>
      </c>
      <c r="Q365" s="29" t="str">
        <f aca="false">IF(O365="","",(O365-P365)*100)</f>
        <v/>
      </c>
      <c r="R365" s="30" t="str">
        <f aca="false">IF(O365="","",MAX(0,M365*(P365-O365)))</f>
        <v/>
      </c>
      <c r="S365" s="31" t="str">
        <f aca="false">IF(OR(L365="",L365=0,N365=""),"",N365/1000/L365)</f>
        <v/>
      </c>
      <c r="T365" s="27"/>
      <c r="U365" s="27"/>
      <c r="V365" s="27"/>
      <c r="W365" s="27"/>
      <c r="X365" s="27"/>
      <c r="Y365" s="27"/>
      <c r="Z365" s="27"/>
      <c r="AA365" s="25"/>
      <c r="AB365" s="27"/>
      <c r="AC365" s="30" t="str">
        <f aca="false">IF(M365="","",IF(AB365="",M365*Parámetros!$B$6,AB365))</f>
        <v/>
      </c>
      <c r="AD365" s="30" t="str">
        <f aca="false">IF(M365="","",SUM(T365:Z365)+AC365)</f>
        <v/>
      </c>
      <c r="AE365" s="30" t="str">
        <f aca="false">IF(OR(M365="",N365=""),"",M365-N365)</f>
        <v/>
      </c>
      <c r="AF365" s="30" t="str">
        <f aca="false">IF(AE365="","",AE365-AD365)</f>
        <v/>
      </c>
      <c r="AG365" s="28" t="str">
        <f aca="false">IF(OR(AF365="",M365=0),"",AF365/M365)</f>
        <v/>
      </c>
      <c r="AH365" s="32" t="str">
        <f aca="false">IF(OR(AE365="",N365=0),"",AE365/(N365/1000))</f>
        <v/>
      </c>
      <c r="AI365" s="30" t="str">
        <f aca="false">IF(O365="","",M365*P365)</f>
        <v/>
      </c>
      <c r="AJ365" s="11" t="str">
        <f aca="false">IF(O365="","",IF(O365&gt;1,"Error: rend &gt; 100 %",IF(SUM(T365:Z365)=0,"Falta registrar pérdidas",IF(ABS(AG365)&gt;Parámetros!$B$7,"Revisar balance",IF(O365&lt;P365,"Bajo meta","OK")))))</f>
        <v/>
      </c>
      <c r="AK365" s="33"/>
      <c r="AL365" s="10"/>
      <c r="AM365" s="33"/>
      <c r="AN365" s="33"/>
      <c r="AO365" s="10"/>
    </row>
    <row r="366" customFormat="false" ht="15" hidden="false" customHeight="false" outlineLevel="0" collapsed="false">
      <c r="A366" s="22"/>
      <c r="B366" s="23" t="str">
        <f aca="false">IF(A366="","",YEAR(A366-WEEKDAY(A366,2)+4))</f>
        <v/>
      </c>
      <c r="C366" s="23" t="str">
        <f aca="false">IF(A366="","",WEEKNUM(A366,21))</f>
        <v/>
      </c>
      <c r="D366" s="24" t="str">
        <f aca="false">IF(A366="","",DATE(YEAR(A366),MONTH(A366),1))</f>
        <v/>
      </c>
      <c r="E366" s="10"/>
      <c r="F366" s="25"/>
      <c r="G366" s="25"/>
      <c r="H366" s="10"/>
      <c r="I366" s="10"/>
      <c r="J366" s="26"/>
      <c r="K366" s="25"/>
      <c r="L366" s="26"/>
      <c r="M366" s="27"/>
      <c r="N366" s="27"/>
      <c r="O366" s="28" t="str">
        <f aca="false">IF(OR(M366="",M366=0,N366=""),"",N366/M366)</f>
        <v/>
      </c>
      <c r="P366" s="28" t="str">
        <f aca="false">IF(M366="","",IFERROR(IF(INDEX(Parámetros!$B$14:$B$21,MATCH(I366,Parámetros!$A$14:$A$21,0))="",Parámetros!$B$5,INDEX(Parámetros!$B$14:$B$21,MATCH(I366,Parámetros!$A$14:$A$21,0))),Parámetros!$B$5))</f>
        <v/>
      </c>
      <c r="Q366" s="29" t="str">
        <f aca="false">IF(O366="","",(O366-P366)*100)</f>
        <v/>
      </c>
      <c r="R366" s="30" t="str">
        <f aca="false">IF(O366="","",MAX(0,M366*(P366-O366)))</f>
        <v/>
      </c>
      <c r="S366" s="31" t="str">
        <f aca="false">IF(OR(L366="",L366=0,N366=""),"",N366/1000/L366)</f>
        <v/>
      </c>
      <c r="T366" s="27"/>
      <c r="U366" s="27"/>
      <c r="V366" s="27"/>
      <c r="W366" s="27"/>
      <c r="X366" s="27"/>
      <c r="Y366" s="27"/>
      <c r="Z366" s="27"/>
      <c r="AA366" s="25"/>
      <c r="AB366" s="27"/>
      <c r="AC366" s="30" t="str">
        <f aca="false">IF(M366="","",IF(AB366="",M366*Parámetros!$B$6,AB366))</f>
        <v/>
      </c>
      <c r="AD366" s="30" t="str">
        <f aca="false">IF(M366="","",SUM(T366:Z366)+AC366)</f>
        <v/>
      </c>
      <c r="AE366" s="30" t="str">
        <f aca="false">IF(OR(M366="",N366=""),"",M366-N366)</f>
        <v/>
      </c>
      <c r="AF366" s="30" t="str">
        <f aca="false">IF(AE366="","",AE366-AD366)</f>
        <v/>
      </c>
      <c r="AG366" s="28" t="str">
        <f aca="false">IF(OR(AF366="",M366=0),"",AF366/M366)</f>
        <v/>
      </c>
      <c r="AH366" s="32" t="str">
        <f aca="false">IF(OR(AE366="",N366=0),"",AE366/(N366/1000))</f>
        <v/>
      </c>
      <c r="AI366" s="30" t="str">
        <f aca="false">IF(O366="","",M366*P366)</f>
        <v/>
      </c>
      <c r="AJ366" s="11" t="str">
        <f aca="false">IF(O366="","",IF(O366&gt;1,"Error: rend &gt; 100 %",IF(SUM(T366:Z366)=0,"Falta registrar pérdidas",IF(ABS(AG366)&gt;Parámetros!$B$7,"Revisar balance",IF(O366&lt;P366,"Bajo meta","OK")))))</f>
        <v/>
      </c>
      <c r="AK366" s="33"/>
      <c r="AL366" s="10"/>
      <c r="AM366" s="33"/>
      <c r="AN366" s="33"/>
      <c r="AO366" s="10"/>
    </row>
    <row r="367" customFormat="false" ht="15" hidden="false" customHeight="false" outlineLevel="0" collapsed="false">
      <c r="A367" s="22"/>
      <c r="B367" s="23" t="str">
        <f aca="false">IF(A367="","",YEAR(A367-WEEKDAY(A367,2)+4))</f>
        <v/>
      </c>
      <c r="C367" s="23" t="str">
        <f aca="false">IF(A367="","",WEEKNUM(A367,21))</f>
        <v/>
      </c>
      <c r="D367" s="24" t="str">
        <f aca="false">IF(A367="","",DATE(YEAR(A367),MONTH(A367),1))</f>
        <v/>
      </c>
      <c r="E367" s="10"/>
      <c r="F367" s="25"/>
      <c r="G367" s="25"/>
      <c r="H367" s="10"/>
      <c r="I367" s="10"/>
      <c r="J367" s="26"/>
      <c r="K367" s="25"/>
      <c r="L367" s="26"/>
      <c r="M367" s="27"/>
      <c r="N367" s="27"/>
      <c r="O367" s="28" t="str">
        <f aca="false">IF(OR(M367="",M367=0,N367=""),"",N367/M367)</f>
        <v/>
      </c>
      <c r="P367" s="28" t="str">
        <f aca="false">IF(M367="","",IFERROR(IF(INDEX(Parámetros!$B$14:$B$21,MATCH(I367,Parámetros!$A$14:$A$21,0))="",Parámetros!$B$5,INDEX(Parámetros!$B$14:$B$21,MATCH(I367,Parámetros!$A$14:$A$21,0))),Parámetros!$B$5))</f>
        <v/>
      </c>
      <c r="Q367" s="29" t="str">
        <f aca="false">IF(O367="","",(O367-P367)*100)</f>
        <v/>
      </c>
      <c r="R367" s="30" t="str">
        <f aca="false">IF(O367="","",MAX(0,M367*(P367-O367)))</f>
        <v/>
      </c>
      <c r="S367" s="31" t="str">
        <f aca="false">IF(OR(L367="",L367=0,N367=""),"",N367/1000/L367)</f>
        <v/>
      </c>
      <c r="T367" s="27"/>
      <c r="U367" s="27"/>
      <c r="V367" s="27"/>
      <c r="W367" s="27"/>
      <c r="X367" s="27"/>
      <c r="Y367" s="27"/>
      <c r="Z367" s="27"/>
      <c r="AA367" s="25"/>
      <c r="AB367" s="27"/>
      <c r="AC367" s="30" t="str">
        <f aca="false">IF(M367="","",IF(AB367="",M367*Parámetros!$B$6,AB367))</f>
        <v/>
      </c>
      <c r="AD367" s="30" t="str">
        <f aca="false">IF(M367="","",SUM(T367:Z367)+AC367)</f>
        <v/>
      </c>
      <c r="AE367" s="30" t="str">
        <f aca="false">IF(OR(M367="",N367=""),"",M367-N367)</f>
        <v/>
      </c>
      <c r="AF367" s="30" t="str">
        <f aca="false">IF(AE367="","",AE367-AD367)</f>
        <v/>
      </c>
      <c r="AG367" s="28" t="str">
        <f aca="false">IF(OR(AF367="",M367=0),"",AF367/M367)</f>
        <v/>
      </c>
      <c r="AH367" s="32" t="str">
        <f aca="false">IF(OR(AE367="",N367=0),"",AE367/(N367/1000))</f>
        <v/>
      </c>
      <c r="AI367" s="30" t="str">
        <f aca="false">IF(O367="","",M367*P367)</f>
        <v/>
      </c>
      <c r="AJ367" s="11" t="str">
        <f aca="false">IF(O367="","",IF(O367&gt;1,"Error: rend &gt; 100 %",IF(SUM(T367:Z367)=0,"Falta registrar pérdidas",IF(ABS(AG367)&gt;Parámetros!$B$7,"Revisar balance",IF(O367&lt;P367,"Bajo meta","OK")))))</f>
        <v/>
      </c>
      <c r="AK367" s="33"/>
      <c r="AL367" s="10"/>
      <c r="AM367" s="33"/>
      <c r="AN367" s="33"/>
      <c r="AO367" s="10"/>
    </row>
    <row r="368" customFormat="false" ht="15" hidden="false" customHeight="false" outlineLevel="0" collapsed="false">
      <c r="A368" s="22"/>
      <c r="B368" s="23" t="str">
        <f aca="false">IF(A368="","",YEAR(A368-WEEKDAY(A368,2)+4))</f>
        <v/>
      </c>
      <c r="C368" s="23" t="str">
        <f aca="false">IF(A368="","",WEEKNUM(A368,21))</f>
        <v/>
      </c>
      <c r="D368" s="24" t="str">
        <f aca="false">IF(A368="","",DATE(YEAR(A368),MONTH(A368),1))</f>
        <v/>
      </c>
      <c r="E368" s="10"/>
      <c r="F368" s="25"/>
      <c r="G368" s="25"/>
      <c r="H368" s="10"/>
      <c r="I368" s="10"/>
      <c r="J368" s="26"/>
      <c r="K368" s="25"/>
      <c r="L368" s="26"/>
      <c r="M368" s="27"/>
      <c r="N368" s="27"/>
      <c r="O368" s="28" t="str">
        <f aca="false">IF(OR(M368="",M368=0,N368=""),"",N368/M368)</f>
        <v/>
      </c>
      <c r="P368" s="28" t="str">
        <f aca="false">IF(M368="","",IFERROR(IF(INDEX(Parámetros!$B$14:$B$21,MATCH(I368,Parámetros!$A$14:$A$21,0))="",Parámetros!$B$5,INDEX(Parámetros!$B$14:$B$21,MATCH(I368,Parámetros!$A$14:$A$21,0))),Parámetros!$B$5))</f>
        <v/>
      </c>
      <c r="Q368" s="29" t="str">
        <f aca="false">IF(O368="","",(O368-P368)*100)</f>
        <v/>
      </c>
      <c r="R368" s="30" t="str">
        <f aca="false">IF(O368="","",MAX(0,M368*(P368-O368)))</f>
        <v/>
      </c>
      <c r="S368" s="31" t="str">
        <f aca="false">IF(OR(L368="",L368=0,N368=""),"",N368/1000/L368)</f>
        <v/>
      </c>
      <c r="T368" s="27"/>
      <c r="U368" s="27"/>
      <c r="V368" s="27"/>
      <c r="W368" s="27"/>
      <c r="X368" s="27"/>
      <c r="Y368" s="27"/>
      <c r="Z368" s="27"/>
      <c r="AA368" s="25"/>
      <c r="AB368" s="27"/>
      <c r="AC368" s="30" t="str">
        <f aca="false">IF(M368="","",IF(AB368="",M368*Parámetros!$B$6,AB368))</f>
        <v/>
      </c>
      <c r="AD368" s="30" t="str">
        <f aca="false">IF(M368="","",SUM(T368:Z368)+AC368)</f>
        <v/>
      </c>
      <c r="AE368" s="30" t="str">
        <f aca="false">IF(OR(M368="",N368=""),"",M368-N368)</f>
        <v/>
      </c>
      <c r="AF368" s="30" t="str">
        <f aca="false">IF(AE368="","",AE368-AD368)</f>
        <v/>
      </c>
      <c r="AG368" s="28" t="str">
        <f aca="false">IF(OR(AF368="",M368=0),"",AF368/M368)</f>
        <v/>
      </c>
      <c r="AH368" s="32" t="str">
        <f aca="false">IF(OR(AE368="",N368=0),"",AE368/(N368/1000))</f>
        <v/>
      </c>
      <c r="AI368" s="30" t="str">
        <f aca="false">IF(O368="","",M368*P368)</f>
        <v/>
      </c>
      <c r="AJ368" s="11" t="str">
        <f aca="false">IF(O368="","",IF(O368&gt;1,"Error: rend &gt; 100 %",IF(SUM(T368:Z368)=0,"Falta registrar pérdidas",IF(ABS(AG368)&gt;Parámetros!$B$7,"Revisar balance",IF(O368&lt;P368,"Bajo meta","OK")))))</f>
        <v/>
      </c>
      <c r="AK368" s="33"/>
      <c r="AL368" s="10"/>
      <c r="AM368" s="33"/>
      <c r="AN368" s="33"/>
      <c r="AO368" s="10"/>
    </row>
    <row r="369" customFormat="false" ht="15" hidden="false" customHeight="false" outlineLevel="0" collapsed="false">
      <c r="A369" s="22"/>
      <c r="B369" s="23" t="str">
        <f aca="false">IF(A369="","",YEAR(A369-WEEKDAY(A369,2)+4))</f>
        <v/>
      </c>
      <c r="C369" s="23" t="str">
        <f aca="false">IF(A369="","",WEEKNUM(A369,21))</f>
        <v/>
      </c>
      <c r="D369" s="24" t="str">
        <f aca="false">IF(A369="","",DATE(YEAR(A369),MONTH(A369),1))</f>
        <v/>
      </c>
      <c r="E369" s="10"/>
      <c r="F369" s="25"/>
      <c r="G369" s="25"/>
      <c r="H369" s="10"/>
      <c r="I369" s="10"/>
      <c r="J369" s="26"/>
      <c r="K369" s="25"/>
      <c r="L369" s="26"/>
      <c r="M369" s="27"/>
      <c r="N369" s="27"/>
      <c r="O369" s="28" t="str">
        <f aca="false">IF(OR(M369="",M369=0,N369=""),"",N369/M369)</f>
        <v/>
      </c>
      <c r="P369" s="28" t="str">
        <f aca="false">IF(M369="","",IFERROR(IF(INDEX(Parámetros!$B$14:$B$21,MATCH(I369,Parámetros!$A$14:$A$21,0))="",Parámetros!$B$5,INDEX(Parámetros!$B$14:$B$21,MATCH(I369,Parámetros!$A$14:$A$21,0))),Parámetros!$B$5))</f>
        <v/>
      </c>
      <c r="Q369" s="29" t="str">
        <f aca="false">IF(O369="","",(O369-P369)*100)</f>
        <v/>
      </c>
      <c r="R369" s="30" t="str">
        <f aca="false">IF(O369="","",MAX(0,M369*(P369-O369)))</f>
        <v/>
      </c>
      <c r="S369" s="31" t="str">
        <f aca="false">IF(OR(L369="",L369=0,N369=""),"",N369/1000/L369)</f>
        <v/>
      </c>
      <c r="T369" s="27"/>
      <c r="U369" s="27"/>
      <c r="V369" s="27"/>
      <c r="W369" s="27"/>
      <c r="X369" s="27"/>
      <c r="Y369" s="27"/>
      <c r="Z369" s="27"/>
      <c r="AA369" s="25"/>
      <c r="AB369" s="27"/>
      <c r="AC369" s="30" t="str">
        <f aca="false">IF(M369="","",IF(AB369="",M369*Parámetros!$B$6,AB369))</f>
        <v/>
      </c>
      <c r="AD369" s="30" t="str">
        <f aca="false">IF(M369="","",SUM(T369:Z369)+AC369)</f>
        <v/>
      </c>
      <c r="AE369" s="30" t="str">
        <f aca="false">IF(OR(M369="",N369=""),"",M369-N369)</f>
        <v/>
      </c>
      <c r="AF369" s="30" t="str">
        <f aca="false">IF(AE369="","",AE369-AD369)</f>
        <v/>
      </c>
      <c r="AG369" s="28" t="str">
        <f aca="false">IF(OR(AF369="",M369=0),"",AF369/M369)</f>
        <v/>
      </c>
      <c r="AH369" s="32" t="str">
        <f aca="false">IF(OR(AE369="",N369=0),"",AE369/(N369/1000))</f>
        <v/>
      </c>
      <c r="AI369" s="30" t="str">
        <f aca="false">IF(O369="","",M369*P369)</f>
        <v/>
      </c>
      <c r="AJ369" s="11" t="str">
        <f aca="false">IF(O369="","",IF(O369&gt;1,"Error: rend &gt; 100 %",IF(SUM(T369:Z369)=0,"Falta registrar pérdidas",IF(ABS(AG369)&gt;Parámetros!$B$7,"Revisar balance",IF(O369&lt;P369,"Bajo meta","OK")))))</f>
        <v/>
      </c>
      <c r="AK369" s="33"/>
      <c r="AL369" s="10"/>
      <c r="AM369" s="33"/>
      <c r="AN369" s="33"/>
      <c r="AO369" s="10"/>
    </row>
    <row r="370" customFormat="false" ht="15" hidden="false" customHeight="false" outlineLevel="0" collapsed="false">
      <c r="A370" s="22"/>
      <c r="B370" s="23" t="str">
        <f aca="false">IF(A370="","",YEAR(A370-WEEKDAY(A370,2)+4))</f>
        <v/>
      </c>
      <c r="C370" s="23" t="str">
        <f aca="false">IF(A370="","",WEEKNUM(A370,21))</f>
        <v/>
      </c>
      <c r="D370" s="24" t="str">
        <f aca="false">IF(A370="","",DATE(YEAR(A370),MONTH(A370),1))</f>
        <v/>
      </c>
      <c r="E370" s="10"/>
      <c r="F370" s="25"/>
      <c r="G370" s="25"/>
      <c r="H370" s="10"/>
      <c r="I370" s="10"/>
      <c r="J370" s="26"/>
      <c r="K370" s="25"/>
      <c r="L370" s="26"/>
      <c r="M370" s="27"/>
      <c r="N370" s="27"/>
      <c r="O370" s="28" t="str">
        <f aca="false">IF(OR(M370="",M370=0,N370=""),"",N370/M370)</f>
        <v/>
      </c>
      <c r="P370" s="28" t="str">
        <f aca="false">IF(M370="","",IFERROR(IF(INDEX(Parámetros!$B$14:$B$21,MATCH(I370,Parámetros!$A$14:$A$21,0))="",Parámetros!$B$5,INDEX(Parámetros!$B$14:$B$21,MATCH(I370,Parámetros!$A$14:$A$21,0))),Parámetros!$B$5))</f>
        <v/>
      </c>
      <c r="Q370" s="29" t="str">
        <f aca="false">IF(O370="","",(O370-P370)*100)</f>
        <v/>
      </c>
      <c r="R370" s="30" t="str">
        <f aca="false">IF(O370="","",MAX(0,M370*(P370-O370)))</f>
        <v/>
      </c>
      <c r="S370" s="31" t="str">
        <f aca="false">IF(OR(L370="",L370=0,N370=""),"",N370/1000/L370)</f>
        <v/>
      </c>
      <c r="T370" s="27"/>
      <c r="U370" s="27"/>
      <c r="V370" s="27"/>
      <c r="W370" s="27"/>
      <c r="X370" s="27"/>
      <c r="Y370" s="27"/>
      <c r="Z370" s="27"/>
      <c r="AA370" s="25"/>
      <c r="AB370" s="27"/>
      <c r="AC370" s="30" t="str">
        <f aca="false">IF(M370="","",IF(AB370="",M370*Parámetros!$B$6,AB370))</f>
        <v/>
      </c>
      <c r="AD370" s="30" t="str">
        <f aca="false">IF(M370="","",SUM(T370:Z370)+AC370)</f>
        <v/>
      </c>
      <c r="AE370" s="30" t="str">
        <f aca="false">IF(OR(M370="",N370=""),"",M370-N370)</f>
        <v/>
      </c>
      <c r="AF370" s="30" t="str">
        <f aca="false">IF(AE370="","",AE370-AD370)</f>
        <v/>
      </c>
      <c r="AG370" s="28" t="str">
        <f aca="false">IF(OR(AF370="",M370=0),"",AF370/M370)</f>
        <v/>
      </c>
      <c r="AH370" s="32" t="str">
        <f aca="false">IF(OR(AE370="",N370=0),"",AE370/(N370/1000))</f>
        <v/>
      </c>
      <c r="AI370" s="30" t="str">
        <f aca="false">IF(O370="","",M370*P370)</f>
        <v/>
      </c>
      <c r="AJ370" s="11" t="str">
        <f aca="false">IF(O370="","",IF(O370&gt;1,"Error: rend &gt; 100 %",IF(SUM(T370:Z370)=0,"Falta registrar pérdidas",IF(ABS(AG370)&gt;Parámetros!$B$7,"Revisar balance",IF(O370&lt;P370,"Bajo meta","OK")))))</f>
        <v/>
      </c>
      <c r="AK370" s="33"/>
      <c r="AL370" s="10"/>
      <c r="AM370" s="33"/>
      <c r="AN370" s="33"/>
      <c r="AO370" s="10"/>
    </row>
    <row r="371" customFormat="false" ht="15" hidden="false" customHeight="false" outlineLevel="0" collapsed="false">
      <c r="A371" s="22"/>
      <c r="B371" s="23" t="str">
        <f aca="false">IF(A371="","",YEAR(A371-WEEKDAY(A371,2)+4))</f>
        <v/>
      </c>
      <c r="C371" s="23" t="str">
        <f aca="false">IF(A371="","",WEEKNUM(A371,21))</f>
        <v/>
      </c>
      <c r="D371" s="24" t="str">
        <f aca="false">IF(A371="","",DATE(YEAR(A371),MONTH(A371),1))</f>
        <v/>
      </c>
      <c r="E371" s="10"/>
      <c r="F371" s="25"/>
      <c r="G371" s="25"/>
      <c r="H371" s="10"/>
      <c r="I371" s="10"/>
      <c r="J371" s="26"/>
      <c r="K371" s="25"/>
      <c r="L371" s="26"/>
      <c r="M371" s="27"/>
      <c r="N371" s="27"/>
      <c r="O371" s="28" t="str">
        <f aca="false">IF(OR(M371="",M371=0,N371=""),"",N371/M371)</f>
        <v/>
      </c>
      <c r="P371" s="28" t="str">
        <f aca="false">IF(M371="","",IFERROR(IF(INDEX(Parámetros!$B$14:$B$21,MATCH(I371,Parámetros!$A$14:$A$21,0))="",Parámetros!$B$5,INDEX(Parámetros!$B$14:$B$21,MATCH(I371,Parámetros!$A$14:$A$21,0))),Parámetros!$B$5))</f>
        <v/>
      </c>
      <c r="Q371" s="29" t="str">
        <f aca="false">IF(O371="","",(O371-P371)*100)</f>
        <v/>
      </c>
      <c r="R371" s="30" t="str">
        <f aca="false">IF(O371="","",MAX(0,M371*(P371-O371)))</f>
        <v/>
      </c>
      <c r="S371" s="31" t="str">
        <f aca="false">IF(OR(L371="",L371=0,N371=""),"",N371/1000/L371)</f>
        <v/>
      </c>
      <c r="T371" s="27"/>
      <c r="U371" s="27"/>
      <c r="V371" s="27"/>
      <c r="W371" s="27"/>
      <c r="X371" s="27"/>
      <c r="Y371" s="27"/>
      <c r="Z371" s="27"/>
      <c r="AA371" s="25"/>
      <c r="AB371" s="27"/>
      <c r="AC371" s="30" t="str">
        <f aca="false">IF(M371="","",IF(AB371="",M371*Parámetros!$B$6,AB371))</f>
        <v/>
      </c>
      <c r="AD371" s="30" t="str">
        <f aca="false">IF(M371="","",SUM(T371:Z371)+AC371)</f>
        <v/>
      </c>
      <c r="AE371" s="30" t="str">
        <f aca="false">IF(OR(M371="",N371=""),"",M371-N371)</f>
        <v/>
      </c>
      <c r="AF371" s="30" t="str">
        <f aca="false">IF(AE371="","",AE371-AD371)</f>
        <v/>
      </c>
      <c r="AG371" s="28" t="str">
        <f aca="false">IF(OR(AF371="",M371=0),"",AF371/M371)</f>
        <v/>
      </c>
      <c r="AH371" s="32" t="str">
        <f aca="false">IF(OR(AE371="",N371=0),"",AE371/(N371/1000))</f>
        <v/>
      </c>
      <c r="AI371" s="30" t="str">
        <f aca="false">IF(O371="","",M371*P371)</f>
        <v/>
      </c>
      <c r="AJ371" s="11" t="str">
        <f aca="false">IF(O371="","",IF(O371&gt;1,"Error: rend &gt; 100 %",IF(SUM(T371:Z371)=0,"Falta registrar pérdidas",IF(ABS(AG371)&gt;Parámetros!$B$7,"Revisar balance",IF(O371&lt;P371,"Bajo meta","OK")))))</f>
        <v/>
      </c>
      <c r="AK371" s="33"/>
      <c r="AL371" s="10"/>
      <c r="AM371" s="33"/>
      <c r="AN371" s="33"/>
      <c r="AO371" s="10"/>
    </row>
    <row r="372" customFormat="false" ht="15" hidden="false" customHeight="false" outlineLevel="0" collapsed="false">
      <c r="A372" s="22"/>
      <c r="B372" s="23" t="str">
        <f aca="false">IF(A372="","",YEAR(A372-WEEKDAY(A372,2)+4))</f>
        <v/>
      </c>
      <c r="C372" s="23" t="str">
        <f aca="false">IF(A372="","",WEEKNUM(A372,21))</f>
        <v/>
      </c>
      <c r="D372" s="24" t="str">
        <f aca="false">IF(A372="","",DATE(YEAR(A372),MONTH(A372),1))</f>
        <v/>
      </c>
      <c r="E372" s="10"/>
      <c r="F372" s="25"/>
      <c r="G372" s="25"/>
      <c r="H372" s="10"/>
      <c r="I372" s="10"/>
      <c r="J372" s="26"/>
      <c r="K372" s="25"/>
      <c r="L372" s="26"/>
      <c r="M372" s="27"/>
      <c r="N372" s="27"/>
      <c r="O372" s="28" t="str">
        <f aca="false">IF(OR(M372="",M372=0,N372=""),"",N372/M372)</f>
        <v/>
      </c>
      <c r="P372" s="28" t="str">
        <f aca="false">IF(M372="","",IFERROR(IF(INDEX(Parámetros!$B$14:$B$21,MATCH(I372,Parámetros!$A$14:$A$21,0))="",Parámetros!$B$5,INDEX(Parámetros!$B$14:$B$21,MATCH(I372,Parámetros!$A$14:$A$21,0))),Parámetros!$B$5))</f>
        <v/>
      </c>
      <c r="Q372" s="29" t="str">
        <f aca="false">IF(O372="","",(O372-P372)*100)</f>
        <v/>
      </c>
      <c r="R372" s="30" t="str">
        <f aca="false">IF(O372="","",MAX(0,M372*(P372-O372)))</f>
        <v/>
      </c>
      <c r="S372" s="31" t="str">
        <f aca="false">IF(OR(L372="",L372=0,N372=""),"",N372/1000/L372)</f>
        <v/>
      </c>
      <c r="T372" s="27"/>
      <c r="U372" s="27"/>
      <c r="V372" s="27"/>
      <c r="W372" s="27"/>
      <c r="X372" s="27"/>
      <c r="Y372" s="27"/>
      <c r="Z372" s="27"/>
      <c r="AA372" s="25"/>
      <c r="AB372" s="27"/>
      <c r="AC372" s="30" t="str">
        <f aca="false">IF(M372="","",IF(AB372="",M372*Parámetros!$B$6,AB372))</f>
        <v/>
      </c>
      <c r="AD372" s="30" t="str">
        <f aca="false">IF(M372="","",SUM(T372:Z372)+AC372)</f>
        <v/>
      </c>
      <c r="AE372" s="30" t="str">
        <f aca="false">IF(OR(M372="",N372=""),"",M372-N372)</f>
        <v/>
      </c>
      <c r="AF372" s="30" t="str">
        <f aca="false">IF(AE372="","",AE372-AD372)</f>
        <v/>
      </c>
      <c r="AG372" s="28" t="str">
        <f aca="false">IF(OR(AF372="",M372=0),"",AF372/M372)</f>
        <v/>
      </c>
      <c r="AH372" s="32" t="str">
        <f aca="false">IF(OR(AE372="",N372=0),"",AE372/(N372/1000))</f>
        <v/>
      </c>
      <c r="AI372" s="30" t="str">
        <f aca="false">IF(O372="","",M372*P372)</f>
        <v/>
      </c>
      <c r="AJ372" s="11" t="str">
        <f aca="false">IF(O372="","",IF(O372&gt;1,"Error: rend &gt; 100 %",IF(SUM(T372:Z372)=0,"Falta registrar pérdidas",IF(ABS(AG372)&gt;Parámetros!$B$7,"Revisar balance",IF(O372&lt;P372,"Bajo meta","OK")))))</f>
        <v/>
      </c>
      <c r="AK372" s="33"/>
      <c r="AL372" s="10"/>
      <c r="AM372" s="33"/>
      <c r="AN372" s="33"/>
      <c r="AO372" s="10"/>
    </row>
    <row r="373" customFormat="false" ht="15" hidden="false" customHeight="false" outlineLevel="0" collapsed="false">
      <c r="A373" s="22"/>
      <c r="B373" s="23" t="str">
        <f aca="false">IF(A373="","",YEAR(A373-WEEKDAY(A373,2)+4))</f>
        <v/>
      </c>
      <c r="C373" s="23" t="str">
        <f aca="false">IF(A373="","",WEEKNUM(A373,21))</f>
        <v/>
      </c>
      <c r="D373" s="24" t="str">
        <f aca="false">IF(A373="","",DATE(YEAR(A373),MONTH(A373),1))</f>
        <v/>
      </c>
      <c r="E373" s="10"/>
      <c r="F373" s="25"/>
      <c r="G373" s="25"/>
      <c r="H373" s="10"/>
      <c r="I373" s="10"/>
      <c r="J373" s="26"/>
      <c r="K373" s="25"/>
      <c r="L373" s="26"/>
      <c r="M373" s="27"/>
      <c r="N373" s="27"/>
      <c r="O373" s="28" t="str">
        <f aca="false">IF(OR(M373="",M373=0,N373=""),"",N373/M373)</f>
        <v/>
      </c>
      <c r="P373" s="28" t="str">
        <f aca="false">IF(M373="","",IFERROR(IF(INDEX(Parámetros!$B$14:$B$21,MATCH(I373,Parámetros!$A$14:$A$21,0))="",Parámetros!$B$5,INDEX(Parámetros!$B$14:$B$21,MATCH(I373,Parámetros!$A$14:$A$21,0))),Parámetros!$B$5))</f>
        <v/>
      </c>
      <c r="Q373" s="29" t="str">
        <f aca="false">IF(O373="","",(O373-P373)*100)</f>
        <v/>
      </c>
      <c r="R373" s="30" t="str">
        <f aca="false">IF(O373="","",MAX(0,M373*(P373-O373)))</f>
        <v/>
      </c>
      <c r="S373" s="31" t="str">
        <f aca="false">IF(OR(L373="",L373=0,N373=""),"",N373/1000/L373)</f>
        <v/>
      </c>
      <c r="T373" s="27"/>
      <c r="U373" s="27"/>
      <c r="V373" s="27"/>
      <c r="W373" s="27"/>
      <c r="X373" s="27"/>
      <c r="Y373" s="27"/>
      <c r="Z373" s="27"/>
      <c r="AA373" s="25"/>
      <c r="AB373" s="27"/>
      <c r="AC373" s="30" t="str">
        <f aca="false">IF(M373="","",IF(AB373="",M373*Parámetros!$B$6,AB373))</f>
        <v/>
      </c>
      <c r="AD373" s="30" t="str">
        <f aca="false">IF(M373="","",SUM(T373:Z373)+AC373)</f>
        <v/>
      </c>
      <c r="AE373" s="30" t="str">
        <f aca="false">IF(OR(M373="",N373=""),"",M373-N373)</f>
        <v/>
      </c>
      <c r="AF373" s="30" t="str">
        <f aca="false">IF(AE373="","",AE373-AD373)</f>
        <v/>
      </c>
      <c r="AG373" s="28" t="str">
        <f aca="false">IF(OR(AF373="",M373=0),"",AF373/M373)</f>
        <v/>
      </c>
      <c r="AH373" s="32" t="str">
        <f aca="false">IF(OR(AE373="",N373=0),"",AE373/(N373/1000))</f>
        <v/>
      </c>
      <c r="AI373" s="30" t="str">
        <f aca="false">IF(O373="","",M373*P373)</f>
        <v/>
      </c>
      <c r="AJ373" s="11" t="str">
        <f aca="false">IF(O373="","",IF(O373&gt;1,"Error: rend &gt; 100 %",IF(SUM(T373:Z373)=0,"Falta registrar pérdidas",IF(ABS(AG373)&gt;Parámetros!$B$7,"Revisar balance",IF(O373&lt;P373,"Bajo meta","OK")))))</f>
        <v/>
      </c>
      <c r="AK373" s="33"/>
      <c r="AL373" s="10"/>
      <c r="AM373" s="33"/>
      <c r="AN373" s="33"/>
      <c r="AO373" s="10"/>
    </row>
    <row r="374" customFormat="false" ht="15" hidden="false" customHeight="false" outlineLevel="0" collapsed="false">
      <c r="A374" s="22"/>
      <c r="B374" s="23" t="str">
        <f aca="false">IF(A374="","",YEAR(A374-WEEKDAY(A374,2)+4))</f>
        <v/>
      </c>
      <c r="C374" s="23" t="str">
        <f aca="false">IF(A374="","",WEEKNUM(A374,21))</f>
        <v/>
      </c>
      <c r="D374" s="24" t="str">
        <f aca="false">IF(A374="","",DATE(YEAR(A374),MONTH(A374),1))</f>
        <v/>
      </c>
      <c r="E374" s="10"/>
      <c r="F374" s="25"/>
      <c r="G374" s="25"/>
      <c r="H374" s="10"/>
      <c r="I374" s="10"/>
      <c r="J374" s="26"/>
      <c r="K374" s="25"/>
      <c r="L374" s="26"/>
      <c r="M374" s="27"/>
      <c r="N374" s="27"/>
      <c r="O374" s="28" t="str">
        <f aca="false">IF(OR(M374="",M374=0,N374=""),"",N374/M374)</f>
        <v/>
      </c>
      <c r="P374" s="28" t="str">
        <f aca="false">IF(M374="","",IFERROR(IF(INDEX(Parámetros!$B$14:$B$21,MATCH(I374,Parámetros!$A$14:$A$21,0))="",Parámetros!$B$5,INDEX(Parámetros!$B$14:$B$21,MATCH(I374,Parámetros!$A$14:$A$21,0))),Parámetros!$B$5))</f>
        <v/>
      </c>
      <c r="Q374" s="29" t="str">
        <f aca="false">IF(O374="","",(O374-P374)*100)</f>
        <v/>
      </c>
      <c r="R374" s="30" t="str">
        <f aca="false">IF(O374="","",MAX(0,M374*(P374-O374)))</f>
        <v/>
      </c>
      <c r="S374" s="31" t="str">
        <f aca="false">IF(OR(L374="",L374=0,N374=""),"",N374/1000/L374)</f>
        <v/>
      </c>
      <c r="T374" s="27"/>
      <c r="U374" s="27"/>
      <c r="V374" s="27"/>
      <c r="W374" s="27"/>
      <c r="X374" s="27"/>
      <c r="Y374" s="27"/>
      <c r="Z374" s="27"/>
      <c r="AA374" s="25"/>
      <c r="AB374" s="27"/>
      <c r="AC374" s="30" t="str">
        <f aca="false">IF(M374="","",IF(AB374="",M374*Parámetros!$B$6,AB374))</f>
        <v/>
      </c>
      <c r="AD374" s="30" t="str">
        <f aca="false">IF(M374="","",SUM(T374:Z374)+AC374)</f>
        <v/>
      </c>
      <c r="AE374" s="30" t="str">
        <f aca="false">IF(OR(M374="",N374=""),"",M374-N374)</f>
        <v/>
      </c>
      <c r="AF374" s="30" t="str">
        <f aca="false">IF(AE374="","",AE374-AD374)</f>
        <v/>
      </c>
      <c r="AG374" s="28" t="str">
        <f aca="false">IF(OR(AF374="",M374=0),"",AF374/M374)</f>
        <v/>
      </c>
      <c r="AH374" s="32" t="str">
        <f aca="false">IF(OR(AE374="",N374=0),"",AE374/(N374/1000))</f>
        <v/>
      </c>
      <c r="AI374" s="30" t="str">
        <f aca="false">IF(O374="","",M374*P374)</f>
        <v/>
      </c>
      <c r="AJ374" s="11" t="str">
        <f aca="false">IF(O374="","",IF(O374&gt;1,"Error: rend &gt; 100 %",IF(SUM(T374:Z374)=0,"Falta registrar pérdidas",IF(ABS(AG374)&gt;Parámetros!$B$7,"Revisar balance",IF(O374&lt;P374,"Bajo meta","OK")))))</f>
        <v/>
      </c>
      <c r="AK374" s="33"/>
      <c r="AL374" s="10"/>
      <c r="AM374" s="33"/>
      <c r="AN374" s="33"/>
      <c r="AO374" s="10"/>
    </row>
    <row r="375" customFormat="false" ht="15" hidden="false" customHeight="false" outlineLevel="0" collapsed="false">
      <c r="A375" s="22"/>
      <c r="B375" s="23" t="str">
        <f aca="false">IF(A375="","",YEAR(A375-WEEKDAY(A375,2)+4))</f>
        <v/>
      </c>
      <c r="C375" s="23" t="str">
        <f aca="false">IF(A375="","",WEEKNUM(A375,21))</f>
        <v/>
      </c>
      <c r="D375" s="24" t="str">
        <f aca="false">IF(A375="","",DATE(YEAR(A375),MONTH(A375),1))</f>
        <v/>
      </c>
      <c r="E375" s="10"/>
      <c r="F375" s="25"/>
      <c r="G375" s="25"/>
      <c r="H375" s="10"/>
      <c r="I375" s="10"/>
      <c r="J375" s="26"/>
      <c r="K375" s="25"/>
      <c r="L375" s="26"/>
      <c r="M375" s="27"/>
      <c r="N375" s="27"/>
      <c r="O375" s="28" t="str">
        <f aca="false">IF(OR(M375="",M375=0,N375=""),"",N375/M375)</f>
        <v/>
      </c>
      <c r="P375" s="28" t="str">
        <f aca="false">IF(M375="","",IFERROR(IF(INDEX(Parámetros!$B$14:$B$21,MATCH(I375,Parámetros!$A$14:$A$21,0))="",Parámetros!$B$5,INDEX(Parámetros!$B$14:$B$21,MATCH(I375,Parámetros!$A$14:$A$21,0))),Parámetros!$B$5))</f>
        <v/>
      </c>
      <c r="Q375" s="29" t="str">
        <f aca="false">IF(O375="","",(O375-P375)*100)</f>
        <v/>
      </c>
      <c r="R375" s="30" t="str">
        <f aca="false">IF(O375="","",MAX(0,M375*(P375-O375)))</f>
        <v/>
      </c>
      <c r="S375" s="31" t="str">
        <f aca="false">IF(OR(L375="",L375=0,N375=""),"",N375/1000/L375)</f>
        <v/>
      </c>
      <c r="T375" s="27"/>
      <c r="U375" s="27"/>
      <c r="V375" s="27"/>
      <c r="W375" s="27"/>
      <c r="X375" s="27"/>
      <c r="Y375" s="27"/>
      <c r="Z375" s="27"/>
      <c r="AA375" s="25"/>
      <c r="AB375" s="27"/>
      <c r="AC375" s="30" t="str">
        <f aca="false">IF(M375="","",IF(AB375="",M375*Parámetros!$B$6,AB375))</f>
        <v/>
      </c>
      <c r="AD375" s="30" t="str">
        <f aca="false">IF(M375="","",SUM(T375:Z375)+AC375)</f>
        <v/>
      </c>
      <c r="AE375" s="30" t="str">
        <f aca="false">IF(OR(M375="",N375=""),"",M375-N375)</f>
        <v/>
      </c>
      <c r="AF375" s="30" t="str">
        <f aca="false">IF(AE375="","",AE375-AD375)</f>
        <v/>
      </c>
      <c r="AG375" s="28" t="str">
        <f aca="false">IF(OR(AF375="",M375=0),"",AF375/M375)</f>
        <v/>
      </c>
      <c r="AH375" s="32" t="str">
        <f aca="false">IF(OR(AE375="",N375=0),"",AE375/(N375/1000))</f>
        <v/>
      </c>
      <c r="AI375" s="30" t="str">
        <f aca="false">IF(O375="","",M375*P375)</f>
        <v/>
      </c>
      <c r="AJ375" s="11" t="str">
        <f aca="false">IF(O375="","",IF(O375&gt;1,"Error: rend &gt; 100 %",IF(SUM(T375:Z375)=0,"Falta registrar pérdidas",IF(ABS(AG375)&gt;Parámetros!$B$7,"Revisar balance",IF(O375&lt;P375,"Bajo meta","OK")))))</f>
        <v/>
      </c>
      <c r="AK375" s="33"/>
      <c r="AL375" s="10"/>
      <c r="AM375" s="33"/>
      <c r="AN375" s="33"/>
      <c r="AO375" s="10"/>
    </row>
    <row r="376" customFormat="false" ht="15" hidden="false" customHeight="false" outlineLevel="0" collapsed="false">
      <c r="A376" s="22"/>
      <c r="B376" s="23" t="str">
        <f aca="false">IF(A376="","",YEAR(A376-WEEKDAY(A376,2)+4))</f>
        <v/>
      </c>
      <c r="C376" s="23" t="str">
        <f aca="false">IF(A376="","",WEEKNUM(A376,21))</f>
        <v/>
      </c>
      <c r="D376" s="24" t="str">
        <f aca="false">IF(A376="","",DATE(YEAR(A376),MONTH(A376),1))</f>
        <v/>
      </c>
      <c r="E376" s="10"/>
      <c r="F376" s="25"/>
      <c r="G376" s="25"/>
      <c r="H376" s="10"/>
      <c r="I376" s="10"/>
      <c r="J376" s="26"/>
      <c r="K376" s="25"/>
      <c r="L376" s="26"/>
      <c r="M376" s="27"/>
      <c r="N376" s="27"/>
      <c r="O376" s="28" t="str">
        <f aca="false">IF(OR(M376="",M376=0,N376=""),"",N376/M376)</f>
        <v/>
      </c>
      <c r="P376" s="28" t="str">
        <f aca="false">IF(M376="","",IFERROR(IF(INDEX(Parámetros!$B$14:$B$21,MATCH(I376,Parámetros!$A$14:$A$21,0))="",Parámetros!$B$5,INDEX(Parámetros!$B$14:$B$21,MATCH(I376,Parámetros!$A$14:$A$21,0))),Parámetros!$B$5))</f>
        <v/>
      </c>
      <c r="Q376" s="29" t="str">
        <f aca="false">IF(O376="","",(O376-P376)*100)</f>
        <v/>
      </c>
      <c r="R376" s="30" t="str">
        <f aca="false">IF(O376="","",MAX(0,M376*(P376-O376)))</f>
        <v/>
      </c>
      <c r="S376" s="31" t="str">
        <f aca="false">IF(OR(L376="",L376=0,N376=""),"",N376/1000/L376)</f>
        <v/>
      </c>
      <c r="T376" s="27"/>
      <c r="U376" s="27"/>
      <c r="V376" s="27"/>
      <c r="W376" s="27"/>
      <c r="X376" s="27"/>
      <c r="Y376" s="27"/>
      <c r="Z376" s="27"/>
      <c r="AA376" s="25"/>
      <c r="AB376" s="27"/>
      <c r="AC376" s="30" t="str">
        <f aca="false">IF(M376="","",IF(AB376="",M376*Parámetros!$B$6,AB376))</f>
        <v/>
      </c>
      <c r="AD376" s="30" t="str">
        <f aca="false">IF(M376="","",SUM(T376:Z376)+AC376)</f>
        <v/>
      </c>
      <c r="AE376" s="30" t="str">
        <f aca="false">IF(OR(M376="",N376=""),"",M376-N376)</f>
        <v/>
      </c>
      <c r="AF376" s="30" t="str">
        <f aca="false">IF(AE376="","",AE376-AD376)</f>
        <v/>
      </c>
      <c r="AG376" s="28" t="str">
        <f aca="false">IF(OR(AF376="",M376=0),"",AF376/M376)</f>
        <v/>
      </c>
      <c r="AH376" s="32" t="str">
        <f aca="false">IF(OR(AE376="",N376=0),"",AE376/(N376/1000))</f>
        <v/>
      </c>
      <c r="AI376" s="30" t="str">
        <f aca="false">IF(O376="","",M376*P376)</f>
        <v/>
      </c>
      <c r="AJ376" s="11" t="str">
        <f aca="false">IF(O376="","",IF(O376&gt;1,"Error: rend &gt; 100 %",IF(SUM(T376:Z376)=0,"Falta registrar pérdidas",IF(ABS(AG376)&gt;Parámetros!$B$7,"Revisar balance",IF(O376&lt;P376,"Bajo meta","OK")))))</f>
        <v/>
      </c>
      <c r="AK376" s="33"/>
      <c r="AL376" s="10"/>
      <c r="AM376" s="33"/>
      <c r="AN376" s="33"/>
      <c r="AO376" s="10"/>
    </row>
    <row r="377" customFormat="false" ht="15" hidden="false" customHeight="false" outlineLevel="0" collapsed="false">
      <c r="A377" s="22"/>
      <c r="B377" s="23" t="str">
        <f aca="false">IF(A377="","",YEAR(A377-WEEKDAY(A377,2)+4))</f>
        <v/>
      </c>
      <c r="C377" s="23" t="str">
        <f aca="false">IF(A377="","",WEEKNUM(A377,21))</f>
        <v/>
      </c>
      <c r="D377" s="24" t="str">
        <f aca="false">IF(A377="","",DATE(YEAR(A377),MONTH(A377),1))</f>
        <v/>
      </c>
      <c r="E377" s="10"/>
      <c r="F377" s="25"/>
      <c r="G377" s="25"/>
      <c r="H377" s="10"/>
      <c r="I377" s="10"/>
      <c r="J377" s="26"/>
      <c r="K377" s="25"/>
      <c r="L377" s="26"/>
      <c r="M377" s="27"/>
      <c r="N377" s="27"/>
      <c r="O377" s="28" t="str">
        <f aca="false">IF(OR(M377="",M377=0,N377=""),"",N377/M377)</f>
        <v/>
      </c>
      <c r="P377" s="28" t="str">
        <f aca="false">IF(M377="","",IFERROR(IF(INDEX(Parámetros!$B$14:$B$21,MATCH(I377,Parámetros!$A$14:$A$21,0))="",Parámetros!$B$5,INDEX(Parámetros!$B$14:$B$21,MATCH(I377,Parámetros!$A$14:$A$21,0))),Parámetros!$B$5))</f>
        <v/>
      </c>
      <c r="Q377" s="29" t="str">
        <f aca="false">IF(O377="","",(O377-P377)*100)</f>
        <v/>
      </c>
      <c r="R377" s="30" t="str">
        <f aca="false">IF(O377="","",MAX(0,M377*(P377-O377)))</f>
        <v/>
      </c>
      <c r="S377" s="31" t="str">
        <f aca="false">IF(OR(L377="",L377=0,N377=""),"",N377/1000/L377)</f>
        <v/>
      </c>
      <c r="T377" s="27"/>
      <c r="U377" s="27"/>
      <c r="V377" s="27"/>
      <c r="W377" s="27"/>
      <c r="X377" s="27"/>
      <c r="Y377" s="27"/>
      <c r="Z377" s="27"/>
      <c r="AA377" s="25"/>
      <c r="AB377" s="27"/>
      <c r="AC377" s="30" t="str">
        <f aca="false">IF(M377="","",IF(AB377="",M377*Parámetros!$B$6,AB377))</f>
        <v/>
      </c>
      <c r="AD377" s="30" t="str">
        <f aca="false">IF(M377="","",SUM(T377:Z377)+AC377)</f>
        <v/>
      </c>
      <c r="AE377" s="30" t="str">
        <f aca="false">IF(OR(M377="",N377=""),"",M377-N377)</f>
        <v/>
      </c>
      <c r="AF377" s="30" t="str">
        <f aca="false">IF(AE377="","",AE377-AD377)</f>
        <v/>
      </c>
      <c r="AG377" s="28" t="str">
        <f aca="false">IF(OR(AF377="",M377=0),"",AF377/M377)</f>
        <v/>
      </c>
      <c r="AH377" s="32" t="str">
        <f aca="false">IF(OR(AE377="",N377=0),"",AE377/(N377/1000))</f>
        <v/>
      </c>
      <c r="AI377" s="30" t="str">
        <f aca="false">IF(O377="","",M377*P377)</f>
        <v/>
      </c>
      <c r="AJ377" s="11" t="str">
        <f aca="false">IF(O377="","",IF(O377&gt;1,"Error: rend &gt; 100 %",IF(SUM(T377:Z377)=0,"Falta registrar pérdidas",IF(ABS(AG377)&gt;Parámetros!$B$7,"Revisar balance",IF(O377&lt;P377,"Bajo meta","OK")))))</f>
        <v/>
      </c>
      <c r="AK377" s="33"/>
      <c r="AL377" s="10"/>
      <c r="AM377" s="33"/>
      <c r="AN377" s="33"/>
      <c r="AO377" s="10"/>
    </row>
    <row r="378" customFormat="false" ht="15" hidden="false" customHeight="false" outlineLevel="0" collapsed="false">
      <c r="A378" s="22"/>
      <c r="B378" s="23" t="str">
        <f aca="false">IF(A378="","",YEAR(A378-WEEKDAY(A378,2)+4))</f>
        <v/>
      </c>
      <c r="C378" s="23" t="str">
        <f aca="false">IF(A378="","",WEEKNUM(A378,21))</f>
        <v/>
      </c>
      <c r="D378" s="24" t="str">
        <f aca="false">IF(A378="","",DATE(YEAR(A378),MONTH(A378),1))</f>
        <v/>
      </c>
      <c r="E378" s="10"/>
      <c r="F378" s="25"/>
      <c r="G378" s="25"/>
      <c r="H378" s="10"/>
      <c r="I378" s="10"/>
      <c r="J378" s="26"/>
      <c r="K378" s="25"/>
      <c r="L378" s="26"/>
      <c r="M378" s="27"/>
      <c r="N378" s="27"/>
      <c r="O378" s="28" t="str">
        <f aca="false">IF(OR(M378="",M378=0,N378=""),"",N378/M378)</f>
        <v/>
      </c>
      <c r="P378" s="28" t="str">
        <f aca="false">IF(M378="","",IFERROR(IF(INDEX(Parámetros!$B$14:$B$21,MATCH(I378,Parámetros!$A$14:$A$21,0))="",Parámetros!$B$5,INDEX(Parámetros!$B$14:$B$21,MATCH(I378,Parámetros!$A$14:$A$21,0))),Parámetros!$B$5))</f>
        <v/>
      </c>
      <c r="Q378" s="29" t="str">
        <f aca="false">IF(O378="","",(O378-P378)*100)</f>
        <v/>
      </c>
      <c r="R378" s="30" t="str">
        <f aca="false">IF(O378="","",MAX(0,M378*(P378-O378)))</f>
        <v/>
      </c>
      <c r="S378" s="31" t="str">
        <f aca="false">IF(OR(L378="",L378=0,N378=""),"",N378/1000/L378)</f>
        <v/>
      </c>
      <c r="T378" s="27"/>
      <c r="U378" s="27"/>
      <c r="V378" s="27"/>
      <c r="W378" s="27"/>
      <c r="X378" s="27"/>
      <c r="Y378" s="27"/>
      <c r="Z378" s="27"/>
      <c r="AA378" s="25"/>
      <c r="AB378" s="27"/>
      <c r="AC378" s="30" t="str">
        <f aca="false">IF(M378="","",IF(AB378="",M378*Parámetros!$B$6,AB378))</f>
        <v/>
      </c>
      <c r="AD378" s="30" t="str">
        <f aca="false">IF(M378="","",SUM(T378:Z378)+AC378)</f>
        <v/>
      </c>
      <c r="AE378" s="30" t="str">
        <f aca="false">IF(OR(M378="",N378=""),"",M378-N378)</f>
        <v/>
      </c>
      <c r="AF378" s="30" t="str">
        <f aca="false">IF(AE378="","",AE378-AD378)</f>
        <v/>
      </c>
      <c r="AG378" s="28" t="str">
        <f aca="false">IF(OR(AF378="",M378=0),"",AF378/M378)</f>
        <v/>
      </c>
      <c r="AH378" s="32" t="str">
        <f aca="false">IF(OR(AE378="",N378=0),"",AE378/(N378/1000))</f>
        <v/>
      </c>
      <c r="AI378" s="30" t="str">
        <f aca="false">IF(O378="","",M378*P378)</f>
        <v/>
      </c>
      <c r="AJ378" s="11" t="str">
        <f aca="false">IF(O378="","",IF(O378&gt;1,"Error: rend &gt; 100 %",IF(SUM(T378:Z378)=0,"Falta registrar pérdidas",IF(ABS(AG378)&gt;Parámetros!$B$7,"Revisar balance",IF(O378&lt;P378,"Bajo meta","OK")))))</f>
        <v/>
      </c>
      <c r="AK378" s="33"/>
      <c r="AL378" s="10"/>
      <c r="AM378" s="33"/>
      <c r="AN378" s="33"/>
      <c r="AO378" s="10"/>
    </row>
    <row r="379" customFormat="false" ht="15" hidden="false" customHeight="false" outlineLevel="0" collapsed="false">
      <c r="A379" s="22"/>
      <c r="B379" s="23" t="str">
        <f aca="false">IF(A379="","",YEAR(A379-WEEKDAY(A379,2)+4))</f>
        <v/>
      </c>
      <c r="C379" s="23" t="str">
        <f aca="false">IF(A379="","",WEEKNUM(A379,21))</f>
        <v/>
      </c>
      <c r="D379" s="24" t="str">
        <f aca="false">IF(A379="","",DATE(YEAR(A379),MONTH(A379),1))</f>
        <v/>
      </c>
      <c r="E379" s="10"/>
      <c r="F379" s="25"/>
      <c r="G379" s="25"/>
      <c r="H379" s="10"/>
      <c r="I379" s="10"/>
      <c r="J379" s="26"/>
      <c r="K379" s="25"/>
      <c r="L379" s="26"/>
      <c r="M379" s="27"/>
      <c r="N379" s="27"/>
      <c r="O379" s="28" t="str">
        <f aca="false">IF(OR(M379="",M379=0,N379=""),"",N379/M379)</f>
        <v/>
      </c>
      <c r="P379" s="28" t="str">
        <f aca="false">IF(M379="","",IFERROR(IF(INDEX(Parámetros!$B$14:$B$21,MATCH(I379,Parámetros!$A$14:$A$21,0))="",Parámetros!$B$5,INDEX(Parámetros!$B$14:$B$21,MATCH(I379,Parámetros!$A$14:$A$21,0))),Parámetros!$B$5))</f>
        <v/>
      </c>
      <c r="Q379" s="29" t="str">
        <f aca="false">IF(O379="","",(O379-P379)*100)</f>
        <v/>
      </c>
      <c r="R379" s="30" t="str">
        <f aca="false">IF(O379="","",MAX(0,M379*(P379-O379)))</f>
        <v/>
      </c>
      <c r="S379" s="31" t="str">
        <f aca="false">IF(OR(L379="",L379=0,N379=""),"",N379/1000/L379)</f>
        <v/>
      </c>
      <c r="T379" s="27"/>
      <c r="U379" s="27"/>
      <c r="V379" s="27"/>
      <c r="W379" s="27"/>
      <c r="X379" s="27"/>
      <c r="Y379" s="27"/>
      <c r="Z379" s="27"/>
      <c r="AA379" s="25"/>
      <c r="AB379" s="27"/>
      <c r="AC379" s="30" t="str">
        <f aca="false">IF(M379="","",IF(AB379="",M379*Parámetros!$B$6,AB379))</f>
        <v/>
      </c>
      <c r="AD379" s="30" t="str">
        <f aca="false">IF(M379="","",SUM(T379:Z379)+AC379)</f>
        <v/>
      </c>
      <c r="AE379" s="30" t="str">
        <f aca="false">IF(OR(M379="",N379=""),"",M379-N379)</f>
        <v/>
      </c>
      <c r="AF379" s="30" t="str">
        <f aca="false">IF(AE379="","",AE379-AD379)</f>
        <v/>
      </c>
      <c r="AG379" s="28" t="str">
        <f aca="false">IF(OR(AF379="",M379=0),"",AF379/M379)</f>
        <v/>
      </c>
      <c r="AH379" s="32" t="str">
        <f aca="false">IF(OR(AE379="",N379=0),"",AE379/(N379/1000))</f>
        <v/>
      </c>
      <c r="AI379" s="30" t="str">
        <f aca="false">IF(O379="","",M379*P379)</f>
        <v/>
      </c>
      <c r="AJ379" s="11" t="str">
        <f aca="false">IF(O379="","",IF(O379&gt;1,"Error: rend &gt; 100 %",IF(SUM(T379:Z379)=0,"Falta registrar pérdidas",IF(ABS(AG379)&gt;Parámetros!$B$7,"Revisar balance",IF(O379&lt;P379,"Bajo meta","OK")))))</f>
        <v/>
      </c>
      <c r="AK379" s="33"/>
      <c r="AL379" s="10"/>
      <c r="AM379" s="33"/>
      <c r="AN379" s="33"/>
      <c r="AO379" s="10"/>
    </row>
    <row r="380" customFormat="false" ht="15" hidden="false" customHeight="false" outlineLevel="0" collapsed="false">
      <c r="A380" s="22"/>
      <c r="B380" s="23" t="str">
        <f aca="false">IF(A380="","",YEAR(A380-WEEKDAY(A380,2)+4))</f>
        <v/>
      </c>
      <c r="C380" s="23" t="str">
        <f aca="false">IF(A380="","",WEEKNUM(A380,21))</f>
        <v/>
      </c>
      <c r="D380" s="24" t="str">
        <f aca="false">IF(A380="","",DATE(YEAR(A380),MONTH(A380),1))</f>
        <v/>
      </c>
      <c r="E380" s="10"/>
      <c r="F380" s="25"/>
      <c r="G380" s="25"/>
      <c r="H380" s="10"/>
      <c r="I380" s="10"/>
      <c r="J380" s="26"/>
      <c r="K380" s="25"/>
      <c r="L380" s="26"/>
      <c r="M380" s="27"/>
      <c r="N380" s="27"/>
      <c r="O380" s="28" t="str">
        <f aca="false">IF(OR(M380="",M380=0,N380=""),"",N380/M380)</f>
        <v/>
      </c>
      <c r="P380" s="28" t="str">
        <f aca="false">IF(M380="","",IFERROR(IF(INDEX(Parámetros!$B$14:$B$21,MATCH(I380,Parámetros!$A$14:$A$21,0))="",Parámetros!$B$5,INDEX(Parámetros!$B$14:$B$21,MATCH(I380,Parámetros!$A$14:$A$21,0))),Parámetros!$B$5))</f>
        <v/>
      </c>
      <c r="Q380" s="29" t="str">
        <f aca="false">IF(O380="","",(O380-P380)*100)</f>
        <v/>
      </c>
      <c r="R380" s="30" t="str">
        <f aca="false">IF(O380="","",MAX(0,M380*(P380-O380)))</f>
        <v/>
      </c>
      <c r="S380" s="31" t="str">
        <f aca="false">IF(OR(L380="",L380=0,N380=""),"",N380/1000/L380)</f>
        <v/>
      </c>
      <c r="T380" s="27"/>
      <c r="U380" s="27"/>
      <c r="V380" s="27"/>
      <c r="W380" s="27"/>
      <c r="X380" s="27"/>
      <c r="Y380" s="27"/>
      <c r="Z380" s="27"/>
      <c r="AA380" s="25"/>
      <c r="AB380" s="27"/>
      <c r="AC380" s="30" t="str">
        <f aca="false">IF(M380="","",IF(AB380="",M380*Parámetros!$B$6,AB380))</f>
        <v/>
      </c>
      <c r="AD380" s="30" t="str">
        <f aca="false">IF(M380="","",SUM(T380:Z380)+AC380)</f>
        <v/>
      </c>
      <c r="AE380" s="30" t="str">
        <f aca="false">IF(OR(M380="",N380=""),"",M380-N380)</f>
        <v/>
      </c>
      <c r="AF380" s="30" t="str">
        <f aca="false">IF(AE380="","",AE380-AD380)</f>
        <v/>
      </c>
      <c r="AG380" s="28" t="str">
        <f aca="false">IF(OR(AF380="",M380=0),"",AF380/M380)</f>
        <v/>
      </c>
      <c r="AH380" s="32" t="str">
        <f aca="false">IF(OR(AE380="",N380=0),"",AE380/(N380/1000))</f>
        <v/>
      </c>
      <c r="AI380" s="30" t="str">
        <f aca="false">IF(O380="","",M380*P380)</f>
        <v/>
      </c>
      <c r="AJ380" s="11" t="str">
        <f aca="false">IF(O380="","",IF(O380&gt;1,"Error: rend &gt; 100 %",IF(SUM(T380:Z380)=0,"Falta registrar pérdidas",IF(ABS(AG380)&gt;Parámetros!$B$7,"Revisar balance",IF(O380&lt;P380,"Bajo meta","OK")))))</f>
        <v/>
      </c>
      <c r="AK380" s="33"/>
      <c r="AL380" s="10"/>
      <c r="AM380" s="33"/>
      <c r="AN380" s="33"/>
      <c r="AO380" s="10"/>
    </row>
    <row r="381" customFormat="false" ht="15" hidden="false" customHeight="false" outlineLevel="0" collapsed="false">
      <c r="A381" s="22"/>
      <c r="B381" s="23" t="str">
        <f aca="false">IF(A381="","",YEAR(A381-WEEKDAY(A381,2)+4))</f>
        <v/>
      </c>
      <c r="C381" s="23" t="str">
        <f aca="false">IF(A381="","",WEEKNUM(A381,21))</f>
        <v/>
      </c>
      <c r="D381" s="24" t="str">
        <f aca="false">IF(A381="","",DATE(YEAR(A381),MONTH(A381),1))</f>
        <v/>
      </c>
      <c r="E381" s="10"/>
      <c r="F381" s="25"/>
      <c r="G381" s="25"/>
      <c r="H381" s="10"/>
      <c r="I381" s="10"/>
      <c r="J381" s="26"/>
      <c r="K381" s="25"/>
      <c r="L381" s="26"/>
      <c r="M381" s="27"/>
      <c r="N381" s="27"/>
      <c r="O381" s="28" t="str">
        <f aca="false">IF(OR(M381="",M381=0,N381=""),"",N381/M381)</f>
        <v/>
      </c>
      <c r="P381" s="28" t="str">
        <f aca="false">IF(M381="","",IFERROR(IF(INDEX(Parámetros!$B$14:$B$21,MATCH(I381,Parámetros!$A$14:$A$21,0))="",Parámetros!$B$5,INDEX(Parámetros!$B$14:$B$21,MATCH(I381,Parámetros!$A$14:$A$21,0))),Parámetros!$B$5))</f>
        <v/>
      </c>
      <c r="Q381" s="29" t="str">
        <f aca="false">IF(O381="","",(O381-P381)*100)</f>
        <v/>
      </c>
      <c r="R381" s="30" t="str">
        <f aca="false">IF(O381="","",MAX(0,M381*(P381-O381)))</f>
        <v/>
      </c>
      <c r="S381" s="31" t="str">
        <f aca="false">IF(OR(L381="",L381=0,N381=""),"",N381/1000/L381)</f>
        <v/>
      </c>
      <c r="T381" s="27"/>
      <c r="U381" s="27"/>
      <c r="V381" s="27"/>
      <c r="W381" s="27"/>
      <c r="X381" s="27"/>
      <c r="Y381" s="27"/>
      <c r="Z381" s="27"/>
      <c r="AA381" s="25"/>
      <c r="AB381" s="27"/>
      <c r="AC381" s="30" t="str">
        <f aca="false">IF(M381="","",IF(AB381="",M381*Parámetros!$B$6,AB381))</f>
        <v/>
      </c>
      <c r="AD381" s="30" t="str">
        <f aca="false">IF(M381="","",SUM(T381:Z381)+AC381)</f>
        <v/>
      </c>
      <c r="AE381" s="30" t="str">
        <f aca="false">IF(OR(M381="",N381=""),"",M381-N381)</f>
        <v/>
      </c>
      <c r="AF381" s="30" t="str">
        <f aca="false">IF(AE381="","",AE381-AD381)</f>
        <v/>
      </c>
      <c r="AG381" s="28" t="str">
        <f aca="false">IF(OR(AF381="",M381=0),"",AF381/M381)</f>
        <v/>
      </c>
      <c r="AH381" s="32" t="str">
        <f aca="false">IF(OR(AE381="",N381=0),"",AE381/(N381/1000))</f>
        <v/>
      </c>
      <c r="AI381" s="30" t="str">
        <f aca="false">IF(O381="","",M381*P381)</f>
        <v/>
      </c>
      <c r="AJ381" s="11" t="str">
        <f aca="false">IF(O381="","",IF(O381&gt;1,"Error: rend &gt; 100 %",IF(SUM(T381:Z381)=0,"Falta registrar pérdidas",IF(ABS(AG381)&gt;Parámetros!$B$7,"Revisar balance",IF(O381&lt;P381,"Bajo meta","OK")))))</f>
        <v/>
      </c>
      <c r="AK381" s="33"/>
      <c r="AL381" s="10"/>
      <c r="AM381" s="33"/>
      <c r="AN381" s="33"/>
      <c r="AO381" s="10"/>
    </row>
    <row r="382" customFormat="false" ht="15" hidden="false" customHeight="false" outlineLevel="0" collapsed="false">
      <c r="A382" s="22"/>
      <c r="B382" s="23" t="str">
        <f aca="false">IF(A382="","",YEAR(A382-WEEKDAY(A382,2)+4))</f>
        <v/>
      </c>
      <c r="C382" s="23" t="str">
        <f aca="false">IF(A382="","",WEEKNUM(A382,21))</f>
        <v/>
      </c>
      <c r="D382" s="24" t="str">
        <f aca="false">IF(A382="","",DATE(YEAR(A382),MONTH(A382),1))</f>
        <v/>
      </c>
      <c r="E382" s="10"/>
      <c r="F382" s="25"/>
      <c r="G382" s="25"/>
      <c r="H382" s="10"/>
      <c r="I382" s="10"/>
      <c r="J382" s="26"/>
      <c r="K382" s="25"/>
      <c r="L382" s="26"/>
      <c r="M382" s="27"/>
      <c r="N382" s="27"/>
      <c r="O382" s="28" t="str">
        <f aca="false">IF(OR(M382="",M382=0,N382=""),"",N382/M382)</f>
        <v/>
      </c>
      <c r="P382" s="28" t="str">
        <f aca="false">IF(M382="","",IFERROR(IF(INDEX(Parámetros!$B$14:$B$21,MATCH(I382,Parámetros!$A$14:$A$21,0))="",Parámetros!$B$5,INDEX(Parámetros!$B$14:$B$21,MATCH(I382,Parámetros!$A$14:$A$21,0))),Parámetros!$B$5))</f>
        <v/>
      </c>
      <c r="Q382" s="29" t="str">
        <f aca="false">IF(O382="","",(O382-P382)*100)</f>
        <v/>
      </c>
      <c r="R382" s="30" t="str">
        <f aca="false">IF(O382="","",MAX(0,M382*(P382-O382)))</f>
        <v/>
      </c>
      <c r="S382" s="31" t="str">
        <f aca="false">IF(OR(L382="",L382=0,N382=""),"",N382/1000/L382)</f>
        <v/>
      </c>
      <c r="T382" s="27"/>
      <c r="U382" s="27"/>
      <c r="V382" s="27"/>
      <c r="W382" s="27"/>
      <c r="X382" s="27"/>
      <c r="Y382" s="27"/>
      <c r="Z382" s="27"/>
      <c r="AA382" s="25"/>
      <c r="AB382" s="27"/>
      <c r="AC382" s="30" t="str">
        <f aca="false">IF(M382="","",IF(AB382="",M382*Parámetros!$B$6,AB382))</f>
        <v/>
      </c>
      <c r="AD382" s="30" t="str">
        <f aca="false">IF(M382="","",SUM(T382:Z382)+AC382)</f>
        <v/>
      </c>
      <c r="AE382" s="30" t="str">
        <f aca="false">IF(OR(M382="",N382=""),"",M382-N382)</f>
        <v/>
      </c>
      <c r="AF382" s="30" t="str">
        <f aca="false">IF(AE382="","",AE382-AD382)</f>
        <v/>
      </c>
      <c r="AG382" s="28" t="str">
        <f aca="false">IF(OR(AF382="",M382=0),"",AF382/M382)</f>
        <v/>
      </c>
      <c r="AH382" s="32" t="str">
        <f aca="false">IF(OR(AE382="",N382=0),"",AE382/(N382/1000))</f>
        <v/>
      </c>
      <c r="AI382" s="30" t="str">
        <f aca="false">IF(O382="","",M382*P382)</f>
        <v/>
      </c>
      <c r="AJ382" s="11" t="str">
        <f aca="false">IF(O382="","",IF(O382&gt;1,"Error: rend &gt; 100 %",IF(SUM(T382:Z382)=0,"Falta registrar pérdidas",IF(ABS(AG382)&gt;Parámetros!$B$7,"Revisar balance",IF(O382&lt;P382,"Bajo meta","OK")))))</f>
        <v/>
      </c>
      <c r="AK382" s="33"/>
      <c r="AL382" s="10"/>
      <c r="AM382" s="33"/>
      <c r="AN382" s="33"/>
      <c r="AO382" s="10"/>
    </row>
    <row r="383" customFormat="false" ht="15" hidden="false" customHeight="false" outlineLevel="0" collapsed="false">
      <c r="A383" s="22"/>
      <c r="B383" s="23" t="str">
        <f aca="false">IF(A383="","",YEAR(A383-WEEKDAY(A383,2)+4))</f>
        <v/>
      </c>
      <c r="C383" s="23" t="str">
        <f aca="false">IF(A383="","",WEEKNUM(A383,21))</f>
        <v/>
      </c>
      <c r="D383" s="24" t="str">
        <f aca="false">IF(A383="","",DATE(YEAR(A383),MONTH(A383),1))</f>
        <v/>
      </c>
      <c r="E383" s="10"/>
      <c r="F383" s="25"/>
      <c r="G383" s="25"/>
      <c r="H383" s="10"/>
      <c r="I383" s="10"/>
      <c r="J383" s="26"/>
      <c r="K383" s="25"/>
      <c r="L383" s="26"/>
      <c r="M383" s="27"/>
      <c r="N383" s="27"/>
      <c r="O383" s="28" t="str">
        <f aca="false">IF(OR(M383="",M383=0,N383=""),"",N383/M383)</f>
        <v/>
      </c>
      <c r="P383" s="28" t="str">
        <f aca="false">IF(M383="","",IFERROR(IF(INDEX(Parámetros!$B$14:$B$21,MATCH(I383,Parámetros!$A$14:$A$21,0))="",Parámetros!$B$5,INDEX(Parámetros!$B$14:$B$21,MATCH(I383,Parámetros!$A$14:$A$21,0))),Parámetros!$B$5))</f>
        <v/>
      </c>
      <c r="Q383" s="29" t="str">
        <f aca="false">IF(O383="","",(O383-P383)*100)</f>
        <v/>
      </c>
      <c r="R383" s="30" t="str">
        <f aca="false">IF(O383="","",MAX(0,M383*(P383-O383)))</f>
        <v/>
      </c>
      <c r="S383" s="31" t="str">
        <f aca="false">IF(OR(L383="",L383=0,N383=""),"",N383/1000/L383)</f>
        <v/>
      </c>
      <c r="T383" s="27"/>
      <c r="U383" s="27"/>
      <c r="V383" s="27"/>
      <c r="W383" s="27"/>
      <c r="X383" s="27"/>
      <c r="Y383" s="27"/>
      <c r="Z383" s="27"/>
      <c r="AA383" s="25"/>
      <c r="AB383" s="27"/>
      <c r="AC383" s="30" t="str">
        <f aca="false">IF(M383="","",IF(AB383="",M383*Parámetros!$B$6,AB383))</f>
        <v/>
      </c>
      <c r="AD383" s="30" t="str">
        <f aca="false">IF(M383="","",SUM(T383:Z383)+AC383)</f>
        <v/>
      </c>
      <c r="AE383" s="30" t="str">
        <f aca="false">IF(OR(M383="",N383=""),"",M383-N383)</f>
        <v/>
      </c>
      <c r="AF383" s="30" t="str">
        <f aca="false">IF(AE383="","",AE383-AD383)</f>
        <v/>
      </c>
      <c r="AG383" s="28" t="str">
        <f aca="false">IF(OR(AF383="",M383=0),"",AF383/M383)</f>
        <v/>
      </c>
      <c r="AH383" s="32" t="str">
        <f aca="false">IF(OR(AE383="",N383=0),"",AE383/(N383/1000))</f>
        <v/>
      </c>
      <c r="AI383" s="30" t="str">
        <f aca="false">IF(O383="","",M383*P383)</f>
        <v/>
      </c>
      <c r="AJ383" s="11" t="str">
        <f aca="false">IF(O383="","",IF(O383&gt;1,"Error: rend &gt; 100 %",IF(SUM(T383:Z383)=0,"Falta registrar pérdidas",IF(ABS(AG383)&gt;Parámetros!$B$7,"Revisar balance",IF(O383&lt;P383,"Bajo meta","OK")))))</f>
        <v/>
      </c>
      <c r="AK383" s="33"/>
      <c r="AL383" s="10"/>
      <c r="AM383" s="33"/>
      <c r="AN383" s="33"/>
      <c r="AO383" s="10"/>
    </row>
    <row r="384" customFormat="false" ht="15" hidden="false" customHeight="false" outlineLevel="0" collapsed="false">
      <c r="A384" s="22"/>
      <c r="B384" s="23" t="str">
        <f aca="false">IF(A384="","",YEAR(A384-WEEKDAY(A384,2)+4))</f>
        <v/>
      </c>
      <c r="C384" s="23" t="str">
        <f aca="false">IF(A384="","",WEEKNUM(A384,21))</f>
        <v/>
      </c>
      <c r="D384" s="24" t="str">
        <f aca="false">IF(A384="","",DATE(YEAR(A384),MONTH(A384),1))</f>
        <v/>
      </c>
      <c r="E384" s="10"/>
      <c r="F384" s="25"/>
      <c r="G384" s="25"/>
      <c r="H384" s="10"/>
      <c r="I384" s="10"/>
      <c r="J384" s="26"/>
      <c r="K384" s="25"/>
      <c r="L384" s="26"/>
      <c r="M384" s="27"/>
      <c r="N384" s="27"/>
      <c r="O384" s="28" t="str">
        <f aca="false">IF(OR(M384="",M384=0,N384=""),"",N384/M384)</f>
        <v/>
      </c>
      <c r="P384" s="28" t="str">
        <f aca="false">IF(M384="","",IFERROR(IF(INDEX(Parámetros!$B$14:$B$21,MATCH(I384,Parámetros!$A$14:$A$21,0))="",Parámetros!$B$5,INDEX(Parámetros!$B$14:$B$21,MATCH(I384,Parámetros!$A$14:$A$21,0))),Parámetros!$B$5))</f>
        <v/>
      </c>
      <c r="Q384" s="29" t="str">
        <f aca="false">IF(O384="","",(O384-P384)*100)</f>
        <v/>
      </c>
      <c r="R384" s="30" t="str">
        <f aca="false">IF(O384="","",MAX(0,M384*(P384-O384)))</f>
        <v/>
      </c>
      <c r="S384" s="31" t="str">
        <f aca="false">IF(OR(L384="",L384=0,N384=""),"",N384/1000/L384)</f>
        <v/>
      </c>
      <c r="T384" s="27"/>
      <c r="U384" s="27"/>
      <c r="V384" s="27"/>
      <c r="W384" s="27"/>
      <c r="X384" s="27"/>
      <c r="Y384" s="27"/>
      <c r="Z384" s="27"/>
      <c r="AA384" s="25"/>
      <c r="AB384" s="27"/>
      <c r="AC384" s="30" t="str">
        <f aca="false">IF(M384="","",IF(AB384="",M384*Parámetros!$B$6,AB384))</f>
        <v/>
      </c>
      <c r="AD384" s="30" t="str">
        <f aca="false">IF(M384="","",SUM(T384:Z384)+AC384)</f>
        <v/>
      </c>
      <c r="AE384" s="30" t="str">
        <f aca="false">IF(OR(M384="",N384=""),"",M384-N384)</f>
        <v/>
      </c>
      <c r="AF384" s="30" t="str">
        <f aca="false">IF(AE384="","",AE384-AD384)</f>
        <v/>
      </c>
      <c r="AG384" s="28" t="str">
        <f aca="false">IF(OR(AF384="",M384=0),"",AF384/M384)</f>
        <v/>
      </c>
      <c r="AH384" s="32" t="str">
        <f aca="false">IF(OR(AE384="",N384=0),"",AE384/(N384/1000))</f>
        <v/>
      </c>
      <c r="AI384" s="30" t="str">
        <f aca="false">IF(O384="","",M384*P384)</f>
        <v/>
      </c>
      <c r="AJ384" s="11" t="str">
        <f aca="false">IF(O384="","",IF(O384&gt;1,"Error: rend &gt; 100 %",IF(SUM(T384:Z384)=0,"Falta registrar pérdidas",IF(ABS(AG384)&gt;Parámetros!$B$7,"Revisar balance",IF(O384&lt;P384,"Bajo meta","OK")))))</f>
        <v/>
      </c>
      <c r="AK384" s="33"/>
      <c r="AL384" s="10"/>
      <c r="AM384" s="33"/>
      <c r="AN384" s="33"/>
      <c r="AO384" s="10"/>
    </row>
    <row r="385" customFormat="false" ht="15" hidden="false" customHeight="false" outlineLevel="0" collapsed="false">
      <c r="A385" s="22"/>
      <c r="B385" s="23" t="str">
        <f aca="false">IF(A385="","",YEAR(A385-WEEKDAY(A385,2)+4))</f>
        <v/>
      </c>
      <c r="C385" s="23" t="str">
        <f aca="false">IF(A385="","",WEEKNUM(A385,21))</f>
        <v/>
      </c>
      <c r="D385" s="24" t="str">
        <f aca="false">IF(A385="","",DATE(YEAR(A385),MONTH(A385),1))</f>
        <v/>
      </c>
      <c r="E385" s="10"/>
      <c r="F385" s="25"/>
      <c r="G385" s="25"/>
      <c r="H385" s="10"/>
      <c r="I385" s="10"/>
      <c r="J385" s="26"/>
      <c r="K385" s="25"/>
      <c r="L385" s="26"/>
      <c r="M385" s="27"/>
      <c r="N385" s="27"/>
      <c r="O385" s="28" t="str">
        <f aca="false">IF(OR(M385="",M385=0,N385=""),"",N385/M385)</f>
        <v/>
      </c>
      <c r="P385" s="28" t="str">
        <f aca="false">IF(M385="","",IFERROR(IF(INDEX(Parámetros!$B$14:$B$21,MATCH(I385,Parámetros!$A$14:$A$21,0))="",Parámetros!$B$5,INDEX(Parámetros!$B$14:$B$21,MATCH(I385,Parámetros!$A$14:$A$21,0))),Parámetros!$B$5))</f>
        <v/>
      </c>
      <c r="Q385" s="29" t="str">
        <f aca="false">IF(O385="","",(O385-P385)*100)</f>
        <v/>
      </c>
      <c r="R385" s="30" t="str">
        <f aca="false">IF(O385="","",MAX(0,M385*(P385-O385)))</f>
        <v/>
      </c>
      <c r="S385" s="31" t="str">
        <f aca="false">IF(OR(L385="",L385=0,N385=""),"",N385/1000/L385)</f>
        <v/>
      </c>
      <c r="T385" s="27"/>
      <c r="U385" s="27"/>
      <c r="V385" s="27"/>
      <c r="W385" s="27"/>
      <c r="X385" s="27"/>
      <c r="Y385" s="27"/>
      <c r="Z385" s="27"/>
      <c r="AA385" s="25"/>
      <c r="AB385" s="27"/>
      <c r="AC385" s="30" t="str">
        <f aca="false">IF(M385="","",IF(AB385="",M385*Parámetros!$B$6,AB385))</f>
        <v/>
      </c>
      <c r="AD385" s="30" t="str">
        <f aca="false">IF(M385="","",SUM(T385:Z385)+AC385)</f>
        <v/>
      </c>
      <c r="AE385" s="30" t="str">
        <f aca="false">IF(OR(M385="",N385=""),"",M385-N385)</f>
        <v/>
      </c>
      <c r="AF385" s="30" t="str">
        <f aca="false">IF(AE385="","",AE385-AD385)</f>
        <v/>
      </c>
      <c r="AG385" s="28" t="str">
        <f aca="false">IF(OR(AF385="",M385=0),"",AF385/M385)</f>
        <v/>
      </c>
      <c r="AH385" s="32" t="str">
        <f aca="false">IF(OR(AE385="",N385=0),"",AE385/(N385/1000))</f>
        <v/>
      </c>
      <c r="AI385" s="30" t="str">
        <f aca="false">IF(O385="","",M385*P385)</f>
        <v/>
      </c>
      <c r="AJ385" s="11" t="str">
        <f aca="false">IF(O385="","",IF(O385&gt;1,"Error: rend &gt; 100 %",IF(SUM(T385:Z385)=0,"Falta registrar pérdidas",IF(ABS(AG385)&gt;Parámetros!$B$7,"Revisar balance",IF(O385&lt;P385,"Bajo meta","OK")))))</f>
        <v/>
      </c>
      <c r="AK385" s="33"/>
      <c r="AL385" s="10"/>
      <c r="AM385" s="33"/>
      <c r="AN385" s="33"/>
      <c r="AO385" s="10"/>
    </row>
    <row r="386" customFormat="false" ht="15" hidden="false" customHeight="false" outlineLevel="0" collapsed="false">
      <c r="A386" s="22"/>
      <c r="B386" s="23" t="str">
        <f aca="false">IF(A386="","",YEAR(A386-WEEKDAY(A386,2)+4))</f>
        <v/>
      </c>
      <c r="C386" s="23" t="str">
        <f aca="false">IF(A386="","",WEEKNUM(A386,21))</f>
        <v/>
      </c>
      <c r="D386" s="24" t="str">
        <f aca="false">IF(A386="","",DATE(YEAR(A386),MONTH(A386),1))</f>
        <v/>
      </c>
      <c r="E386" s="10"/>
      <c r="F386" s="25"/>
      <c r="G386" s="25"/>
      <c r="H386" s="10"/>
      <c r="I386" s="10"/>
      <c r="J386" s="26"/>
      <c r="K386" s="25"/>
      <c r="L386" s="26"/>
      <c r="M386" s="27"/>
      <c r="N386" s="27"/>
      <c r="O386" s="28" t="str">
        <f aca="false">IF(OR(M386="",M386=0,N386=""),"",N386/M386)</f>
        <v/>
      </c>
      <c r="P386" s="28" t="str">
        <f aca="false">IF(M386="","",IFERROR(IF(INDEX(Parámetros!$B$14:$B$21,MATCH(I386,Parámetros!$A$14:$A$21,0))="",Parámetros!$B$5,INDEX(Parámetros!$B$14:$B$21,MATCH(I386,Parámetros!$A$14:$A$21,0))),Parámetros!$B$5))</f>
        <v/>
      </c>
      <c r="Q386" s="29" t="str">
        <f aca="false">IF(O386="","",(O386-P386)*100)</f>
        <v/>
      </c>
      <c r="R386" s="30" t="str">
        <f aca="false">IF(O386="","",MAX(0,M386*(P386-O386)))</f>
        <v/>
      </c>
      <c r="S386" s="31" t="str">
        <f aca="false">IF(OR(L386="",L386=0,N386=""),"",N386/1000/L386)</f>
        <v/>
      </c>
      <c r="T386" s="27"/>
      <c r="U386" s="27"/>
      <c r="V386" s="27"/>
      <c r="W386" s="27"/>
      <c r="X386" s="27"/>
      <c r="Y386" s="27"/>
      <c r="Z386" s="27"/>
      <c r="AA386" s="25"/>
      <c r="AB386" s="27"/>
      <c r="AC386" s="30" t="str">
        <f aca="false">IF(M386="","",IF(AB386="",M386*Parámetros!$B$6,AB386))</f>
        <v/>
      </c>
      <c r="AD386" s="30" t="str">
        <f aca="false">IF(M386="","",SUM(T386:Z386)+AC386)</f>
        <v/>
      </c>
      <c r="AE386" s="30" t="str">
        <f aca="false">IF(OR(M386="",N386=""),"",M386-N386)</f>
        <v/>
      </c>
      <c r="AF386" s="30" t="str">
        <f aca="false">IF(AE386="","",AE386-AD386)</f>
        <v/>
      </c>
      <c r="AG386" s="28" t="str">
        <f aca="false">IF(OR(AF386="",M386=0),"",AF386/M386)</f>
        <v/>
      </c>
      <c r="AH386" s="32" t="str">
        <f aca="false">IF(OR(AE386="",N386=0),"",AE386/(N386/1000))</f>
        <v/>
      </c>
      <c r="AI386" s="30" t="str">
        <f aca="false">IF(O386="","",M386*P386)</f>
        <v/>
      </c>
      <c r="AJ386" s="11" t="str">
        <f aca="false">IF(O386="","",IF(O386&gt;1,"Error: rend &gt; 100 %",IF(SUM(T386:Z386)=0,"Falta registrar pérdidas",IF(ABS(AG386)&gt;Parámetros!$B$7,"Revisar balance",IF(O386&lt;P386,"Bajo meta","OK")))))</f>
        <v/>
      </c>
      <c r="AK386" s="33"/>
      <c r="AL386" s="10"/>
      <c r="AM386" s="33"/>
      <c r="AN386" s="33"/>
      <c r="AO386" s="10"/>
    </row>
    <row r="387" customFormat="false" ht="15" hidden="false" customHeight="false" outlineLevel="0" collapsed="false">
      <c r="A387" s="22"/>
      <c r="B387" s="23" t="str">
        <f aca="false">IF(A387="","",YEAR(A387-WEEKDAY(A387,2)+4))</f>
        <v/>
      </c>
      <c r="C387" s="23" t="str">
        <f aca="false">IF(A387="","",WEEKNUM(A387,21))</f>
        <v/>
      </c>
      <c r="D387" s="24" t="str">
        <f aca="false">IF(A387="","",DATE(YEAR(A387),MONTH(A387),1))</f>
        <v/>
      </c>
      <c r="E387" s="10"/>
      <c r="F387" s="25"/>
      <c r="G387" s="25"/>
      <c r="H387" s="10"/>
      <c r="I387" s="10"/>
      <c r="J387" s="26"/>
      <c r="K387" s="25"/>
      <c r="L387" s="26"/>
      <c r="M387" s="27"/>
      <c r="N387" s="27"/>
      <c r="O387" s="28" t="str">
        <f aca="false">IF(OR(M387="",M387=0,N387=""),"",N387/M387)</f>
        <v/>
      </c>
      <c r="P387" s="28" t="str">
        <f aca="false">IF(M387="","",IFERROR(IF(INDEX(Parámetros!$B$14:$B$21,MATCH(I387,Parámetros!$A$14:$A$21,0))="",Parámetros!$B$5,INDEX(Parámetros!$B$14:$B$21,MATCH(I387,Parámetros!$A$14:$A$21,0))),Parámetros!$B$5))</f>
        <v/>
      </c>
      <c r="Q387" s="29" t="str">
        <f aca="false">IF(O387="","",(O387-P387)*100)</f>
        <v/>
      </c>
      <c r="R387" s="30" t="str">
        <f aca="false">IF(O387="","",MAX(0,M387*(P387-O387)))</f>
        <v/>
      </c>
      <c r="S387" s="31" t="str">
        <f aca="false">IF(OR(L387="",L387=0,N387=""),"",N387/1000/L387)</f>
        <v/>
      </c>
      <c r="T387" s="27"/>
      <c r="U387" s="27"/>
      <c r="V387" s="27"/>
      <c r="W387" s="27"/>
      <c r="X387" s="27"/>
      <c r="Y387" s="27"/>
      <c r="Z387" s="27"/>
      <c r="AA387" s="25"/>
      <c r="AB387" s="27"/>
      <c r="AC387" s="30" t="str">
        <f aca="false">IF(M387="","",IF(AB387="",M387*Parámetros!$B$6,AB387))</f>
        <v/>
      </c>
      <c r="AD387" s="30" t="str">
        <f aca="false">IF(M387="","",SUM(T387:Z387)+AC387)</f>
        <v/>
      </c>
      <c r="AE387" s="30" t="str">
        <f aca="false">IF(OR(M387="",N387=""),"",M387-N387)</f>
        <v/>
      </c>
      <c r="AF387" s="30" t="str">
        <f aca="false">IF(AE387="","",AE387-AD387)</f>
        <v/>
      </c>
      <c r="AG387" s="28" t="str">
        <f aca="false">IF(OR(AF387="",M387=0),"",AF387/M387)</f>
        <v/>
      </c>
      <c r="AH387" s="32" t="str">
        <f aca="false">IF(OR(AE387="",N387=0),"",AE387/(N387/1000))</f>
        <v/>
      </c>
      <c r="AI387" s="30" t="str">
        <f aca="false">IF(O387="","",M387*P387)</f>
        <v/>
      </c>
      <c r="AJ387" s="11" t="str">
        <f aca="false">IF(O387="","",IF(O387&gt;1,"Error: rend &gt; 100 %",IF(SUM(T387:Z387)=0,"Falta registrar pérdidas",IF(ABS(AG387)&gt;Parámetros!$B$7,"Revisar balance",IF(O387&lt;P387,"Bajo meta","OK")))))</f>
        <v/>
      </c>
      <c r="AK387" s="33"/>
      <c r="AL387" s="10"/>
      <c r="AM387" s="33"/>
      <c r="AN387" s="33"/>
      <c r="AO387" s="10"/>
    </row>
    <row r="388" customFormat="false" ht="15" hidden="false" customHeight="false" outlineLevel="0" collapsed="false">
      <c r="A388" s="22"/>
      <c r="B388" s="23" t="str">
        <f aca="false">IF(A388="","",YEAR(A388-WEEKDAY(A388,2)+4))</f>
        <v/>
      </c>
      <c r="C388" s="23" t="str">
        <f aca="false">IF(A388="","",WEEKNUM(A388,21))</f>
        <v/>
      </c>
      <c r="D388" s="24" t="str">
        <f aca="false">IF(A388="","",DATE(YEAR(A388),MONTH(A388),1))</f>
        <v/>
      </c>
      <c r="E388" s="10"/>
      <c r="F388" s="25"/>
      <c r="G388" s="25"/>
      <c r="H388" s="10"/>
      <c r="I388" s="10"/>
      <c r="J388" s="26"/>
      <c r="K388" s="25"/>
      <c r="L388" s="26"/>
      <c r="M388" s="27"/>
      <c r="N388" s="27"/>
      <c r="O388" s="28" t="str">
        <f aca="false">IF(OR(M388="",M388=0,N388=""),"",N388/M388)</f>
        <v/>
      </c>
      <c r="P388" s="28" t="str">
        <f aca="false">IF(M388="","",IFERROR(IF(INDEX(Parámetros!$B$14:$B$21,MATCH(I388,Parámetros!$A$14:$A$21,0))="",Parámetros!$B$5,INDEX(Parámetros!$B$14:$B$21,MATCH(I388,Parámetros!$A$14:$A$21,0))),Parámetros!$B$5))</f>
        <v/>
      </c>
      <c r="Q388" s="29" t="str">
        <f aca="false">IF(O388="","",(O388-P388)*100)</f>
        <v/>
      </c>
      <c r="R388" s="30" t="str">
        <f aca="false">IF(O388="","",MAX(0,M388*(P388-O388)))</f>
        <v/>
      </c>
      <c r="S388" s="31" t="str">
        <f aca="false">IF(OR(L388="",L388=0,N388=""),"",N388/1000/L388)</f>
        <v/>
      </c>
      <c r="T388" s="27"/>
      <c r="U388" s="27"/>
      <c r="V388" s="27"/>
      <c r="W388" s="27"/>
      <c r="X388" s="27"/>
      <c r="Y388" s="27"/>
      <c r="Z388" s="27"/>
      <c r="AA388" s="25"/>
      <c r="AB388" s="27"/>
      <c r="AC388" s="30" t="str">
        <f aca="false">IF(M388="","",IF(AB388="",M388*Parámetros!$B$6,AB388))</f>
        <v/>
      </c>
      <c r="AD388" s="30" t="str">
        <f aca="false">IF(M388="","",SUM(T388:Z388)+AC388)</f>
        <v/>
      </c>
      <c r="AE388" s="30" t="str">
        <f aca="false">IF(OR(M388="",N388=""),"",M388-N388)</f>
        <v/>
      </c>
      <c r="AF388" s="30" t="str">
        <f aca="false">IF(AE388="","",AE388-AD388)</f>
        <v/>
      </c>
      <c r="AG388" s="28" t="str">
        <f aca="false">IF(OR(AF388="",M388=0),"",AF388/M388)</f>
        <v/>
      </c>
      <c r="AH388" s="32" t="str">
        <f aca="false">IF(OR(AE388="",N388=0),"",AE388/(N388/1000))</f>
        <v/>
      </c>
      <c r="AI388" s="30" t="str">
        <f aca="false">IF(O388="","",M388*P388)</f>
        <v/>
      </c>
      <c r="AJ388" s="11" t="str">
        <f aca="false">IF(O388="","",IF(O388&gt;1,"Error: rend &gt; 100 %",IF(SUM(T388:Z388)=0,"Falta registrar pérdidas",IF(ABS(AG388)&gt;Parámetros!$B$7,"Revisar balance",IF(O388&lt;P388,"Bajo meta","OK")))))</f>
        <v/>
      </c>
      <c r="AK388" s="33"/>
      <c r="AL388" s="10"/>
      <c r="AM388" s="33"/>
      <c r="AN388" s="33"/>
      <c r="AO388" s="10"/>
    </row>
    <row r="389" customFormat="false" ht="15" hidden="false" customHeight="false" outlineLevel="0" collapsed="false">
      <c r="A389" s="22"/>
      <c r="B389" s="23" t="str">
        <f aca="false">IF(A389="","",YEAR(A389-WEEKDAY(A389,2)+4))</f>
        <v/>
      </c>
      <c r="C389" s="23" t="str">
        <f aca="false">IF(A389="","",WEEKNUM(A389,21))</f>
        <v/>
      </c>
      <c r="D389" s="24" t="str">
        <f aca="false">IF(A389="","",DATE(YEAR(A389),MONTH(A389),1))</f>
        <v/>
      </c>
      <c r="E389" s="10"/>
      <c r="F389" s="25"/>
      <c r="G389" s="25"/>
      <c r="H389" s="10"/>
      <c r="I389" s="10"/>
      <c r="J389" s="26"/>
      <c r="K389" s="25"/>
      <c r="L389" s="26"/>
      <c r="M389" s="27"/>
      <c r="N389" s="27"/>
      <c r="O389" s="28" t="str">
        <f aca="false">IF(OR(M389="",M389=0,N389=""),"",N389/M389)</f>
        <v/>
      </c>
      <c r="P389" s="28" t="str">
        <f aca="false">IF(M389="","",IFERROR(IF(INDEX(Parámetros!$B$14:$B$21,MATCH(I389,Parámetros!$A$14:$A$21,0))="",Parámetros!$B$5,INDEX(Parámetros!$B$14:$B$21,MATCH(I389,Parámetros!$A$14:$A$21,0))),Parámetros!$B$5))</f>
        <v/>
      </c>
      <c r="Q389" s="29" t="str">
        <f aca="false">IF(O389="","",(O389-P389)*100)</f>
        <v/>
      </c>
      <c r="R389" s="30" t="str">
        <f aca="false">IF(O389="","",MAX(0,M389*(P389-O389)))</f>
        <v/>
      </c>
      <c r="S389" s="31" t="str">
        <f aca="false">IF(OR(L389="",L389=0,N389=""),"",N389/1000/L389)</f>
        <v/>
      </c>
      <c r="T389" s="27"/>
      <c r="U389" s="27"/>
      <c r="V389" s="27"/>
      <c r="W389" s="27"/>
      <c r="X389" s="27"/>
      <c r="Y389" s="27"/>
      <c r="Z389" s="27"/>
      <c r="AA389" s="25"/>
      <c r="AB389" s="27"/>
      <c r="AC389" s="30" t="str">
        <f aca="false">IF(M389="","",IF(AB389="",M389*Parámetros!$B$6,AB389))</f>
        <v/>
      </c>
      <c r="AD389" s="30" t="str">
        <f aca="false">IF(M389="","",SUM(T389:Z389)+AC389)</f>
        <v/>
      </c>
      <c r="AE389" s="30" t="str">
        <f aca="false">IF(OR(M389="",N389=""),"",M389-N389)</f>
        <v/>
      </c>
      <c r="AF389" s="30" t="str">
        <f aca="false">IF(AE389="","",AE389-AD389)</f>
        <v/>
      </c>
      <c r="AG389" s="28" t="str">
        <f aca="false">IF(OR(AF389="",M389=0),"",AF389/M389)</f>
        <v/>
      </c>
      <c r="AH389" s="32" t="str">
        <f aca="false">IF(OR(AE389="",N389=0),"",AE389/(N389/1000))</f>
        <v/>
      </c>
      <c r="AI389" s="30" t="str">
        <f aca="false">IF(O389="","",M389*P389)</f>
        <v/>
      </c>
      <c r="AJ389" s="11" t="str">
        <f aca="false">IF(O389="","",IF(O389&gt;1,"Error: rend &gt; 100 %",IF(SUM(T389:Z389)=0,"Falta registrar pérdidas",IF(ABS(AG389)&gt;Parámetros!$B$7,"Revisar balance",IF(O389&lt;P389,"Bajo meta","OK")))))</f>
        <v/>
      </c>
      <c r="AK389" s="33"/>
      <c r="AL389" s="10"/>
      <c r="AM389" s="33"/>
      <c r="AN389" s="33"/>
      <c r="AO389" s="10"/>
    </row>
    <row r="390" customFormat="false" ht="15" hidden="false" customHeight="false" outlineLevel="0" collapsed="false">
      <c r="A390" s="22"/>
      <c r="B390" s="23" t="str">
        <f aca="false">IF(A390="","",YEAR(A390-WEEKDAY(A390,2)+4))</f>
        <v/>
      </c>
      <c r="C390" s="23" t="str">
        <f aca="false">IF(A390="","",WEEKNUM(A390,21))</f>
        <v/>
      </c>
      <c r="D390" s="24" t="str">
        <f aca="false">IF(A390="","",DATE(YEAR(A390),MONTH(A390),1))</f>
        <v/>
      </c>
      <c r="E390" s="10"/>
      <c r="F390" s="25"/>
      <c r="G390" s="25"/>
      <c r="H390" s="10"/>
      <c r="I390" s="10"/>
      <c r="J390" s="26"/>
      <c r="K390" s="25"/>
      <c r="L390" s="26"/>
      <c r="M390" s="27"/>
      <c r="N390" s="27"/>
      <c r="O390" s="28" t="str">
        <f aca="false">IF(OR(M390="",M390=0,N390=""),"",N390/M390)</f>
        <v/>
      </c>
      <c r="P390" s="28" t="str">
        <f aca="false">IF(M390="","",IFERROR(IF(INDEX(Parámetros!$B$14:$B$21,MATCH(I390,Parámetros!$A$14:$A$21,0))="",Parámetros!$B$5,INDEX(Parámetros!$B$14:$B$21,MATCH(I390,Parámetros!$A$14:$A$21,0))),Parámetros!$B$5))</f>
        <v/>
      </c>
      <c r="Q390" s="29" t="str">
        <f aca="false">IF(O390="","",(O390-P390)*100)</f>
        <v/>
      </c>
      <c r="R390" s="30" t="str">
        <f aca="false">IF(O390="","",MAX(0,M390*(P390-O390)))</f>
        <v/>
      </c>
      <c r="S390" s="31" t="str">
        <f aca="false">IF(OR(L390="",L390=0,N390=""),"",N390/1000/L390)</f>
        <v/>
      </c>
      <c r="T390" s="27"/>
      <c r="U390" s="27"/>
      <c r="V390" s="27"/>
      <c r="W390" s="27"/>
      <c r="X390" s="27"/>
      <c r="Y390" s="27"/>
      <c r="Z390" s="27"/>
      <c r="AA390" s="25"/>
      <c r="AB390" s="27"/>
      <c r="AC390" s="30" t="str">
        <f aca="false">IF(M390="","",IF(AB390="",M390*Parámetros!$B$6,AB390))</f>
        <v/>
      </c>
      <c r="AD390" s="30" t="str">
        <f aca="false">IF(M390="","",SUM(T390:Z390)+AC390)</f>
        <v/>
      </c>
      <c r="AE390" s="30" t="str">
        <f aca="false">IF(OR(M390="",N390=""),"",M390-N390)</f>
        <v/>
      </c>
      <c r="AF390" s="30" t="str">
        <f aca="false">IF(AE390="","",AE390-AD390)</f>
        <v/>
      </c>
      <c r="AG390" s="28" t="str">
        <f aca="false">IF(OR(AF390="",M390=0),"",AF390/M390)</f>
        <v/>
      </c>
      <c r="AH390" s="32" t="str">
        <f aca="false">IF(OR(AE390="",N390=0),"",AE390/(N390/1000))</f>
        <v/>
      </c>
      <c r="AI390" s="30" t="str">
        <f aca="false">IF(O390="","",M390*P390)</f>
        <v/>
      </c>
      <c r="AJ390" s="11" t="str">
        <f aca="false">IF(O390="","",IF(O390&gt;1,"Error: rend &gt; 100 %",IF(SUM(T390:Z390)=0,"Falta registrar pérdidas",IF(ABS(AG390)&gt;Parámetros!$B$7,"Revisar balance",IF(O390&lt;P390,"Bajo meta","OK")))))</f>
        <v/>
      </c>
      <c r="AK390" s="33"/>
      <c r="AL390" s="10"/>
      <c r="AM390" s="33"/>
      <c r="AN390" s="33"/>
      <c r="AO390" s="10"/>
    </row>
    <row r="391" customFormat="false" ht="15" hidden="false" customHeight="false" outlineLevel="0" collapsed="false">
      <c r="A391" s="22"/>
      <c r="B391" s="23" t="str">
        <f aca="false">IF(A391="","",YEAR(A391-WEEKDAY(A391,2)+4))</f>
        <v/>
      </c>
      <c r="C391" s="23" t="str">
        <f aca="false">IF(A391="","",WEEKNUM(A391,21))</f>
        <v/>
      </c>
      <c r="D391" s="24" t="str">
        <f aca="false">IF(A391="","",DATE(YEAR(A391),MONTH(A391),1))</f>
        <v/>
      </c>
      <c r="E391" s="10"/>
      <c r="F391" s="25"/>
      <c r="G391" s="25"/>
      <c r="H391" s="10"/>
      <c r="I391" s="10"/>
      <c r="J391" s="26"/>
      <c r="K391" s="25"/>
      <c r="L391" s="26"/>
      <c r="M391" s="27"/>
      <c r="N391" s="27"/>
      <c r="O391" s="28" t="str">
        <f aca="false">IF(OR(M391="",M391=0,N391=""),"",N391/M391)</f>
        <v/>
      </c>
      <c r="P391" s="28" t="str">
        <f aca="false">IF(M391="","",IFERROR(IF(INDEX(Parámetros!$B$14:$B$21,MATCH(I391,Parámetros!$A$14:$A$21,0))="",Parámetros!$B$5,INDEX(Parámetros!$B$14:$B$21,MATCH(I391,Parámetros!$A$14:$A$21,0))),Parámetros!$B$5))</f>
        <v/>
      </c>
      <c r="Q391" s="29" t="str">
        <f aca="false">IF(O391="","",(O391-P391)*100)</f>
        <v/>
      </c>
      <c r="R391" s="30" t="str">
        <f aca="false">IF(O391="","",MAX(0,M391*(P391-O391)))</f>
        <v/>
      </c>
      <c r="S391" s="31" t="str">
        <f aca="false">IF(OR(L391="",L391=0,N391=""),"",N391/1000/L391)</f>
        <v/>
      </c>
      <c r="T391" s="27"/>
      <c r="U391" s="27"/>
      <c r="V391" s="27"/>
      <c r="W391" s="27"/>
      <c r="X391" s="27"/>
      <c r="Y391" s="27"/>
      <c r="Z391" s="27"/>
      <c r="AA391" s="25"/>
      <c r="AB391" s="27"/>
      <c r="AC391" s="30" t="str">
        <f aca="false">IF(M391="","",IF(AB391="",M391*Parámetros!$B$6,AB391))</f>
        <v/>
      </c>
      <c r="AD391" s="30" t="str">
        <f aca="false">IF(M391="","",SUM(T391:Z391)+AC391)</f>
        <v/>
      </c>
      <c r="AE391" s="30" t="str">
        <f aca="false">IF(OR(M391="",N391=""),"",M391-N391)</f>
        <v/>
      </c>
      <c r="AF391" s="30" t="str">
        <f aca="false">IF(AE391="","",AE391-AD391)</f>
        <v/>
      </c>
      <c r="AG391" s="28" t="str">
        <f aca="false">IF(OR(AF391="",M391=0),"",AF391/M391)</f>
        <v/>
      </c>
      <c r="AH391" s="32" t="str">
        <f aca="false">IF(OR(AE391="",N391=0),"",AE391/(N391/1000))</f>
        <v/>
      </c>
      <c r="AI391" s="30" t="str">
        <f aca="false">IF(O391="","",M391*P391)</f>
        <v/>
      </c>
      <c r="AJ391" s="11" t="str">
        <f aca="false">IF(O391="","",IF(O391&gt;1,"Error: rend &gt; 100 %",IF(SUM(T391:Z391)=0,"Falta registrar pérdidas",IF(ABS(AG391)&gt;Parámetros!$B$7,"Revisar balance",IF(O391&lt;P391,"Bajo meta","OK")))))</f>
        <v/>
      </c>
      <c r="AK391" s="33"/>
      <c r="AL391" s="10"/>
      <c r="AM391" s="33"/>
      <c r="AN391" s="33"/>
      <c r="AO391" s="10"/>
    </row>
    <row r="392" customFormat="false" ht="15" hidden="false" customHeight="false" outlineLevel="0" collapsed="false">
      <c r="A392" s="22"/>
      <c r="B392" s="23" t="str">
        <f aca="false">IF(A392="","",YEAR(A392-WEEKDAY(A392,2)+4))</f>
        <v/>
      </c>
      <c r="C392" s="23" t="str">
        <f aca="false">IF(A392="","",WEEKNUM(A392,21))</f>
        <v/>
      </c>
      <c r="D392" s="24" t="str">
        <f aca="false">IF(A392="","",DATE(YEAR(A392),MONTH(A392),1))</f>
        <v/>
      </c>
      <c r="E392" s="10"/>
      <c r="F392" s="25"/>
      <c r="G392" s="25"/>
      <c r="H392" s="10"/>
      <c r="I392" s="10"/>
      <c r="J392" s="26"/>
      <c r="K392" s="25"/>
      <c r="L392" s="26"/>
      <c r="M392" s="27"/>
      <c r="N392" s="27"/>
      <c r="O392" s="28" t="str">
        <f aca="false">IF(OR(M392="",M392=0,N392=""),"",N392/M392)</f>
        <v/>
      </c>
      <c r="P392" s="28" t="str">
        <f aca="false">IF(M392="","",IFERROR(IF(INDEX(Parámetros!$B$14:$B$21,MATCH(I392,Parámetros!$A$14:$A$21,0))="",Parámetros!$B$5,INDEX(Parámetros!$B$14:$B$21,MATCH(I392,Parámetros!$A$14:$A$21,0))),Parámetros!$B$5))</f>
        <v/>
      </c>
      <c r="Q392" s="29" t="str">
        <f aca="false">IF(O392="","",(O392-P392)*100)</f>
        <v/>
      </c>
      <c r="R392" s="30" t="str">
        <f aca="false">IF(O392="","",MAX(0,M392*(P392-O392)))</f>
        <v/>
      </c>
      <c r="S392" s="31" t="str">
        <f aca="false">IF(OR(L392="",L392=0,N392=""),"",N392/1000/L392)</f>
        <v/>
      </c>
      <c r="T392" s="27"/>
      <c r="U392" s="27"/>
      <c r="V392" s="27"/>
      <c r="W392" s="27"/>
      <c r="X392" s="27"/>
      <c r="Y392" s="27"/>
      <c r="Z392" s="27"/>
      <c r="AA392" s="25"/>
      <c r="AB392" s="27"/>
      <c r="AC392" s="30" t="str">
        <f aca="false">IF(M392="","",IF(AB392="",M392*Parámetros!$B$6,AB392))</f>
        <v/>
      </c>
      <c r="AD392" s="30" t="str">
        <f aca="false">IF(M392="","",SUM(T392:Z392)+AC392)</f>
        <v/>
      </c>
      <c r="AE392" s="30" t="str">
        <f aca="false">IF(OR(M392="",N392=""),"",M392-N392)</f>
        <v/>
      </c>
      <c r="AF392" s="30" t="str">
        <f aca="false">IF(AE392="","",AE392-AD392)</f>
        <v/>
      </c>
      <c r="AG392" s="28" t="str">
        <f aca="false">IF(OR(AF392="",M392=0),"",AF392/M392)</f>
        <v/>
      </c>
      <c r="AH392" s="32" t="str">
        <f aca="false">IF(OR(AE392="",N392=0),"",AE392/(N392/1000))</f>
        <v/>
      </c>
      <c r="AI392" s="30" t="str">
        <f aca="false">IF(O392="","",M392*P392)</f>
        <v/>
      </c>
      <c r="AJ392" s="11" t="str">
        <f aca="false">IF(O392="","",IF(O392&gt;1,"Error: rend &gt; 100 %",IF(SUM(T392:Z392)=0,"Falta registrar pérdidas",IF(ABS(AG392)&gt;Parámetros!$B$7,"Revisar balance",IF(O392&lt;P392,"Bajo meta","OK")))))</f>
        <v/>
      </c>
      <c r="AK392" s="33"/>
      <c r="AL392" s="10"/>
      <c r="AM392" s="33"/>
      <c r="AN392" s="33"/>
      <c r="AO392" s="10"/>
    </row>
    <row r="393" customFormat="false" ht="15" hidden="false" customHeight="false" outlineLevel="0" collapsed="false">
      <c r="A393" s="22"/>
      <c r="B393" s="23" t="str">
        <f aca="false">IF(A393="","",YEAR(A393-WEEKDAY(A393,2)+4))</f>
        <v/>
      </c>
      <c r="C393" s="23" t="str">
        <f aca="false">IF(A393="","",WEEKNUM(A393,21))</f>
        <v/>
      </c>
      <c r="D393" s="24" t="str">
        <f aca="false">IF(A393="","",DATE(YEAR(A393),MONTH(A393),1))</f>
        <v/>
      </c>
      <c r="E393" s="10"/>
      <c r="F393" s="25"/>
      <c r="G393" s="25"/>
      <c r="H393" s="10"/>
      <c r="I393" s="10"/>
      <c r="J393" s="26"/>
      <c r="K393" s="25"/>
      <c r="L393" s="26"/>
      <c r="M393" s="27"/>
      <c r="N393" s="27"/>
      <c r="O393" s="28" t="str">
        <f aca="false">IF(OR(M393="",M393=0,N393=""),"",N393/M393)</f>
        <v/>
      </c>
      <c r="P393" s="28" t="str">
        <f aca="false">IF(M393="","",IFERROR(IF(INDEX(Parámetros!$B$14:$B$21,MATCH(I393,Parámetros!$A$14:$A$21,0))="",Parámetros!$B$5,INDEX(Parámetros!$B$14:$B$21,MATCH(I393,Parámetros!$A$14:$A$21,0))),Parámetros!$B$5))</f>
        <v/>
      </c>
      <c r="Q393" s="29" t="str">
        <f aca="false">IF(O393="","",(O393-P393)*100)</f>
        <v/>
      </c>
      <c r="R393" s="30" t="str">
        <f aca="false">IF(O393="","",MAX(0,M393*(P393-O393)))</f>
        <v/>
      </c>
      <c r="S393" s="31" t="str">
        <f aca="false">IF(OR(L393="",L393=0,N393=""),"",N393/1000/L393)</f>
        <v/>
      </c>
      <c r="T393" s="27"/>
      <c r="U393" s="27"/>
      <c r="V393" s="27"/>
      <c r="W393" s="27"/>
      <c r="X393" s="27"/>
      <c r="Y393" s="27"/>
      <c r="Z393" s="27"/>
      <c r="AA393" s="25"/>
      <c r="AB393" s="27"/>
      <c r="AC393" s="30" t="str">
        <f aca="false">IF(M393="","",IF(AB393="",M393*Parámetros!$B$6,AB393))</f>
        <v/>
      </c>
      <c r="AD393" s="30" t="str">
        <f aca="false">IF(M393="","",SUM(T393:Z393)+AC393)</f>
        <v/>
      </c>
      <c r="AE393" s="30" t="str">
        <f aca="false">IF(OR(M393="",N393=""),"",M393-N393)</f>
        <v/>
      </c>
      <c r="AF393" s="30" t="str">
        <f aca="false">IF(AE393="","",AE393-AD393)</f>
        <v/>
      </c>
      <c r="AG393" s="28" t="str">
        <f aca="false">IF(OR(AF393="",M393=0),"",AF393/M393)</f>
        <v/>
      </c>
      <c r="AH393" s="32" t="str">
        <f aca="false">IF(OR(AE393="",N393=0),"",AE393/(N393/1000))</f>
        <v/>
      </c>
      <c r="AI393" s="30" t="str">
        <f aca="false">IF(O393="","",M393*P393)</f>
        <v/>
      </c>
      <c r="AJ393" s="11" t="str">
        <f aca="false">IF(O393="","",IF(O393&gt;1,"Error: rend &gt; 100 %",IF(SUM(T393:Z393)=0,"Falta registrar pérdidas",IF(ABS(AG393)&gt;Parámetros!$B$7,"Revisar balance",IF(O393&lt;P393,"Bajo meta","OK")))))</f>
        <v/>
      </c>
      <c r="AK393" s="33"/>
      <c r="AL393" s="10"/>
      <c r="AM393" s="33"/>
      <c r="AN393" s="33"/>
      <c r="AO393" s="10"/>
    </row>
    <row r="394" customFormat="false" ht="15" hidden="false" customHeight="false" outlineLevel="0" collapsed="false">
      <c r="A394" s="22"/>
      <c r="B394" s="23" t="str">
        <f aca="false">IF(A394="","",YEAR(A394-WEEKDAY(A394,2)+4))</f>
        <v/>
      </c>
      <c r="C394" s="23" t="str">
        <f aca="false">IF(A394="","",WEEKNUM(A394,21))</f>
        <v/>
      </c>
      <c r="D394" s="24" t="str">
        <f aca="false">IF(A394="","",DATE(YEAR(A394),MONTH(A394),1))</f>
        <v/>
      </c>
      <c r="E394" s="10"/>
      <c r="F394" s="25"/>
      <c r="G394" s="25"/>
      <c r="H394" s="10"/>
      <c r="I394" s="10"/>
      <c r="J394" s="26"/>
      <c r="K394" s="25"/>
      <c r="L394" s="26"/>
      <c r="M394" s="27"/>
      <c r="N394" s="27"/>
      <c r="O394" s="28" t="str">
        <f aca="false">IF(OR(M394="",M394=0,N394=""),"",N394/M394)</f>
        <v/>
      </c>
      <c r="P394" s="28" t="str">
        <f aca="false">IF(M394="","",IFERROR(IF(INDEX(Parámetros!$B$14:$B$21,MATCH(I394,Parámetros!$A$14:$A$21,0))="",Parámetros!$B$5,INDEX(Parámetros!$B$14:$B$21,MATCH(I394,Parámetros!$A$14:$A$21,0))),Parámetros!$B$5))</f>
        <v/>
      </c>
      <c r="Q394" s="29" t="str">
        <f aca="false">IF(O394="","",(O394-P394)*100)</f>
        <v/>
      </c>
      <c r="R394" s="30" t="str">
        <f aca="false">IF(O394="","",MAX(0,M394*(P394-O394)))</f>
        <v/>
      </c>
      <c r="S394" s="31" t="str">
        <f aca="false">IF(OR(L394="",L394=0,N394=""),"",N394/1000/L394)</f>
        <v/>
      </c>
      <c r="T394" s="27"/>
      <c r="U394" s="27"/>
      <c r="V394" s="27"/>
      <c r="W394" s="27"/>
      <c r="X394" s="27"/>
      <c r="Y394" s="27"/>
      <c r="Z394" s="27"/>
      <c r="AA394" s="25"/>
      <c r="AB394" s="27"/>
      <c r="AC394" s="30" t="str">
        <f aca="false">IF(M394="","",IF(AB394="",M394*Parámetros!$B$6,AB394))</f>
        <v/>
      </c>
      <c r="AD394" s="30" t="str">
        <f aca="false">IF(M394="","",SUM(T394:Z394)+AC394)</f>
        <v/>
      </c>
      <c r="AE394" s="30" t="str">
        <f aca="false">IF(OR(M394="",N394=""),"",M394-N394)</f>
        <v/>
      </c>
      <c r="AF394" s="30" t="str">
        <f aca="false">IF(AE394="","",AE394-AD394)</f>
        <v/>
      </c>
      <c r="AG394" s="28" t="str">
        <f aca="false">IF(OR(AF394="",M394=0),"",AF394/M394)</f>
        <v/>
      </c>
      <c r="AH394" s="32" t="str">
        <f aca="false">IF(OR(AE394="",N394=0),"",AE394/(N394/1000))</f>
        <v/>
      </c>
      <c r="AI394" s="30" t="str">
        <f aca="false">IF(O394="","",M394*P394)</f>
        <v/>
      </c>
      <c r="AJ394" s="11" t="str">
        <f aca="false">IF(O394="","",IF(O394&gt;1,"Error: rend &gt; 100 %",IF(SUM(T394:Z394)=0,"Falta registrar pérdidas",IF(ABS(AG394)&gt;Parámetros!$B$7,"Revisar balance",IF(O394&lt;P394,"Bajo meta","OK")))))</f>
        <v/>
      </c>
      <c r="AK394" s="33"/>
      <c r="AL394" s="10"/>
      <c r="AM394" s="33"/>
      <c r="AN394" s="33"/>
      <c r="AO394" s="10"/>
    </row>
    <row r="395" customFormat="false" ht="15" hidden="false" customHeight="false" outlineLevel="0" collapsed="false">
      <c r="A395" s="22"/>
      <c r="B395" s="23" t="str">
        <f aca="false">IF(A395="","",YEAR(A395-WEEKDAY(A395,2)+4))</f>
        <v/>
      </c>
      <c r="C395" s="23" t="str">
        <f aca="false">IF(A395="","",WEEKNUM(A395,21))</f>
        <v/>
      </c>
      <c r="D395" s="24" t="str">
        <f aca="false">IF(A395="","",DATE(YEAR(A395),MONTH(A395),1))</f>
        <v/>
      </c>
      <c r="E395" s="10"/>
      <c r="F395" s="25"/>
      <c r="G395" s="25"/>
      <c r="H395" s="10"/>
      <c r="I395" s="10"/>
      <c r="J395" s="26"/>
      <c r="K395" s="25"/>
      <c r="L395" s="26"/>
      <c r="M395" s="27"/>
      <c r="N395" s="27"/>
      <c r="O395" s="28" t="str">
        <f aca="false">IF(OR(M395="",M395=0,N395=""),"",N395/M395)</f>
        <v/>
      </c>
      <c r="P395" s="28" t="str">
        <f aca="false">IF(M395="","",IFERROR(IF(INDEX(Parámetros!$B$14:$B$21,MATCH(I395,Parámetros!$A$14:$A$21,0))="",Parámetros!$B$5,INDEX(Parámetros!$B$14:$B$21,MATCH(I395,Parámetros!$A$14:$A$21,0))),Parámetros!$B$5))</f>
        <v/>
      </c>
      <c r="Q395" s="29" t="str">
        <f aca="false">IF(O395="","",(O395-P395)*100)</f>
        <v/>
      </c>
      <c r="R395" s="30" t="str">
        <f aca="false">IF(O395="","",MAX(0,M395*(P395-O395)))</f>
        <v/>
      </c>
      <c r="S395" s="31" t="str">
        <f aca="false">IF(OR(L395="",L395=0,N395=""),"",N395/1000/L395)</f>
        <v/>
      </c>
      <c r="T395" s="27"/>
      <c r="U395" s="27"/>
      <c r="V395" s="27"/>
      <c r="W395" s="27"/>
      <c r="X395" s="27"/>
      <c r="Y395" s="27"/>
      <c r="Z395" s="27"/>
      <c r="AA395" s="25"/>
      <c r="AB395" s="27"/>
      <c r="AC395" s="30" t="str">
        <f aca="false">IF(M395="","",IF(AB395="",M395*Parámetros!$B$6,AB395))</f>
        <v/>
      </c>
      <c r="AD395" s="30" t="str">
        <f aca="false">IF(M395="","",SUM(T395:Z395)+AC395)</f>
        <v/>
      </c>
      <c r="AE395" s="30" t="str">
        <f aca="false">IF(OR(M395="",N395=""),"",M395-N395)</f>
        <v/>
      </c>
      <c r="AF395" s="30" t="str">
        <f aca="false">IF(AE395="","",AE395-AD395)</f>
        <v/>
      </c>
      <c r="AG395" s="28" t="str">
        <f aca="false">IF(OR(AF395="",M395=0),"",AF395/M395)</f>
        <v/>
      </c>
      <c r="AH395" s="32" t="str">
        <f aca="false">IF(OR(AE395="",N395=0),"",AE395/(N395/1000))</f>
        <v/>
      </c>
      <c r="AI395" s="30" t="str">
        <f aca="false">IF(O395="","",M395*P395)</f>
        <v/>
      </c>
      <c r="AJ395" s="11" t="str">
        <f aca="false">IF(O395="","",IF(O395&gt;1,"Error: rend &gt; 100 %",IF(SUM(T395:Z395)=0,"Falta registrar pérdidas",IF(ABS(AG395)&gt;Parámetros!$B$7,"Revisar balance",IF(O395&lt;P395,"Bajo meta","OK")))))</f>
        <v/>
      </c>
      <c r="AK395" s="33"/>
      <c r="AL395" s="10"/>
      <c r="AM395" s="33"/>
      <c r="AN395" s="33"/>
      <c r="AO395" s="10"/>
    </row>
    <row r="396" customFormat="false" ht="15" hidden="false" customHeight="false" outlineLevel="0" collapsed="false">
      <c r="A396" s="22"/>
      <c r="B396" s="23" t="str">
        <f aca="false">IF(A396="","",YEAR(A396-WEEKDAY(A396,2)+4))</f>
        <v/>
      </c>
      <c r="C396" s="23" t="str">
        <f aca="false">IF(A396="","",WEEKNUM(A396,21))</f>
        <v/>
      </c>
      <c r="D396" s="24" t="str">
        <f aca="false">IF(A396="","",DATE(YEAR(A396),MONTH(A396),1))</f>
        <v/>
      </c>
      <c r="E396" s="10"/>
      <c r="F396" s="25"/>
      <c r="G396" s="25"/>
      <c r="H396" s="10"/>
      <c r="I396" s="10"/>
      <c r="J396" s="26"/>
      <c r="K396" s="25"/>
      <c r="L396" s="26"/>
      <c r="M396" s="27"/>
      <c r="N396" s="27"/>
      <c r="O396" s="28" t="str">
        <f aca="false">IF(OR(M396="",M396=0,N396=""),"",N396/M396)</f>
        <v/>
      </c>
      <c r="P396" s="28" t="str">
        <f aca="false">IF(M396="","",IFERROR(IF(INDEX(Parámetros!$B$14:$B$21,MATCH(I396,Parámetros!$A$14:$A$21,0))="",Parámetros!$B$5,INDEX(Parámetros!$B$14:$B$21,MATCH(I396,Parámetros!$A$14:$A$21,0))),Parámetros!$B$5))</f>
        <v/>
      </c>
      <c r="Q396" s="29" t="str">
        <f aca="false">IF(O396="","",(O396-P396)*100)</f>
        <v/>
      </c>
      <c r="R396" s="30" t="str">
        <f aca="false">IF(O396="","",MAX(0,M396*(P396-O396)))</f>
        <v/>
      </c>
      <c r="S396" s="31" t="str">
        <f aca="false">IF(OR(L396="",L396=0,N396=""),"",N396/1000/L396)</f>
        <v/>
      </c>
      <c r="T396" s="27"/>
      <c r="U396" s="27"/>
      <c r="V396" s="27"/>
      <c r="W396" s="27"/>
      <c r="X396" s="27"/>
      <c r="Y396" s="27"/>
      <c r="Z396" s="27"/>
      <c r="AA396" s="25"/>
      <c r="AB396" s="27"/>
      <c r="AC396" s="30" t="str">
        <f aca="false">IF(M396="","",IF(AB396="",M396*Parámetros!$B$6,AB396))</f>
        <v/>
      </c>
      <c r="AD396" s="30" t="str">
        <f aca="false">IF(M396="","",SUM(T396:Z396)+AC396)</f>
        <v/>
      </c>
      <c r="AE396" s="30" t="str">
        <f aca="false">IF(OR(M396="",N396=""),"",M396-N396)</f>
        <v/>
      </c>
      <c r="AF396" s="30" t="str">
        <f aca="false">IF(AE396="","",AE396-AD396)</f>
        <v/>
      </c>
      <c r="AG396" s="28" t="str">
        <f aca="false">IF(OR(AF396="",M396=0),"",AF396/M396)</f>
        <v/>
      </c>
      <c r="AH396" s="32" t="str">
        <f aca="false">IF(OR(AE396="",N396=0),"",AE396/(N396/1000))</f>
        <v/>
      </c>
      <c r="AI396" s="30" t="str">
        <f aca="false">IF(O396="","",M396*P396)</f>
        <v/>
      </c>
      <c r="AJ396" s="11" t="str">
        <f aca="false">IF(O396="","",IF(O396&gt;1,"Error: rend &gt; 100 %",IF(SUM(T396:Z396)=0,"Falta registrar pérdidas",IF(ABS(AG396)&gt;Parámetros!$B$7,"Revisar balance",IF(O396&lt;P396,"Bajo meta","OK")))))</f>
        <v/>
      </c>
      <c r="AK396" s="33"/>
      <c r="AL396" s="10"/>
      <c r="AM396" s="33"/>
      <c r="AN396" s="33"/>
      <c r="AO396" s="10"/>
    </row>
    <row r="397" customFormat="false" ht="15" hidden="false" customHeight="false" outlineLevel="0" collapsed="false">
      <c r="A397" s="22"/>
      <c r="B397" s="23" t="str">
        <f aca="false">IF(A397="","",YEAR(A397-WEEKDAY(A397,2)+4))</f>
        <v/>
      </c>
      <c r="C397" s="23" t="str">
        <f aca="false">IF(A397="","",WEEKNUM(A397,21))</f>
        <v/>
      </c>
      <c r="D397" s="24" t="str">
        <f aca="false">IF(A397="","",DATE(YEAR(A397),MONTH(A397),1))</f>
        <v/>
      </c>
      <c r="E397" s="10"/>
      <c r="F397" s="25"/>
      <c r="G397" s="25"/>
      <c r="H397" s="10"/>
      <c r="I397" s="10"/>
      <c r="J397" s="26"/>
      <c r="K397" s="25"/>
      <c r="L397" s="26"/>
      <c r="M397" s="27"/>
      <c r="N397" s="27"/>
      <c r="O397" s="28" t="str">
        <f aca="false">IF(OR(M397="",M397=0,N397=""),"",N397/M397)</f>
        <v/>
      </c>
      <c r="P397" s="28" t="str">
        <f aca="false">IF(M397="","",IFERROR(IF(INDEX(Parámetros!$B$14:$B$21,MATCH(I397,Parámetros!$A$14:$A$21,0))="",Parámetros!$B$5,INDEX(Parámetros!$B$14:$B$21,MATCH(I397,Parámetros!$A$14:$A$21,0))),Parámetros!$B$5))</f>
        <v/>
      </c>
      <c r="Q397" s="29" t="str">
        <f aca="false">IF(O397="","",(O397-P397)*100)</f>
        <v/>
      </c>
      <c r="R397" s="30" t="str">
        <f aca="false">IF(O397="","",MAX(0,M397*(P397-O397)))</f>
        <v/>
      </c>
      <c r="S397" s="31" t="str">
        <f aca="false">IF(OR(L397="",L397=0,N397=""),"",N397/1000/L397)</f>
        <v/>
      </c>
      <c r="T397" s="27"/>
      <c r="U397" s="27"/>
      <c r="V397" s="27"/>
      <c r="W397" s="27"/>
      <c r="X397" s="27"/>
      <c r="Y397" s="27"/>
      <c r="Z397" s="27"/>
      <c r="AA397" s="25"/>
      <c r="AB397" s="27"/>
      <c r="AC397" s="30" t="str">
        <f aca="false">IF(M397="","",IF(AB397="",M397*Parámetros!$B$6,AB397))</f>
        <v/>
      </c>
      <c r="AD397" s="30" t="str">
        <f aca="false">IF(M397="","",SUM(T397:Z397)+AC397)</f>
        <v/>
      </c>
      <c r="AE397" s="30" t="str">
        <f aca="false">IF(OR(M397="",N397=""),"",M397-N397)</f>
        <v/>
      </c>
      <c r="AF397" s="30" t="str">
        <f aca="false">IF(AE397="","",AE397-AD397)</f>
        <v/>
      </c>
      <c r="AG397" s="28" t="str">
        <f aca="false">IF(OR(AF397="",M397=0),"",AF397/M397)</f>
        <v/>
      </c>
      <c r="AH397" s="32" t="str">
        <f aca="false">IF(OR(AE397="",N397=0),"",AE397/(N397/1000))</f>
        <v/>
      </c>
      <c r="AI397" s="30" t="str">
        <f aca="false">IF(O397="","",M397*P397)</f>
        <v/>
      </c>
      <c r="AJ397" s="11" t="str">
        <f aca="false">IF(O397="","",IF(O397&gt;1,"Error: rend &gt; 100 %",IF(SUM(T397:Z397)=0,"Falta registrar pérdidas",IF(ABS(AG397)&gt;Parámetros!$B$7,"Revisar balance",IF(O397&lt;P397,"Bajo meta","OK")))))</f>
        <v/>
      </c>
      <c r="AK397" s="33"/>
      <c r="AL397" s="10"/>
      <c r="AM397" s="33"/>
      <c r="AN397" s="33"/>
      <c r="AO397" s="10"/>
    </row>
    <row r="398" customFormat="false" ht="15" hidden="false" customHeight="false" outlineLevel="0" collapsed="false">
      <c r="A398" s="22"/>
      <c r="B398" s="23" t="str">
        <f aca="false">IF(A398="","",YEAR(A398-WEEKDAY(A398,2)+4))</f>
        <v/>
      </c>
      <c r="C398" s="23" t="str">
        <f aca="false">IF(A398="","",WEEKNUM(A398,21))</f>
        <v/>
      </c>
      <c r="D398" s="24" t="str">
        <f aca="false">IF(A398="","",DATE(YEAR(A398),MONTH(A398),1))</f>
        <v/>
      </c>
      <c r="E398" s="10"/>
      <c r="F398" s="25"/>
      <c r="G398" s="25"/>
      <c r="H398" s="10"/>
      <c r="I398" s="10"/>
      <c r="J398" s="26"/>
      <c r="K398" s="25"/>
      <c r="L398" s="26"/>
      <c r="M398" s="27"/>
      <c r="N398" s="27"/>
      <c r="O398" s="28" t="str">
        <f aca="false">IF(OR(M398="",M398=0,N398=""),"",N398/M398)</f>
        <v/>
      </c>
      <c r="P398" s="28" t="str">
        <f aca="false">IF(M398="","",IFERROR(IF(INDEX(Parámetros!$B$14:$B$21,MATCH(I398,Parámetros!$A$14:$A$21,0))="",Parámetros!$B$5,INDEX(Parámetros!$B$14:$B$21,MATCH(I398,Parámetros!$A$14:$A$21,0))),Parámetros!$B$5))</f>
        <v/>
      </c>
      <c r="Q398" s="29" t="str">
        <f aca="false">IF(O398="","",(O398-P398)*100)</f>
        <v/>
      </c>
      <c r="R398" s="30" t="str">
        <f aca="false">IF(O398="","",MAX(0,M398*(P398-O398)))</f>
        <v/>
      </c>
      <c r="S398" s="31" t="str">
        <f aca="false">IF(OR(L398="",L398=0,N398=""),"",N398/1000/L398)</f>
        <v/>
      </c>
      <c r="T398" s="27"/>
      <c r="U398" s="27"/>
      <c r="V398" s="27"/>
      <c r="W398" s="27"/>
      <c r="X398" s="27"/>
      <c r="Y398" s="27"/>
      <c r="Z398" s="27"/>
      <c r="AA398" s="25"/>
      <c r="AB398" s="27"/>
      <c r="AC398" s="30" t="str">
        <f aca="false">IF(M398="","",IF(AB398="",M398*Parámetros!$B$6,AB398))</f>
        <v/>
      </c>
      <c r="AD398" s="30" t="str">
        <f aca="false">IF(M398="","",SUM(T398:Z398)+AC398)</f>
        <v/>
      </c>
      <c r="AE398" s="30" t="str">
        <f aca="false">IF(OR(M398="",N398=""),"",M398-N398)</f>
        <v/>
      </c>
      <c r="AF398" s="30" t="str">
        <f aca="false">IF(AE398="","",AE398-AD398)</f>
        <v/>
      </c>
      <c r="AG398" s="28" t="str">
        <f aca="false">IF(OR(AF398="",M398=0),"",AF398/M398)</f>
        <v/>
      </c>
      <c r="AH398" s="32" t="str">
        <f aca="false">IF(OR(AE398="",N398=0),"",AE398/(N398/1000))</f>
        <v/>
      </c>
      <c r="AI398" s="30" t="str">
        <f aca="false">IF(O398="","",M398*P398)</f>
        <v/>
      </c>
      <c r="AJ398" s="11" t="str">
        <f aca="false">IF(O398="","",IF(O398&gt;1,"Error: rend &gt; 100 %",IF(SUM(T398:Z398)=0,"Falta registrar pérdidas",IF(ABS(AG398)&gt;Parámetros!$B$7,"Revisar balance",IF(O398&lt;P398,"Bajo meta","OK")))))</f>
        <v/>
      </c>
      <c r="AK398" s="33"/>
      <c r="AL398" s="10"/>
      <c r="AM398" s="33"/>
      <c r="AN398" s="33"/>
      <c r="AO398" s="10"/>
    </row>
    <row r="399" customFormat="false" ht="15" hidden="false" customHeight="false" outlineLevel="0" collapsed="false">
      <c r="A399" s="22"/>
      <c r="B399" s="23" t="str">
        <f aca="false">IF(A399="","",YEAR(A399-WEEKDAY(A399,2)+4))</f>
        <v/>
      </c>
      <c r="C399" s="23" t="str">
        <f aca="false">IF(A399="","",WEEKNUM(A399,21))</f>
        <v/>
      </c>
      <c r="D399" s="24" t="str">
        <f aca="false">IF(A399="","",DATE(YEAR(A399),MONTH(A399),1))</f>
        <v/>
      </c>
      <c r="E399" s="10"/>
      <c r="F399" s="25"/>
      <c r="G399" s="25"/>
      <c r="H399" s="10"/>
      <c r="I399" s="10"/>
      <c r="J399" s="26"/>
      <c r="K399" s="25"/>
      <c r="L399" s="26"/>
      <c r="M399" s="27"/>
      <c r="N399" s="27"/>
      <c r="O399" s="28" t="str">
        <f aca="false">IF(OR(M399="",M399=0,N399=""),"",N399/M399)</f>
        <v/>
      </c>
      <c r="P399" s="28" t="str">
        <f aca="false">IF(M399="","",IFERROR(IF(INDEX(Parámetros!$B$14:$B$21,MATCH(I399,Parámetros!$A$14:$A$21,0))="",Parámetros!$B$5,INDEX(Parámetros!$B$14:$B$21,MATCH(I399,Parámetros!$A$14:$A$21,0))),Parámetros!$B$5))</f>
        <v/>
      </c>
      <c r="Q399" s="29" t="str">
        <f aca="false">IF(O399="","",(O399-P399)*100)</f>
        <v/>
      </c>
      <c r="R399" s="30" t="str">
        <f aca="false">IF(O399="","",MAX(0,M399*(P399-O399)))</f>
        <v/>
      </c>
      <c r="S399" s="31" t="str">
        <f aca="false">IF(OR(L399="",L399=0,N399=""),"",N399/1000/L399)</f>
        <v/>
      </c>
      <c r="T399" s="27"/>
      <c r="U399" s="27"/>
      <c r="V399" s="27"/>
      <c r="W399" s="27"/>
      <c r="X399" s="27"/>
      <c r="Y399" s="27"/>
      <c r="Z399" s="27"/>
      <c r="AA399" s="25"/>
      <c r="AB399" s="27"/>
      <c r="AC399" s="30" t="str">
        <f aca="false">IF(M399="","",IF(AB399="",M399*Parámetros!$B$6,AB399))</f>
        <v/>
      </c>
      <c r="AD399" s="30" t="str">
        <f aca="false">IF(M399="","",SUM(T399:Z399)+AC399)</f>
        <v/>
      </c>
      <c r="AE399" s="30" t="str">
        <f aca="false">IF(OR(M399="",N399=""),"",M399-N399)</f>
        <v/>
      </c>
      <c r="AF399" s="30" t="str">
        <f aca="false">IF(AE399="","",AE399-AD399)</f>
        <v/>
      </c>
      <c r="AG399" s="28" t="str">
        <f aca="false">IF(OR(AF399="",M399=0),"",AF399/M399)</f>
        <v/>
      </c>
      <c r="AH399" s="32" t="str">
        <f aca="false">IF(OR(AE399="",N399=0),"",AE399/(N399/1000))</f>
        <v/>
      </c>
      <c r="AI399" s="30" t="str">
        <f aca="false">IF(O399="","",M399*P399)</f>
        <v/>
      </c>
      <c r="AJ399" s="11" t="str">
        <f aca="false">IF(O399="","",IF(O399&gt;1,"Error: rend &gt; 100 %",IF(SUM(T399:Z399)=0,"Falta registrar pérdidas",IF(ABS(AG399)&gt;Parámetros!$B$7,"Revisar balance",IF(O399&lt;P399,"Bajo meta","OK")))))</f>
        <v/>
      </c>
      <c r="AK399" s="33"/>
      <c r="AL399" s="10"/>
      <c r="AM399" s="33"/>
      <c r="AN399" s="33"/>
      <c r="AO399" s="10"/>
    </row>
    <row r="400" customFormat="false" ht="15" hidden="false" customHeight="false" outlineLevel="0" collapsed="false">
      <c r="A400" s="22"/>
      <c r="B400" s="23" t="str">
        <f aca="false">IF(A400="","",YEAR(A400-WEEKDAY(A400,2)+4))</f>
        <v/>
      </c>
      <c r="C400" s="23" t="str">
        <f aca="false">IF(A400="","",WEEKNUM(A400,21))</f>
        <v/>
      </c>
      <c r="D400" s="24" t="str">
        <f aca="false">IF(A400="","",DATE(YEAR(A400),MONTH(A400),1))</f>
        <v/>
      </c>
      <c r="E400" s="10"/>
      <c r="F400" s="25"/>
      <c r="G400" s="25"/>
      <c r="H400" s="10"/>
      <c r="I400" s="10"/>
      <c r="J400" s="26"/>
      <c r="K400" s="25"/>
      <c r="L400" s="26"/>
      <c r="M400" s="27"/>
      <c r="N400" s="27"/>
      <c r="O400" s="28" t="str">
        <f aca="false">IF(OR(M400="",M400=0,N400=""),"",N400/M400)</f>
        <v/>
      </c>
      <c r="P400" s="28" t="str">
        <f aca="false">IF(M400="","",IFERROR(IF(INDEX(Parámetros!$B$14:$B$21,MATCH(I400,Parámetros!$A$14:$A$21,0))="",Parámetros!$B$5,INDEX(Parámetros!$B$14:$B$21,MATCH(I400,Parámetros!$A$14:$A$21,0))),Parámetros!$B$5))</f>
        <v/>
      </c>
      <c r="Q400" s="29" t="str">
        <f aca="false">IF(O400="","",(O400-P400)*100)</f>
        <v/>
      </c>
      <c r="R400" s="30" t="str">
        <f aca="false">IF(O400="","",MAX(0,M400*(P400-O400)))</f>
        <v/>
      </c>
      <c r="S400" s="31" t="str">
        <f aca="false">IF(OR(L400="",L400=0,N400=""),"",N400/1000/L400)</f>
        <v/>
      </c>
      <c r="T400" s="27"/>
      <c r="U400" s="27"/>
      <c r="V400" s="27"/>
      <c r="W400" s="27"/>
      <c r="X400" s="27"/>
      <c r="Y400" s="27"/>
      <c r="Z400" s="27"/>
      <c r="AA400" s="25"/>
      <c r="AB400" s="27"/>
      <c r="AC400" s="30" t="str">
        <f aca="false">IF(M400="","",IF(AB400="",M400*Parámetros!$B$6,AB400))</f>
        <v/>
      </c>
      <c r="AD400" s="30" t="str">
        <f aca="false">IF(M400="","",SUM(T400:Z400)+AC400)</f>
        <v/>
      </c>
      <c r="AE400" s="30" t="str">
        <f aca="false">IF(OR(M400="",N400=""),"",M400-N400)</f>
        <v/>
      </c>
      <c r="AF400" s="30" t="str">
        <f aca="false">IF(AE400="","",AE400-AD400)</f>
        <v/>
      </c>
      <c r="AG400" s="28" t="str">
        <f aca="false">IF(OR(AF400="",M400=0),"",AF400/M400)</f>
        <v/>
      </c>
      <c r="AH400" s="32" t="str">
        <f aca="false">IF(OR(AE400="",N400=0),"",AE400/(N400/1000))</f>
        <v/>
      </c>
      <c r="AI400" s="30" t="str">
        <f aca="false">IF(O400="","",M400*P400)</f>
        <v/>
      </c>
      <c r="AJ400" s="11" t="str">
        <f aca="false">IF(O400="","",IF(O400&gt;1,"Error: rend &gt; 100 %",IF(SUM(T400:Z400)=0,"Falta registrar pérdidas",IF(ABS(AG400)&gt;Parámetros!$B$7,"Revisar balance",IF(O400&lt;P400,"Bajo meta","OK")))))</f>
        <v/>
      </c>
      <c r="AK400" s="33"/>
      <c r="AL400" s="10"/>
      <c r="AM400" s="33"/>
      <c r="AN400" s="33"/>
      <c r="AO400" s="10"/>
    </row>
    <row r="401" customFormat="false" ht="15" hidden="false" customHeight="false" outlineLevel="0" collapsed="false">
      <c r="A401" s="22"/>
      <c r="B401" s="23" t="str">
        <f aca="false">IF(A401="","",YEAR(A401-WEEKDAY(A401,2)+4))</f>
        <v/>
      </c>
      <c r="C401" s="23" t="str">
        <f aca="false">IF(A401="","",WEEKNUM(A401,21))</f>
        <v/>
      </c>
      <c r="D401" s="24" t="str">
        <f aca="false">IF(A401="","",DATE(YEAR(A401),MONTH(A401),1))</f>
        <v/>
      </c>
      <c r="E401" s="10"/>
      <c r="F401" s="25"/>
      <c r="G401" s="25"/>
      <c r="H401" s="10"/>
      <c r="I401" s="10"/>
      <c r="J401" s="26"/>
      <c r="K401" s="25"/>
      <c r="L401" s="26"/>
      <c r="M401" s="27"/>
      <c r="N401" s="27"/>
      <c r="O401" s="28" t="str">
        <f aca="false">IF(OR(M401="",M401=0,N401=""),"",N401/M401)</f>
        <v/>
      </c>
      <c r="P401" s="28" t="str">
        <f aca="false">IF(M401="","",IFERROR(IF(INDEX(Parámetros!$B$14:$B$21,MATCH(I401,Parámetros!$A$14:$A$21,0))="",Parámetros!$B$5,INDEX(Parámetros!$B$14:$B$21,MATCH(I401,Parámetros!$A$14:$A$21,0))),Parámetros!$B$5))</f>
        <v/>
      </c>
      <c r="Q401" s="29" t="str">
        <f aca="false">IF(O401="","",(O401-P401)*100)</f>
        <v/>
      </c>
      <c r="R401" s="30" t="str">
        <f aca="false">IF(O401="","",MAX(0,M401*(P401-O401)))</f>
        <v/>
      </c>
      <c r="S401" s="31" t="str">
        <f aca="false">IF(OR(L401="",L401=0,N401=""),"",N401/1000/L401)</f>
        <v/>
      </c>
      <c r="T401" s="27"/>
      <c r="U401" s="27"/>
      <c r="V401" s="27"/>
      <c r="W401" s="27"/>
      <c r="X401" s="27"/>
      <c r="Y401" s="27"/>
      <c r="Z401" s="27"/>
      <c r="AA401" s="25"/>
      <c r="AB401" s="27"/>
      <c r="AC401" s="30" t="str">
        <f aca="false">IF(M401="","",IF(AB401="",M401*Parámetros!$B$6,AB401))</f>
        <v/>
      </c>
      <c r="AD401" s="30" t="str">
        <f aca="false">IF(M401="","",SUM(T401:Z401)+AC401)</f>
        <v/>
      </c>
      <c r="AE401" s="30" t="str">
        <f aca="false">IF(OR(M401="",N401=""),"",M401-N401)</f>
        <v/>
      </c>
      <c r="AF401" s="30" t="str">
        <f aca="false">IF(AE401="","",AE401-AD401)</f>
        <v/>
      </c>
      <c r="AG401" s="28" t="str">
        <f aca="false">IF(OR(AF401="",M401=0),"",AF401/M401)</f>
        <v/>
      </c>
      <c r="AH401" s="32" t="str">
        <f aca="false">IF(OR(AE401="",N401=0),"",AE401/(N401/1000))</f>
        <v/>
      </c>
      <c r="AI401" s="30" t="str">
        <f aca="false">IF(O401="","",M401*P401)</f>
        <v/>
      </c>
      <c r="AJ401" s="11" t="str">
        <f aca="false">IF(O401="","",IF(O401&gt;1,"Error: rend &gt; 100 %",IF(SUM(T401:Z401)=0,"Falta registrar pérdidas",IF(ABS(AG401)&gt;Parámetros!$B$7,"Revisar balance",IF(O401&lt;P401,"Bajo meta","OK")))))</f>
        <v/>
      </c>
      <c r="AK401" s="33"/>
      <c r="AL401" s="10"/>
      <c r="AM401" s="33"/>
      <c r="AN401" s="33"/>
      <c r="AO401" s="10"/>
    </row>
    <row r="402" customFormat="false" ht="15" hidden="false" customHeight="false" outlineLevel="0" collapsed="false">
      <c r="A402" s="22"/>
      <c r="B402" s="23" t="str">
        <f aca="false">IF(A402="","",YEAR(A402-WEEKDAY(A402,2)+4))</f>
        <v/>
      </c>
      <c r="C402" s="23" t="str">
        <f aca="false">IF(A402="","",WEEKNUM(A402,21))</f>
        <v/>
      </c>
      <c r="D402" s="24" t="str">
        <f aca="false">IF(A402="","",DATE(YEAR(A402),MONTH(A402),1))</f>
        <v/>
      </c>
      <c r="E402" s="10"/>
      <c r="F402" s="25"/>
      <c r="G402" s="25"/>
      <c r="H402" s="10"/>
      <c r="I402" s="10"/>
      <c r="J402" s="26"/>
      <c r="K402" s="25"/>
      <c r="L402" s="26"/>
      <c r="M402" s="27"/>
      <c r="N402" s="27"/>
      <c r="O402" s="28" t="str">
        <f aca="false">IF(OR(M402="",M402=0,N402=""),"",N402/M402)</f>
        <v/>
      </c>
      <c r="P402" s="28" t="str">
        <f aca="false">IF(M402="","",IFERROR(IF(INDEX(Parámetros!$B$14:$B$21,MATCH(I402,Parámetros!$A$14:$A$21,0))="",Parámetros!$B$5,INDEX(Parámetros!$B$14:$B$21,MATCH(I402,Parámetros!$A$14:$A$21,0))),Parámetros!$B$5))</f>
        <v/>
      </c>
      <c r="Q402" s="29" t="str">
        <f aca="false">IF(O402="","",(O402-P402)*100)</f>
        <v/>
      </c>
      <c r="R402" s="30" t="str">
        <f aca="false">IF(O402="","",MAX(0,M402*(P402-O402)))</f>
        <v/>
      </c>
      <c r="S402" s="31" t="str">
        <f aca="false">IF(OR(L402="",L402=0,N402=""),"",N402/1000/L402)</f>
        <v/>
      </c>
      <c r="T402" s="27"/>
      <c r="U402" s="27"/>
      <c r="V402" s="27"/>
      <c r="W402" s="27"/>
      <c r="X402" s="27"/>
      <c r="Y402" s="27"/>
      <c r="Z402" s="27"/>
      <c r="AA402" s="25"/>
      <c r="AB402" s="27"/>
      <c r="AC402" s="30" t="str">
        <f aca="false">IF(M402="","",IF(AB402="",M402*Parámetros!$B$6,AB402))</f>
        <v/>
      </c>
      <c r="AD402" s="30" t="str">
        <f aca="false">IF(M402="","",SUM(T402:Z402)+AC402)</f>
        <v/>
      </c>
      <c r="AE402" s="30" t="str">
        <f aca="false">IF(OR(M402="",N402=""),"",M402-N402)</f>
        <v/>
      </c>
      <c r="AF402" s="30" t="str">
        <f aca="false">IF(AE402="","",AE402-AD402)</f>
        <v/>
      </c>
      <c r="AG402" s="28" t="str">
        <f aca="false">IF(OR(AF402="",M402=0),"",AF402/M402)</f>
        <v/>
      </c>
      <c r="AH402" s="32" t="str">
        <f aca="false">IF(OR(AE402="",N402=0),"",AE402/(N402/1000))</f>
        <v/>
      </c>
      <c r="AI402" s="30" t="str">
        <f aca="false">IF(O402="","",M402*P402)</f>
        <v/>
      </c>
      <c r="AJ402" s="11" t="str">
        <f aca="false">IF(O402="","",IF(O402&gt;1,"Error: rend &gt; 100 %",IF(SUM(T402:Z402)=0,"Falta registrar pérdidas",IF(ABS(AG402)&gt;Parámetros!$B$7,"Revisar balance",IF(O402&lt;P402,"Bajo meta","OK")))))</f>
        <v/>
      </c>
      <c r="AK402" s="33"/>
      <c r="AL402" s="10"/>
      <c r="AM402" s="33"/>
      <c r="AN402" s="33"/>
      <c r="AO402" s="10"/>
    </row>
    <row r="403" customFormat="false" ht="15" hidden="false" customHeight="false" outlineLevel="0" collapsed="false">
      <c r="A403" s="22"/>
      <c r="B403" s="23" t="str">
        <f aca="false">IF(A403="","",YEAR(A403-WEEKDAY(A403,2)+4))</f>
        <v/>
      </c>
      <c r="C403" s="23" t="str">
        <f aca="false">IF(A403="","",WEEKNUM(A403,21))</f>
        <v/>
      </c>
      <c r="D403" s="24" t="str">
        <f aca="false">IF(A403="","",DATE(YEAR(A403),MONTH(A403),1))</f>
        <v/>
      </c>
      <c r="E403" s="10"/>
      <c r="F403" s="25"/>
      <c r="G403" s="25"/>
      <c r="H403" s="10"/>
      <c r="I403" s="10"/>
      <c r="J403" s="26"/>
      <c r="K403" s="25"/>
      <c r="L403" s="26"/>
      <c r="M403" s="27"/>
      <c r="N403" s="27"/>
      <c r="O403" s="28" t="str">
        <f aca="false">IF(OR(M403="",M403=0,N403=""),"",N403/M403)</f>
        <v/>
      </c>
      <c r="P403" s="28" t="str">
        <f aca="false">IF(M403="","",IFERROR(IF(INDEX(Parámetros!$B$14:$B$21,MATCH(I403,Parámetros!$A$14:$A$21,0))="",Parámetros!$B$5,INDEX(Parámetros!$B$14:$B$21,MATCH(I403,Parámetros!$A$14:$A$21,0))),Parámetros!$B$5))</f>
        <v/>
      </c>
      <c r="Q403" s="29" t="str">
        <f aca="false">IF(O403="","",(O403-P403)*100)</f>
        <v/>
      </c>
      <c r="R403" s="30" t="str">
        <f aca="false">IF(O403="","",MAX(0,M403*(P403-O403)))</f>
        <v/>
      </c>
      <c r="S403" s="31" t="str">
        <f aca="false">IF(OR(L403="",L403=0,N403=""),"",N403/1000/L403)</f>
        <v/>
      </c>
      <c r="T403" s="27"/>
      <c r="U403" s="27"/>
      <c r="V403" s="27"/>
      <c r="W403" s="27"/>
      <c r="X403" s="27"/>
      <c r="Y403" s="27"/>
      <c r="Z403" s="27"/>
      <c r="AA403" s="25"/>
      <c r="AB403" s="27"/>
      <c r="AC403" s="30" t="str">
        <f aca="false">IF(M403="","",IF(AB403="",M403*Parámetros!$B$6,AB403))</f>
        <v/>
      </c>
      <c r="AD403" s="30" t="str">
        <f aca="false">IF(M403="","",SUM(T403:Z403)+AC403)</f>
        <v/>
      </c>
      <c r="AE403" s="30" t="str">
        <f aca="false">IF(OR(M403="",N403=""),"",M403-N403)</f>
        <v/>
      </c>
      <c r="AF403" s="30" t="str">
        <f aca="false">IF(AE403="","",AE403-AD403)</f>
        <v/>
      </c>
      <c r="AG403" s="28" t="str">
        <f aca="false">IF(OR(AF403="",M403=0),"",AF403/M403)</f>
        <v/>
      </c>
      <c r="AH403" s="32" t="str">
        <f aca="false">IF(OR(AE403="",N403=0),"",AE403/(N403/1000))</f>
        <v/>
      </c>
      <c r="AI403" s="30" t="str">
        <f aca="false">IF(O403="","",M403*P403)</f>
        <v/>
      </c>
      <c r="AJ403" s="11" t="str">
        <f aca="false">IF(O403="","",IF(O403&gt;1,"Error: rend &gt; 100 %",IF(SUM(T403:Z403)=0,"Falta registrar pérdidas",IF(ABS(AG403)&gt;Parámetros!$B$7,"Revisar balance",IF(O403&lt;P403,"Bajo meta","OK")))))</f>
        <v/>
      </c>
      <c r="AK403" s="33"/>
      <c r="AL403" s="10"/>
      <c r="AM403" s="33"/>
      <c r="AN403" s="33"/>
      <c r="AO403" s="10"/>
    </row>
    <row r="404" customFormat="false" ht="15" hidden="false" customHeight="false" outlineLevel="0" collapsed="false">
      <c r="A404" s="22"/>
      <c r="B404" s="23" t="str">
        <f aca="false">IF(A404="","",YEAR(A404-WEEKDAY(A404,2)+4))</f>
        <v/>
      </c>
      <c r="C404" s="23" t="str">
        <f aca="false">IF(A404="","",WEEKNUM(A404,21))</f>
        <v/>
      </c>
      <c r="D404" s="24" t="str">
        <f aca="false">IF(A404="","",DATE(YEAR(A404),MONTH(A404),1))</f>
        <v/>
      </c>
      <c r="E404" s="10"/>
      <c r="F404" s="25"/>
      <c r="G404" s="25"/>
      <c r="H404" s="10"/>
      <c r="I404" s="10"/>
      <c r="J404" s="26"/>
      <c r="K404" s="25"/>
      <c r="L404" s="26"/>
      <c r="M404" s="27"/>
      <c r="N404" s="27"/>
      <c r="O404" s="28" t="str">
        <f aca="false">IF(OR(M404="",M404=0,N404=""),"",N404/M404)</f>
        <v/>
      </c>
      <c r="P404" s="28" t="str">
        <f aca="false">IF(M404="","",IFERROR(IF(INDEX(Parámetros!$B$14:$B$21,MATCH(I404,Parámetros!$A$14:$A$21,0))="",Parámetros!$B$5,INDEX(Parámetros!$B$14:$B$21,MATCH(I404,Parámetros!$A$14:$A$21,0))),Parámetros!$B$5))</f>
        <v/>
      </c>
      <c r="Q404" s="29" t="str">
        <f aca="false">IF(O404="","",(O404-P404)*100)</f>
        <v/>
      </c>
      <c r="R404" s="30" t="str">
        <f aca="false">IF(O404="","",MAX(0,M404*(P404-O404)))</f>
        <v/>
      </c>
      <c r="S404" s="31" t="str">
        <f aca="false">IF(OR(L404="",L404=0,N404=""),"",N404/1000/L404)</f>
        <v/>
      </c>
      <c r="T404" s="27"/>
      <c r="U404" s="27"/>
      <c r="V404" s="27"/>
      <c r="W404" s="27"/>
      <c r="X404" s="27"/>
      <c r="Y404" s="27"/>
      <c r="Z404" s="27"/>
      <c r="AA404" s="25"/>
      <c r="AB404" s="27"/>
      <c r="AC404" s="30" t="str">
        <f aca="false">IF(M404="","",IF(AB404="",M404*Parámetros!$B$6,AB404))</f>
        <v/>
      </c>
      <c r="AD404" s="30" t="str">
        <f aca="false">IF(M404="","",SUM(T404:Z404)+AC404)</f>
        <v/>
      </c>
      <c r="AE404" s="30" t="str">
        <f aca="false">IF(OR(M404="",N404=""),"",M404-N404)</f>
        <v/>
      </c>
      <c r="AF404" s="30" t="str">
        <f aca="false">IF(AE404="","",AE404-AD404)</f>
        <v/>
      </c>
      <c r="AG404" s="28" t="str">
        <f aca="false">IF(OR(AF404="",M404=0),"",AF404/M404)</f>
        <v/>
      </c>
      <c r="AH404" s="32" t="str">
        <f aca="false">IF(OR(AE404="",N404=0),"",AE404/(N404/1000))</f>
        <v/>
      </c>
      <c r="AI404" s="30" t="str">
        <f aca="false">IF(O404="","",M404*P404)</f>
        <v/>
      </c>
      <c r="AJ404" s="11" t="str">
        <f aca="false">IF(O404="","",IF(O404&gt;1,"Error: rend &gt; 100 %",IF(SUM(T404:Z404)=0,"Falta registrar pérdidas",IF(ABS(AG404)&gt;Parámetros!$B$7,"Revisar balance",IF(O404&lt;P404,"Bajo meta","OK")))))</f>
        <v/>
      </c>
      <c r="AK404" s="33"/>
      <c r="AL404" s="10"/>
      <c r="AM404" s="33"/>
      <c r="AN404" s="33"/>
      <c r="AO404" s="10"/>
    </row>
    <row r="405" customFormat="false" ht="15" hidden="false" customHeight="false" outlineLevel="0" collapsed="false">
      <c r="A405" s="22"/>
      <c r="B405" s="23" t="str">
        <f aca="false">IF(A405="","",YEAR(A405-WEEKDAY(A405,2)+4))</f>
        <v/>
      </c>
      <c r="C405" s="23" t="str">
        <f aca="false">IF(A405="","",WEEKNUM(A405,21))</f>
        <v/>
      </c>
      <c r="D405" s="24" t="str">
        <f aca="false">IF(A405="","",DATE(YEAR(A405),MONTH(A405),1))</f>
        <v/>
      </c>
      <c r="E405" s="10"/>
      <c r="F405" s="25"/>
      <c r="G405" s="25"/>
      <c r="H405" s="10"/>
      <c r="I405" s="10"/>
      <c r="J405" s="26"/>
      <c r="K405" s="25"/>
      <c r="L405" s="26"/>
      <c r="M405" s="27"/>
      <c r="N405" s="27"/>
      <c r="O405" s="28" t="str">
        <f aca="false">IF(OR(M405="",M405=0,N405=""),"",N405/M405)</f>
        <v/>
      </c>
      <c r="P405" s="28" t="str">
        <f aca="false">IF(M405="","",IFERROR(IF(INDEX(Parámetros!$B$14:$B$21,MATCH(I405,Parámetros!$A$14:$A$21,0))="",Parámetros!$B$5,INDEX(Parámetros!$B$14:$B$21,MATCH(I405,Parámetros!$A$14:$A$21,0))),Parámetros!$B$5))</f>
        <v/>
      </c>
      <c r="Q405" s="29" t="str">
        <f aca="false">IF(O405="","",(O405-P405)*100)</f>
        <v/>
      </c>
      <c r="R405" s="30" t="str">
        <f aca="false">IF(O405="","",MAX(0,M405*(P405-O405)))</f>
        <v/>
      </c>
      <c r="S405" s="31" t="str">
        <f aca="false">IF(OR(L405="",L405=0,N405=""),"",N405/1000/L405)</f>
        <v/>
      </c>
      <c r="T405" s="27"/>
      <c r="U405" s="27"/>
      <c r="V405" s="27"/>
      <c r="W405" s="27"/>
      <c r="X405" s="27"/>
      <c r="Y405" s="27"/>
      <c r="Z405" s="27"/>
      <c r="AA405" s="25"/>
      <c r="AB405" s="27"/>
      <c r="AC405" s="30" t="str">
        <f aca="false">IF(M405="","",IF(AB405="",M405*Parámetros!$B$6,AB405))</f>
        <v/>
      </c>
      <c r="AD405" s="30" t="str">
        <f aca="false">IF(M405="","",SUM(T405:Z405)+AC405)</f>
        <v/>
      </c>
      <c r="AE405" s="30" t="str">
        <f aca="false">IF(OR(M405="",N405=""),"",M405-N405)</f>
        <v/>
      </c>
      <c r="AF405" s="30" t="str">
        <f aca="false">IF(AE405="","",AE405-AD405)</f>
        <v/>
      </c>
      <c r="AG405" s="28" t="str">
        <f aca="false">IF(OR(AF405="",M405=0),"",AF405/M405)</f>
        <v/>
      </c>
      <c r="AH405" s="32" t="str">
        <f aca="false">IF(OR(AE405="",N405=0),"",AE405/(N405/1000))</f>
        <v/>
      </c>
      <c r="AI405" s="30" t="str">
        <f aca="false">IF(O405="","",M405*P405)</f>
        <v/>
      </c>
      <c r="AJ405" s="11" t="str">
        <f aca="false">IF(O405="","",IF(O405&gt;1,"Error: rend &gt; 100 %",IF(SUM(T405:Z405)=0,"Falta registrar pérdidas",IF(ABS(AG405)&gt;Parámetros!$B$7,"Revisar balance",IF(O405&lt;P405,"Bajo meta","OK")))))</f>
        <v/>
      </c>
      <c r="AK405" s="33"/>
      <c r="AL405" s="10"/>
      <c r="AM405" s="33"/>
      <c r="AN405" s="33"/>
      <c r="AO405" s="10"/>
    </row>
    <row r="406" customFormat="false" ht="15" hidden="false" customHeight="false" outlineLevel="0" collapsed="false">
      <c r="A406" s="22"/>
      <c r="B406" s="23" t="str">
        <f aca="false">IF(A406="","",YEAR(A406-WEEKDAY(A406,2)+4))</f>
        <v/>
      </c>
      <c r="C406" s="23" t="str">
        <f aca="false">IF(A406="","",WEEKNUM(A406,21))</f>
        <v/>
      </c>
      <c r="D406" s="24" t="str">
        <f aca="false">IF(A406="","",DATE(YEAR(A406),MONTH(A406),1))</f>
        <v/>
      </c>
      <c r="E406" s="10"/>
      <c r="F406" s="25"/>
      <c r="G406" s="25"/>
      <c r="H406" s="10"/>
      <c r="I406" s="10"/>
      <c r="J406" s="26"/>
      <c r="K406" s="25"/>
      <c r="L406" s="26"/>
      <c r="M406" s="27"/>
      <c r="N406" s="27"/>
      <c r="O406" s="28" t="str">
        <f aca="false">IF(OR(M406="",M406=0,N406=""),"",N406/M406)</f>
        <v/>
      </c>
      <c r="P406" s="28" t="str">
        <f aca="false">IF(M406="","",IFERROR(IF(INDEX(Parámetros!$B$14:$B$21,MATCH(I406,Parámetros!$A$14:$A$21,0))="",Parámetros!$B$5,INDEX(Parámetros!$B$14:$B$21,MATCH(I406,Parámetros!$A$14:$A$21,0))),Parámetros!$B$5))</f>
        <v/>
      </c>
      <c r="Q406" s="29" t="str">
        <f aca="false">IF(O406="","",(O406-P406)*100)</f>
        <v/>
      </c>
      <c r="R406" s="30" t="str">
        <f aca="false">IF(O406="","",MAX(0,M406*(P406-O406)))</f>
        <v/>
      </c>
      <c r="S406" s="31" t="str">
        <f aca="false">IF(OR(L406="",L406=0,N406=""),"",N406/1000/L406)</f>
        <v/>
      </c>
      <c r="T406" s="27"/>
      <c r="U406" s="27"/>
      <c r="V406" s="27"/>
      <c r="W406" s="27"/>
      <c r="X406" s="27"/>
      <c r="Y406" s="27"/>
      <c r="Z406" s="27"/>
      <c r="AA406" s="25"/>
      <c r="AB406" s="27"/>
      <c r="AC406" s="30" t="str">
        <f aca="false">IF(M406="","",IF(AB406="",M406*Parámetros!$B$6,AB406))</f>
        <v/>
      </c>
      <c r="AD406" s="30" t="str">
        <f aca="false">IF(M406="","",SUM(T406:Z406)+AC406)</f>
        <v/>
      </c>
      <c r="AE406" s="30" t="str">
        <f aca="false">IF(OR(M406="",N406=""),"",M406-N406)</f>
        <v/>
      </c>
      <c r="AF406" s="30" t="str">
        <f aca="false">IF(AE406="","",AE406-AD406)</f>
        <v/>
      </c>
      <c r="AG406" s="28" t="str">
        <f aca="false">IF(OR(AF406="",M406=0),"",AF406/M406)</f>
        <v/>
      </c>
      <c r="AH406" s="32" t="str">
        <f aca="false">IF(OR(AE406="",N406=0),"",AE406/(N406/1000))</f>
        <v/>
      </c>
      <c r="AI406" s="30" t="str">
        <f aca="false">IF(O406="","",M406*P406)</f>
        <v/>
      </c>
      <c r="AJ406" s="11" t="str">
        <f aca="false">IF(O406="","",IF(O406&gt;1,"Error: rend &gt; 100 %",IF(SUM(T406:Z406)=0,"Falta registrar pérdidas",IF(ABS(AG406)&gt;Parámetros!$B$7,"Revisar balance",IF(O406&lt;P406,"Bajo meta","OK")))))</f>
        <v/>
      </c>
      <c r="AK406" s="33"/>
      <c r="AL406" s="10"/>
      <c r="AM406" s="33"/>
      <c r="AN406" s="33"/>
      <c r="AO406" s="10"/>
    </row>
    <row r="407" customFormat="false" ht="15" hidden="false" customHeight="false" outlineLevel="0" collapsed="false">
      <c r="A407" s="22"/>
      <c r="B407" s="23" t="str">
        <f aca="false">IF(A407="","",YEAR(A407-WEEKDAY(A407,2)+4))</f>
        <v/>
      </c>
      <c r="C407" s="23" t="str">
        <f aca="false">IF(A407="","",WEEKNUM(A407,21))</f>
        <v/>
      </c>
      <c r="D407" s="24" t="str">
        <f aca="false">IF(A407="","",DATE(YEAR(A407),MONTH(A407),1))</f>
        <v/>
      </c>
      <c r="E407" s="10"/>
      <c r="F407" s="25"/>
      <c r="G407" s="25"/>
      <c r="H407" s="10"/>
      <c r="I407" s="10"/>
      <c r="J407" s="26"/>
      <c r="K407" s="25"/>
      <c r="L407" s="26"/>
      <c r="M407" s="27"/>
      <c r="N407" s="27"/>
      <c r="O407" s="28" t="str">
        <f aca="false">IF(OR(M407="",M407=0,N407=""),"",N407/M407)</f>
        <v/>
      </c>
      <c r="P407" s="28" t="str">
        <f aca="false">IF(M407="","",IFERROR(IF(INDEX(Parámetros!$B$14:$B$21,MATCH(I407,Parámetros!$A$14:$A$21,0))="",Parámetros!$B$5,INDEX(Parámetros!$B$14:$B$21,MATCH(I407,Parámetros!$A$14:$A$21,0))),Parámetros!$B$5))</f>
        <v/>
      </c>
      <c r="Q407" s="29" t="str">
        <f aca="false">IF(O407="","",(O407-P407)*100)</f>
        <v/>
      </c>
      <c r="R407" s="30" t="str">
        <f aca="false">IF(O407="","",MAX(0,M407*(P407-O407)))</f>
        <v/>
      </c>
      <c r="S407" s="31" t="str">
        <f aca="false">IF(OR(L407="",L407=0,N407=""),"",N407/1000/L407)</f>
        <v/>
      </c>
      <c r="T407" s="27"/>
      <c r="U407" s="27"/>
      <c r="V407" s="27"/>
      <c r="W407" s="27"/>
      <c r="X407" s="27"/>
      <c r="Y407" s="27"/>
      <c r="Z407" s="27"/>
      <c r="AA407" s="25"/>
      <c r="AB407" s="27"/>
      <c r="AC407" s="30" t="str">
        <f aca="false">IF(M407="","",IF(AB407="",M407*Parámetros!$B$6,AB407))</f>
        <v/>
      </c>
      <c r="AD407" s="30" t="str">
        <f aca="false">IF(M407="","",SUM(T407:Z407)+AC407)</f>
        <v/>
      </c>
      <c r="AE407" s="30" t="str">
        <f aca="false">IF(OR(M407="",N407=""),"",M407-N407)</f>
        <v/>
      </c>
      <c r="AF407" s="30" t="str">
        <f aca="false">IF(AE407="","",AE407-AD407)</f>
        <v/>
      </c>
      <c r="AG407" s="28" t="str">
        <f aca="false">IF(OR(AF407="",M407=0),"",AF407/M407)</f>
        <v/>
      </c>
      <c r="AH407" s="32" t="str">
        <f aca="false">IF(OR(AE407="",N407=0),"",AE407/(N407/1000))</f>
        <v/>
      </c>
      <c r="AI407" s="30" t="str">
        <f aca="false">IF(O407="","",M407*P407)</f>
        <v/>
      </c>
      <c r="AJ407" s="11" t="str">
        <f aca="false">IF(O407="","",IF(O407&gt;1,"Error: rend &gt; 100 %",IF(SUM(T407:Z407)=0,"Falta registrar pérdidas",IF(ABS(AG407)&gt;Parámetros!$B$7,"Revisar balance",IF(O407&lt;P407,"Bajo meta","OK")))))</f>
        <v/>
      </c>
      <c r="AK407" s="33"/>
      <c r="AL407" s="10"/>
      <c r="AM407" s="33"/>
      <c r="AN407" s="33"/>
      <c r="AO407" s="10"/>
    </row>
    <row r="408" customFormat="false" ht="15" hidden="false" customHeight="false" outlineLevel="0" collapsed="false">
      <c r="A408" s="22"/>
      <c r="B408" s="23" t="str">
        <f aca="false">IF(A408="","",YEAR(A408-WEEKDAY(A408,2)+4))</f>
        <v/>
      </c>
      <c r="C408" s="23" t="str">
        <f aca="false">IF(A408="","",WEEKNUM(A408,21))</f>
        <v/>
      </c>
      <c r="D408" s="24" t="str">
        <f aca="false">IF(A408="","",DATE(YEAR(A408),MONTH(A408),1))</f>
        <v/>
      </c>
      <c r="E408" s="10"/>
      <c r="F408" s="25"/>
      <c r="G408" s="25"/>
      <c r="H408" s="10"/>
      <c r="I408" s="10"/>
      <c r="J408" s="26"/>
      <c r="K408" s="25"/>
      <c r="L408" s="26"/>
      <c r="M408" s="27"/>
      <c r="N408" s="27"/>
      <c r="O408" s="28" t="str">
        <f aca="false">IF(OR(M408="",M408=0,N408=""),"",N408/M408)</f>
        <v/>
      </c>
      <c r="P408" s="28" t="str">
        <f aca="false">IF(M408="","",IFERROR(IF(INDEX(Parámetros!$B$14:$B$21,MATCH(I408,Parámetros!$A$14:$A$21,0))="",Parámetros!$B$5,INDEX(Parámetros!$B$14:$B$21,MATCH(I408,Parámetros!$A$14:$A$21,0))),Parámetros!$B$5))</f>
        <v/>
      </c>
      <c r="Q408" s="29" t="str">
        <f aca="false">IF(O408="","",(O408-P408)*100)</f>
        <v/>
      </c>
      <c r="R408" s="30" t="str">
        <f aca="false">IF(O408="","",MAX(0,M408*(P408-O408)))</f>
        <v/>
      </c>
      <c r="S408" s="31" t="str">
        <f aca="false">IF(OR(L408="",L408=0,N408=""),"",N408/1000/L408)</f>
        <v/>
      </c>
      <c r="T408" s="27"/>
      <c r="U408" s="27"/>
      <c r="V408" s="27"/>
      <c r="W408" s="27"/>
      <c r="X408" s="27"/>
      <c r="Y408" s="27"/>
      <c r="Z408" s="27"/>
      <c r="AA408" s="25"/>
      <c r="AB408" s="27"/>
      <c r="AC408" s="30" t="str">
        <f aca="false">IF(M408="","",IF(AB408="",M408*Parámetros!$B$6,AB408))</f>
        <v/>
      </c>
      <c r="AD408" s="30" t="str">
        <f aca="false">IF(M408="","",SUM(T408:Z408)+AC408)</f>
        <v/>
      </c>
      <c r="AE408" s="30" t="str">
        <f aca="false">IF(OR(M408="",N408=""),"",M408-N408)</f>
        <v/>
      </c>
      <c r="AF408" s="30" t="str">
        <f aca="false">IF(AE408="","",AE408-AD408)</f>
        <v/>
      </c>
      <c r="AG408" s="28" t="str">
        <f aca="false">IF(OR(AF408="",M408=0),"",AF408/M408)</f>
        <v/>
      </c>
      <c r="AH408" s="32" t="str">
        <f aca="false">IF(OR(AE408="",N408=0),"",AE408/(N408/1000))</f>
        <v/>
      </c>
      <c r="AI408" s="30" t="str">
        <f aca="false">IF(O408="","",M408*P408)</f>
        <v/>
      </c>
      <c r="AJ408" s="11" t="str">
        <f aca="false">IF(O408="","",IF(O408&gt;1,"Error: rend &gt; 100 %",IF(SUM(T408:Z408)=0,"Falta registrar pérdidas",IF(ABS(AG408)&gt;Parámetros!$B$7,"Revisar balance",IF(O408&lt;P408,"Bajo meta","OK")))))</f>
        <v/>
      </c>
      <c r="AK408" s="33"/>
      <c r="AL408" s="10"/>
      <c r="AM408" s="33"/>
      <c r="AN408" s="33"/>
      <c r="AO408" s="10"/>
    </row>
    <row r="409" customFormat="false" ht="15" hidden="false" customHeight="false" outlineLevel="0" collapsed="false">
      <c r="A409" s="22"/>
      <c r="B409" s="23" t="str">
        <f aca="false">IF(A409="","",YEAR(A409-WEEKDAY(A409,2)+4))</f>
        <v/>
      </c>
      <c r="C409" s="23" t="str">
        <f aca="false">IF(A409="","",WEEKNUM(A409,21))</f>
        <v/>
      </c>
      <c r="D409" s="24" t="str">
        <f aca="false">IF(A409="","",DATE(YEAR(A409),MONTH(A409),1))</f>
        <v/>
      </c>
      <c r="E409" s="10"/>
      <c r="F409" s="25"/>
      <c r="G409" s="25"/>
      <c r="H409" s="10"/>
      <c r="I409" s="10"/>
      <c r="J409" s="26"/>
      <c r="K409" s="25"/>
      <c r="L409" s="26"/>
      <c r="M409" s="27"/>
      <c r="N409" s="27"/>
      <c r="O409" s="28" t="str">
        <f aca="false">IF(OR(M409="",M409=0,N409=""),"",N409/M409)</f>
        <v/>
      </c>
      <c r="P409" s="28" t="str">
        <f aca="false">IF(M409="","",IFERROR(IF(INDEX(Parámetros!$B$14:$B$21,MATCH(I409,Parámetros!$A$14:$A$21,0))="",Parámetros!$B$5,INDEX(Parámetros!$B$14:$B$21,MATCH(I409,Parámetros!$A$14:$A$21,0))),Parámetros!$B$5))</f>
        <v/>
      </c>
      <c r="Q409" s="29" t="str">
        <f aca="false">IF(O409="","",(O409-P409)*100)</f>
        <v/>
      </c>
      <c r="R409" s="30" t="str">
        <f aca="false">IF(O409="","",MAX(0,M409*(P409-O409)))</f>
        <v/>
      </c>
      <c r="S409" s="31" t="str">
        <f aca="false">IF(OR(L409="",L409=0,N409=""),"",N409/1000/L409)</f>
        <v/>
      </c>
      <c r="T409" s="27"/>
      <c r="U409" s="27"/>
      <c r="V409" s="27"/>
      <c r="W409" s="27"/>
      <c r="X409" s="27"/>
      <c r="Y409" s="27"/>
      <c r="Z409" s="27"/>
      <c r="AA409" s="25"/>
      <c r="AB409" s="27"/>
      <c r="AC409" s="30" t="str">
        <f aca="false">IF(M409="","",IF(AB409="",M409*Parámetros!$B$6,AB409))</f>
        <v/>
      </c>
      <c r="AD409" s="30" t="str">
        <f aca="false">IF(M409="","",SUM(T409:Z409)+AC409)</f>
        <v/>
      </c>
      <c r="AE409" s="30" t="str">
        <f aca="false">IF(OR(M409="",N409=""),"",M409-N409)</f>
        <v/>
      </c>
      <c r="AF409" s="30" t="str">
        <f aca="false">IF(AE409="","",AE409-AD409)</f>
        <v/>
      </c>
      <c r="AG409" s="28" t="str">
        <f aca="false">IF(OR(AF409="",M409=0),"",AF409/M409)</f>
        <v/>
      </c>
      <c r="AH409" s="32" t="str">
        <f aca="false">IF(OR(AE409="",N409=0),"",AE409/(N409/1000))</f>
        <v/>
      </c>
      <c r="AI409" s="30" t="str">
        <f aca="false">IF(O409="","",M409*P409)</f>
        <v/>
      </c>
      <c r="AJ409" s="11" t="str">
        <f aca="false">IF(O409="","",IF(O409&gt;1,"Error: rend &gt; 100 %",IF(SUM(T409:Z409)=0,"Falta registrar pérdidas",IF(ABS(AG409)&gt;Parámetros!$B$7,"Revisar balance",IF(O409&lt;P409,"Bajo meta","OK")))))</f>
        <v/>
      </c>
      <c r="AK409" s="33"/>
      <c r="AL409" s="10"/>
      <c r="AM409" s="33"/>
      <c r="AN409" s="33"/>
      <c r="AO409" s="10"/>
    </row>
    <row r="410" customFormat="false" ht="15" hidden="false" customHeight="false" outlineLevel="0" collapsed="false">
      <c r="A410" s="22"/>
      <c r="B410" s="23" t="str">
        <f aca="false">IF(A410="","",YEAR(A410-WEEKDAY(A410,2)+4))</f>
        <v/>
      </c>
      <c r="C410" s="23" t="str">
        <f aca="false">IF(A410="","",WEEKNUM(A410,21))</f>
        <v/>
      </c>
      <c r="D410" s="24" t="str">
        <f aca="false">IF(A410="","",DATE(YEAR(A410),MONTH(A410),1))</f>
        <v/>
      </c>
      <c r="E410" s="10"/>
      <c r="F410" s="25"/>
      <c r="G410" s="25"/>
      <c r="H410" s="10"/>
      <c r="I410" s="10"/>
      <c r="J410" s="26"/>
      <c r="K410" s="25"/>
      <c r="L410" s="26"/>
      <c r="M410" s="27"/>
      <c r="N410" s="27"/>
      <c r="O410" s="28" t="str">
        <f aca="false">IF(OR(M410="",M410=0,N410=""),"",N410/M410)</f>
        <v/>
      </c>
      <c r="P410" s="28" t="str">
        <f aca="false">IF(M410="","",IFERROR(IF(INDEX(Parámetros!$B$14:$B$21,MATCH(I410,Parámetros!$A$14:$A$21,0))="",Parámetros!$B$5,INDEX(Parámetros!$B$14:$B$21,MATCH(I410,Parámetros!$A$14:$A$21,0))),Parámetros!$B$5))</f>
        <v/>
      </c>
      <c r="Q410" s="29" t="str">
        <f aca="false">IF(O410="","",(O410-P410)*100)</f>
        <v/>
      </c>
      <c r="R410" s="30" t="str">
        <f aca="false">IF(O410="","",MAX(0,M410*(P410-O410)))</f>
        <v/>
      </c>
      <c r="S410" s="31" t="str">
        <f aca="false">IF(OR(L410="",L410=0,N410=""),"",N410/1000/L410)</f>
        <v/>
      </c>
      <c r="T410" s="27"/>
      <c r="U410" s="27"/>
      <c r="V410" s="27"/>
      <c r="W410" s="27"/>
      <c r="X410" s="27"/>
      <c r="Y410" s="27"/>
      <c r="Z410" s="27"/>
      <c r="AA410" s="25"/>
      <c r="AB410" s="27"/>
      <c r="AC410" s="30" t="str">
        <f aca="false">IF(M410="","",IF(AB410="",M410*Parámetros!$B$6,AB410))</f>
        <v/>
      </c>
      <c r="AD410" s="30" t="str">
        <f aca="false">IF(M410="","",SUM(T410:Z410)+AC410)</f>
        <v/>
      </c>
      <c r="AE410" s="30" t="str">
        <f aca="false">IF(OR(M410="",N410=""),"",M410-N410)</f>
        <v/>
      </c>
      <c r="AF410" s="30" t="str">
        <f aca="false">IF(AE410="","",AE410-AD410)</f>
        <v/>
      </c>
      <c r="AG410" s="28" t="str">
        <f aca="false">IF(OR(AF410="",M410=0),"",AF410/M410)</f>
        <v/>
      </c>
      <c r="AH410" s="32" t="str">
        <f aca="false">IF(OR(AE410="",N410=0),"",AE410/(N410/1000))</f>
        <v/>
      </c>
      <c r="AI410" s="30" t="str">
        <f aca="false">IF(O410="","",M410*P410)</f>
        <v/>
      </c>
      <c r="AJ410" s="11" t="str">
        <f aca="false">IF(O410="","",IF(O410&gt;1,"Error: rend &gt; 100 %",IF(SUM(T410:Z410)=0,"Falta registrar pérdidas",IF(ABS(AG410)&gt;Parámetros!$B$7,"Revisar balance",IF(O410&lt;P410,"Bajo meta","OK")))))</f>
        <v/>
      </c>
      <c r="AK410" s="33"/>
      <c r="AL410" s="10"/>
      <c r="AM410" s="33"/>
      <c r="AN410" s="33"/>
      <c r="AO410" s="10"/>
    </row>
    <row r="411" customFormat="false" ht="15" hidden="false" customHeight="false" outlineLevel="0" collapsed="false">
      <c r="A411" s="22"/>
      <c r="B411" s="23" t="str">
        <f aca="false">IF(A411="","",YEAR(A411-WEEKDAY(A411,2)+4))</f>
        <v/>
      </c>
      <c r="C411" s="23" t="str">
        <f aca="false">IF(A411="","",WEEKNUM(A411,21))</f>
        <v/>
      </c>
      <c r="D411" s="24" t="str">
        <f aca="false">IF(A411="","",DATE(YEAR(A411),MONTH(A411),1))</f>
        <v/>
      </c>
      <c r="E411" s="10"/>
      <c r="F411" s="25"/>
      <c r="G411" s="25"/>
      <c r="H411" s="10"/>
      <c r="I411" s="10"/>
      <c r="J411" s="26"/>
      <c r="K411" s="25"/>
      <c r="L411" s="26"/>
      <c r="M411" s="27"/>
      <c r="N411" s="27"/>
      <c r="O411" s="28" t="str">
        <f aca="false">IF(OR(M411="",M411=0,N411=""),"",N411/M411)</f>
        <v/>
      </c>
      <c r="P411" s="28" t="str">
        <f aca="false">IF(M411="","",IFERROR(IF(INDEX(Parámetros!$B$14:$B$21,MATCH(I411,Parámetros!$A$14:$A$21,0))="",Parámetros!$B$5,INDEX(Parámetros!$B$14:$B$21,MATCH(I411,Parámetros!$A$14:$A$21,0))),Parámetros!$B$5))</f>
        <v/>
      </c>
      <c r="Q411" s="29" t="str">
        <f aca="false">IF(O411="","",(O411-P411)*100)</f>
        <v/>
      </c>
      <c r="R411" s="30" t="str">
        <f aca="false">IF(O411="","",MAX(0,M411*(P411-O411)))</f>
        <v/>
      </c>
      <c r="S411" s="31" t="str">
        <f aca="false">IF(OR(L411="",L411=0,N411=""),"",N411/1000/L411)</f>
        <v/>
      </c>
      <c r="T411" s="27"/>
      <c r="U411" s="27"/>
      <c r="V411" s="27"/>
      <c r="W411" s="27"/>
      <c r="X411" s="27"/>
      <c r="Y411" s="27"/>
      <c r="Z411" s="27"/>
      <c r="AA411" s="25"/>
      <c r="AB411" s="27"/>
      <c r="AC411" s="30" t="str">
        <f aca="false">IF(M411="","",IF(AB411="",M411*Parámetros!$B$6,AB411))</f>
        <v/>
      </c>
      <c r="AD411" s="30" t="str">
        <f aca="false">IF(M411="","",SUM(T411:Z411)+AC411)</f>
        <v/>
      </c>
      <c r="AE411" s="30" t="str">
        <f aca="false">IF(OR(M411="",N411=""),"",M411-N411)</f>
        <v/>
      </c>
      <c r="AF411" s="30" t="str">
        <f aca="false">IF(AE411="","",AE411-AD411)</f>
        <v/>
      </c>
      <c r="AG411" s="28" t="str">
        <f aca="false">IF(OR(AF411="",M411=0),"",AF411/M411)</f>
        <v/>
      </c>
      <c r="AH411" s="32" t="str">
        <f aca="false">IF(OR(AE411="",N411=0),"",AE411/(N411/1000))</f>
        <v/>
      </c>
      <c r="AI411" s="30" t="str">
        <f aca="false">IF(O411="","",M411*P411)</f>
        <v/>
      </c>
      <c r="AJ411" s="11" t="str">
        <f aca="false">IF(O411="","",IF(O411&gt;1,"Error: rend &gt; 100 %",IF(SUM(T411:Z411)=0,"Falta registrar pérdidas",IF(ABS(AG411)&gt;Parámetros!$B$7,"Revisar balance",IF(O411&lt;P411,"Bajo meta","OK")))))</f>
        <v/>
      </c>
      <c r="AK411" s="33"/>
      <c r="AL411" s="10"/>
      <c r="AM411" s="33"/>
      <c r="AN411" s="33"/>
      <c r="AO411" s="10"/>
    </row>
    <row r="412" customFormat="false" ht="15" hidden="false" customHeight="false" outlineLevel="0" collapsed="false">
      <c r="A412" s="22"/>
      <c r="B412" s="23" t="str">
        <f aca="false">IF(A412="","",YEAR(A412-WEEKDAY(A412,2)+4))</f>
        <v/>
      </c>
      <c r="C412" s="23" t="str">
        <f aca="false">IF(A412="","",WEEKNUM(A412,21))</f>
        <v/>
      </c>
      <c r="D412" s="24" t="str">
        <f aca="false">IF(A412="","",DATE(YEAR(A412),MONTH(A412),1))</f>
        <v/>
      </c>
      <c r="E412" s="10"/>
      <c r="F412" s="25"/>
      <c r="G412" s="25"/>
      <c r="H412" s="10"/>
      <c r="I412" s="10"/>
      <c r="J412" s="26"/>
      <c r="K412" s="25"/>
      <c r="L412" s="26"/>
      <c r="M412" s="27"/>
      <c r="N412" s="27"/>
      <c r="O412" s="28" t="str">
        <f aca="false">IF(OR(M412="",M412=0,N412=""),"",N412/M412)</f>
        <v/>
      </c>
      <c r="P412" s="28" t="str">
        <f aca="false">IF(M412="","",IFERROR(IF(INDEX(Parámetros!$B$14:$B$21,MATCH(I412,Parámetros!$A$14:$A$21,0))="",Parámetros!$B$5,INDEX(Parámetros!$B$14:$B$21,MATCH(I412,Parámetros!$A$14:$A$21,0))),Parámetros!$B$5))</f>
        <v/>
      </c>
      <c r="Q412" s="29" t="str">
        <f aca="false">IF(O412="","",(O412-P412)*100)</f>
        <v/>
      </c>
      <c r="R412" s="30" t="str">
        <f aca="false">IF(O412="","",MAX(0,M412*(P412-O412)))</f>
        <v/>
      </c>
      <c r="S412" s="31" t="str">
        <f aca="false">IF(OR(L412="",L412=0,N412=""),"",N412/1000/L412)</f>
        <v/>
      </c>
      <c r="T412" s="27"/>
      <c r="U412" s="27"/>
      <c r="V412" s="27"/>
      <c r="W412" s="27"/>
      <c r="X412" s="27"/>
      <c r="Y412" s="27"/>
      <c r="Z412" s="27"/>
      <c r="AA412" s="25"/>
      <c r="AB412" s="27"/>
      <c r="AC412" s="30" t="str">
        <f aca="false">IF(M412="","",IF(AB412="",M412*Parámetros!$B$6,AB412))</f>
        <v/>
      </c>
      <c r="AD412" s="30" t="str">
        <f aca="false">IF(M412="","",SUM(T412:Z412)+AC412)</f>
        <v/>
      </c>
      <c r="AE412" s="30" t="str">
        <f aca="false">IF(OR(M412="",N412=""),"",M412-N412)</f>
        <v/>
      </c>
      <c r="AF412" s="30" t="str">
        <f aca="false">IF(AE412="","",AE412-AD412)</f>
        <v/>
      </c>
      <c r="AG412" s="28" t="str">
        <f aca="false">IF(OR(AF412="",M412=0),"",AF412/M412)</f>
        <v/>
      </c>
      <c r="AH412" s="32" t="str">
        <f aca="false">IF(OR(AE412="",N412=0),"",AE412/(N412/1000))</f>
        <v/>
      </c>
      <c r="AI412" s="30" t="str">
        <f aca="false">IF(O412="","",M412*P412)</f>
        <v/>
      </c>
      <c r="AJ412" s="11" t="str">
        <f aca="false">IF(O412="","",IF(O412&gt;1,"Error: rend &gt; 100 %",IF(SUM(T412:Z412)=0,"Falta registrar pérdidas",IF(ABS(AG412)&gt;Parámetros!$B$7,"Revisar balance",IF(O412&lt;P412,"Bajo meta","OK")))))</f>
        <v/>
      </c>
      <c r="AK412" s="33"/>
      <c r="AL412" s="10"/>
      <c r="AM412" s="33"/>
      <c r="AN412" s="33"/>
      <c r="AO412" s="10"/>
    </row>
    <row r="413" customFormat="false" ht="15" hidden="false" customHeight="false" outlineLevel="0" collapsed="false">
      <c r="A413" s="22"/>
      <c r="B413" s="23" t="str">
        <f aca="false">IF(A413="","",YEAR(A413-WEEKDAY(A413,2)+4))</f>
        <v/>
      </c>
      <c r="C413" s="23" t="str">
        <f aca="false">IF(A413="","",WEEKNUM(A413,21))</f>
        <v/>
      </c>
      <c r="D413" s="24" t="str">
        <f aca="false">IF(A413="","",DATE(YEAR(A413),MONTH(A413),1))</f>
        <v/>
      </c>
      <c r="E413" s="10"/>
      <c r="F413" s="25"/>
      <c r="G413" s="25"/>
      <c r="H413" s="10"/>
      <c r="I413" s="10"/>
      <c r="J413" s="26"/>
      <c r="K413" s="25"/>
      <c r="L413" s="26"/>
      <c r="M413" s="27"/>
      <c r="N413" s="27"/>
      <c r="O413" s="28" t="str">
        <f aca="false">IF(OR(M413="",M413=0,N413=""),"",N413/M413)</f>
        <v/>
      </c>
      <c r="P413" s="28" t="str">
        <f aca="false">IF(M413="","",IFERROR(IF(INDEX(Parámetros!$B$14:$B$21,MATCH(I413,Parámetros!$A$14:$A$21,0))="",Parámetros!$B$5,INDEX(Parámetros!$B$14:$B$21,MATCH(I413,Parámetros!$A$14:$A$21,0))),Parámetros!$B$5))</f>
        <v/>
      </c>
      <c r="Q413" s="29" t="str">
        <f aca="false">IF(O413="","",(O413-P413)*100)</f>
        <v/>
      </c>
      <c r="R413" s="30" t="str">
        <f aca="false">IF(O413="","",MAX(0,M413*(P413-O413)))</f>
        <v/>
      </c>
      <c r="S413" s="31" t="str">
        <f aca="false">IF(OR(L413="",L413=0,N413=""),"",N413/1000/L413)</f>
        <v/>
      </c>
      <c r="T413" s="27"/>
      <c r="U413" s="27"/>
      <c r="V413" s="27"/>
      <c r="W413" s="27"/>
      <c r="X413" s="27"/>
      <c r="Y413" s="27"/>
      <c r="Z413" s="27"/>
      <c r="AA413" s="25"/>
      <c r="AB413" s="27"/>
      <c r="AC413" s="30" t="str">
        <f aca="false">IF(M413="","",IF(AB413="",M413*Parámetros!$B$6,AB413))</f>
        <v/>
      </c>
      <c r="AD413" s="30" t="str">
        <f aca="false">IF(M413="","",SUM(T413:Z413)+AC413)</f>
        <v/>
      </c>
      <c r="AE413" s="30" t="str">
        <f aca="false">IF(OR(M413="",N413=""),"",M413-N413)</f>
        <v/>
      </c>
      <c r="AF413" s="30" t="str">
        <f aca="false">IF(AE413="","",AE413-AD413)</f>
        <v/>
      </c>
      <c r="AG413" s="28" t="str">
        <f aca="false">IF(OR(AF413="",M413=0),"",AF413/M413)</f>
        <v/>
      </c>
      <c r="AH413" s="32" t="str">
        <f aca="false">IF(OR(AE413="",N413=0),"",AE413/(N413/1000))</f>
        <v/>
      </c>
      <c r="AI413" s="30" t="str">
        <f aca="false">IF(O413="","",M413*P413)</f>
        <v/>
      </c>
      <c r="AJ413" s="11" t="str">
        <f aca="false">IF(O413="","",IF(O413&gt;1,"Error: rend &gt; 100 %",IF(SUM(T413:Z413)=0,"Falta registrar pérdidas",IF(ABS(AG413)&gt;Parámetros!$B$7,"Revisar balance",IF(O413&lt;P413,"Bajo meta","OK")))))</f>
        <v/>
      </c>
      <c r="AK413" s="33"/>
      <c r="AL413" s="10"/>
      <c r="AM413" s="33"/>
      <c r="AN413" s="33"/>
      <c r="AO413" s="10"/>
    </row>
    <row r="414" customFormat="false" ht="15" hidden="false" customHeight="false" outlineLevel="0" collapsed="false">
      <c r="A414" s="22"/>
      <c r="B414" s="23" t="str">
        <f aca="false">IF(A414="","",YEAR(A414-WEEKDAY(A414,2)+4))</f>
        <v/>
      </c>
      <c r="C414" s="23" t="str">
        <f aca="false">IF(A414="","",WEEKNUM(A414,21))</f>
        <v/>
      </c>
      <c r="D414" s="24" t="str">
        <f aca="false">IF(A414="","",DATE(YEAR(A414),MONTH(A414),1))</f>
        <v/>
      </c>
      <c r="E414" s="10"/>
      <c r="F414" s="25"/>
      <c r="G414" s="25"/>
      <c r="H414" s="10"/>
      <c r="I414" s="10"/>
      <c r="J414" s="26"/>
      <c r="K414" s="25"/>
      <c r="L414" s="26"/>
      <c r="M414" s="27"/>
      <c r="N414" s="27"/>
      <c r="O414" s="28" t="str">
        <f aca="false">IF(OR(M414="",M414=0,N414=""),"",N414/M414)</f>
        <v/>
      </c>
      <c r="P414" s="28" t="str">
        <f aca="false">IF(M414="","",IFERROR(IF(INDEX(Parámetros!$B$14:$B$21,MATCH(I414,Parámetros!$A$14:$A$21,0))="",Parámetros!$B$5,INDEX(Parámetros!$B$14:$B$21,MATCH(I414,Parámetros!$A$14:$A$21,0))),Parámetros!$B$5))</f>
        <v/>
      </c>
      <c r="Q414" s="29" t="str">
        <f aca="false">IF(O414="","",(O414-P414)*100)</f>
        <v/>
      </c>
      <c r="R414" s="30" t="str">
        <f aca="false">IF(O414="","",MAX(0,M414*(P414-O414)))</f>
        <v/>
      </c>
      <c r="S414" s="31" t="str">
        <f aca="false">IF(OR(L414="",L414=0,N414=""),"",N414/1000/L414)</f>
        <v/>
      </c>
      <c r="T414" s="27"/>
      <c r="U414" s="27"/>
      <c r="V414" s="27"/>
      <c r="W414" s="27"/>
      <c r="X414" s="27"/>
      <c r="Y414" s="27"/>
      <c r="Z414" s="27"/>
      <c r="AA414" s="25"/>
      <c r="AB414" s="27"/>
      <c r="AC414" s="30" t="str">
        <f aca="false">IF(M414="","",IF(AB414="",M414*Parámetros!$B$6,AB414))</f>
        <v/>
      </c>
      <c r="AD414" s="30" t="str">
        <f aca="false">IF(M414="","",SUM(T414:Z414)+AC414)</f>
        <v/>
      </c>
      <c r="AE414" s="30" t="str">
        <f aca="false">IF(OR(M414="",N414=""),"",M414-N414)</f>
        <v/>
      </c>
      <c r="AF414" s="30" t="str">
        <f aca="false">IF(AE414="","",AE414-AD414)</f>
        <v/>
      </c>
      <c r="AG414" s="28" t="str">
        <f aca="false">IF(OR(AF414="",M414=0),"",AF414/M414)</f>
        <v/>
      </c>
      <c r="AH414" s="32" t="str">
        <f aca="false">IF(OR(AE414="",N414=0),"",AE414/(N414/1000))</f>
        <v/>
      </c>
      <c r="AI414" s="30" t="str">
        <f aca="false">IF(O414="","",M414*P414)</f>
        <v/>
      </c>
      <c r="AJ414" s="11" t="str">
        <f aca="false">IF(O414="","",IF(O414&gt;1,"Error: rend &gt; 100 %",IF(SUM(T414:Z414)=0,"Falta registrar pérdidas",IF(ABS(AG414)&gt;Parámetros!$B$7,"Revisar balance",IF(O414&lt;P414,"Bajo meta","OK")))))</f>
        <v/>
      </c>
      <c r="AK414" s="33"/>
      <c r="AL414" s="10"/>
      <c r="AM414" s="33"/>
      <c r="AN414" s="33"/>
      <c r="AO414" s="10"/>
    </row>
    <row r="415" customFormat="false" ht="15" hidden="false" customHeight="false" outlineLevel="0" collapsed="false">
      <c r="A415" s="22"/>
      <c r="B415" s="23" t="str">
        <f aca="false">IF(A415="","",YEAR(A415-WEEKDAY(A415,2)+4))</f>
        <v/>
      </c>
      <c r="C415" s="23" t="str">
        <f aca="false">IF(A415="","",WEEKNUM(A415,21))</f>
        <v/>
      </c>
      <c r="D415" s="24" t="str">
        <f aca="false">IF(A415="","",DATE(YEAR(A415),MONTH(A415),1))</f>
        <v/>
      </c>
      <c r="E415" s="10"/>
      <c r="F415" s="25"/>
      <c r="G415" s="25"/>
      <c r="H415" s="10"/>
      <c r="I415" s="10"/>
      <c r="J415" s="26"/>
      <c r="K415" s="25"/>
      <c r="L415" s="26"/>
      <c r="M415" s="27"/>
      <c r="N415" s="27"/>
      <c r="O415" s="28" t="str">
        <f aca="false">IF(OR(M415="",M415=0,N415=""),"",N415/M415)</f>
        <v/>
      </c>
      <c r="P415" s="28" t="str">
        <f aca="false">IF(M415="","",IFERROR(IF(INDEX(Parámetros!$B$14:$B$21,MATCH(I415,Parámetros!$A$14:$A$21,0))="",Parámetros!$B$5,INDEX(Parámetros!$B$14:$B$21,MATCH(I415,Parámetros!$A$14:$A$21,0))),Parámetros!$B$5))</f>
        <v/>
      </c>
      <c r="Q415" s="29" t="str">
        <f aca="false">IF(O415="","",(O415-P415)*100)</f>
        <v/>
      </c>
      <c r="R415" s="30" t="str">
        <f aca="false">IF(O415="","",MAX(0,M415*(P415-O415)))</f>
        <v/>
      </c>
      <c r="S415" s="31" t="str">
        <f aca="false">IF(OR(L415="",L415=0,N415=""),"",N415/1000/L415)</f>
        <v/>
      </c>
      <c r="T415" s="27"/>
      <c r="U415" s="27"/>
      <c r="V415" s="27"/>
      <c r="W415" s="27"/>
      <c r="X415" s="27"/>
      <c r="Y415" s="27"/>
      <c r="Z415" s="27"/>
      <c r="AA415" s="25"/>
      <c r="AB415" s="27"/>
      <c r="AC415" s="30" t="str">
        <f aca="false">IF(M415="","",IF(AB415="",M415*Parámetros!$B$6,AB415))</f>
        <v/>
      </c>
      <c r="AD415" s="30" t="str">
        <f aca="false">IF(M415="","",SUM(T415:Z415)+AC415)</f>
        <v/>
      </c>
      <c r="AE415" s="30" t="str">
        <f aca="false">IF(OR(M415="",N415=""),"",M415-N415)</f>
        <v/>
      </c>
      <c r="AF415" s="30" t="str">
        <f aca="false">IF(AE415="","",AE415-AD415)</f>
        <v/>
      </c>
      <c r="AG415" s="28" t="str">
        <f aca="false">IF(OR(AF415="",M415=0),"",AF415/M415)</f>
        <v/>
      </c>
      <c r="AH415" s="32" t="str">
        <f aca="false">IF(OR(AE415="",N415=0),"",AE415/(N415/1000))</f>
        <v/>
      </c>
      <c r="AI415" s="30" t="str">
        <f aca="false">IF(O415="","",M415*P415)</f>
        <v/>
      </c>
      <c r="AJ415" s="11" t="str">
        <f aca="false">IF(O415="","",IF(O415&gt;1,"Error: rend &gt; 100 %",IF(SUM(T415:Z415)=0,"Falta registrar pérdidas",IF(ABS(AG415)&gt;Parámetros!$B$7,"Revisar balance",IF(O415&lt;P415,"Bajo meta","OK")))))</f>
        <v/>
      </c>
      <c r="AK415" s="33"/>
      <c r="AL415" s="10"/>
      <c r="AM415" s="33"/>
      <c r="AN415" s="33"/>
      <c r="AO415" s="10"/>
    </row>
    <row r="416" customFormat="false" ht="15" hidden="false" customHeight="false" outlineLevel="0" collapsed="false">
      <c r="A416" s="22"/>
      <c r="B416" s="23" t="str">
        <f aca="false">IF(A416="","",YEAR(A416-WEEKDAY(A416,2)+4))</f>
        <v/>
      </c>
      <c r="C416" s="23" t="str">
        <f aca="false">IF(A416="","",WEEKNUM(A416,21))</f>
        <v/>
      </c>
      <c r="D416" s="24" t="str">
        <f aca="false">IF(A416="","",DATE(YEAR(A416),MONTH(A416),1))</f>
        <v/>
      </c>
      <c r="E416" s="10"/>
      <c r="F416" s="25"/>
      <c r="G416" s="25"/>
      <c r="H416" s="10"/>
      <c r="I416" s="10"/>
      <c r="J416" s="26"/>
      <c r="K416" s="25"/>
      <c r="L416" s="26"/>
      <c r="M416" s="27"/>
      <c r="N416" s="27"/>
      <c r="O416" s="28" t="str">
        <f aca="false">IF(OR(M416="",M416=0,N416=""),"",N416/M416)</f>
        <v/>
      </c>
      <c r="P416" s="28" t="str">
        <f aca="false">IF(M416="","",IFERROR(IF(INDEX(Parámetros!$B$14:$B$21,MATCH(I416,Parámetros!$A$14:$A$21,0))="",Parámetros!$B$5,INDEX(Parámetros!$B$14:$B$21,MATCH(I416,Parámetros!$A$14:$A$21,0))),Parámetros!$B$5))</f>
        <v/>
      </c>
      <c r="Q416" s="29" t="str">
        <f aca="false">IF(O416="","",(O416-P416)*100)</f>
        <v/>
      </c>
      <c r="R416" s="30" t="str">
        <f aca="false">IF(O416="","",MAX(0,M416*(P416-O416)))</f>
        <v/>
      </c>
      <c r="S416" s="31" t="str">
        <f aca="false">IF(OR(L416="",L416=0,N416=""),"",N416/1000/L416)</f>
        <v/>
      </c>
      <c r="T416" s="27"/>
      <c r="U416" s="27"/>
      <c r="V416" s="27"/>
      <c r="W416" s="27"/>
      <c r="X416" s="27"/>
      <c r="Y416" s="27"/>
      <c r="Z416" s="27"/>
      <c r="AA416" s="25"/>
      <c r="AB416" s="27"/>
      <c r="AC416" s="30" t="str">
        <f aca="false">IF(M416="","",IF(AB416="",M416*Parámetros!$B$6,AB416))</f>
        <v/>
      </c>
      <c r="AD416" s="30" t="str">
        <f aca="false">IF(M416="","",SUM(T416:Z416)+AC416)</f>
        <v/>
      </c>
      <c r="AE416" s="30" t="str">
        <f aca="false">IF(OR(M416="",N416=""),"",M416-N416)</f>
        <v/>
      </c>
      <c r="AF416" s="30" t="str">
        <f aca="false">IF(AE416="","",AE416-AD416)</f>
        <v/>
      </c>
      <c r="AG416" s="28" t="str">
        <f aca="false">IF(OR(AF416="",M416=0),"",AF416/M416)</f>
        <v/>
      </c>
      <c r="AH416" s="32" t="str">
        <f aca="false">IF(OR(AE416="",N416=0),"",AE416/(N416/1000))</f>
        <v/>
      </c>
      <c r="AI416" s="30" t="str">
        <f aca="false">IF(O416="","",M416*P416)</f>
        <v/>
      </c>
      <c r="AJ416" s="11" t="str">
        <f aca="false">IF(O416="","",IF(O416&gt;1,"Error: rend &gt; 100 %",IF(SUM(T416:Z416)=0,"Falta registrar pérdidas",IF(ABS(AG416)&gt;Parámetros!$B$7,"Revisar balance",IF(O416&lt;P416,"Bajo meta","OK")))))</f>
        <v/>
      </c>
      <c r="AK416" s="33"/>
      <c r="AL416" s="10"/>
      <c r="AM416" s="33"/>
      <c r="AN416" s="33"/>
      <c r="AO416" s="10"/>
    </row>
    <row r="417" customFormat="false" ht="15" hidden="false" customHeight="false" outlineLevel="0" collapsed="false">
      <c r="A417" s="22"/>
      <c r="B417" s="23" t="str">
        <f aca="false">IF(A417="","",YEAR(A417-WEEKDAY(A417,2)+4))</f>
        <v/>
      </c>
      <c r="C417" s="23" t="str">
        <f aca="false">IF(A417="","",WEEKNUM(A417,21))</f>
        <v/>
      </c>
      <c r="D417" s="24" t="str">
        <f aca="false">IF(A417="","",DATE(YEAR(A417),MONTH(A417),1))</f>
        <v/>
      </c>
      <c r="E417" s="10"/>
      <c r="F417" s="25"/>
      <c r="G417" s="25"/>
      <c r="H417" s="10"/>
      <c r="I417" s="10"/>
      <c r="J417" s="26"/>
      <c r="K417" s="25"/>
      <c r="L417" s="26"/>
      <c r="M417" s="27"/>
      <c r="N417" s="27"/>
      <c r="O417" s="28" t="str">
        <f aca="false">IF(OR(M417="",M417=0,N417=""),"",N417/M417)</f>
        <v/>
      </c>
      <c r="P417" s="28" t="str">
        <f aca="false">IF(M417="","",IFERROR(IF(INDEX(Parámetros!$B$14:$B$21,MATCH(I417,Parámetros!$A$14:$A$21,0))="",Parámetros!$B$5,INDEX(Parámetros!$B$14:$B$21,MATCH(I417,Parámetros!$A$14:$A$21,0))),Parámetros!$B$5))</f>
        <v/>
      </c>
      <c r="Q417" s="29" t="str">
        <f aca="false">IF(O417="","",(O417-P417)*100)</f>
        <v/>
      </c>
      <c r="R417" s="30" t="str">
        <f aca="false">IF(O417="","",MAX(0,M417*(P417-O417)))</f>
        <v/>
      </c>
      <c r="S417" s="31" t="str">
        <f aca="false">IF(OR(L417="",L417=0,N417=""),"",N417/1000/L417)</f>
        <v/>
      </c>
      <c r="T417" s="27"/>
      <c r="U417" s="27"/>
      <c r="V417" s="27"/>
      <c r="W417" s="27"/>
      <c r="X417" s="27"/>
      <c r="Y417" s="27"/>
      <c r="Z417" s="27"/>
      <c r="AA417" s="25"/>
      <c r="AB417" s="27"/>
      <c r="AC417" s="30" t="str">
        <f aca="false">IF(M417="","",IF(AB417="",M417*Parámetros!$B$6,AB417))</f>
        <v/>
      </c>
      <c r="AD417" s="30" t="str">
        <f aca="false">IF(M417="","",SUM(T417:Z417)+AC417)</f>
        <v/>
      </c>
      <c r="AE417" s="30" t="str">
        <f aca="false">IF(OR(M417="",N417=""),"",M417-N417)</f>
        <v/>
      </c>
      <c r="AF417" s="30" t="str">
        <f aca="false">IF(AE417="","",AE417-AD417)</f>
        <v/>
      </c>
      <c r="AG417" s="28" t="str">
        <f aca="false">IF(OR(AF417="",M417=0),"",AF417/M417)</f>
        <v/>
      </c>
      <c r="AH417" s="32" t="str">
        <f aca="false">IF(OR(AE417="",N417=0),"",AE417/(N417/1000))</f>
        <v/>
      </c>
      <c r="AI417" s="30" t="str">
        <f aca="false">IF(O417="","",M417*P417)</f>
        <v/>
      </c>
      <c r="AJ417" s="11" t="str">
        <f aca="false">IF(O417="","",IF(O417&gt;1,"Error: rend &gt; 100 %",IF(SUM(T417:Z417)=0,"Falta registrar pérdidas",IF(ABS(AG417)&gt;Parámetros!$B$7,"Revisar balance",IF(O417&lt;P417,"Bajo meta","OK")))))</f>
        <v/>
      </c>
      <c r="AK417" s="33"/>
      <c r="AL417" s="10"/>
      <c r="AM417" s="33"/>
      <c r="AN417" s="33"/>
      <c r="AO417" s="10"/>
    </row>
    <row r="418" customFormat="false" ht="15" hidden="false" customHeight="false" outlineLevel="0" collapsed="false">
      <c r="A418" s="22"/>
      <c r="B418" s="23" t="str">
        <f aca="false">IF(A418="","",YEAR(A418-WEEKDAY(A418,2)+4))</f>
        <v/>
      </c>
      <c r="C418" s="23" t="str">
        <f aca="false">IF(A418="","",WEEKNUM(A418,21))</f>
        <v/>
      </c>
      <c r="D418" s="24" t="str">
        <f aca="false">IF(A418="","",DATE(YEAR(A418),MONTH(A418),1))</f>
        <v/>
      </c>
      <c r="E418" s="10"/>
      <c r="F418" s="25"/>
      <c r="G418" s="25"/>
      <c r="H418" s="10"/>
      <c r="I418" s="10"/>
      <c r="J418" s="26"/>
      <c r="K418" s="25"/>
      <c r="L418" s="26"/>
      <c r="M418" s="27"/>
      <c r="N418" s="27"/>
      <c r="O418" s="28" t="str">
        <f aca="false">IF(OR(M418="",M418=0,N418=""),"",N418/M418)</f>
        <v/>
      </c>
      <c r="P418" s="28" t="str">
        <f aca="false">IF(M418="","",IFERROR(IF(INDEX(Parámetros!$B$14:$B$21,MATCH(I418,Parámetros!$A$14:$A$21,0))="",Parámetros!$B$5,INDEX(Parámetros!$B$14:$B$21,MATCH(I418,Parámetros!$A$14:$A$21,0))),Parámetros!$B$5))</f>
        <v/>
      </c>
      <c r="Q418" s="29" t="str">
        <f aca="false">IF(O418="","",(O418-P418)*100)</f>
        <v/>
      </c>
      <c r="R418" s="30" t="str">
        <f aca="false">IF(O418="","",MAX(0,M418*(P418-O418)))</f>
        <v/>
      </c>
      <c r="S418" s="31" t="str">
        <f aca="false">IF(OR(L418="",L418=0,N418=""),"",N418/1000/L418)</f>
        <v/>
      </c>
      <c r="T418" s="27"/>
      <c r="U418" s="27"/>
      <c r="V418" s="27"/>
      <c r="W418" s="27"/>
      <c r="X418" s="27"/>
      <c r="Y418" s="27"/>
      <c r="Z418" s="27"/>
      <c r="AA418" s="25"/>
      <c r="AB418" s="27"/>
      <c r="AC418" s="30" t="str">
        <f aca="false">IF(M418="","",IF(AB418="",M418*Parámetros!$B$6,AB418))</f>
        <v/>
      </c>
      <c r="AD418" s="30" t="str">
        <f aca="false">IF(M418="","",SUM(T418:Z418)+AC418)</f>
        <v/>
      </c>
      <c r="AE418" s="30" t="str">
        <f aca="false">IF(OR(M418="",N418=""),"",M418-N418)</f>
        <v/>
      </c>
      <c r="AF418" s="30" t="str">
        <f aca="false">IF(AE418="","",AE418-AD418)</f>
        <v/>
      </c>
      <c r="AG418" s="28" t="str">
        <f aca="false">IF(OR(AF418="",M418=0),"",AF418/M418)</f>
        <v/>
      </c>
      <c r="AH418" s="32" t="str">
        <f aca="false">IF(OR(AE418="",N418=0),"",AE418/(N418/1000))</f>
        <v/>
      </c>
      <c r="AI418" s="30" t="str">
        <f aca="false">IF(O418="","",M418*P418)</f>
        <v/>
      </c>
      <c r="AJ418" s="11" t="str">
        <f aca="false">IF(O418="","",IF(O418&gt;1,"Error: rend &gt; 100 %",IF(SUM(T418:Z418)=0,"Falta registrar pérdidas",IF(ABS(AG418)&gt;Parámetros!$B$7,"Revisar balance",IF(O418&lt;P418,"Bajo meta","OK")))))</f>
        <v/>
      </c>
      <c r="AK418" s="33"/>
      <c r="AL418" s="10"/>
      <c r="AM418" s="33"/>
      <c r="AN418" s="33"/>
      <c r="AO418" s="10"/>
    </row>
    <row r="419" customFormat="false" ht="15" hidden="false" customHeight="false" outlineLevel="0" collapsed="false">
      <c r="A419" s="22"/>
      <c r="B419" s="23" t="str">
        <f aca="false">IF(A419="","",YEAR(A419-WEEKDAY(A419,2)+4))</f>
        <v/>
      </c>
      <c r="C419" s="23" t="str">
        <f aca="false">IF(A419="","",WEEKNUM(A419,21))</f>
        <v/>
      </c>
      <c r="D419" s="24" t="str">
        <f aca="false">IF(A419="","",DATE(YEAR(A419),MONTH(A419),1))</f>
        <v/>
      </c>
      <c r="E419" s="10"/>
      <c r="F419" s="25"/>
      <c r="G419" s="25"/>
      <c r="H419" s="10"/>
      <c r="I419" s="10"/>
      <c r="J419" s="26"/>
      <c r="K419" s="25"/>
      <c r="L419" s="26"/>
      <c r="M419" s="27"/>
      <c r="N419" s="27"/>
      <c r="O419" s="28" t="str">
        <f aca="false">IF(OR(M419="",M419=0,N419=""),"",N419/M419)</f>
        <v/>
      </c>
      <c r="P419" s="28" t="str">
        <f aca="false">IF(M419="","",IFERROR(IF(INDEX(Parámetros!$B$14:$B$21,MATCH(I419,Parámetros!$A$14:$A$21,0))="",Parámetros!$B$5,INDEX(Parámetros!$B$14:$B$21,MATCH(I419,Parámetros!$A$14:$A$21,0))),Parámetros!$B$5))</f>
        <v/>
      </c>
      <c r="Q419" s="29" t="str">
        <f aca="false">IF(O419="","",(O419-P419)*100)</f>
        <v/>
      </c>
      <c r="R419" s="30" t="str">
        <f aca="false">IF(O419="","",MAX(0,M419*(P419-O419)))</f>
        <v/>
      </c>
      <c r="S419" s="31" t="str">
        <f aca="false">IF(OR(L419="",L419=0,N419=""),"",N419/1000/L419)</f>
        <v/>
      </c>
      <c r="T419" s="27"/>
      <c r="U419" s="27"/>
      <c r="V419" s="27"/>
      <c r="W419" s="27"/>
      <c r="X419" s="27"/>
      <c r="Y419" s="27"/>
      <c r="Z419" s="27"/>
      <c r="AA419" s="25"/>
      <c r="AB419" s="27"/>
      <c r="AC419" s="30" t="str">
        <f aca="false">IF(M419="","",IF(AB419="",M419*Parámetros!$B$6,AB419))</f>
        <v/>
      </c>
      <c r="AD419" s="30" t="str">
        <f aca="false">IF(M419="","",SUM(T419:Z419)+AC419)</f>
        <v/>
      </c>
      <c r="AE419" s="30" t="str">
        <f aca="false">IF(OR(M419="",N419=""),"",M419-N419)</f>
        <v/>
      </c>
      <c r="AF419" s="30" t="str">
        <f aca="false">IF(AE419="","",AE419-AD419)</f>
        <v/>
      </c>
      <c r="AG419" s="28" t="str">
        <f aca="false">IF(OR(AF419="",M419=0),"",AF419/M419)</f>
        <v/>
      </c>
      <c r="AH419" s="32" t="str">
        <f aca="false">IF(OR(AE419="",N419=0),"",AE419/(N419/1000))</f>
        <v/>
      </c>
      <c r="AI419" s="30" t="str">
        <f aca="false">IF(O419="","",M419*P419)</f>
        <v/>
      </c>
      <c r="AJ419" s="11" t="str">
        <f aca="false">IF(O419="","",IF(O419&gt;1,"Error: rend &gt; 100 %",IF(SUM(T419:Z419)=0,"Falta registrar pérdidas",IF(ABS(AG419)&gt;Parámetros!$B$7,"Revisar balance",IF(O419&lt;P419,"Bajo meta","OK")))))</f>
        <v/>
      </c>
      <c r="AK419" s="33"/>
      <c r="AL419" s="10"/>
      <c r="AM419" s="33"/>
      <c r="AN419" s="33"/>
      <c r="AO419" s="10"/>
    </row>
    <row r="420" customFormat="false" ht="15" hidden="false" customHeight="false" outlineLevel="0" collapsed="false">
      <c r="A420" s="22"/>
      <c r="B420" s="23" t="str">
        <f aca="false">IF(A420="","",YEAR(A420-WEEKDAY(A420,2)+4))</f>
        <v/>
      </c>
      <c r="C420" s="23" t="str">
        <f aca="false">IF(A420="","",WEEKNUM(A420,21))</f>
        <v/>
      </c>
      <c r="D420" s="24" t="str">
        <f aca="false">IF(A420="","",DATE(YEAR(A420),MONTH(A420),1))</f>
        <v/>
      </c>
      <c r="E420" s="10"/>
      <c r="F420" s="25"/>
      <c r="G420" s="25"/>
      <c r="H420" s="10"/>
      <c r="I420" s="10"/>
      <c r="J420" s="26"/>
      <c r="K420" s="25"/>
      <c r="L420" s="26"/>
      <c r="M420" s="27"/>
      <c r="N420" s="27"/>
      <c r="O420" s="28" t="str">
        <f aca="false">IF(OR(M420="",M420=0,N420=""),"",N420/M420)</f>
        <v/>
      </c>
      <c r="P420" s="28" t="str">
        <f aca="false">IF(M420="","",IFERROR(IF(INDEX(Parámetros!$B$14:$B$21,MATCH(I420,Parámetros!$A$14:$A$21,0))="",Parámetros!$B$5,INDEX(Parámetros!$B$14:$B$21,MATCH(I420,Parámetros!$A$14:$A$21,0))),Parámetros!$B$5))</f>
        <v/>
      </c>
      <c r="Q420" s="29" t="str">
        <f aca="false">IF(O420="","",(O420-P420)*100)</f>
        <v/>
      </c>
      <c r="R420" s="30" t="str">
        <f aca="false">IF(O420="","",MAX(0,M420*(P420-O420)))</f>
        <v/>
      </c>
      <c r="S420" s="31" t="str">
        <f aca="false">IF(OR(L420="",L420=0,N420=""),"",N420/1000/L420)</f>
        <v/>
      </c>
      <c r="T420" s="27"/>
      <c r="U420" s="27"/>
      <c r="V420" s="27"/>
      <c r="W420" s="27"/>
      <c r="X420" s="27"/>
      <c r="Y420" s="27"/>
      <c r="Z420" s="27"/>
      <c r="AA420" s="25"/>
      <c r="AB420" s="27"/>
      <c r="AC420" s="30" t="str">
        <f aca="false">IF(M420="","",IF(AB420="",M420*Parámetros!$B$6,AB420))</f>
        <v/>
      </c>
      <c r="AD420" s="30" t="str">
        <f aca="false">IF(M420="","",SUM(T420:Z420)+AC420)</f>
        <v/>
      </c>
      <c r="AE420" s="30" t="str">
        <f aca="false">IF(OR(M420="",N420=""),"",M420-N420)</f>
        <v/>
      </c>
      <c r="AF420" s="30" t="str">
        <f aca="false">IF(AE420="","",AE420-AD420)</f>
        <v/>
      </c>
      <c r="AG420" s="28" t="str">
        <f aca="false">IF(OR(AF420="",M420=0),"",AF420/M420)</f>
        <v/>
      </c>
      <c r="AH420" s="32" t="str">
        <f aca="false">IF(OR(AE420="",N420=0),"",AE420/(N420/1000))</f>
        <v/>
      </c>
      <c r="AI420" s="30" t="str">
        <f aca="false">IF(O420="","",M420*P420)</f>
        <v/>
      </c>
      <c r="AJ420" s="11" t="str">
        <f aca="false">IF(O420="","",IF(O420&gt;1,"Error: rend &gt; 100 %",IF(SUM(T420:Z420)=0,"Falta registrar pérdidas",IF(ABS(AG420)&gt;Parámetros!$B$7,"Revisar balance",IF(O420&lt;P420,"Bajo meta","OK")))))</f>
        <v/>
      </c>
      <c r="AK420" s="33"/>
      <c r="AL420" s="10"/>
      <c r="AM420" s="33"/>
      <c r="AN420" s="33"/>
      <c r="AO420" s="10"/>
    </row>
    <row r="421" customFormat="false" ht="15" hidden="false" customHeight="false" outlineLevel="0" collapsed="false">
      <c r="A421" s="22"/>
      <c r="B421" s="23" t="str">
        <f aca="false">IF(A421="","",YEAR(A421-WEEKDAY(A421,2)+4))</f>
        <v/>
      </c>
      <c r="C421" s="23" t="str">
        <f aca="false">IF(A421="","",WEEKNUM(A421,21))</f>
        <v/>
      </c>
      <c r="D421" s="24" t="str">
        <f aca="false">IF(A421="","",DATE(YEAR(A421),MONTH(A421),1))</f>
        <v/>
      </c>
      <c r="E421" s="10"/>
      <c r="F421" s="25"/>
      <c r="G421" s="25"/>
      <c r="H421" s="10"/>
      <c r="I421" s="10"/>
      <c r="J421" s="26"/>
      <c r="K421" s="25"/>
      <c r="L421" s="26"/>
      <c r="M421" s="27"/>
      <c r="N421" s="27"/>
      <c r="O421" s="28" t="str">
        <f aca="false">IF(OR(M421="",M421=0,N421=""),"",N421/M421)</f>
        <v/>
      </c>
      <c r="P421" s="28" t="str">
        <f aca="false">IF(M421="","",IFERROR(IF(INDEX(Parámetros!$B$14:$B$21,MATCH(I421,Parámetros!$A$14:$A$21,0))="",Parámetros!$B$5,INDEX(Parámetros!$B$14:$B$21,MATCH(I421,Parámetros!$A$14:$A$21,0))),Parámetros!$B$5))</f>
        <v/>
      </c>
      <c r="Q421" s="29" t="str">
        <f aca="false">IF(O421="","",(O421-P421)*100)</f>
        <v/>
      </c>
      <c r="R421" s="30" t="str">
        <f aca="false">IF(O421="","",MAX(0,M421*(P421-O421)))</f>
        <v/>
      </c>
      <c r="S421" s="31" t="str">
        <f aca="false">IF(OR(L421="",L421=0,N421=""),"",N421/1000/L421)</f>
        <v/>
      </c>
      <c r="T421" s="27"/>
      <c r="U421" s="27"/>
      <c r="V421" s="27"/>
      <c r="W421" s="27"/>
      <c r="X421" s="27"/>
      <c r="Y421" s="27"/>
      <c r="Z421" s="27"/>
      <c r="AA421" s="25"/>
      <c r="AB421" s="27"/>
      <c r="AC421" s="30" t="str">
        <f aca="false">IF(M421="","",IF(AB421="",M421*Parámetros!$B$6,AB421))</f>
        <v/>
      </c>
      <c r="AD421" s="30" t="str">
        <f aca="false">IF(M421="","",SUM(T421:Z421)+AC421)</f>
        <v/>
      </c>
      <c r="AE421" s="30" t="str">
        <f aca="false">IF(OR(M421="",N421=""),"",M421-N421)</f>
        <v/>
      </c>
      <c r="AF421" s="30" t="str">
        <f aca="false">IF(AE421="","",AE421-AD421)</f>
        <v/>
      </c>
      <c r="AG421" s="28" t="str">
        <f aca="false">IF(OR(AF421="",M421=0),"",AF421/M421)</f>
        <v/>
      </c>
      <c r="AH421" s="32" t="str">
        <f aca="false">IF(OR(AE421="",N421=0),"",AE421/(N421/1000))</f>
        <v/>
      </c>
      <c r="AI421" s="30" t="str">
        <f aca="false">IF(O421="","",M421*P421)</f>
        <v/>
      </c>
      <c r="AJ421" s="11" t="str">
        <f aca="false">IF(O421="","",IF(O421&gt;1,"Error: rend &gt; 100 %",IF(SUM(T421:Z421)=0,"Falta registrar pérdidas",IF(ABS(AG421)&gt;Parámetros!$B$7,"Revisar balance",IF(O421&lt;P421,"Bajo meta","OK")))))</f>
        <v/>
      </c>
      <c r="AK421" s="33"/>
      <c r="AL421" s="10"/>
      <c r="AM421" s="33"/>
      <c r="AN421" s="33"/>
      <c r="AO421" s="10"/>
    </row>
    <row r="422" customFormat="false" ht="15" hidden="false" customHeight="false" outlineLevel="0" collapsed="false">
      <c r="A422" s="22"/>
      <c r="B422" s="23" t="str">
        <f aca="false">IF(A422="","",YEAR(A422-WEEKDAY(A422,2)+4))</f>
        <v/>
      </c>
      <c r="C422" s="23" t="str">
        <f aca="false">IF(A422="","",WEEKNUM(A422,21))</f>
        <v/>
      </c>
      <c r="D422" s="24" t="str">
        <f aca="false">IF(A422="","",DATE(YEAR(A422),MONTH(A422),1))</f>
        <v/>
      </c>
      <c r="E422" s="10"/>
      <c r="F422" s="25"/>
      <c r="G422" s="25"/>
      <c r="H422" s="10"/>
      <c r="I422" s="10"/>
      <c r="J422" s="26"/>
      <c r="K422" s="25"/>
      <c r="L422" s="26"/>
      <c r="M422" s="27"/>
      <c r="N422" s="27"/>
      <c r="O422" s="28" t="str">
        <f aca="false">IF(OR(M422="",M422=0,N422=""),"",N422/M422)</f>
        <v/>
      </c>
      <c r="P422" s="28" t="str">
        <f aca="false">IF(M422="","",IFERROR(IF(INDEX(Parámetros!$B$14:$B$21,MATCH(I422,Parámetros!$A$14:$A$21,0))="",Parámetros!$B$5,INDEX(Parámetros!$B$14:$B$21,MATCH(I422,Parámetros!$A$14:$A$21,0))),Parámetros!$B$5))</f>
        <v/>
      </c>
      <c r="Q422" s="29" t="str">
        <f aca="false">IF(O422="","",(O422-P422)*100)</f>
        <v/>
      </c>
      <c r="R422" s="30" t="str">
        <f aca="false">IF(O422="","",MAX(0,M422*(P422-O422)))</f>
        <v/>
      </c>
      <c r="S422" s="31" t="str">
        <f aca="false">IF(OR(L422="",L422=0,N422=""),"",N422/1000/L422)</f>
        <v/>
      </c>
      <c r="T422" s="27"/>
      <c r="U422" s="27"/>
      <c r="V422" s="27"/>
      <c r="W422" s="27"/>
      <c r="X422" s="27"/>
      <c r="Y422" s="27"/>
      <c r="Z422" s="27"/>
      <c r="AA422" s="25"/>
      <c r="AB422" s="27"/>
      <c r="AC422" s="30" t="str">
        <f aca="false">IF(M422="","",IF(AB422="",M422*Parámetros!$B$6,AB422))</f>
        <v/>
      </c>
      <c r="AD422" s="30" t="str">
        <f aca="false">IF(M422="","",SUM(T422:Z422)+AC422)</f>
        <v/>
      </c>
      <c r="AE422" s="30" t="str">
        <f aca="false">IF(OR(M422="",N422=""),"",M422-N422)</f>
        <v/>
      </c>
      <c r="AF422" s="30" t="str">
        <f aca="false">IF(AE422="","",AE422-AD422)</f>
        <v/>
      </c>
      <c r="AG422" s="28" t="str">
        <f aca="false">IF(OR(AF422="",M422=0),"",AF422/M422)</f>
        <v/>
      </c>
      <c r="AH422" s="32" t="str">
        <f aca="false">IF(OR(AE422="",N422=0),"",AE422/(N422/1000))</f>
        <v/>
      </c>
      <c r="AI422" s="30" t="str">
        <f aca="false">IF(O422="","",M422*P422)</f>
        <v/>
      </c>
      <c r="AJ422" s="11" t="str">
        <f aca="false">IF(O422="","",IF(O422&gt;1,"Error: rend &gt; 100 %",IF(SUM(T422:Z422)=0,"Falta registrar pérdidas",IF(ABS(AG422)&gt;Parámetros!$B$7,"Revisar balance",IF(O422&lt;P422,"Bajo meta","OK")))))</f>
        <v/>
      </c>
      <c r="AK422" s="33"/>
      <c r="AL422" s="10"/>
      <c r="AM422" s="33"/>
      <c r="AN422" s="33"/>
      <c r="AO422" s="10"/>
    </row>
    <row r="423" customFormat="false" ht="15" hidden="false" customHeight="false" outlineLevel="0" collapsed="false">
      <c r="A423" s="22"/>
      <c r="B423" s="23" t="str">
        <f aca="false">IF(A423="","",YEAR(A423-WEEKDAY(A423,2)+4))</f>
        <v/>
      </c>
      <c r="C423" s="23" t="str">
        <f aca="false">IF(A423="","",WEEKNUM(A423,21))</f>
        <v/>
      </c>
      <c r="D423" s="24" t="str">
        <f aca="false">IF(A423="","",DATE(YEAR(A423),MONTH(A423),1))</f>
        <v/>
      </c>
      <c r="E423" s="10"/>
      <c r="F423" s="25"/>
      <c r="G423" s="25"/>
      <c r="H423" s="10"/>
      <c r="I423" s="10"/>
      <c r="J423" s="26"/>
      <c r="K423" s="25"/>
      <c r="L423" s="26"/>
      <c r="M423" s="27"/>
      <c r="N423" s="27"/>
      <c r="O423" s="28" t="str">
        <f aca="false">IF(OR(M423="",M423=0,N423=""),"",N423/M423)</f>
        <v/>
      </c>
      <c r="P423" s="28" t="str">
        <f aca="false">IF(M423="","",IFERROR(IF(INDEX(Parámetros!$B$14:$B$21,MATCH(I423,Parámetros!$A$14:$A$21,0))="",Parámetros!$B$5,INDEX(Parámetros!$B$14:$B$21,MATCH(I423,Parámetros!$A$14:$A$21,0))),Parámetros!$B$5))</f>
        <v/>
      </c>
      <c r="Q423" s="29" t="str">
        <f aca="false">IF(O423="","",(O423-P423)*100)</f>
        <v/>
      </c>
      <c r="R423" s="30" t="str">
        <f aca="false">IF(O423="","",MAX(0,M423*(P423-O423)))</f>
        <v/>
      </c>
      <c r="S423" s="31" t="str">
        <f aca="false">IF(OR(L423="",L423=0,N423=""),"",N423/1000/L423)</f>
        <v/>
      </c>
      <c r="T423" s="27"/>
      <c r="U423" s="27"/>
      <c r="V423" s="27"/>
      <c r="W423" s="27"/>
      <c r="X423" s="27"/>
      <c r="Y423" s="27"/>
      <c r="Z423" s="27"/>
      <c r="AA423" s="25"/>
      <c r="AB423" s="27"/>
      <c r="AC423" s="30" t="str">
        <f aca="false">IF(M423="","",IF(AB423="",M423*Parámetros!$B$6,AB423))</f>
        <v/>
      </c>
      <c r="AD423" s="30" t="str">
        <f aca="false">IF(M423="","",SUM(T423:Z423)+AC423)</f>
        <v/>
      </c>
      <c r="AE423" s="30" t="str">
        <f aca="false">IF(OR(M423="",N423=""),"",M423-N423)</f>
        <v/>
      </c>
      <c r="AF423" s="30" t="str">
        <f aca="false">IF(AE423="","",AE423-AD423)</f>
        <v/>
      </c>
      <c r="AG423" s="28" t="str">
        <f aca="false">IF(OR(AF423="",M423=0),"",AF423/M423)</f>
        <v/>
      </c>
      <c r="AH423" s="32" t="str">
        <f aca="false">IF(OR(AE423="",N423=0),"",AE423/(N423/1000))</f>
        <v/>
      </c>
      <c r="AI423" s="30" t="str">
        <f aca="false">IF(O423="","",M423*P423)</f>
        <v/>
      </c>
      <c r="AJ423" s="11" t="str">
        <f aca="false">IF(O423="","",IF(O423&gt;1,"Error: rend &gt; 100 %",IF(SUM(T423:Z423)=0,"Falta registrar pérdidas",IF(ABS(AG423)&gt;Parámetros!$B$7,"Revisar balance",IF(O423&lt;P423,"Bajo meta","OK")))))</f>
        <v/>
      </c>
      <c r="AK423" s="33"/>
      <c r="AL423" s="10"/>
      <c r="AM423" s="33"/>
      <c r="AN423" s="33"/>
      <c r="AO423" s="10"/>
    </row>
    <row r="424" customFormat="false" ht="15" hidden="false" customHeight="false" outlineLevel="0" collapsed="false">
      <c r="A424" s="22"/>
      <c r="B424" s="23" t="str">
        <f aca="false">IF(A424="","",YEAR(A424-WEEKDAY(A424,2)+4))</f>
        <v/>
      </c>
      <c r="C424" s="23" t="str">
        <f aca="false">IF(A424="","",WEEKNUM(A424,21))</f>
        <v/>
      </c>
      <c r="D424" s="24" t="str">
        <f aca="false">IF(A424="","",DATE(YEAR(A424),MONTH(A424),1))</f>
        <v/>
      </c>
      <c r="E424" s="10"/>
      <c r="F424" s="25"/>
      <c r="G424" s="25"/>
      <c r="H424" s="10"/>
      <c r="I424" s="10"/>
      <c r="J424" s="26"/>
      <c r="K424" s="25"/>
      <c r="L424" s="26"/>
      <c r="M424" s="27"/>
      <c r="N424" s="27"/>
      <c r="O424" s="28" t="str">
        <f aca="false">IF(OR(M424="",M424=0,N424=""),"",N424/M424)</f>
        <v/>
      </c>
      <c r="P424" s="28" t="str">
        <f aca="false">IF(M424="","",IFERROR(IF(INDEX(Parámetros!$B$14:$B$21,MATCH(I424,Parámetros!$A$14:$A$21,0))="",Parámetros!$B$5,INDEX(Parámetros!$B$14:$B$21,MATCH(I424,Parámetros!$A$14:$A$21,0))),Parámetros!$B$5))</f>
        <v/>
      </c>
      <c r="Q424" s="29" t="str">
        <f aca="false">IF(O424="","",(O424-P424)*100)</f>
        <v/>
      </c>
      <c r="R424" s="30" t="str">
        <f aca="false">IF(O424="","",MAX(0,M424*(P424-O424)))</f>
        <v/>
      </c>
      <c r="S424" s="31" t="str">
        <f aca="false">IF(OR(L424="",L424=0,N424=""),"",N424/1000/L424)</f>
        <v/>
      </c>
      <c r="T424" s="27"/>
      <c r="U424" s="27"/>
      <c r="V424" s="27"/>
      <c r="W424" s="27"/>
      <c r="X424" s="27"/>
      <c r="Y424" s="27"/>
      <c r="Z424" s="27"/>
      <c r="AA424" s="25"/>
      <c r="AB424" s="27"/>
      <c r="AC424" s="30" t="str">
        <f aca="false">IF(M424="","",IF(AB424="",M424*Parámetros!$B$6,AB424))</f>
        <v/>
      </c>
      <c r="AD424" s="30" t="str">
        <f aca="false">IF(M424="","",SUM(T424:Z424)+AC424)</f>
        <v/>
      </c>
      <c r="AE424" s="30" t="str">
        <f aca="false">IF(OR(M424="",N424=""),"",M424-N424)</f>
        <v/>
      </c>
      <c r="AF424" s="30" t="str">
        <f aca="false">IF(AE424="","",AE424-AD424)</f>
        <v/>
      </c>
      <c r="AG424" s="28" t="str">
        <f aca="false">IF(OR(AF424="",M424=0),"",AF424/M424)</f>
        <v/>
      </c>
      <c r="AH424" s="32" t="str">
        <f aca="false">IF(OR(AE424="",N424=0),"",AE424/(N424/1000))</f>
        <v/>
      </c>
      <c r="AI424" s="30" t="str">
        <f aca="false">IF(O424="","",M424*P424)</f>
        <v/>
      </c>
      <c r="AJ424" s="11" t="str">
        <f aca="false">IF(O424="","",IF(O424&gt;1,"Error: rend &gt; 100 %",IF(SUM(T424:Z424)=0,"Falta registrar pérdidas",IF(ABS(AG424)&gt;Parámetros!$B$7,"Revisar balance",IF(O424&lt;P424,"Bajo meta","OK")))))</f>
        <v/>
      </c>
      <c r="AK424" s="33"/>
      <c r="AL424" s="10"/>
      <c r="AM424" s="33"/>
      <c r="AN424" s="33"/>
      <c r="AO424" s="10"/>
    </row>
    <row r="425" customFormat="false" ht="15" hidden="false" customHeight="false" outlineLevel="0" collapsed="false">
      <c r="A425" s="22"/>
      <c r="B425" s="23" t="str">
        <f aca="false">IF(A425="","",YEAR(A425-WEEKDAY(A425,2)+4))</f>
        <v/>
      </c>
      <c r="C425" s="23" t="str">
        <f aca="false">IF(A425="","",WEEKNUM(A425,21))</f>
        <v/>
      </c>
      <c r="D425" s="24" t="str">
        <f aca="false">IF(A425="","",DATE(YEAR(A425),MONTH(A425),1))</f>
        <v/>
      </c>
      <c r="E425" s="10"/>
      <c r="F425" s="25"/>
      <c r="G425" s="25"/>
      <c r="H425" s="10"/>
      <c r="I425" s="10"/>
      <c r="J425" s="26"/>
      <c r="K425" s="25"/>
      <c r="L425" s="26"/>
      <c r="M425" s="27"/>
      <c r="N425" s="27"/>
      <c r="O425" s="28" t="str">
        <f aca="false">IF(OR(M425="",M425=0,N425=""),"",N425/M425)</f>
        <v/>
      </c>
      <c r="P425" s="28" t="str">
        <f aca="false">IF(M425="","",IFERROR(IF(INDEX(Parámetros!$B$14:$B$21,MATCH(I425,Parámetros!$A$14:$A$21,0))="",Parámetros!$B$5,INDEX(Parámetros!$B$14:$B$21,MATCH(I425,Parámetros!$A$14:$A$21,0))),Parámetros!$B$5))</f>
        <v/>
      </c>
      <c r="Q425" s="29" t="str">
        <f aca="false">IF(O425="","",(O425-P425)*100)</f>
        <v/>
      </c>
      <c r="R425" s="30" t="str">
        <f aca="false">IF(O425="","",MAX(0,M425*(P425-O425)))</f>
        <v/>
      </c>
      <c r="S425" s="31" t="str">
        <f aca="false">IF(OR(L425="",L425=0,N425=""),"",N425/1000/L425)</f>
        <v/>
      </c>
      <c r="T425" s="27"/>
      <c r="U425" s="27"/>
      <c r="V425" s="27"/>
      <c r="W425" s="27"/>
      <c r="X425" s="27"/>
      <c r="Y425" s="27"/>
      <c r="Z425" s="27"/>
      <c r="AA425" s="25"/>
      <c r="AB425" s="27"/>
      <c r="AC425" s="30" t="str">
        <f aca="false">IF(M425="","",IF(AB425="",M425*Parámetros!$B$6,AB425))</f>
        <v/>
      </c>
      <c r="AD425" s="30" t="str">
        <f aca="false">IF(M425="","",SUM(T425:Z425)+AC425)</f>
        <v/>
      </c>
      <c r="AE425" s="30" t="str">
        <f aca="false">IF(OR(M425="",N425=""),"",M425-N425)</f>
        <v/>
      </c>
      <c r="AF425" s="30" t="str">
        <f aca="false">IF(AE425="","",AE425-AD425)</f>
        <v/>
      </c>
      <c r="AG425" s="28" t="str">
        <f aca="false">IF(OR(AF425="",M425=0),"",AF425/M425)</f>
        <v/>
      </c>
      <c r="AH425" s="32" t="str">
        <f aca="false">IF(OR(AE425="",N425=0),"",AE425/(N425/1000))</f>
        <v/>
      </c>
      <c r="AI425" s="30" t="str">
        <f aca="false">IF(O425="","",M425*P425)</f>
        <v/>
      </c>
      <c r="AJ425" s="11" t="str">
        <f aca="false">IF(O425="","",IF(O425&gt;1,"Error: rend &gt; 100 %",IF(SUM(T425:Z425)=0,"Falta registrar pérdidas",IF(ABS(AG425)&gt;Parámetros!$B$7,"Revisar balance",IF(O425&lt;P425,"Bajo meta","OK")))))</f>
        <v/>
      </c>
      <c r="AK425" s="33"/>
      <c r="AL425" s="10"/>
      <c r="AM425" s="33"/>
      <c r="AN425" s="33"/>
      <c r="AO425" s="10"/>
    </row>
    <row r="426" customFormat="false" ht="15" hidden="false" customHeight="false" outlineLevel="0" collapsed="false">
      <c r="A426" s="22"/>
      <c r="B426" s="23" t="str">
        <f aca="false">IF(A426="","",YEAR(A426-WEEKDAY(A426,2)+4))</f>
        <v/>
      </c>
      <c r="C426" s="23" t="str">
        <f aca="false">IF(A426="","",WEEKNUM(A426,21))</f>
        <v/>
      </c>
      <c r="D426" s="24" t="str">
        <f aca="false">IF(A426="","",DATE(YEAR(A426),MONTH(A426),1))</f>
        <v/>
      </c>
      <c r="E426" s="10"/>
      <c r="F426" s="25"/>
      <c r="G426" s="25"/>
      <c r="H426" s="10"/>
      <c r="I426" s="10"/>
      <c r="J426" s="26"/>
      <c r="K426" s="25"/>
      <c r="L426" s="26"/>
      <c r="M426" s="27"/>
      <c r="N426" s="27"/>
      <c r="O426" s="28" t="str">
        <f aca="false">IF(OR(M426="",M426=0,N426=""),"",N426/M426)</f>
        <v/>
      </c>
      <c r="P426" s="28" t="str">
        <f aca="false">IF(M426="","",IFERROR(IF(INDEX(Parámetros!$B$14:$B$21,MATCH(I426,Parámetros!$A$14:$A$21,0))="",Parámetros!$B$5,INDEX(Parámetros!$B$14:$B$21,MATCH(I426,Parámetros!$A$14:$A$21,0))),Parámetros!$B$5))</f>
        <v/>
      </c>
      <c r="Q426" s="29" t="str">
        <f aca="false">IF(O426="","",(O426-P426)*100)</f>
        <v/>
      </c>
      <c r="R426" s="30" t="str">
        <f aca="false">IF(O426="","",MAX(0,M426*(P426-O426)))</f>
        <v/>
      </c>
      <c r="S426" s="31" t="str">
        <f aca="false">IF(OR(L426="",L426=0,N426=""),"",N426/1000/L426)</f>
        <v/>
      </c>
      <c r="T426" s="27"/>
      <c r="U426" s="27"/>
      <c r="V426" s="27"/>
      <c r="W426" s="27"/>
      <c r="X426" s="27"/>
      <c r="Y426" s="27"/>
      <c r="Z426" s="27"/>
      <c r="AA426" s="25"/>
      <c r="AB426" s="27"/>
      <c r="AC426" s="30" t="str">
        <f aca="false">IF(M426="","",IF(AB426="",M426*Parámetros!$B$6,AB426))</f>
        <v/>
      </c>
      <c r="AD426" s="30" t="str">
        <f aca="false">IF(M426="","",SUM(T426:Z426)+AC426)</f>
        <v/>
      </c>
      <c r="AE426" s="30" t="str">
        <f aca="false">IF(OR(M426="",N426=""),"",M426-N426)</f>
        <v/>
      </c>
      <c r="AF426" s="30" t="str">
        <f aca="false">IF(AE426="","",AE426-AD426)</f>
        <v/>
      </c>
      <c r="AG426" s="28" t="str">
        <f aca="false">IF(OR(AF426="",M426=0),"",AF426/M426)</f>
        <v/>
      </c>
      <c r="AH426" s="32" t="str">
        <f aca="false">IF(OR(AE426="",N426=0),"",AE426/(N426/1000))</f>
        <v/>
      </c>
      <c r="AI426" s="30" t="str">
        <f aca="false">IF(O426="","",M426*P426)</f>
        <v/>
      </c>
      <c r="AJ426" s="11" t="str">
        <f aca="false">IF(O426="","",IF(O426&gt;1,"Error: rend &gt; 100 %",IF(SUM(T426:Z426)=0,"Falta registrar pérdidas",IF(ABS(AG426)&gt;Parámetros!$B$7,"Revisar balance",IF(O426&lt;P426,"Bajo meta","OK")))))</f>
        <v/>
      </c>
      <c r="AK426" s="33"/>
      <c r="AL426" s="10"/>
      <c r="AM426" s="33"/>
      <c r="AN426" s="33"/>
      <c r="AO426" s="10"/>
    </row>
    <row r="427" customFormat="false" ht="15" hidden="false" customHeight="false" outlineLevel="0" collapsed="false">
      <c r="A427" s="22"/>
      <c r="B427" s="23" t="str">
        <f aca="false">IF(A427="","",YEAR(A427-WEEKDAY(A427,2)+4))</f>
        <v/>
      </c>
      <c r="C427" s="23" t="str">
        <f aca="false">IF(A427="","",WEEKNUM(A427,21))</f>
        <v/>
      </c>
      <c r="D427" s="24" t="str">
        <f aca="false">IF(A427="","",DATE(YEAR(A427),MONTH(A427),1))</f>
        <v/>
      </c>
      <c r="E427" s="10"/>
      <c r="F427" s="25"/>
      <c r="G427" s="25"/>
      <c r="H427" s="10"/>
      <c r="I427" s="10"/>
      <c r="J427" s="26"/>
      <c r="K427" s="25"/>
      <c r="L427" s="26"/>
      <c r="M427" s="27"/>
      <c r="N427" s="27"/>
      <c r="O427" s="28" t="str">
        <f aca="false">IF(OR(M427="",M427=0,N427=""),"",N427/M427)</f>
        <v/>
      </c>
      <c r="P427" s="28" t="str">
        <f aca="false">IF(M427="","",IFERROR(IF(INDEX(Parámetros!$B$14:$B$21,MATCH(I427,Parámetros!$A$14:$A$21,0))="",Parámetros!$B$5,INDEX(Parámetros!$B$14:$B$21,MATCH(I427,Parámetros!$A$14:$A$21,0))),Parámetros!$B$5))</f>
        <v/>
      </c>
      <c r="Q427" s="29" t="str">
        <f aca="false">IF(O427="","",(O427-P427)*100)</f>
        <v/>
      </c>
      <c r="R427" s="30" t="str">
        <f aca="false">IF(O427="","",MAX(0,M427*(P427-O427)))</f>
        <v/>
      </c>
      <c r="S427" s="31" t="str">
        <f aca="false">IF(OR(L427="",L427=0,N427=""),"",N427/1000/L427)</f>
        <v/>
      </c>
      <c r="T427" s="27"/>
      <c r="U427" s="27"/>
      <c r="V427" s="27"/>
      <c r="W427" s="27"/>
      <c r="X427" s="27"/>
      <c r="Y427" s="27"/>
      <c r="Z427" s="27"/>
      <c r="AA427" s="25"/>
      <c r="AB427" s="27"/>
      <c r="AC427" s="30" t="str">
        <f aca="false">IF(M427="","",IF(AB427="",M427*Parámetros!$B$6,AB427))</f>
        <v/>
      </c>
      <c r="AD427" s="30" t="str">
        <f aca="false">IF(M427="","",SUM(T427:Z427)+AC427)</f>
        <v/>
      </c>
      <c r="AE427" s="30" t="str">
        <f aca="false">IF(OR(M427="",N427=""),"",M427-N427)</f>
        <v/>
      </c>
      <c r="AF427" s="30" t="str">
        <f aca="false">IF(AE427="","",AE427-AD427)</f>
        <v/>
      </c>
      <c r="AG427" s="28" t="str">
        <f aca="false">IF(OR(AF427="",M427=0),"",AF427/M427)</f>
        <v/>
      </c>
      <c r="AH427" s="32" t="str">
        <f aca="false">IF(OR(AE427="",N427=0),"",AE427/(N427/1000))</f>
        <v/>
      </c>
      <c r="AI427" s="30" t="str">
        <f aca="false">IF(O427="","",M427*P427)</f>
        <v/>
      </c>
      <c r="AJ427" s="11" t="str">
        <f aca="false">IF(O427="","",IF(O427&gt;1,"Error: rend &gt; 100 %",IF(SUM(T427:Z427)=0,"Falta registrar pérdidas",IF(ABS(AG427)&gt;Parámetros!$B$7,"Revisar balance",IF(O427&lt;P427,"Bajo meta","OK")))))</f>
        <v/>
      </c>
      <c r="AK427" s="33"/>
      <c r="AL427" s="10"/>
      <c r="AM427" s="33"/>
      <c r="AN427" s="33"/>
      <c r="AO427" s="10"/>
    </row>
    <row r="428" customFormat="false" ht="15" hidden="false" customHeight="false" outlineLevel="0" collapsed="false">
      <c r="A428" s="22"/>
      <c r="B428" s="23" t="str">
        <f aca="false">IF(A428="","",YEAR(A428-WEEKDAY(A428,2)+4))</f>
        <v/>
      </c>
      <c r="C428" s="23" t="str">
        <f aca="false">IF(A428="","",WEEKNUM(A428,21))</f>
        <v/>
      </c>
      <c r="D428" s="24" t="str">
        <f aca="false">IF(A428="","",DATE(YEAR(A428),MONTH(A428),1))</f>
        <v/>
      </c>
      <c r="E428" s="10"/>
      <c r="F428" s="25"/>
      <c r="G428" s="25"/>
      <c r="H428" s="10"/>
      <c r="I428" s="10"/>
      <c r="J428" s="26"/>
      <c r="K428" s="25"/>
      <c r="L428" s="26"/>
      <c r="M428" s="27"/>
      <c r="N428" s="27"/>
      <c r="O428" s="28" t="str">
        <f aca="false">IF(OR(M428="",M428=0,N428=""),"",N428/M428)</f>
        <v/>
      </c>
      <c r="P428" s="28" t="str">
        <f aca="false">IF(M428="","",IFERROR(IF(INDEX(Parámetros!$B$14:$B$21,MATCH(I428,Parámetros!$A$14:$A$21,0))="",Parámetros!$B$5,INDEX(Parámetros!$B$14:$B$21,MATCH(I428,Parámetros!$A$14:$A$21,0))),Parámetros!$B$5))</f>
        <v/>
      </c>
      <c r="Q428" s="29" t="str">
        <f aca="false">IF(O428="","",(O428-P428)*100)</f>
        <v/>
      </c>
      <c r="R428" s="30" t="str">
        <f aca="false">IF(O428="","",MAX(0,M428*(P428-O428)))</f>
        <v/>
      </c>
      <c r="S428" s="31" t="str">
        <f aca="false">IF(OR(L428="",L428=0,N428=""),"",N428/1000/L428)</f>
        <v/>
      </c>
      <c r="T428" s="27"/>
      <c r="U428" s="27"/>
      <c r="V428" s="27"/>
      <c r="W428" s="27"/>
      <c r="X428" s="27"/>
      <c r="Y428" s="27"/>
      <c r="Z428" s="27"/>
      <c r="AA428" s="25"/>
      <c r="AB428" s="27"/>
      <c r="AC428" s="30" t="str">
        <f aca="false">IF(M428="","",IF(AB428="",M428*Parámetros!$B$6,AB428))</f>
        <v/>
      </c>
      <c r="AD428" s="30" t="str">
        <f aca="false">IF(M428="","",SUM(T428:Z428)+AC428)</f>
        <v/>
      </c>
      <c r="AE428" s="30" t="str">
        <f aca="false">IF(OR(M428="",N428=""),"",M428-N428)</f>
        <v/>
      </c>
      <c r="AF428" s="30" t="str">
        <f aca="false">IF(AE428="","",AE428-AD428)</f>
        <v/>
      </c>
      <c r="AG428" s="28" t="str">
        <f aca="false">IF(OR(AF428="",M428=0),"",AF428/M428)</f>
        <v/>
      </c>
      <c r="AH428" s="32" t="str">
        <f aca="false">IF(OR(AE428="",N428=0),"",AE428/(N428/1000))</f>
        <v/>
      </c>
      <c r="AI428" s="30" t="str">
        <f aca="false">IF(O428="","",M428*P428)</f>
        <v/>
      </c>
      <c r="AJ428" s="11" t="str">
        <f aca="false">IF(O428="","",IF(O428&gt;1,"Error: rend &gt; 100 %",IF(SUM(T428:Z428)=0,"Falta registrar pérdidas",IF(ABS(AG428)&gt;Parámetros!$B$7,"Revisar balance",IF(O428&lt;P428,"Bajo meta","OK")))))</f>
        <v/>
      </c>
      <c r="AK428" s="33"/>
      <c r="AL428" s="10"/>
      <c r="AM428" s="33"/>
      <c r="AN428" s="33"/>
      <c r="AO428" s="10"/>
    </row>
    <row r="429" customFormat="false" ht="15" hidden="false" customHeight="false" outlineLevel="0" collapsed="false">
      <c r="A429" s="22"/>
      <c r="B429" s="23" t="str">
        <f aca="false">IF(A429="","",YEAR(A429-WEEKDAY(A429,2)+4))</f>
        <v/>
      </c>
      <c r="C429" s="23" t="str">
        <f aca="false">IF(A429="","",WEEKNUM(A429,21))</f>
        <v/>
      </c>
      <c r="D429" s="24" t="str">
        <f aca="false">IF(A429="","",DATE(YEAR(A429),MONTH(A429),1))</f>
        <v/>
      </c>
      <c r="E429" s="10"/>
      <c r="F429" s="25"/>
      <c r="G429" s="25"/>
      <c r="H429" s="10"/>
      <c r="I429" s="10"/>
      <c r="J429" s="26"/>
      <c r="K429" s="25"/>
      <c r="L429" s="26"/>
      <c r="M429" s="27"/>
      <c r="N429" s="27"/>
      <c r="O429" s="28" t="str">
        <f aca="false">IF(OR(M429="",M429=0,N429=""),"",N429/M429)</f>
        <v/>
      </c>
      <c r="P429" s="28" t="str">
        <f aca="false">IF(M429="","",IFERROR(IF(INDEX(Parámetros!$B$14:$B$21,MATCH(I429,Parámetros!$A$14:$A$21,0))="",Parámetros!$B$5,INDEX(Parámetros!$B$14:$B$21,MATCH(I429,Parámetros!$A$14:$A$21,0))),Parámetros!$B$5))</f>
        <v/>
      </c>
      <c r="Q429" s="29" t="str">
        <f aca="false">IF(O429="","",(O429-P429)*100)</f>
        <v/>
      </c>
      <c r="R429" s="30" t="str">
        <f aca="false">IF(O429="","",MAX(0,M429*(P429-O429)))</f>
        <v/>
      </c>
      <c r="S429" s="31" t="str">
        <f aca="false">IF(OR(L429="",L429=0,N429=""),"",N429/1000/L429)</f>
        <v/>
      </c>
      <c r="T429" s="27"/>
      <c r="U429" s="27"/>
      <c r="V429" s="27"/>
      <c r="W429" s="27"/>
      <c r="X429" s="27"/>
      <c r="Y429" s="27"/>
      <c r="Z429" s="27"/>
      <c r="AA429" s="25"/>
      <c r="AB429" s="27"/>
      <c r="AC429" s="30" t="str">
        <f aca="false">IF(M429="","",IF(AB429="",M429*Parámetros!$B$6,AB429))</f>
        <v/>
      </c>
      <c r="AD429" s="30" t="str">
        <f aca="false">IF(M429="","",SUM(T429:Z429)+AC429)</f>
        <v/>
      </c>
      <c r="AE429" s="30" t="str">
        <f aca="false">IF(OR(M429="",N429=""),"",M429-N429)</f>
        <v/>
      </c>
      <c r="AF429" s="30" t="str">
        <f aca="false">IF(AE429="","",AE429-AD429)</f>
        <v/>
      </c>
      <c r="AG429" s="28" t="str">
        <f aca="false">IF(OR(AF429="",M429=0),"",AF429/M429)</f>
        <v/>
      </c>
      <c r="AH429" s="32" t="str">
        <f aca="false">IF(OR(AE429="",N429=0),"",AE429/(N429/1000))</f>
        <v/>
      </c>
      <c r="AI429" s="30" t="str">
        <f aca="false">IF(O429="","",M429*P429)</f>
        <v/>
      </c>
      <c r="AJ429" s="11" t="str">
        <f aca="false">IF(O429="","",IF(O429&gt;1,"Error: rend &gt; 100 %",IF(SUM(T429:Z429)=0,"Falta registrar pérdidas",IF(ABS(AG429)&gt;Parámetros!$B$7,"Revisar balance",IF(O429&lt;P429,"Bajo meta","OK")))))</f>
        <v/>
      </c>
      <c r="AK429" s="33"/>
      <c r="AL429" s="10"/>
      <c r="AM429" s="33"/>
      <c r="AN429" s="33"/>
      <c r="AO429" s="10"/>
    </row>
    <row r="430" customFormat="false" ht="15" hidden="false" customHeight="false" outlineLevel="0" collapsed="false">
      <c r="A430" s="22"/>
      <c r="B430" s="23" t="str">
        <f aca="false">IF(A430="","",YEAR(A430-WEEKDAY(A430,2)+4))</f>
        <v/>
      </c>
      <c r="C430" s="23" t="str">
        <f aca="false">IF(A430="","",WEEKNUM(A430,21))</f>
        <v/>
      </c>
      <c r="D430" s="24" t="str">
        <f aca="false">IF(A430="","",DATE(YEAR(A430),MONTH(A430),1))</f>
        <v/>
      </c>
      <c r="E430" s="10"/>
      <c r="F430" s="25"/>
      <c r="G430" s="25"/>
      <c r="H430" s="10"/>
      <c r="I430" s="10"/>
      <c r="J430" s="26"/>
      <c r="K430" s="25"/>
      <c r="L430" s="26"/>
      <c r="M430" s="27"/>
      <c r="N430" s="27"/>
      <c r="O430" s="28" t="str">
        <f aca="false">IF(OR(M430="",M430=0,N430=""),"",N430/M430)</f>
        <v/>
      </c>
      <c r="P430" s="28" t="str">
        <f aca="false">IF(M430="","",IFERROR(IF(INDEX(Parámetros!$B$14:$B$21,MATCH(I430,Parámetros!$A$14:$A$21,0))="",Parámetros!$B$5,INDEX(Parámetros!$B$14:$B$21,MATCH(I430,Parámetros!$A$14:$A$21,0))),Parámetros!$B$5))</f>
        <v/>
      </c>
      <c r="Q430" s="29" t="str">
        <f aca="false">IF(O430="","",(O430-P430)*100)</f>
        <v/>
      </c>
      <c r="R430" s="30" t="str">
        <f aca="false">IF(O430="","",MAX(0,M430*(P430-O430)))</f>
        <v/>
      </c>
      <c r="S430" s="31" t="str">
        <f aca="false">IF(OR(L430="",L430=0,N430=""),"",N430/1000/L430)</f>
        <v/>
      </c>
      <c r="T430" s="27"/>
      <c r="U430" s="27"/>
      <c r="V430" s="27"/>
      <c r="W430" s="27"/>
      <c r="X430" s="27"/>
      <c r="Y430" s="27"/>
      <c r="Z430" s="27"/>
      <c r="AA430" s="25"/>
      <c r="AB430" s="27"/>
      <c r="AC430" s="30" t="str">
        <f aca="false">IF(M430="","",IF(AB430="",M430*Parámetros!$B$6,AB430))</f>
        <v/>
      </c>
      <c r="AD430" s="30" t="str">
        <f aca="false">IF(M430="","",SUM(T430:Z430)+AC430)</f>
        <v/>
      </c>
      <c r="AE430" s="30" t="str">
        <f aca="false">IF(OR(M430="",N430=""),"",M430-N430)</f>
        <v/>
      </c>
      <c r="AF430" s="30" t="str">
        <f aca="false">IF(AE430="","",AE430-AD430)</f>
        <v/>
      </c>
      <c r="AG430" s="28" t="str">
        <f aca="false">IF(OR(AF430="",M430=0),"",AF430/M430)</f>
        <v/>
      </c>
      <c r="AH430" s="32" t="str">
        <f aca="false">IF(OR(AE430="",N430=0),"",AE430/(N430/1000))</f>
        <v/>
      </c>
      <c r="AI430" s="30" t="str">
        <f aca="false">IF(O430="","",M430*P430)</f>
        <v/>
      </c>
      <c r="AJ430" s="11" t="str">
        <f aca="false">IF(O430="","",IF(O430&gt;1,"Error: rend &gt; 100 %",IF(SUM(T430:Z430)=0,"Falta registrar pérdidas",IF(ABS(AG430)&gt;Parámetros!$B$7,"Revisar balance",IF(O430&lt;P430,"Bajo meta","OK")))))</f>
        <v/>
      </c>
      <c r="AK430" s="33"/>
      <c r="AL430" s="10"/>
      <c r="AM430" s="33"/>
      <c r="AN430" s="33"/>
      <c r="AO430" s="10"/>
    </row>
    <row r="431" customFormat="false" ht="15" hidden="false" customHeight="false" outlineLevel="0" collapsed="false">
      <c r="A431" s="22"/>
      <c r="B431" s="23" t="str">
        <f aca="false">IF(A431="","",YEAR(A431-WEEKDAY(A431,2)+4))</f>
        <v/>
      </c>
      <c r="C431" s="23" t="str">
        <f aca="false">IF(A431="","",WEEKNUM(A431,21))</f>
        <v/>
      </c>
      <c r="D431" s="24" t="str">
        <f aca="false">IF(A431="","",DATE(YEAR(A431),MONTH(A431),1))</f>
        <v/>
      </c>
      <c r="E431" s="10"/>
      <c r="F431" s="25"/>
      <c r="G431" s="25"/>
      <c r="H431" s="10"/>
      <c r="I431" s="10"/>
      <c r="J431" s="26"/>
      <c r="K431" s="25"/>
      <c r="L431" s="26"/>
      <c r="M431" s="27"/>
      <c r="N431" s="27"/>
      <c r="O431" s="28" t="str">
        <f aca="false">IF(OR(M431="",M431=0,N431=""),"",N431/M431)</f>
        <v/>
      </c>
      <c r="P431" s="28" t="str">
        <f aca="false">IF(M431="","",IFERROR(IF(INDEX(Parámetros!$B$14:$B$21,MATCH(I431,Parámetros!$A$14:$A$21,0))="",Parámetros!$B$5,INDEX(Parámetros!$B$14:$B$21,MATCH(I431,Parámetros!$A$14:$A$21,0))),Parámetros!$B$5))</f>
        <v/>
      </c>
      <c r="Q431" s="29" t="str">
        <f aca="false">IF(O431="","",(O431-P431)*100)</f>
        <v/>
      </c>
      <c r="R431" s="30" t="str">
        <f aca="false">IF(O431="","",MAX(0,M431*(P431-O431)))</f>
        <v/>
      </c>
      <c r="S431" s="31" t="str">
        <f aca="false">IF(OR(L431="",L431=0,N431=""),"",N431/1000/L431)</f>
        <v/>
      </c>
      <c r="T431" s="27"/>
      <c r="U431" s="27"/>
      <c r="V431" s="27"/>
      <c r="W431" s="27"/>
      <c r="X431" s="27"/>
      <c r="Y431" s="27"/>
      <c r="Z431" s="27"/>
      <c r="AA431" s="25"/>
      <c r="AB431" s="27"/>
      <c r="AC431" s="30" t="str">
        <f aca="false">IF(M431="","",IF(AB431="",M431*Parámetros!$B$6,AB431))</f>
        <v/>
      </c>
      <c r="AD431" s="30" t="str">
        <f aca="false">IF(M431="","",SUM(T431:Z431)+AC431)</f>
        <v/>
      </c>
      <c r="AE431" s="30" t="str">
        <f aca="false">IF(OR(M431="",N431=""),"",M431-N431)</f>
        <v/>
      </c>
      <c r="AF431" s="30" t="str">
        <f aca="false">IF(AE431="","",AE431-AD431)</f>
        <v/>
      </c>
      <c r="AG431" s="28" t="str">
        <f aca="false">IF(OR(AF431="",M431=0),"",AF431/M431)</f>
        <v/>
      </c>
      <c r="AH431" s="32" t="str">
        <f aca="false">IF(OR(AE431="",N431=0),"",AE431/(N431/1000))</f>
        <v/>
      </c>
      <c r="AI431" s="30" t="str">
        <f aca="false">IF(O431="","",M431*P431)</f>
        <v/>
      </c>
      <c r="AJ431" s="11" t="str">
        <f aca="false">IF(O431="","",IF(O431&gt;1,"Error: rend &gt; 100 %",IF(SUM(T431:Z431)=0,"Falta registrar pérdidas",IF(ABS(AG431)&gt;Parámetros!$B$7,"Revisar balance",IF(O431&lt;P431,"Bajo meta","OK")))))</f>
        <v/>
      </c>
      <c r="AK431" s="33"/>
      <c r="AL431" s="10"/>
      <c r="AM431" s="33"/>
      <c r="AN431" s="33"/>
      <c r="AO431" s="10"/>
    </row>
    <row r="432" customFormat="false" ht="15" hidden="false" customHeight="false" outlineLevel="0" collapsed="false">
      <c r="A432" s="22"/>
      <c r="B432" s="23" t="str">
        <f aca="false">IF(A432="","",YEAR(A432-WEEKDAY(A432,2)+4))</f>
        <v/>
      </c>
      <c r="C432" s="23" t="str">
        <f aca="false">IF(A432="","",WEEKNUM(A432,21))</f>
        <v/>
      </c>
      <c r="D432" s="24" t="str">
        <f aca="false">IF(A432="","",DATE(YEAR(A432),MONTH(A432),1))</f>
        <v/>
      </c>
      <c r="E432" s="10"/>
      <c r="F432" s="25"/>
      <c r="G432" s="25"/>
      <c r="H432" s="10"/>
      <c r="I432" s="10"/>
      <c r="J432" s="26"/>
      <c r="K432" s="25"/>
      <c r="L432" s="26"/>
      <c r="M432" s="27"/>
      <c r="N432" s="27"/>
      <c r="O432" s="28" t="str">
        <f aca="false">IF(OR(M432="",M432=0,N432=""),"",N432/M432)</f>
        <v/>
      </c>
      <c r="P432" s="28" t="str">
        <f aca="false">IF(M432="","",IFERROR(IF(INDEX(Parámetros!$B$14:$B$21,MATCH(I432,Parámetros!$A$14:$A$21,0))="",Parámetros!$B$5,INDEX(Parámetros!$B$14:$B$21,MATCH(I432,Parámetros!$A$14:$A$21,0))),Parámetros!$B$5))</f>
        <v/>
      </c>
      <c r="Q432" s="29" t="str">
        <f aca="false">IF(O432="","",(O432-P432)*100)</f>
        <v/>
      </c>
      <c r="R432" s="30" t="str">
        <f aca="false">IF(O432="","",MAX(0,M432*(P432-O432)))</f>
        <v/>
      </c>
      <c r="S432" s="31" t="str">
        <f aca="false">IF(OR(L432="",L432=0,N432=""),"",N432/1000/L432)</f>
        <v/>
      </c>
      <c r="T432" s="27"/>
      <c r="U432" s="27"/>
      <c r="V432" s="27"/>
      <c r="W432" s="27"/>
      <c r="X432" s="27"/>
      <c r="Y432" s="27"/>
      <c r="Z432" s="27"/>
      <c r="AA432" s="25"/>
      <c r="AB432" s="27"/>
      <c r="AC432" s="30" t="str">
        <f aca="false">IF(M432="","",IF(AB432="",M432*Parámetros!$B$6,AB432))</f>
        <v/>
      </c>
      <c r="AD432" s="30" t="str">
        <f aca="false">IF(M432="","",SUM(T432:Z432)+AC432)</f>
        <v/>
      </c>
      <c r="AE432" s="30" t="str">
        <f aca="false">IF(OR(M432="",N432=""),"",M432-N432)</f>
        <v/>
      </c>
      <c r="AF432" s="30" t="str">
        <f aca="false">IF(AE432="","",AE432-AD432)</f>
        <v/>
      </c>
      <c r="AG432" s="28" t="str">
        <f aca="false">IF(OR(AF432="",M432=0),"",AF432/M432)</f>
        <v/>
      </c>
      <c r="AH432" s="32" t="str">
        <f aca="false">IF(OR(AE432="",N432=0),"",AE432/(N432/1000))</f>
        <v/>
      </c>
      <c r="AI432" s="30" t="str">
        <f aca="false">IF(O432="","",M432*P432)</f>
        <v/>
      </c>
      <c r="AJ432" s="11" t="str">
        <f aca="false">IF(O432="","",IF(O432&gt;1,"Error: rend &gt; 100 %",IF(SUM(T432:Z432)=0,"Falta registrar pérdidas",IF(ABS(AG432)&gt;Parámetros!$B$7,"Revisar balance",IF(O432&lt;P432,"Bajo meta","OK")))))</f>
        <v/>
      </c>
      <c r="AK432" s="33"/>
      <c r="AL432" s="10"/>
      <c r="AM432" s="33"/>
      <c r="AN432" s="33"/>
      <c r="AO432" s="10"/>
    </row>
    <row r="433" customFormat="false" ht="15" hidden="false" customHeight="false" outlineLevel="0" collapsed="false">
      <c r="A433" s="22"/>
      <c r="B433" s="23" t="str">
        <f aca="false">IF(A433="","",YEAR(A433-WEEKDAY(A433,2)+4))</f>
        <v/>
      </c>
      <c r="C433" s="23" t="str">
        <f aca="false">IF(A433="","",WEEKNUM(A433,21))</f>
        <v/>
      </c>
      <c r="D433" s="24" t="str">
        <f aca="false">IF(A433="","",DATE(YEAR(A433),MONTH(A433),1))</f>
        <v/>
      </c>
      <c r="E433" s="10"/>
      <c r="F433" s="25"/>
      <c r="G433" s="25"/>
      <c r="H433" s="10"/>
      <c r="I433" s="10"/>
      <c r="J433" s="26"/>
      <c r="K433" s="25"/>
      <c r="L433" s="26"/>
      <c r="M433" s="27"/>
      <c r="N433" s="27"/>
      <c r="O433" s="28" t="str">
        <f aca="false">IF(OR(M433="",M433=0,N433=""),"",N433/M433)</f>
        <v/>
      </c>
      <c r="P433" s="28" t="str">
        <f aca="false">IF(M433="","",IFERROR(IF(INDEX(Parámetros!$B$14:$B$21,MATCH(I433,Parámetros!$A$14:$A$21,0))="",Parámetros!$B$5,INDEX(Parámetros!$B$14:$B$21,MATCH(I433,Parámetros!$A$14:$A$21,0))),Parámetros!$B$5))</f>
        <v/>
      </c>
      <c r="Q433" s="29" t="str">
        <f aca="false">IF(O433="","",(O433-P433)*100)</f>
        <v/>
      </c>
      <c r="R433" s="30" t="str">
        <f aca="false">IF(O433="","",MAX(0,M433*(P433-O433)))</f>
        <v/>
      </c>
      <c r="S433" s="31" t="str">
        <f aca="false">IF(OR(L433="",L433=0,N433=""),"",N433/1000/L433)</f>
        <v/>
      </c>
      <c r="T433" s="27"/>
      <c r="U433" s="27"/>
      <c r="V433" s="27"/>
      <c r="W433" s="27"/>
      <c r="X433" s="27"/>
      <c r="Y433" s="27"/>
      <c r="Z433" s="27"/>
      <c r="AA433" s="25"/>
      <c r="AB433" s="27"/>
      <c r="AC433" s="30" t="str">
        <f aca="false">IF(M433="","",IF(AB433="",M433*Parámetros!$B$6,AB433))</f>
        <v/>
      </c>
      <c r="AD433" s="30" t="str">
        <f aca="false">IF(M433="","",SUM(T433:Z433)+AC433)</f>
        <v/>
      </c>
      <c r="AE433" s="30" t="str">
        <f aca="false">IF(OR(M433="",N433=""),"",M433-N433)</f>
        <v/>
      </c>
      <c r="AF433" s="30" t="str">
        <f aca="false">IF(AE433="","",AE433-AD433)</f>
        <v/>
      </c>
      <c r="AG433" s="28" t="str">
        <f aca="false">IF(OR(AF433="",M433=0),"",AF433/M433)</f>
        <v/>
      </c>
      <c r="AH433" s="32" t="str">
        <f aca="false">IF(OR(AE433="",N433=0),"",AE433/(N433/1000))</f>
        <v/>
      </c>
      <c r="AI433" s="30" t="str">
        <f aca="false">IF(O433="","",M433*P433)</f>
        <v/>
      </c>
      <c r="AJ433" s="11" t="str">
        <f aca="false">IF(O433="","",IF(O433&gt;1,"Error: rend &gt; 100 %",IF(SUM(T433:Z433)=0,"Falta registrar pérdidas",IF(ABS(AG433)&gt;Parámetros!$B$7,"Revisar balance",IF(O433&lt;P433,"Bajo meta","OK")))))</f>
        <v/>
      </c>
      <c r="AK433" s="33"/>
      <c r="AL433" s="10"/>
      <c r="AM433" s="33"/>
      <c r="AN433" s="33"/>
      <c r="AO433" s="10"/>
    </row>
    <row r="434" customFormat="false" ht="15" hidden="false" customHeight="false" outlineLevel="0" collapsed="false">
      <c r="A434" s="22"/>
      <c r="B434" s="23" t="str">
        <f aca="false">IF(A434="","",YEAR(A434-WEEKDAY(A434,2)+4))</f>
        <v/>
      </c>
      <c r="C434" s="23" t="str">
        <f aca="false">IF(A434="","",WEEKNUM(A434,21))</f>
        <v/>
      </c>
      <c r="D434" s="24" t="str">
        <f aca="false">IF(A434="","",DATE(YEAR(A434),MONTH(A434),1))</f>
        <v/>
      </c>
      <c r="E434" s="10"/>
      <c r="F434" s="25"/>
      <c r="G434" s="25"/>
      <c r="H434" s="10"/>
      <c r="I434" s="10"/>
      <c r="J434" s="26"/>
      <c r="K434" s="25"/>
      <c r="L434" s="26"/>
      <c r="M434" s="27"/>
      <c r="N434" s="27"/>
      <c r="O434" s="28" t="str">
        <f aca="false">IF(OR(M434="",M434=0,N434=""),"",N434/M434)</f>
        <v/>
      </c>
      <c r="P434" s="28" t="str">
        <f aca="false">IF(M434="","",IFERROR(IF(INDEX(Parámetros!$B$14:$B$21,MATCH(I434,Parámetros!$A$14:$A$21,0))="",Parámetros!$B$5,INDEX(Parámetros!$B$14:$B$21,MATCH(I434,Parámetros!$A$14:$A$21,0))),Parámetros!$B$5))</f>
        <v/>
      </c>
      <c r="Q434" s="29" t="str">
        <f aca="false">IF(O434="","",(O434-P434)*100)</f>
        <v/>
      </c>
      <c r="R434" s="30" t="str">
        <f aca="false">IF(O434="","",MAX(0,M434*(P434-O434)))</f>
        <v/>
      </c>
      <c r="S434" s="31" t="str">
        <f aca="false">IF(OR(L434="",L434=0,N434=""),"",N434/1000/L434)</f>
        <v/>
      </c>
      <c r="T434" s="27"/>
      <c r="U434" s="27"/>
      <c r="V434" s="27"/>
      <c r="W434" s="27"/>
      <c r="X434" s="27"/>
      <c r="Y434" s="27"/>
      <c r="Z434" s="27"/>
      <c r="AA434" s="25"/>
      <c r="AB434" s="27"/>
      <c r="AC434" s="30" t="str">
        <f aca="false">IF(M434="","",IF(AB434="",M434*Parámetros!$B$6,AB434))</f>
        <v/>
      </c>
      <c r="AD434" s="30" t="str">
        <f aca="false">IF(M434="","",SUM(T434:Z434)+AC434)</f>
        <v/>
      </c>
      <c r="AE434" s="30" t="str">
        <f aca="false">IF(OR(M434="",N434=""),"",M434-N434)</f>
        <v/>
      </c>
      <c r="AF434" s="30" t="str">
        <f aca="false">IF(AE434="","",AE434-AD434)</f>
        <v/>
      </c>
      <c r="AG434" s="28" t="str">
        <f aca="false">IF(OR(AF434="",M434=0),"",AF434/M434)</f>
        <v/>
      </c>
      <c r="AH434" s="32" t="str">
        <f aca="false">IF(OR(AE434="",N434=0),"",AE434/(N434/1000))</f>
        <v/>
      </c>
      <c r="AI434" s="30" t="str">
        <f aca="false">IF(O434="","",M434*P434)</f>
        <v/>
      </c>
      <c r="AJ434" s="11" t="str">
        <f aca="false">IF(O434="","",IF(O434&gt;1,"Error: rend &gt; 100 %",IF(SUM(T434:Z434)=0,"Falta registrar pérdidas",IF(ABS(AG434)&gt;Parámetros!$B$7,"Revisar balance",IF(O434&lt;P434,"Bajo meta","OK")))))</f>
        <v/>
      </c>
      <c r="AK434" s="33"/>
      <c r="AL434" s="10"/>
      <c r="AM434" s="33"/>
      <c r="AN434" s="33"/>
      <c r="AO434" s="10"/>
    </row>
    <row r="435" customFormat="false" ht="15" hidden="false" customHeight="false" outlineLevel="0" collapsed="false">
      <c r="A435" s="22"/>
      <c r="B435" s="23" t="str">
        <f aca="false">IF(A435="","",YEAR(A435-WEEKDAY(A435,2)+4))</f>
        <v/>
      </c>
      <c r="C435" s="23" t="str">
        <f aca="false">IF(A435="","",WEEKNUM(A435,21))</f>
        <v/>
      </c>
      <c r="D435" s="24" t="str">
        <f aca="false">IF(A435="","",DATE(YEAR(A435),MONTH(A435),1))</f>
        <v/>
      </c>
      <c r="E435" s="10"/>
      <c r="F435" s="25"/>
      <c r="G435" s="25"/>
      <c r="H435" s="10"/>
      <c r="I435" s="10"/>
      <c r="J435" s="26"/>
      <c r="K435" s="25"/>
      <c r="L435" s="26"/>
      <c r="M435" s="27"/>
      <c r="N435" s="27"/>
      <c r="O435" s="28" t="str">
        <f aca="false">IF(OR(M435="",M435=0,N435=""),"",N435/M435)</f>
        <v/>
      </c>
      <c r="P435" s="28" t="str">
        <f aca="false">IF(M435="","",IFERROR(IF(INDEX(Parámetros!$B$14:$B$21,MATCH(I435,Parámetros!$A$14:$A$21,0))="",Parámetros!$B$5,INDEX(Parámetros!$B$14:$B$21,MATCH(I435,Parámetros!$A$14:$A$21,0))),Parámetros!$B$5))</f>
        <v/>
      </c>
      <c r="Q435" s="29" t="str">
        <f aca="false">IF(O435="","",(O435-P435)*100)</f>
        <v/>
      </c>
      <c r="R435" s="30" t="str">
        <f aca="false">IF(O435="","",MAX(0,M435*(P435-O435)))</f>
        <v/>
      </c>
      <c r="S435" s="31" t="str">
        <f aca="false">IF(OR(L435="",L435=0,N435=""),"",N435/1000/L435)</f>
        <v/>
      </c>
      <c r="T435" s="27"/>
      <c r="U435" s="27"/>
      <c r="V435" s="27"/>
      <c r="W435" s="27"/>
      <c r="X435" s="27"/>
      <c r="Y435" s="27"/>
      <c r="Z435" s="27"/>
      <c r="AA435" s="25"/>
      <c r="AB435" s="27"/>
      <c r="AC435" s="30" t="str">
        <f aca="false">IF(M435="","",IF(AB435="",M435*Parámetros!$B$6,AB435))</f>
        <v/>
      </c>
      <c r="AD435" s="30" t="str">
        <f aca="false">IF(M435="","",SUM(T435:Z435)+AC435)</f>
        <v/>
      </c>
      <c r="AE435" s="30" t="str">
        <f aca="false">IF(OR(M435="",N435=""),"",M435-N435)</f>
        <v/>
      </c>
      <c r="AF435" s="30" t="str">
        <f aca="false">IF(AE435="","",AE435-AD435)</f>
        <v/>
      </c>
      <c r="AG435" s="28" t="str">
        <f aca="false">IF(OR(AF435="",M435=0),"",AF435/M435)</f>
        <v/>
      </c>
      <c r="AH435" s="32" t="str">
        <f aca="false">IF(OR(AE435="",N435=0),"",AE435/(N435/1000))</f>
        <v/>
      </c>
      <c r="AI435" s="30" t="str">
        <f aca="false">IF(O435="","",M435*P435)</f>
        <v/>
      </c>
      <c r="AJ435" s="11" t="str">
        <f aca="false">IF(O435="","",IF(O435&gt;1,"Error: rend &gt; 100 %",IF(SUM(T435:Z435)=0,"Falta registrar pérdidas",IF(ABS(AG435)&gt;Parámetros!$B$7,"Revisar balance",IF(O435&lt;P435,"Bajo meta","OK")))))</f>
        <v/>
      </c>
      <c r="AK435" s="33"/>
      <c r="AL435" s="10"/>
      <c r="AM435" s="33"/>
      <c r="AN435" s="33"/>
      <c r="AO435" s="10"/>
    </row>
    <row r="436" customFormat="false" ht="15" hidden="false" customHeight="false" outlineLevel="0" collapsed="false">
      <c r="A436" s="22"/>
      <c r="B436" s="23" t="str">
        <f aca="false">IF(A436="","",YEAR(A436-WEEKDAY(A436,2)+4))</f>
        <v/>
      </c>
      <c r="C436" s="23" t="str">
        <f aca="false">IF(A436="","",WEEKNUM(A436,21))</f>
        <v/>
      </c>
      <c r="D436" s="24" t="str">
        <f aca="false">IF(A436="","",DATE(YEAR(A436),MONTH(A436),1))</f>
        <v/>
      </c>
      <c r="E436" s="10"/>
      <c r="F436" s="25"/>
      <c r="G436" s="25"/>
      <c r="H436" s="10"/>
      <c r="I436" s="10"/>
      <c r="J436" s="26"/>
      <c r="K436" s="25"/>
      <c r="L436" s="26"/>
      <c r="M436" s="27"/>
      <c r="N436" s="27"/>
      <c r="O436" s="28" t="str">
        <f aca="false">IF(OR(M436="",M436=0,N436=""),"",N436/M436)</f>
        <v/>
      </c>
      <c r="P436" s="28" t="str">
        <f aca="false">IF(M436="","",IFERROR(IF(INDEX(Parámetros!$B$14:$B$21,MATCH(I436,Parámetros!$A$14:$A$21,0))="",Parámetros!$B$5,INDEX(Parámetros!$B$14:$B$21,MATCH(I436,Parámetros!$A$14:$A$21,0))),Parámetros!$B$5))</f>
        <v/>
      </c>
      <c r="Q436" s="29" t="str">
        <f aca="false">IF(O436="","",(O436-P436)*100)</f>
        <v/>
      </c>
      <c r="R436" s="30" t="str">
        <f aca="false">IF(O436="","",MAX(0,M436*(P436-O436)))</f>
        <v/>
      </c>
      <c r="S436" s="31" t="str">
        <f aca="false">IF(OR(L436="",L436=0,N436=""),"",N436/1000/L436)</f>
        <v/>
      </c>
      <c r="T436" s="27"/>
      <c r="U436" s="27"/>
      <c r="V436" s="27"/>
      <c r="W436" s="27"/>
      <c r="X436" s="27"/>
      <c r="Y436" s="27"/>
      <c r="Z436" s="27"/>
      <c r="AA436" s="25"/>
      <c r="AB436" s="27"/>
      <c r="AC436" s="30" t="str">
        <f aca="false">IF(M436="","",IF(AB436="",M436*Parámetros!$B$6,AB436))</f>
        <v/>
      </c>
      <c r="AD436" s="30" t="str">
        <f aca="false">IF(M436="","",SUM(T436:Z436)+AC436)</f>
        <v/>
      </c>
      <c r="AE436" s="30" t="str">
        <f aca="false">IF(OR(M436="",N436=""),"",M436-N436)</f>
        <v/>
      </c>
      <c r="AF436" s="30" t="str">
        <f aca="false">IF(AE436="","",AE436-AD436)</f>
        <v/>
      </c>
      <c r="AG436" s="28" t="str">
        <f aca="false">IF(OR(AF436="",M436=0),"",AF436/M436)</f>
        <v/>
      </c>
      <c r="AH436" s="32" t="str">
        <f aca="false">IF(OR(AE436="",N436=0),"",AE436/(N436/1000))</f>
        <v/>
      </c>
      <c r="AI436" s="30" t="str">
        <f aca="false">IF(O436="","",M436*P436)</f>
        <v/>
      </c>
      <c r="AJ436" s="11" t="str">
        <f aca="false">IF(O436="","",IF(O436&gt;1,"Error: rend &gt; 100 %",IF(SUM(T436:Z436)=0,"Falta registrar pérdidas",IF(ABS(AG436)&gt;Parámetros!$B$7,"Revisar balance",IF(O436&lt;P436,"Bajo meta","OK")))))</f>
        <v/>
      </c>
      <c r="AK436" s="33"/>
      <c r="AL436" s="10"/>
      <c r="AM436" s="33"/>
      <c r="AN436" s="33"/>
      <c r="AO436" s="10"/>
    </row>
    <row r="437" customFormat="false" ht="15" hidden="false" customHeight="false" outlineLevel="0" collapsed="false">
      <c r="A437" s="22"/>
      <c r="B437" s="23" t="str">
        <f aca="false">IF(A437="","",YEAR(A437-WEEKDAY(A437,2)+4))</f>
        <v/>
      </c>
      <c r="C437" s="23" t="str">
        <f aca="false">IF(A437="","",WEEKNUM(A437,21))</f>
        <v/>
      </c>
      <c r="D437" s="24" t="str">
        <f aca="false">IF(A437="","",DATE(YEAR(A437),MONTH(A437),1))</f>
        <v/>
      </c>
      <c r="E437" s="10"/>
      <c r="F437" s="25"/>
      <c r="G437" s="25"/>
      <c r="H437" s="10"/>
      <c r="I437" s="10"/>
      <c r="J437" s="26"/>
      <c r="K437" s="25"/>
      <c r="L437" s="26"/>
      <c r="M437" s="27"/>
      <c r="N437" s="27"/>
      <c r="O437" s="28" t="str">
        <f aca="false">IF(OR(M437="",M437=0,N437=""),"",N437/M437)</f>
        <v/>
      </c>
      <c r="P437" s="28" t="str">
        <f aca="false">IF(M437="","",IFERROR(IF(INDEX(Parámetros!$B$14:$B$21,MATCH(I437,Parámetros!$A$14:$A$21,0))="",Parámetros!$B$5,INDEX(Parámetros!$B$14:$B$21,MATCH(I437,Parámetros!$A$14:$A$21,0))),Parámetros!$B$5))</f>
        <v/>
      </c>
      <c r="Q437" s="29" t="str">
        <f aca="false">IF(O437="","",(O437-P437)*100)</f>
        <v/>
      </c>
      <c r="R437" s="30" t="str">
        <f aca="false">IF(O437="","",MAX(0,M437*(P437-O437)))</f>
        <v/>
      </c>
      <c r="S437" s="31" t="str">
        <f aca="false">IF(OR(L437="",L437=0,N437=""),"",N437/1000/L437)</f>
        <v/>
      </c>
      <c r="T437" s="27"/>
      <c r="U437" s="27"/>
      <c r="V437" s="27"/>
      <c r="W437" s="27"/>
      <c r="X437" s="27"/>
      <c r="Y437" s="27"/>
      <c r="Z437" s="27"/>
      <c r="AA437" s="25"/>
      <c r="AB437" s="27"/>
      <c r="AC437" s="30" t="str">
        <f aca="false">IF(M437="","",IF(AB437="",M437*Parámetros!$B$6,AB437))</f>
        <v/>
      </c>
      <c r="AD437" s="30" t="str">
        <f aca="false">IF(M437="","",SUM(T437:Z437)+AC437)</f>
        <v/>
      </c>
      <c r="AE437" s="30" t="str">
        <f aca="false">IF(OR(M437="",N437=""),"",M437-N437)</f>
        <v/>
      </c>
      <c r="AF437" s="30" t="str">
        <f aca="false">IF(AE437="","",AE437-AD437)</f>
        <v/>
      </c>
      <c r="AG437" s="28" t="str">
        <f aca="false">IF(OR(AF437="",M437=0),"",AF437/M437)</f>
        <v/>
      </c>
      <c r="AH437" s="32" t="str">
        <f aca="false">IF(OR(AE437="",N437=0),"",AE437/(N437/1000))</f>
        <v/>
      </c>
      <c r="AI437" s="30" t="str">
        <f aca="false">IF(O437="","",M437*P437)</f>
        <v/>
      </c>
      <c r="AJ437" s="11" t="str">
        <f aca="false">IF(O437="","",IF(O437&gt;1,"Error: rend &gt; 100 %",IF(SUM(T437:Z437)=0,"Falta registrar pérdidas",IF(ABS(AG437)&gt;Parámetros!$B$7,"Revisar balance",IF(O437&lt;P437,"Bajo meta","OK")))))</f>
        <v/>
      </c>
      <c r="AK437" s="33"/>
      <c r="AL437" s="10"/>
      <c r="AM437" s="33"/>
      <c r="AN437" s="33"/>
      <c r="AO437" s="10"/>
    </row>
    <row r="438" customFormat="false" ht="15" hidden="false" customHeight="false" outlineLevel="0" collapsed="false">
      <c r="A438" s="22"/>
      <c r="B438" s="23" t="str">
        <f aca="false">IF(A438="","",YEAR(A438-WEEKDAY(A438,2)+4))</f>
        <v/>
      </c>
      <c r="C438" s="23" t="str">
        <f aca="false">IF(A438="","",WEEKNUM(A438,21))</f>
        <v/>
      </c>
      <c r="D438" s="24" t="str">
        <f aca="false">IF(A438="","",DATE(YEAR(A438),MONTH(A438),1))</f>
        <v/>
      </c>
      <c r="E438" s="10"/>
      <c r="F438" s="25"/>
      <c r="G438" s="25"/>
      <c r="H438" s="10"/>
      <c r="I438" s="10"/>
      <c r="J438" s="26"/>
      <c r="K438" s="25"/>
      <c r="L438" s="26"/>
      <c r="M438" s="27"/>
      <c r="N438" s="27"/>
      <c r="O438" s="28" t="str">
        <f aca="false">IF(OR(M438="",M438=0,N438=""),"",N438/M438)</f>
        <v/>
      </c>
      <c r="P438" s="28" t="str">
        <f aca="false">IF(M438="","",IFERROR(IF(INDEX(Parámetros!$B$14:$B$21,MATCH(I438,Parámetros!$A$14:$A$21,0))="",Parámetros!$B$5,INDEX(Parámetros!$B$14:$B$21,MATCH(I438,Parámetros!$A$14:$A$21,0))),Parámetros!$B$5))</f>
        <v/>
      </c>
      <c r="Q438" s="29" t="str">
        <f aca="false">IF(O438="","",(O438-P438)*100)</f>
        <v/>
      </c>
      <c r="R438" s="30" t="str">
        <f aca="false">IF(O438="","",MAX(0,M438*(P438-O438)))</f>
        <v/>
      </c>
      <c r="S438" s="31" t="str">
        <f aca="false">IF(OR(L438="",L438=0,N438=""),"",N438/1000/L438)</f>
        <v/>
      </c>
      <c r="T438" s="27"/>
      <c r="U438" s="27"/>
      <c r="V438" s="27"/>
      <c r="W438" s="27"/>
      <c r="X438" s="27"/>
      <c r="Y438" s="27"/>
      <c r="Z438" s="27"/>
      <c r="AA438" s="25"/>
      <c r="AB438" s="27"/>
      <c r="AC438" s="30" t="str">
        <f aca="false">IF(M438="","",IF(AB438="",M438*Parámetros!$B$6,AB438))</f>
        <v/>
      </c>
      <c r="AD438" s="30" t="str">
        <f aca="false">IF(M438="","",SUM(T438:Z438)+AC438)</f>
        <v/>
      </c>
      <c r="AE438" s="30" t="str">
        <f aca="false">IF(OR(M438="",N438=""),"",M438-N438)</f>
        <v/>
      </c>
      <c r="AF438" s="30" t="str">
        <f aca="false">IF(AE438="","",AE438-AD438)</f>
        <v/>
      </c>
      <c r="AG438" s="28" t="str">
        <f aca="false">IF(OR(AF438="",M438=0),"",AF438/M438)</f>
        <v/>
      </c>
      <c r="AH438" s="32" t="str">
        <f aca="false">IF(OR(AE438="",N438=0),"",AE438/(N438/1000))</f>
        <v/>
      </c>
      <c r="AI438" s="30" t="str">
        <f aca="false">IF(O438="","",M438*P438)</f>
        <v/>
      </c>
      <c r="AJ438" s="11" t="str">
        <f aca="false">IF(O438="","",IF(O438&gt;1,"Error: rend &gt; 100 %",IF(SUM(T438:Z438)=0,"Falta registrar pérdidas",IF(ABS(AG438)&gt;Parámetros!$B$7,"Revisar balance",IF(O438&lt;P438,"Bajo meta","OK")))))</f>
        <v/>
      </c>
      <c r="AK438" s="33"/>
      <c r="AL438" s="10"/>
      <c r="AM438" s="33"/>
      <c r="AN438" s="33"/>
      <c r="AO438" s="10"/>
    </row>
    <row r="439" customFormat="false" ht="15" hidden="false" customHeight="false" outlineLevel="0" collapsed="false">
      <c r="A439" s="22"/>
      <c r="B439" s="23" t="str">
        <f aca="false">IF(A439="","",YEAR(A439-WEEKDAY(A439,2)+4))</f>
        <v/>
      </c>
      <c r="C439" s="23" t="str">
        <f aca="false">IF(A439="","",WEEKNUM(A439,21))</f>
        <v/>
      </c>
      <c r="D439" s="24" t="str">
        <f aca="false">IF(A439="","",DATE(YEAR(A439),MONTH(A439),1))</f>
        <v/>
      </c>
      <c r="E439" s="10"/>
      <c r="F439" s="25"/>
      <c r="G439" s="25"/>
      <c r="H439" s="10"/>
      <c r="I439" s="10"/>
      <c r="J439" s="26"/>
      <c r="K439" s="25"/>
      <c r="L439" s="26"/>
      <c r="M439" s="27"/>
      <c r="N439" s="27"/>
      <c r="O439" s="28" t="str">
        <f aca="false">IF(OR(M439="",M439=0,N439=""),"",N439/M439)</f>
        <v/>
      </c>
      <c r="P439" s="28" t="str">
        <f aca="false">IF(M439="","",IFERROR(IF(INDEX(Parámetros!$B$14:$B$21,MATCH(I439,Parámetros!$A$14:$A$21,0))="",Parámetros!$B$5,INDEX(Parámetros!$B$14:$B$21,MATCH(I439,Parámetros!$A$14:$A$21,0))),Parámetros!$B$5))</f>
        <v/>
      </c>
      <c r="Q439" s="29" t="str">
        <f aca="false">IF(O439="","",(O439-P439)*100)</f>
        <v/>
      </c>
      <c r="R439" s="30" t="str">
        <f aca="false">IF(O439="","",MAX(0,M439*(P439-O439)))</f>
        <v/>
      </c>
      <c r="S439" s="31" t="str">
        <f aca="false">IF(OR(L439="",L439=0,N439=""),"",N439/1000/L439)</f>
        <v/>
      </c>
      <c r="T439" s="27"/>
      <c r="U439" s="27"/>
      <c r="V439" s="27"/>
      <c r="W439" s="27"/>
      <c r="X439" s="27"/>
      <c r="Y439" s="27"/>
      <c r="Z439" s="27"/>
      <c r="AA439" s="25"/>
      <c r="AB439" s="27"/>
      <c r="AC439" s="30" t="str">
        <f aca="false">IF(M439="","",IF(AB439="",M439*Parámetros!$B$6,AB439))</f>
        <v/>
      </c>
      <c r="AD439" s="30" t="str">
        <f aca="false">IF(M439="","",SUM(T439:Z439)+AC439)</f>
        <v/>
      </c>
      <c r="AE439" s="30" t="str">
        <f aca="false">IF(OR(M439="",N439=""),"",M439-N439)</f>
        <v/>
      </c>
      <c r="AF439" s="30" t="str">
        <f aca="false">IF(AE439="","",AE439-AD439)</f>
        <v/>
      </c>
      <c r="AG439" s="28" t="str">
        <f aca="false">IF(OR(AF439="",M439=0),"",AF439/M439)</f>
        <v/>
      </c>
      <c r="AH439" s="32" t="str">
        <f aca="false">IF(OR(AE439="",N439=0),"",AE439/(N439/1000))</f>
        <v/>
      </c>
      <c r="AI439" s="30" t="str">
        <f aca="false">IF(O439="","",M439*P439)</f>
        <v/>
      </c>
      <c r="AJ439" s="11" t="str">
        <f aca="false">IF(O439="","",IF(O439&gt;1,"Error: rend &gt; 100 %",IF(SUM(T439:Z439)=0,"Falta registrar pérdidas",IF(ABS(AG439)&gt;Parámetros!$B$7,"Revisar balance",IF(O439&lt;P439,"Bajo meta","OK")))))</f>
        <v/>
      </c>
      <c r="AK439" s="33"/>
      <c r="AL439" s="10"/>
      <c r="AM439" s="33"/>
      <c r="AN439" s="33"/>
      <c r="AO439" s="10"/>
    </row>
    <row r="440" customFormat="false" ht="15" hidden="false" customHeight="false" outlineLevel="0" collapsed="false">
      <c r="A440" s="22"/>
      <c r="B440" s="23" t="str">
        <f aca="false">IF(A440="","",YEAR(A440-WEEKDAY(A440,2)+4))</f>
        <v/>
      </c>
      <c r="C440" s="23" t="str">
        <f aca="false">IF(A440="","",WEEKNUM(A440,21))</f>
        <v/>
      </c>
      <c r="D440" s="24" t="str">
        <f aca="false">IF(A440="","",DATE(YEAR(A440),MONTH(A440),1))</f>
        <v/>
      </c>
      <c r="E440" s="10"/>
      <c r="F440" s="25"/>
      <c r="G440" s="25"/>
      <c r="H440" s="10"/>
      <c r="I440" s="10"/>
      <c r="J440" s="26"/>
      <c r="K440" s="25"/>
      <c r="L440" s="26"/>
      <c r="M440" s="27"/>
      <c r="N440" s="27"/>
      <c r="O440" s="28" t="str">
        <f aca="false">IF(OR(M440="",M440=0,N440=""),"",N440/M440)</f>
        <v/>
      </c>
      <c r="P440" s="28" t="str">
        <f aca="false">IF(M440="","",IFERROR(IF(INDEX(Parámetros!$B$14:$B$21,MATCH(I440,Parámetros!$A$14:$A$21,0))="",Parámetros!$B$5,INDEX(Parámetros!$B$14:$B$21,MATCH(I440,Parámetros!$A$14:$A$21,0))),Parámetros!$B$5))</f>
        <v/>
      </c>
      <c r="Q440" s="29" t="str">
        <f aca="false">IF(O440="","",(O440-P440)*100)</f>
        <v/>
      </c>
      <c r="R440" s="30" t="str">
        <f aca="false">IF(O440="","",MAX(0,M440*(P440-O440)))</f>
        <v/>
      </c>
      <c r="S440" s="31" t="str">
        <f aca="false">IF(OR(L440="",L440=0,N440=""),"",N440/1000/L440)</f>
        <v/>
      </c>
      <c r="T440" s="27"/>
      <c r="U440" s="27"/>
      <c r="V440" s="27"/>
      <c r="W440" s="27"/>
      <c r="X440" s="27"/>
      <c r="Y440" s="27"/>
      <c r="Z440" s="27"/>
      <c r="AA440" s="25"/>
      <c r="AB440" s="27"/>
      <c r="AC440" s="30" t="str">
        <f aca="false">IF(M440="","",IF(AB440="",M440*Parámetros!$B$6,AB440))</f>
        <v/>
      </c>
      <c r="AD440" s="30" t="str">
        <f aca="false">IF(M440="","",SUM(T440:Z440)+AC440)</f>
        <v/>
      </c>
      <c r="AE440" s="30" t="str">
        <f aca="false">IF(OR(M440="",N440=""),"",M440-N440)</f>
        <v/>
      </c>
      <c r="AF440" s="30" t="str">
        <f aca="false">IF(AE440="","",AE440-AD440)</f>
        <v/>
      </c>
      <c r="AG440" s="28" t="str">
        <f aca="false">IF(OR(AF440="",M440=0),"",AF440/M440)</f>
        <v/>
      </c>
      <c r="AH440" s="32" t="str">
        <f aca="false">IF(OR(AE440="",N440=0),"",AE440/(N440/1000))</f>
        <v/>
      </c>
      <c r="AI440" s="30" t="str">
        <f aca="false">IF(O440="","",M440*P440)</f>
        <v/>
      </c>
      <c r="AJ440" s="11" t="str">
        <f aca="false">IF(O440="","",IF(O440&gt;1,"Error: rend &gt; 100 %",IF(SUM(T440:Z440)=0,"Falta registrar pérdidas",IF(ABS(AG440)&gt;Parámetros!$B$7,"Revisar balance",IF(O440&lt;P440,"Bajo meta","OK")))))</f>
        <v/>
      </c>
      <c r="AK440" s="33"/>
      <c r="AL440" s="10"/>
      <c r="AM440" s="33"/>
      <c r="AN440" s="33"/>
      <c r="AO440" s="10"/>
    </row>
    <row r="441" customFormat="false" ht="15" hidden="false" customHeight="false" outlineLevel="0" collapsed="false">
      <c r="A441" s="22"/>
      <c r="B441" s="23" t="str">
        <f aca="false">IF(A441="","",YEAR(A441-WEEKDAY(A441,2)+4))</f>
        <v/>
      </c>
      <c r="C441" s="23" t="str">
        <f aca="false">IF(A441="","",WEEKNUM(A441,21))</f>
        <v/>
      </c>
      <c r="D441" s="24" t="str">
        <f aca="false">IF(A441="","",DATE(YEAR(A441),MONTH(A441),1))</f>
        <v/>
      </c>
      <c r="E441" s="10"/>
      <c r="F441" s="25"/>
      <c r="G441" s="25"/>
      <c r="H441" s="10"/>
      <c r="I441" s="10"/>
      <c r="J441" s="26"/>
      <c r="K441" s="25"/>
      <c r="L441" s="26"/>
      <c r="M441" s="27"/>
      <c r="N441" s="27"/>
      <c r="O441" s="28" t="str">
        <f aca="false">IF(OR(M441="",M441=0,N441=""),"",N441/M441)</f>
        <v/>
      </c>
      <c r="P441" s="28" t="str">
        <f aca="false">IF(M441="","",IFERROR(IF(INDEX(Parámetros!$B$14:$B$21,MATCH(I441,Parámetros!$A$14:$A$21,0))="",Parámetros!$B$5,INDEX(Parámetros!$B$14:$B$21,MATCH(I441,Parámetros!$A$14:$A$21,0))),Parámetros!$B$5))</f>
        <v/>
      </c>
      <c r="Q441" s="29" t="str">
        <f aca="false">IF(O441="","",(O441-P441)*100)</f>
        <v/>
      </c>
      <c r="R441" s="30" t="str">
        <f aca="false">IF(O441="","",MAX(0,M441*(P441-O441)))</f>
        <v/>
      </c>
      <c r="S441" s="31" t="str">
        <f aca="false">IF(OR(L441="",L441=0,N441=""),"",N441/1000/L441)</f>
        <v/>
      </c>
      <c r="T441" s="27"/>
      <c r="U441" s="27"/>
      <c r="V441" s="27"/>
      <c r="W441" s="27"/>
      <c r="X441" s="27"/>
      <c r="Y441" s="27"/>
      <c r="Z441" s="27"/>
      <c r="AA441" s="25"/>
      <c r="AB441" s="27"/>
      <c r="AC441" s="30" t="str">
        <f aca="false">IF(M441="","",IF(AB441="",M441*Parámetros!$B$6,AB441))</f>
        <v/>
      </c>
      <c r="AD441" s="30" t="str">
        <f aca="false">IF(M441="","",SUM(T441:Z441)+AC441)</f>
        <v/>
      </c>
      <c r="AE441" s="30" t="str">
        <f aca="false">IF(OR(M441="",N441=""),"",M441-N441)</f>
        <v/>
      </c>
      <c r="AF441" s="30" t="str">
        <f aca="false">IF(AE441="","",AE441-AD441)</f>
        <v/>
      </c>
      <c r="AG441" s="28" t="str">
        <f aca="false">IF(OR(AF441="",M441=0),"",AF441/M441)</f>
        <v/>
      </c>
      <c r="AH441" s="32" t="str">
        <f aca="false">IF(OR(AE441="",N441=0),"",AE441/(N441/1000))</f>
        <v/>
      </c>
      <c r="AI441" s="30" t="str">
        <f aca="false">IF(O441="","",M441*P441)</f>
        <v/>
      </c>
      <c r="AJ441" s="11" t="str">
        <f aca="false">IF(O441="","",IF(O441&gt;1,"Error: rend &gt; 100 %",IF(SUM(T441:Z441)=0,"Falta registrar pérdidas",IF(ABS(AG441)&gt;Parámetros!$B$7,"Revisar balance",IF(O441&lt;P441,"Bajo meta","OK")))))</f>
        <v/>
      </c>
      <c r="AK441" s="33"/>
      <c r="AL441" s="10"/>
      <c r="AM441" s="33"/>
      <c r="AN441" s="33"/>
      <c r="AO441" s="10"/>
    </row>
    <row r="442" customFormat="false" ht="15" hidden="false" customHeight="false" outlineLevel="0" collapsed="false">
      <c r="A442" s="22"/>
      <c r="B442" s="23" t="str">
        <f aca="false">IF(A442="","",YEAR(A442-WEEKDAY(A442,2)+4))</f>
        <v/>
      </c>
      <c r="C442" s="23" t="str">
        <f aca="false">IF(A442="","",WEEKNUM(A442,21))</f>
        <v/>
      </c>
      <c r="D442" s="24" t="str">
        <f aca="false">IF(A442="","",DATE(YEAR(A442),MONTH(A442),1))</f>
        <v/>
      </c>
      <c r="E442" s="10"/>
      <c r="F442" s="25"/>
      <c r="G442" s="25"/>
      <c r="H442" s="10"/>
      <c r="I442" s="10"/>
      <c r="J442" s="26"/>
      <c r="K442" s="25"/>
      <c r="L442" s="26"/>
      <c r="M442" s="27"/>
      <c r="N442" s="27"/>
      <c r="O442" s="28" t="str">
        <f aca="false">IF(OR(M442="",M442=0,N442=""),"",N442/M442)</f>
        <v/>
      </c>
      <c r="P442" s="28" t="str">
        <f aca="false">IF(M442="","",IFERROR(IF(INDEX(Parámetros!$B$14:$B$21,MATCH(I442,Parámetros!$A$14:$A$21,0))="",Parámetros!$B$5,INDEX(Parámetros!$B$14:$B$21,MATCH(I442,Parámetros!$A$14:$A$21,0))),Parámetros!$B$5))</f>
        <v/>
      </c>
      <c r="Q442" s="29" t="str">
        <f aca="false">IF(O442="","",(O442-P442)*100)</f>
        <v/>
      </c>
      <c r="R442" s="30" t="str">
        <f aca="false">IF(O442="","",MAX(0,M442*(P442-O442)))</f>
        <v/>
      </c>
      <c r="S442" s="31" t="str">
        <f aca="false">IF(OR(L442="",L442=0,N442=""),"",N442/1000/L442)</f>
        <v/>
      </c>
      <c r="T442" s="27"/>
      <c r="U442" s="27"/>
      <c r="V442" s="27"/>
      <c r="W442" s="27"/>
      <c r="X442" s="27"/>
      <c r="Y442" s="27"/>
      <c r="Z442" s="27"/>
      <c r="AA442" s="25"/>
      <c r="AB442" s="27"/>
      <c r="AC442" s="30" t="str">
        <f aca="false">IF(M442="","",IF(AB442="",M442*Parámetros!$B$6,AB442))</f>
        <v/>
      </c>
      <c r="AD442" s="30" t="str">
        <f aca="false">IF(M442="","",SUM(T442:Z442)+AC442)</f>
        <v/>
      </c>
      <c r="AE442" s="30" t="str">
        <f aca="false">IF(OR(M442="",N442=""),"",M442-N442)</f>
        <v/>
      </c>
      <c r="AF442" s="30" t="str">
        <f aca="false">IF(AE442="","",AE442-AD442)</f>
        <v/>
      </c>
      <c r="AG442" s="28" t="str">
        <f aca="false">IF(OR(AF442="",M442=0),"",AF442/M442)</f>
        <v/>
      </c>
      <c r="AH442" s="32" t="str">
        <f aca="false">IF(OR(AE442="",N442=0),"",AE442/(N442/1000))</f>
        <v/>
      </c>
      <c r="AI442" s="30" t="str">
        <f aca="false">IF(O442="","",M442*P442)</f>
        <v/>
      </c>
      <c r="AJ442" s="11" t="str">
        <f aca="false">IF(O442="","",IF(O442&gt;1,"Error: rend &gt; 100 %",IF(SUM(T442:Z442)=0,"Falta registrar pérdidas",IF(ABS(AG442)&gt;Parámetros!$B$7,"Revisar balance",IF(O442&lt;P442,"Bajo meta","OK")))))</f>
        <v/>
      </c>
      <c r="AK442" s="33"/>
      <c r="AL442" s="10"/>
      <c r="AM442" s="33"/>
      <c r="AN442" s="33"/>
      <c r="AO442" s="10"/>
    </row>
    <row r="443" customFormat="false" ht="15" hidden="false" customHeight="false" outlineLevel="0" collapsed="false">
      <c r="A443" s="22"/>
      <c r="B443" s="23" t="str">
        <f aca="false">IF(A443="","",YEAR(A443-WEEKDAY(A443,2)+4))</f>
        <v/>
      </c>
      <c r="C443" s="23" t="str">
        <f aca="false">IF(A443="","",WEEKNUM(A443,21))</f>
        <v/>
      </c>
      <c r="D443" s="24" t="str">
        <f aca="false">IF(A443="","",DATE(YEAR(A443),MONTH(A443),1))</f>
        <v/>
      </c>
      <c r="E443" s="10"/>
      <c r="F443" s="25"/>
      <c r="G443" s="25"/>
      <c r="H443" s="10"/>
      <c r="I443" s="10"/>
      <c r="J443" s="26"/>
      <c r="K443" s="25"/>
      <c r="L443" s="26"/>
      <c r="M443" s="27"/>
      <c r="N443" s="27"/>
      <c r="O443" s="28" t="str">
        <f aca="false">IF(OR(M443="",M443=0,N443=""),"",N443/M443)</f>
        <v/>
      </c>
      <c r="P443" s="28" t="str">
        <f aca="false">IF(M443="","",IFERROR(IF(INDEX(Parámetros!$B$14:$B$21,MATCH(I443,Parámetros!$A$14:$A$21,0))="",Parámetros!$B$5,INDEX(Parámetros!$B$14:$B$21,MATCH(I443,Parámetros!$A$14:$A$21,0))),Parámetros!$B$5))</f>
        <v/>
      </c>
      <c r="Q443" s="29" t="str">
        <f aca="false">IF(O443="","",(O443-P443)*100)</f>
        <v/>
      </c>
      <c r="R443" s="30" t="str">
        <f aca="false">IF(O443="","",MAX(0,M443*(P443-O443)))</f>
        <v/>
      </c>
      <c r="S443" s="31" t="str">
        <f aca="false">IF(OR(L443="",L443=0,N443=""),"",N443/1000/L443)</f>
        <v/>
      </c>
      <c r="T443" s="27"/>
      <c r="U443" s="27"/>
      <c r="V443" s="27"/>
      <c r="W443" s="27"/>
      <c r="X443" s="27"/>
      <c r="Y443" s="27"/>
      <c r="Z443" s="27"/>
      <c r="AA443" s="25"/>
      <c r="AB443" s="27"/>
      <c r="AC443" s="30" t="str">
        <f aca="false">IF(M443="","",IF(AB443="",M443*Parámetros!$B$6,AB443))</f>
        <v/>
      </c>
      <c r="AD443" s="30" t="str">
        <f aca="false">IF(M443="","",SUM(T443:Z443)+AC443)</f>
        <v/>
      </c>
      <c r="AE443" s="30" t="str">
        <f aca="false">IF(OR(M443="",N443=""),"",M443-N443)</f>
        <v/>
      </c>
      <c r="AF443" s="30" t="str">
        <f aca="false">IF(AE443="","",AE443-AD443)</f>
        <v/>
      </c>
      <c r="AG443" s="28" t="str">
        <f aca="false">IF(OR(AF443="",M443=0),"",AF443/M443)</f>
        <v/>
      </c>
      <c r="AH443" s="32" t="str">
        <f aca="false">IF(OR(AE443="",N443=0),"",AE443/(N443/1000))</f>
        <v/>
      </c>
      <c r="AI443" s="30" t="str">
        <f aca="false">IF(O443="","",M443*P443)</f>
        <v/>
      </c>
      <c r="AJ443" s="11" t="str">
        <f aca="false">IF(O443="","",IF(O443&gt;1,"Error: rend &gt; 100 %",IF(SUM(T443:Z443)=0,"Falta registrar pérdidas",IF(ABS(AG443)&gt;Parámetros!$B$7,"Revisar balance",IF(O443&lt;P443,"Bajo meta","OK")))))</f>
        <v/>
      </c>
      <c r="AK443" s="33"/>
      <c r="AL443" s="10"/>
      <c r="AM443" s="33"/>
      <c r="AN443" s="33"/>
      <c r="AO443" s="10"/>
    </row>
    <row r="444" customFormat="false" ht="15" hidden="false" customHeight="false" outlineLevel="0" collapsed="false">
      <c r="A444" s="22"/>
      <c r="B444" s="23" t="str">
        <f aca="false">IF(A444="","",YEAR(A444-WEEKDAY(A444,2)+4))</f>
        <v/>
      </c>
      <c r="C444" s="23" t="str">
        <f aca="false">IF(A444="","",WEEKNUM(A444,21))</f>
        <v/>
      </c>
      <c r="D444" s="24" t="str">
        <f aca="false">IF(A444="","",DATE(YEAR(A444),MONTH(A444),1))</f>
        <v/>
      </c>
      <c r="E444" s="10"/>
      <c r="F444" s="25"/>
      <c r="G444" s="25"/>
      <c r="H444" s="10"/>
      <c r="I444" s="10"/>
      <c r="J444" s="26"/>
      <c r="K444" s="25"/>
      <c r="L444" s="26"/>
      <c r="M444" s="27"/>
      <c r="N444" s="27"/>
      <c r="O444" s="28" t="str">
        <f aca="false">IF(OR(M444="",M444=0,N444=""),"",N444/M444)</f>
        <v/>
      </c>
      <c r="P444" s="28" t="str">
        <f aca="false">IF(M444="","",IFERROR(IF(INDEX(Parámetros!$B$14:$B$21,MATCH(I444,Parámetros!$A$14:$A$21,0))="",Parámetros!$B$5,INDEX(Parámetros!$B$14:$B$21,MATCH(I444,Parámetros!$A$14:$A$21,0))),Parámetros!$B$5))</f>
        <v/>
      </c>
      <c r="Q444" s="29" t="str">
        <f aca="false">IF(O444="","",(O444-P444)*100)</f>
        <v/>
      </c>
      <c r="R444" s="30" t="str">
        <f aca="false">IF(O444="","",MAX(0,M444*(P444-O444)))</f>
        <v/>
      </c>
      <c r="S444" s="31" t="str">
        <f aca="false">IF(OR(L444="",L444=0,N444=""),"",N444/1000/L444)</f>
        <v/>
      </c>
      <c r="T444" s="27"/>
      <c r="U444" s="27"/>
      <c r="V444" s="27"/>
      <c r="W444" s="27"/>
      <c r="X444" s="27"/>
      <c r="Y444" s="27"/>
      <c r="Z444" s="27"/>
      <c r="AA444" s="25"/>
      <c r="AB444" s="27"/>
      <c r="AC444" s="30" t="str">
        <f aca="false">IF(M444="","",IF(AB444="",M444*Parámetros!$B$6,AB444))</f>
        <v/>
      </c>
      <c r="AD444" s="30" t="str">
        <f aca="false">IF(M444="","",SUM(T444:Z444)+AC444)</f>
        <v/>
      </c>
      <c r="AE444" s="30" t="str">
        <f aca="false">IF(OR(M444="",N444=""),"",M444-N444)</f>
        <v/>
      </c>
      <c r="AF444" s="30" t="str">
        <f aca="false">IF(AE444="","",AE444-AD444)</f>
        <v/>
      </c>
      <c r="AG444" s="28" t="str">
        <f aca="false">IF(OR(AF444="",M444=0),"",AF444/M444)</f>
        <v/>
      </c>
      <c r="AH444" s="32" t="str">
        <f aca="false">IF(OR(AE444="",N444=0),"",AE444/(N444/1000))</f>
        <v/>
      </c>
      <c r="AI444" s="30" t="str">
        <f aca="false">IF(O444="","",M444*P444)</f>
        <v/>
      </c>
      <c r="AJ444" s="11" t="str">
        <f aca="false">IF(O444="","",IF(O444&gt;1,"Error: rend &gt; 100 %",IF(SUM(T444:Z444)=0,"Falta registrar pérdidas",IF(ABS(AG444)&gt;Parámetros!$B$7,"Revisar balance",IF(O444&lt;P444,"Bajo meta","OK")))))</f>
        <v/>
      </c>
      <c r="AK444" s="33"/>
      <c r="AL444" s="10"/>
      <c r="AM444" s="33"/>
      <c r="AN444" s="33"/>
      <c r="AO444" s="10"/>
    </row>
    <row r="445" customFormat="false" ht="15" hidden="false" customHeight="false" outlineLevel="0" collapsed="false">
      <c r="A445" s="22"/>
      <c r="B445" s="23" t="str">
        <f aca="false">IF(A445="","",YEAR(A445-WEEKDAY(A445,2)+4))</f>
        <v/>
      </c>
      <c r="C445" s="23" t="str">
        <f aca="false">IF(A445="","",WEEKNUM(A445,21))</f>
        <v/>
      </c>
      <c r="D445" s="24" t="str">
        <f aca="false">IF(A445="","",DATE(YEAR(A445),MONTH(A445),1))</f>
        <v/>
      </c>
      <c r="E445" s="10"/>
      <c r="F445" s="25"/>
      <c r="G445" s="25"/>
      <c r="H445" s="10"/>
      <c r="I445" s="10"/>
      <c r="J445" s="26"/>
      <c r="K445" s="25"/>
      <c r="L445" s="26"/>
      <c r="M445" s="27"/>
      <c r="N445" s="27"/>
      <c r="O445" s="28" t="str">
        <f aca="false">IF(OR(M445="",M445=0,N445=""),"",N445/M445)</f>
        <v/>
      </c>
      <c r="P445" s="28" t="str">
        <f aca="false">IF(M445="","",IFERROR(IF(INDEX(Parámetros!$B$14:$B$21,MATCH(I445,Parámetros!$A$14:$A$21,0))="",Parámetros!$B$5,INDEX(Parámetros!$B$14:$B$21,MATCH(I445,Parámetros!$A$14:$A$21,0))),Parámetros!$B$5))</f>
        <v/>
      </c>
      <c r="Q445" s="29" t="str">
        <f aca="false">IF(O445="","",(O445-P445)*100)</f>
        <v/>
      </c>
      <c r="R445" s="30" t="str">
        <f aca="false">IF(O445="","",MAX(0,M445*(P445-O445)))</f>
        <v/>
      </c>
      <c r="S445" s="31" t="str">
        <f aca="false">IF(OR(L445="",L445=0,N445=""),"",N445/1000/L445)</f>
        <v/>
      </c>
      <c r="T445" s="27"/>
      <c r="U445" s="27"/>
      <c r="V445" s="27"/>
      <c r="W445" s="27"/>
      <c r="X445" s="27"/>
      <c r="Y445" s="27"/>
      <c r="Z445" s="27"/>
      <c r="AA445" s="25"/>
      <c r="AB445" s="27"/>
      <c r="AC445" s="30" t="str">
        <f aca="false">IF(M445="","",IF(AB445="",M445*Parámetros!$B$6,AB445))</f>
        <v/>
      </c>
      <c r="AD445" s="30" t="str">
        <f aca="false">IF(M445="","",SUM(T445:Z445)+AC445)</f>
        <v/>
      </c>
      <c r="AE445" s="30" t="str">
        <f aca="false">IF(OR(M445="",N445=""),"",M445-N445)</f>
        <v/>
      </c>
      <c r="AF445" s="30" t="str">
        <f aca="false">IF(AE445="","",AE445-AD445)</f>
        <v/>
      </c>
      <c r="AG445" s="28" t="str">
        <f aca="false">IF(OR(AF445="",M445=0),"",AF445/M445)</f>
        <v/>
      </c>
      <c r="AH445" s="32" t="str">
        <f aca="false">IF(OR(AE445="",N445=0),"",AE445/(N445/1000))</f>
        <v/>
      </c>
      <c r="AI445" s="30" t="str">
        <f aca="false">IF(O445="","",M445*P445)</f>
        <v/>
      </c>
      <c r="AJ445" s="11" t="str">
        <f aca="false">IF(O445="","",IF(O445&gt;1,"Error: rend &gt; 100 %",IF(SUM(T445:Z445)=0,"Falta registrar pérdidas",IF(ABS(AG445)&gt;Parámetros!$B$7,"Revisar balance",IF(O445&lt;P445,"Bajo meta","OK")))))</f>
        <v/>
      </c>
      <c r="AK445" s="33"/>
      <c r="AL445" s="10"/>
      <c r="AM445" s="33"/>
      <c r="AN445" s="33"/>
      <c r="AO445" s="10"/>
    </row>
    <row r="446" customFormat="false" ht="15" hidden="false" customHeight="false" outlineLevel="0" collapsed="false">
      <c r="A446" s="22"/>
      <c r="B446" s="23" t="str">
        <f aca="false">IF(A446="","",YEAR(A446-WEEKDAY(A446,2)+4))</f>
        <v/>
      </c>
      <c r="C446" s="23" t="str">
        <f aca="false">IF(A446="","",WEEKNUM(A446,21))</f>
        <v/>
      </c>
      <c r="D446" s="24" t="str">
        <f aca="false">IF(A446="","",DATE(YEAR(A446),MONTH(A446),1))</f>
        <v/>
      </c>
      <c r="E446" s="10"/>
      <c r="F446" s="25"/>
      <c r="G446" s="25"/>
      <c r="H446" s="10"/>
      <c r="I446" s="10"/>
      <c r="J446" s="26"/>
      <c r="K446" s="25"/>
      <c r="L446" s="26"/>
      <c r="M446" s="27"/>
      <c r="N446" s="27"/>
      <c r="O446" s="28" t="str">
        <f aca="false">IF(OR(M446="",M446=0,N446=""),"",N446/M446)</f>
        <v/>
      </c>
      <c r="P446" s="28" t="str">
        <f aca="false">IF(M446="","",IFERROR(IF(INDEX(Parámetros!$B$14:$B$21,MATCH(I446,Parámetros!$A$14:$A$21,0))="",Parámetros!$B$5,INDEX(Parámetros!$B$14:$B$21,MATCH(I446,Parámetros!$A$14:$A$21,0))),Parámetros!$B$5))</f>
        <v/>
      </c>
      <c r="Q446" s="29" t="str">
        <f aca="false">IF(O446="","",(O446-P446)*100)</f>
        <v/>
      </c>
      <c r="R446" s="30" t="str">
        <f aca="false">IF(O446="","",MAX(0,M446*(P446-O446)))</f>
        <v/>
      </c>
      <c r="S446" s="31" t="str">
        <f aca="false">IF(OR(L446="",L446=0,N446=""),"",N446/1000/L446)</f>
        <v/>
      </c>
      <c r="T446" s="27"/>
      <c r="U446" s="27"/>
      <c r="V446" s="27"/>
      <c r="W446" s="27"/>
      <c r="X446" s="27"/>
      <c r="Y446" s="27"/>
      <c r="Z446" s="27"/>
      <c r="AA446" s="25"/>
      <c r="AB446" s="27"/>
      <c r="AC446" s="30" t="str">
        <f aca="false">IF(M446="","",IF(AB446="",M446*Parámetros!$B$6,AB446))</f>
        <v/>
      </c>
      <c r="AD446" s="30" t="str">
        <f aca="false">IF(M446="","",SUM(T446:Z446)+AC446)</f>
        <v/>
      </c>
      <c r="AE446" s="30" t="str">
        <f aca="false">IF(OR(M446="",N446=""),"",M446-N446)</f>
        <v/>
      </c>
      <c r="AF446" s="30" t="str">
        <f aca="false">IF(AE446="","",AE446-AD446)</f>
        <v/>
      </c>
      <c r="AG446" s="28" t="str">
        <f aca="false">IF(OR(AF446="",M446=0),"",AF446/M446)</f>
        <v/>
      </c>
      <c r="AH446" s="32" t="str">
        <f aca="false">IF(OR(AE446="",N446=0),"",AE446/(N446/1000))</f>
        <v/>
      </c>
      <c r="AI446" s="30" t="str">
        <f aca="false">IF(O446="","",M446*P446)</f>
        <v/>
      </c>
      <c r="AJ446" s="11" t="str">
        <f aca="false">IF(O446="","",IF(O446&gt;1,"Error: rend &gt; 100 %",IF(SUM(T446:Z446)=0,"Falta registrar pérdidas",IF(ABS(AG446)&gt;Parámetros!$B$7,"Revisar balance",IF(O446&lt;P446,"Bajo meta","OK")))))</f>
        <v/>
      </c>
      <c r="AK446" s="33"/>
      <c r="AL446" s="10"/>
      <c r="AM446" s="33"/>
      <c r="AN446" s="33"/>
      <c r="AO446" s="10"/>
    </row>
    <row r="447" customFormat="false" ht="15" hidden="false" customHeight="false" outlineLevel="0" collapsed="false">
      <c r="A447" s="22"/>
      <c r="B447" s="23" t="str">
        <f aca="false">IF(A447="","",YEAR(A447-WEEKDAY(A447,2)+4))</f>
        <v/>
      </c>
      <c r="C447" s="23" t="str">
        <f aca="false">IF(A447="","",WEEKNUM(A447,21))</f>
        <v/>
      </c>
      <c r="D447" s="24" t="str">
        <f aca="false">IF(A447="","",DATE(YEAR(A447),MONTH(A447),1))</f>
        <v/>
      </c>
      <c r="E447" s="10"/>
      <c r="F447" s="25"/>
      <c r="G447" s="25"/>
      <c r="H447" s="10"/>
      <c r="I447" s="10"/>
      <c r="J447" s="26"/>
      <c r="K447" s="25"/>
      <c r="L447" s="26"/>
      <c r="M447" s="27"/>
      <c r="N447" s="27"/>
      <c r="O447" s="28" t="str">
        <f aca="false">IF(OR(M447="",M447=0,N447=""),"",N447/M447)</f>
        <v/>
      </c>
      <c r="P447" s="28" t="str">
        <f aca="false">IF(M447="","",IFERROR(IF(INDEX(Parámetros!$B$14:$B$21,MATCH(I447,Parámetros!$A$14:$A$21,0))="",Parámetros!$B$5,INDEX(Parámetros!$B$14:$B$21,MATCH(I447,Parámetros!$A$14:$A$21,0))),Parámetros!$B$5))</f>
        <v/>
      </c>
      <c r="Q447" s="29" t="str">
        <f aca="false">IF(O447="","",(O447-P447)*100)</f>
        <v/>
      </c>
      <c r="R447" s="30" t="str">
        <f aca="false">IF(O447="","",MAX(0,M447*(P447-O447)))</f>
        <v/>
      </c>
      <c r="S447" s="31" t="str">
        <f aca="false">IF(OR(L447="",L447=0,N447=""),"",N447/1000/L447)</f>
        <v/>
      </c>
      <c r="T447" s="27"/>
      <c r="U447" s="27"/>
      <c r="V447" s="27"/>
      <c r="W447" s="27"/>
      <c r="X447" s="27"/>
      <c r="Y447" s="27"/>
      <c r="Z447" s="27"/>
      <c r="AA447" s="25"/>
      <c r="AB447" s="27"/>
      <c r="AC447" s="30" t="str">
        <f aca="false">IF(M447="","",IF(AB447="",M447*Parámetros!$B$6,AB447))</f>
        <v/>
      </c>
      <c r="AD447" s="30" t="str">
        <f aca="false">IF(M447="","",SUM(T447:Z447)+AC447)</f>
        <v/>
      </c>
      <c r="AE447" s="30" t="str">
        <f aca="false">IF(OR(M447="",N447=""),"",M447-N447)</f>
        <v/>
      </c>
      <c r="AF447" s="30" t="str">
        <f aca="false">IF(AE447="","",AE447-AD447)</f>
        <v/>
      </c>
      <c r="AG447" s="28" t="str">
        <f aca="false">IF(OR(AF447="",M447=0),"",AF447/M447)</f>
        <v/>
      </c>
      <c r="AH447" s="32" t="str">
        <f aca="false">IF(OR(AE447="",N447=0),"",AE447/(N447/1000))</f>
        <v/>
      </c>
      <c r="AI447" s="30" t="str">
        <f aca="false">IF(O447="","",M447*P447)</f>
        <v/>
      </c>
      <c r="AJ447" s="11" t="str">
        <f aca="false">IF(O447="","",IF(O447&gt;1,"Error: rend &gt; 100 %",IF(SUM(T447:Z447)=0,"Falta registrar pérdidas",IF(ABS(AG447)&gt;Parámetros!$B$7,"Revisar balance",IF(O447&lt;P447,"Bajo meta","OK")))))</f>
        <v/>
      </c>
      <c r="AK447" s="33"/>
      <c r="AL447" s="10"/>
      <c r="AM447" s="33"/>
      <c r="AN447" s="33"/>
      <c r="AO447" s="10"/>
    </row>
    <row r="448" customFormat="false" ht="15" hidden="false" customHeight="false" outlineLevel="0" collapsed="false">
      <c r="A448" s="22"/>
      <c r="B448" s="23" t="str">
        <f aca="false">IF(A448="","",YEAR(A448-WEEKDAY(A448,2)+4))</f>
        <v/>
      </c>
      <c r="C448" s="23" t="str">
        <f aca="false">IF(A448="","",WEEKNUM(A448,21))</f>
        <v/>
      </c>
      <c r="D448" s="24" t="str">
        <f aca="false">IF(A448="","",DATE(YEAR(A448),MONTH(A448),1))</f>
        <v/>
      </c>
      <c r="E448" s="10"/>
      <c r="F448" s="25"/>
      <c r="G448" s="25"/>
      <c r="H448" s="10"/>
      <c r="I448" s="10"/>
      <c r="J448" s="26"/>
      <c r="K448" s="25"/>
      <c r="L448" s="26"/>
      <c r="M448" s="27"/>
      <c r="N448" s="27"/>
      <c r="O448" s="28" t="str">
        <f aca="false">IF(OR(M448="",M448=0,N448=""),"",N448/M448)</f>
        <v/>
      </c>
      <c r="P448" s="28" t="str">
        <f aca="false">IF(M448="","",IFERROR(IF(INDEX(Parámetros!$B$14:$B$21,MATCH(I448,Parámetros!$A$14:$A$21,0))="",Parámetros!$B$5,INDEX(Parámetros!$B$14:$B$21,MATCH(I448,Parámetros!$A$14:$A$21,0))),Parámetros!$B$5))</f>
        <v/>
      </c>
      <c r="Q448" s="29" t="str">
        <f aca="false">IF(O448="","",(O448-P448)*100)</f>
        <v/>
      </c>
      <c r="R448" s="30" t="str">
        <f aca="false">IF(O448="","",MAX(0,M448*(P448-O448)))</f>
        <v/>
      </c>
      <c r="S448" s="31" t="str">
        <f aca="false">IF(OR(L448="",L448=0,N448=""),"",N448/1000/L448)</f>
        <v/>
      </c>
      <c r="T448" s="27"/>
      <c r="U448" s="27"/>
      <c r="V448" s="27"/>
      <c r="W448" s="27"/>
      <c r="X448" s="27"/>
      <c r="Y448" s="27"/>
      <c r="Z448" s="27"/>
      <c r="AA448" s="25"/>
      <c r="AB448" s="27"/>
      <c r="AC448" s="30" t="str">
        <f aca="false">IF(M448="","",IF(AB448="",M448*Parámetros!$B$6,AB448))</f>
        <v/>
      </c>
      <c r="AD448" s="30" t="str">
        <f aca="false">IF(M448="","",SUM(T448:Z448)+AC448)</f>
        <v/>
      </c>
      <c r="AE448" s="30" t="str">
        <f aca="false">IF(OR(M448="",N448=""),"",M448-N448)</f>
        <v/>
      </c>
      <c r="AF448" s="30" t="str">
        <f aca="false">IF(AE448="","",AE448-AD448)</f>
        <v/>
      </c>
      <c r="AG448" s="28" t="str">
        <f aca="false">IF(OR(AF448="",M448=0),"",AF448/M448)</f>
        <v/>
      </c>
      <c r="AH448" s="32" t="str">
        <f aca="false">IF(OR(AE448="",N448=0),"",AE448/(N448/1000))</f>
        <v/>
      </c>
      <c r="AI448" s="30" t="str">
        <f aca="false">IF(O448="","",M448*P448)</f>
        <v/>
      </c>
      <c r="AJ448" s="11" t="str">
        <f aca="false">IF(O448="","",IF(O448&gt;1,"Error: rend &gt; 100 %",IF(SUM(T448:Z448)=0,"Falta registrar pérdidas",IF(ABS(AG448)&gt;Parámetros!$B$7,"Revisar balance",IF(O448&lt;P448,"Bajo meta","OK")))))</f>
        <v/>
      </c>
      <c r="AK448" s="33"/>
      <c r="AL448" s="10"/>
      <c r="AM448" s="33"/>
      <c r="AN448" s="33"/>
      <c r="AO448" s="10"/>
    </row>
    <row r="449" customFormat="false" ht="15" hidden="false" customHeight="false" outlineLevel="0" collapsed="false">
      <c r="A449" s="22"/>
      <c r="B449" s="23" t="str">
        <f aca="false">IF(A449="","",YEAR(A449-WEEKDAY(A449,2)+4))</f>
        <v/>
      </c>
      <c r="C449" s="23" t="str">
        <f aca="false">IF(A449="","",WEEKNUM(A449,21))</f>
        <v/>
      </c>
      <c r="D449" s="24" t="str">
        <f aca="false">IF(A449="","",DATE(YEAR(A449),MONTH(A449),1))</f>
        <v/>
      </c>
      <c r="E449" s="10"/>
      <c r="F449" s="25"/>
      <c r="G449" s="25"/>
      <c r="H449" s="10"/>
      <c r="I449" s="10"/>
      <c r="J449" s="26"/>
      <c r="K449" s="25"/>
      <c r="L449" s="26"/>
      <c r="M449" s="27"/>
      <c r="N449" s="27"/>
      <c r="O449" s="28" t="str">
        <f aca="false">IF(OR(M449="",M449=0,N449=""),"",N449/M449)</f>
        <v/>
      </c>
      <c r="P449" s="28" t="str">
        <f aca="false">IF(M449="","",IFERROR(IF(INDEX(Parámetros!$B$14:$B$21,MATCH(I449,Parámetros!$A$14:$A$21,0))="",Parámetros!$B$5,INDEX(Parámetros!$B$14:$B$21,MATCH(I449,Parámetros!$A$14:$A$21,0))),Parámetros!$B$5))</f>
        <v/>
      </c>
      <c r="Q449" s="29" t="str">
        <f aca="false">IF(O449="","",(O449-P449)*100)</f>
        <v/>
      </c>
      <c r="R449" s="30" t="str">
        <f aca="false">IF(O449="","",MAX(0,M449*(P449-O449)))</f>
        <v/>
      </c>
      <c r="S449" s="31" t="str">
        <f aca="false">IF(OR(L449="",L449=0,N449=""),"",N449/1000/L449)</f>
        <v/>
      </c>
      <c r="T449" s="27"/>
      <c r="U449" s="27"/>
      <c r="V449" s="27"/>
      <c r="W449" s="27"/>
      <c r="X449" s="27"/>
      <c r="Y449" s="27"/>
      <c r="Z449" s="27"/>
      <c r="AA449" s="25"/>
      <c r="AB449" s="27"/>
      <c r="AC449" s="30" t="str">
        <f aca="false">IF(M449="","",IF(AB449="",M449*Parámetros!$B$6,AB449))</f>
        <v/>
      </c>
      <c r="AD449" s="30" t="str">
        <f aca="false">IF(M449="","",SUM(T449:Z449)+AC449)</f>
        <v/>
      </c>
      <c r="AE449" s="30" t="str">
        <f aca="false">IF(OR(M449="",N449=""),"",M449-N449)</f>
        <v/>
      </c>
      <c r="AF449" s="30" t="str">
        <f aca="false">IF(AE449="","",AE449-AD449)</f>
        <v/>
      </c>
      <c r="AG449" s="28" t="str">
        <f aca="false">IF(OR(AF449="",M449=0),"",AF449/M449)</f>
        <v/>
      </c>
      <c r="AH449" s="32" t="str">
        <f aca="false">IF(OR(AE449="",N449=0),"",AE449/(N449/1000))</f>
        <v/>
      </c>
      <c r="AI449" s="30" t="str">
        <f aca="false">IF(O449="","",M449*P449)</f>
        <v/>
      </c>
      <c r="AJ449" s="11" t="str">
        <f aca="false">IF(O449="","",IF(O449&gt;1,"Error: rend &gt; 100 %",IF(SUM(T449:Z449)=0,"Falta registrar pérdidas",IF(ABS(AG449)&gt;Parámetros!$B$7,"Revisar balance",IF(O449&lt;P449,"Bajo meta","OK")))))</f>
        <v/>
      </c>
      <c r="AK449" s="33"/>
      <c r="AL449" s="10"/>
      <c r="AM449" s="33"/>
      <c r="AN449" s="33"/>
      <c r="AO449" s="10"/>
    </row>
    <row r="450" customFormat="false" ht="15" hidden="false" customHeight="false" outlineLevel="0" collapsed="false">
      <c r="A450" s="22"/>
      <c r="B450" s="23" t="str">
        <f aca="false">IF(A450="","",YEAR(A450-WEEKDAY(A450,2)+4))</f>
        <v/>
      </c>
      <c r="C450" s="23" t="str">
        <f aca="false">IF(A450="","",WEEKNUM(A450,21))</f>
        <v/>
      </c>
      <c r="D450" s="24" t="str">
        <f aca="false">IF(A450="","",DATE(YEAR(A450),MONTH(A450),1))</f>
        <v/>
      </c>
      <c r="E450" s="10"/>
      <c r="F450" s="25"/>
      <c r="G450" s="25"/>
      <c r="H450" s="10"/>
      <c r="I450" s="10"/>
      <c r="J450" s="26"/>
      <c r="K450" s="25"/>
      <c r="L450" s="26"/>
      <c r="M450" s="27"/>
      <c r="N450" s="27"/>
      <c r="O450" s="28" t="str">
        <f aca="false">IF(OR(M450="",M450=0,N450=""),"",N450/M450)</f>
        <v/>
      </c>
      <c r="P450" s="28" t="str">
        <f aca="false">IF(M450="","",IFERROR(IF(INDEX(Parámetros!$B$14:$B$21,MATCH(I450,Parámetros!$A$14:$A$21,0))="",Parámetros!$B$5,INDEX(Parámetros!$B$14:$B$21,MATCH(I450,Parámetros!$A$14:$A$21,0))),Parámetros!$B$5))</f>
        <v/>
      </c>
      <c r="Q450" s="29" t="str">
        <f aca="false">IF(O450="","",(O450-P450)*100)</f>
        <v/>
      </c>
      <c r="R450" s="30" t="str">
        <f aca="false">IF(O450="","",MAX(0,M450*(P450-O450)))</f>
        <v/>
      </c>
      <c r="S450" s="31" t="str">
        <f aca="false">IF(OR(L450="",L450=0,N450=""),"",N450/1000/L450)</f>
        <v/>
      </c>
      <c r="T450" s="27"/>
      <c r="U450" s="27"/>
      <c r="V450" s="27"/>
      <c r="W450" s="27"/>
      <c r="X450" s="27"/>
      <c r="Y450" s="27"/>
      <c r="Z450" s="27"/>
      <c r="AA450" s="25"/>
      <c r="AB450" s="27"/>
      <c r="AC450" s="30" t="str">
        <f aca="false">IF(M450="","",IF(AB450="",M450*Parámetros!$B$6,AB450))</f>
        <v/>
      </c>
      <c r="AD450" s="30" t="str">
        <f aca="false">IF(M450="","",SUM(T450:Z450)+AC450)</f>
        <v/>
      </c>
      <c r="AE450" s="30" t="str">
        <f aca="false">IF(OR(M450="",N450=""),"",M450-N450)</f>
        <v/>
      </c>
      <c r="AF450" s="30" t="str">
        <f aca="false">IF(AE450="","",AE450-AD450)</f>
        <v/>
      </c>
      <c r="AG450" s="28" t="str">
        <f aca="false">IF(OR(AF450="",M450=0),"",AF450/M450)</f>
        <v/>
      </c>
      <c r="AH450" s="32" t="str">
        <f aca="false">IF(OR(AE450="",N450=0),"",AE450/(N450/1000))</f>
        <v/>
      </c>
      <c r="AI450" s="30" t="str">
        <f aca="false">IF(O450="","",M450*P450)</f>
        <v/>
      </c>
      <c r="AJ450" s="11" t="str">
        <f aca="false">IF(O450="","",IF(O450&gt;1,"Error: rend &gt; 100 %",IF(SUM(T450:Z450)=0,"Falta registrar pérdidas",IF(ABS(AG450)&gt;Parámetros!$B$7,"Revisar balance",IF(O450&lt;P450,"Bajo meta","OK")))))</f>
        <v/>
      </c>
      <c r="AK450" s="33"/>
      <c r="AL450" s="10"/>
      <c r="AM450" s="33"/>
      <c r="AN450" s="33"/>
      <c r="AO450" s="10"/>
    </row>
    <row r="451" customFormat="false" ht="15" hidden="false" customHeight="false" outlineLevel="0" collapsed="false">
      <c r="A451" s="22"/>
      <c r="B451" s="23" t="str">
        <f aca="false">IF(A451="","",YEAR(A451-WEEKDAY(A451,2)+4))</f>
        <v/>
      </c>
      <c r="C451" s="23" t="str">
        <f aca="false">IF(A451="","",WEEKNUM(A451,21))</f>
        <v/>
      </c>
      <c r="D451" s="24" t="str">
        <f aca="false">IF(A451="","",DATE(YEAR(A451),MONTH(A451),1))</f>
        <v/>
      </c>
      <c r="E451" s="10"/>
      <c r="F451" s="25"/>
      <c r="G451" s="25"/>
      <c r="H451" s="10"/>
      <c r="I451" s="10"/>
      <c r="J451" s="26"/>
      <c r="K451" s="25"/>
      <c r="L451" s="26"/>
      <c r="M451" s="27"/>
      <c r="N451" s="27"/>
      <c r="O451" s="28" t="str">
        <f aca="false">IF(OR(M451="",M451=0,N451=""),"",N451/M451)</f>
        <v/>
      </c>
      <c r="P451" s="28" t="str">
        <f aca="false">IF(M451="","",IFERROR(IF(INDEX(Parámetros!$B$14:$B$21,MATCH(I451,Parámetros!$A$14:$A$21,0))="",Parámetros!$B$5,INDEX(Parámetros!$B$14:$B$21,MATCH(I451,Parámetros!$A$14:$A$21,0))),Parámetros!$B$5))</f>
        <v/>
      </c>
      <c r="Q451" s="29" t="str">
        <f aca="false">IF(O451="","",(O451-P451)*100)</f>
        <v/>
      </c>
      <c r="R451" s="30" t="str">
        <f aca="false">IF(O451="","",MAX(0,M451*(P451-O451)))</f>
        <v/>
      </c>
      <c r="S451" s="31" t="str">
        <f aca="false">IF(OR(L451="",L451=0,N451=""),"",N451/1000/L451)</f>
        <v/>
      </c>
      <c r="T451" s="27"/>
      <c r="U451" s="27"/>
      <c r="V451" s="27"/>
      <c r="W451" s="27"/>
      <c r="X451" s="27"/>
      <c r="Y451" s="27"/>
      <c r="Z451" s="27"/>
      <c r="AA451" s="25"/>
      <c r="AB451" s="27"/>
      <c r="AC451" s="30" t="str">
        <f aca="false">IF(M451="","",IF(AB451="",M451*Parámetros!$B$6,AB451))</f>
        <v/>
      </c>
      <c r="AD451" s="30" t="str">
        <f aca="false">IF(M451="","",SUM(T451:Z451)+AC451)</f>
        <v/>
      </c>
      <c r="AE451" s="30" t="str">
        <f aca="false">IF(OR(M451="",N451=""),"",M451-N451)</f>
        <v/>
      </c>
      <c r="AF451" s="30" t="str">
        <f aca="false">IF(AE451="","",AE451-AD451)</f>
        <v/>
      </c>
      <c r="AG451" s="28" t="str">
        <f aca="false">IF(OR(AF451="",M451=0),"",AF451/M451)</f>
        <v/>
      </c>
      <c r="AH451" s="32" t="str">
        <f aca="false">IF(OR(AE451="",N451=0),"",AE451/(N451/1000))</f>
        <v/>
      </c>
      <c r="AI451" s="30" t="str">
        <f aca="false">IF(O451="","",M451*P451)</f>
        <v/>
      </c>
      <c r="AJ451" s="11" t="str">
        <f aca="false">IF(O451="","",IF(O451&gt;1,"Error: rend &gt; 100 %",IF(SUM(T451:Z451)=0,"Falta registrar pérdidas",IF(ABS(AG451)&gt;Parámetros!$B$7,"Revisar balance",IF(O451&lt;P451,"Bajo meta","OK")))))</f>
        <v/>
      </c>
      <c r="AK451" s="33"/>
      <c r="AL451" s="10"/>
      <c r="AM451" s="33"/>
      <c r="AN451" s="33"/>
      <c r="AO451" s="10"/>
    </row>
    <row r="452" customFormat="false" ht="15" hidden="false" customHeight="false" outlineLevel="0" collapsed="false">
      <c r="A452" s="22"/>
      <c r="B452" s="23" t="str">
        <f aca="false">IF(A452="","",YEAR(A452-WEEKDAY(A452,2)+4))</f>
        <v/>
      </c>
      <c r="C452" s="23" t="str">
        <f aca="false">IF(A452="","",WEEKNUM(A452,21))</f>
        <v/>
      </c>
      <c r="D452" s="24" t="str">
        <f aca="false">IF(A452="","",DATE(YEAR(A452),MONTH(A452),1))</f>
        <v/>
      </c>
      <c r="E452" s="10"/>
      <c r="F452" s="25"/>
      <c r="G452" s="25"/>
      <c r="H452" s="10"/>
      <c r="I452" s="10"/>
      <c r="J452" s="26"/>
      <c r="K452" s="25"/>
      <c r="L452" s="26"/>
      <c r="M452" s="27"/>
      <c r="N452" s="27"/>
      <c r="O452" s="28" t="str">
        <f aca="false">IF(OR(M452="",M452=0,N452=""),"",N452/M452)</f>
        <v/>
      </c>
      <c r="P452" s="28" t="str">
        <f aca="false">IF(M452="","",IFERROR(IF(INDEX(Parámetros!$B$14:$B$21,MATCH(I452,Parámetros!$A$14:$A$21,0))="",Parámetros!$B$5,INDEX(Parámetros!$B$14:$B$21,MATCH(I452,Parámetros!$A$14:$A$21,0))),Parámetros!$B$5))</f>
        <v/>
      </c>
      <c r="Q452" s="29" t="str">
        <f aca="false">IF(O452="","",(O452-P452)*100)</f>
        <v/>
      </c>
      <c r="R452" s="30" t="str">
        <f aca="false">IF(O452="","",MAX(0,M452*(P452-O452)))</f>
        <v/>
      </c>
      <c r="S452" s="31" t="str">
        <f aca="false">IF(OR(L452="",L452=0,N452=""),"",N452/1000/L452)</f>
        <v/>
      </c>
      <c r="T452" s="27"/>
      <c r="U452" s="27"/>
      <c r="V452" s="27"/>
      <c r="W452" s="27"/>
      <c r="X452" s="27"/>
      <c r="Y452" s="27"/>
      <c r="Z452" s="27"/>
      <c r="AA452" s="25"/>
      <c r="AB452" s="27"/>
      <c r="AC452" s="30" t="str">
        <f aca="false">IF(M452="","",IF(AB452="",M452*Parámetros!$B$6,AB452))</f>
        <v/>
      </c>
      <c r="AD452" s="30" t="str">
        <f aca="false">IF(M452="","",SUM(T452:Z452)+AC452)</f>
        <v/>
      </c>
      <c r="AE452" s="30" t="str">
        <f aca="false">IF(OR(M452="",N452=""),"",M452-N452)</f>
        <v/>
      </c>
      <c r="AF452" s="30" t="str">
        <f aca="false">IF(AE452="","",AE452-AD452)</f>
        <v/>
      </c>
      <c r="AG452" s="28" t="str">
        <f aca="false">IF(OR(AF452="",M452=0),"",AF452/M452)</f>
        <v/>
      </c>
      <c r="AH452" s="32" t="str">
        <f aca="false">IF(OR(AE452="",N452=0),"",AE452/(N452/1000))</f>
        <v/>
      </c>
      <c r="AI452" s="30" t="str">
        <f aca="false">IF(O452="","",M452*P452)</f>
        <v/>
      </c>
      <c r="AJ452" s="11" t="str">
        <f aca="false">IF(O452="","",IF(O452&gt;1,"Error: rend &gt; 100 %",IF(SUM(T452:Z452)=0,"Falta registrar pérdidas",IF(ABS(AG452)&gt;Parámetros!$B$7,"Revisar balance",IF(O452&lt;P452,"Bajo meta","OK")))))</f>
        <v/>
      </c>
      <c r="AK452" s="33"/>
      <c r="AL452" s="10"/>
      <c r="AM452" s="33"/>
      <c r="AN452" s="33"/>
      <c r="AO452" s="10"/>
    </row>
    <row r="453" customFormat="false" ht="15" hidden="false" customHeight="false" outlineLevel="0" collapsed="false">
      <c r="A453" s="22"/>
      <c r="B453" s="23" t="str">
        <f aca="false">IF(A453="","",YEAR(A453-WEEKDAY(A453,2)+4))</f>
        <v/>
      </c>
      <c r="C453" s="23" t="str">
        <f aca="false">IF(A453="","",WEEKNUM(A453,21))</f>
        <v/>
      </c>
      <c r="D453" s="24" t="str">
        <f aca="false">IF(A453="","",DATE(YEAR(A453),MONTH(A453),1))</f>
        <v/>
      </c>
      <c r="E453" s="10"/>
      <c r="F453" s="25"/>
      <c r="G453" s="25"/>
      <c r="H453" s="10"/>
      <c r="I453" s="10"/>
      <c r="J453" s="26"/>
      <c r="K453" s="25"/>
      <c r="L453" s="26"/>
      <c r="M453" s="27"/>
      <c r="N453" s="27"/>
      <c r="O453" s="28" t="str">
        <f aca="false">IF(OR(M453="",M453=0,N453=""),"",N453/M453)</f>
        <v/>
      </c>
      <c r="P453" s="28" t="str">
        <f aca="false">IF(M453="","",IFERROR(IF(INDEX(Parámetros!$B$14:$B$21,MATCH(I453,Parámetros!$A$14:$A$21,0))="",Parámetros!$B$5,INDEX(Parámetros!$B$14:$B$21,MATCH(I453,Parámetros!$A$14:$A$21,0))),Parámetros!$B$5))</f>
        <v/>
      </c>
      <c r="Q453" s="29" t="str">
        <f aca="false">IF(O453="","",(O453-P453)*100)</f>
        <v/>
      </c>
      <c r="R453" s="30" t="str">
        <f aca="false">IF(O453="","",MAX(0,M453*(P453-O453)))</f>
        <v/>
      </c>
      <c r="S453" s="31" t="str">
        <f aca="false">IF(OR(L453="",L453=0,N453=""),"",N453/1000/L453)</f>
        <v/>
      </c>
      <c r="T453" s="27"/>
      <c r="U453" s="27"/>
      <c r="V453" s="27"/>
      <c r="W453" s="27"/>
      <c r="X453" s="27"/>
      <c r="Y453" s="27"/>
      <c r="Z453" s="27"/>
      <c r="AA453" s="25"/>
      <c r="AB453" s="27"/>
      <c r="AC453" s="30" t="str">
        <f aca="false">IF(M453="","",IF(AB453="",M453*Parámetros!$B$6,AB453))</f>
        <v/>
      </c>
      <c r="AD453" s="30" t="str">
        <f aca="false">IF(M453="","",SUM(T453:Z453)+AC453)</f>
        <v/>
      </c>
      <c r="AE453" s="30" t="str">
        <f aca="false">IF(OR(M453="",N453=""),"",M453-N453)</f>
        <v/>
      </c>
      <c r="AF453" s="30" t="str">
        <f aca="false">IF(AE453="","",AE453-AD453)</f>
        <v/>
      </c>
      <c r="AG453" s="28" t="str">
        <f aca="false">IF(OR(AF453="",M453=0),"",AF453/M453)</f>
        <v/>
      </c>
      <c r="AH453" s="32" t="str">
        <f aca="false">IF(OR(AE453="",N453=0),"",AE453/(N453/1000))</f>
        <v/>
      </c>
      <c r="AI453" s="30" t="str">
        <f aca="false">IF(O453="","",M453*P453)</f>
        <v/>
      </c>
      <c r="AJ453" s="11" t="str">
        <f aca="false">IF(O453="","",IF(O453&gt;1,"Error: rend &gt; 100 %",IF(SUM(T453:Z453)=0,"Falta registrar pérdidas",IF(ABS(AG453)&gt;Parámetros!$B$7,"Revisar balance",IF(O453&lt;P453,"Bajo meta","OK")))))</f>
        <v/>
      </c>
      <c r="AK453" s="33"/>
      <c r="AL453" s="10"/>
      <c r="AM453" s="33"/>
      <c r="AN453" s="33"/>
      <c r="AO453" s="10"/>
    </row>
    <row r="454" customFormat="false" ht="15" hidden="false" customHeight="false" outlineLevel="0" collapsed="false">
      <c r="A454" s="22"/>
      <c r="B454" s="23" t="str">
        <f aca="false">IF(A454="","",YEAR(A454-WEEKDAY(A454,2)+4))</f>
        <v/>
      </c>
      <c r="C454" s="23" t="str">
        <f aca="false">IF(A454="","",WEEKNUM(A454,21))</f>
        <v/>
      </c>
      <c r="D454" s="24" t="str">
        <f aca="false">IF(A454="","",DATE(YEAR(A454),MONTH(A454),1))</f>
        <v/>
      </c>
      <c r="E454" s="10"/>
      <c r="F454" s="25"/>
      <c r="G454" s="25"/>
      <c r="H454" s="10"/>
      <c r="I454" s="10"/>
      <c r="J454" s="26"/>
      <c r="K454" s="25"/>
      <c r="L454" s="26"/>
      <c r="M454" s="27"/>
      <c r="N454" s="27"/>
      <c r="O454" s="28" t="str">
        <f aca="false">IF(OR(M454="",M454=0,N454=""),"",N454/M454)</f>
        <v/>
      </c>
      <c r="P454" s="28" t="str">
        <f aca="false">IF(M454="","",IFERROR(IF(INDEX(Parámetros!$B$14:$B$21,MATCH(I454,Parámetros!$A$14:$A$21,0))="",Parámetros!$B$5,INDEX(Parámetros!$B$14:$B$21,MATCH(I454,Parámetros!$A$14:$A$21,0))),Parámetros!$B$5))</f>
        <v/>
      </c>
      <c r="Q454" s="29" t="str">
        <f aca="false">IF(O454="","",(O454-P454)*100)</f>
        <v/>
      </c>
      <c r="R454" s="30" t="str">
        <f aca="false">IF(O454="","",MAX(0,M454*(P454-O454)))</f>
        <v/>
      </c>
      <c r="S454" s="31" t="str">
        <f aca="false">IF(OR(L454="",L454=0,N454=""),"",N454/1000/L454)</f>
        <v/>
      </c>
      <c r="T454" s="27"/>
      <c r="U454" s="27"/>
      <c r="V454" s="27"/>
      <c r="W454" s="27"/>
      <c r="X454" s="27"/>
      <c r="Y454" s="27"/>
      <c r="Z454" s="27"/>
      <c r="AA454" s="25"/>
      <c r="AB454" s="27"/>
      <c r="AC454" s="30" t="str">
        <f aca="false">IF(M454="","",IF(AB454="",M454*Parámetros!$B$6,AB454))</f>
        <v/>
      </c>
      <c r="AD454" s="30" t="str">
        <f aca="false">IF(M454="","",SUM(T454:Z454)+AC454)</f>
        <v/>
      </c>
      <c r="AE454" s="30" t="str">
        <f aca="false">IF(OR(M454="",N454=""),"",M454-N454)</f>
        <v/>
      </c>
      <c r="AF454" s="30" t="str">
        <f aca="false">IF(AE454="","",AE454-AD454)</f>
        <v/>
      </c>
      <c r="AG454" s="28" t="str">
        <f aca="false">IF(OR(AF454="",M454=0),"",AF454/M454)</f>
        <v/>
      </c>
      <c r="AH454" s="32" t="str">
        <f aca="false">IF(OR(AE454="",N454=0),"",AE454/(N454/1000))</f>
        <v/>
      </c>
      <c r="AI454" s="30" t="str">
        <f aca="false">IF(O454="","",M454*P454)</f>
        <v/>
      </c>
      <c r="AJ454" s="11" t="str">
        <f aca="false">IF(O454="","",IF(O454&gt;1,"Error: rend &gt; 100 %",IF(SUM(T454:Z454)=0,"Falta registrar pérdidas",IF(ABS(AG454)&gt;Parámetros!$B$7,"Revisar balance",IF(O454&lt;P454,"Bajo meta","OK")))))</f>
        <v/>
      </c>
      <c r="AK454" s="33"/>
      <c r="AL454" s="10"/>
      <c r="AM454" s="33"/>
      <c r="AN454" s="33"/>
      <c r="AO454" s="10"/>
    </row>
    <row r="455" customFormat="false" ht="15" hidden="false" customHeight="false" outlineLevel="0" collapsed="false">
      <c r="A455" s="22"/>
      <c r="B455" s="23" t="str">
        <f aca="false">IF(A455="","",YEAR(A455-WEEKDAY(A455,2)+4))</f>
        <v/>
      </c>
      <c r="C455" s="23" t="str">
        <f aca="false">IF(A455="","",WEEKNUM(A455,21))</f>
        <v/>
      </c>
      <c r="D455" s="24" t="str">
        <f aca="false">IF(A455="","",DATE(YEAR(A455),MONTH(A455),1))</f>
        <v/>
      </c>
      <c r="E455" s="10"/>
      <c r="F455" s="25"/>
      <c r="G455" s="25"/>
      <c r="H455" s="10"/>
      <c r="I455" s="10"/>
      <c r="J455" s="26"/>
      <c r="K455" s="25"/>
      <c r="L455" s="26"/>
      <c r="M455" s="27"/>
      <c r="N455" s="27"/>
      <c r="O455" s="28" t="str">
        <f aca="false">IF(OR(M455="",M455=0,N455=""),"",N455/M455)</f>
        <v/>
      </c>
      <c r="P455" s="28" t="str">
        <f aca="false">IF(M455="","",IFERROR(IF(INDEX(Parámetros!$B$14:$B$21,MATCH(I455,Parámetros!$A$14:$A$21,0))="",Parámetros!$B$5,INDEX(Parámetros!$B$14:$B$21,MATCH(I455,Parámetros!$A$14:$A$21,0))),Parámetros!$B$5))</f>
        <v/>
      </c>
      <c r="Q455" s="29" t="str">
        <f aca="false">IF(O455="","",(O455-P455)*100)</f>
        <v/>
      </c>
      <c r="R455" s="30" t="str">
        <f aca="false">IF(O455="","",MAX(0,M455*(P455-O455)))</f>
        <v/>
      </c>
      <c r="S455" s="31" t="str">
        <f aca="false">IF(OR(L455="",L455=0,N455=""),"",N455/1000/L455)</f>
        <v/>
      </c>
      <c r="T455" s="27"/>
      <c r="U455" s="27"/>
      <c r="V455" s="27"/>
      <c r="W455" s="27"/>
      <c r="X455" s="27"/>
      <c r="Y455" s="27"/>
      <c r="Z455" s="27"/>
      <c r="AA455" s="25"/>
      <c r="AB455" s="27"/>
      <c r="AC455" s="30" t="str">
        <f aca="false">IF(M455="","",IF(AB455="",M455*Parámetros!$B$6,AB455))</f>
        <v/>
      </c>
      <c r="AD455" s="30" t="str">
        <f aca="false">IF(M455="","",SUM(T455:Z455)+AC455)</f>
        <v/>
      </c>
      <c r="AE455" s="30" t="str">
        <f aca="false">IF(OR(M455="",N455=""),"",M455-N455)</f>
        <v/>
      </c>
      <c r="AF455" s="30" t="str">
        <f aca="false">IF(AE455="","",AE455-AD455)</f>
        <v/>
      </c>
      <c r="AG455" s="28" t="str">
        <f aca="false">IF(OR(AF455="",M455=0),"",AF455/M455)</f>
        <v/>
      </c>
      <c r="AH455" s="32" t="str">
        <f aca="false">IF(OR(AE455="",N455=0),"",AE455/(N455/1000))</f>
        <v/>
      </c>
      <c r="AI455" s="30" t="str">
        <f aca="false">IF(O455="","",M455*P455)</f>
        <v/>
      </c>
      <c r="AJ455" s="11" t="str">
        <f aca="false">IF(O455="","",IF(O455&gt;1,"Error: rend &gt; 100 %",IF(SUM(T455:Z455)=0,"Falta registrar pérdidas",IF(ABS(AG455)&gt;Parámetros!$B$7,"Revisar balance",IF(O455&lt;P455,"Bajo meta","OK")))))</f>
        <v/>
      </c>
      <c r="AK455" s="33"/>
      <c r="AL455" s="10"/>
      <c r="AM455" s="33"/>
      <c r="AN455" s="33"/>
      <c r="AO455" s="10"/>
    </row>
    <row r="456" customFormat="false" ht="15" hidden="false" customHeight="false" outlineLevel="0" collapsed="false">
      <c r="A456" s="22"/>
      <c r="B456" s="23" t="str">
        <f aca="false">IF(A456="","",YEAR(A456-WEEKDAY(A456,2)+4))</f>
        <v/>
      </c>
      <c r="C456" s="23" t="str">
        <f aca="false">IF(A456="","",WEEKNUM(A456,21))</f>
        <v/>
      </c>
      <c r="D456" s="24" t="str">
        <f aca="false">IF(A456="","",DATE(YEAR(A456),MONTH(A456),1))</f>
        <v/>
      </c>
      <c r="E456" s="10"/>
      <c r="F456" s="25"/>
      <c r="G456" s="25"/>
      <c r="H456" s="10"/>
      <c r="I456" s="10"/>
      <c r="J456" s="26"/>
      <c r="K456" s="25"/>
      <c r="L456" s="26"/>
      <c r="M456" s="27"/>
      <c r="N456" s="27"/>
      <c r="O456" s="28" t="str">
        <f aca="false">IF(OR(M456="",M456=0,N456=""),"",N456/M456)</f>
        <v/>
      </c>
      <c r="P456" s="28" t="str">
        <f aca="false">IF(M456="","",IFERROR(IF(INDEX(Parámetros!$B$14:$B$21,MATCH(I456,Parámetros!$A$14:$A$21,0))="",Parámetros!$B$5,INDEX(Parámetros!$B$14:$B$21,MATCH(I456,Parámetros!$A$14:$A$21,0))),Parámetros!$B$5))</f>
        <v/>
      </c>
      <c r="Q456" s="29" t="str">
        <f aca="false">IF(O456="","",(O456-P456)*100)</f>
        <v/>
      </c>
      <c r="R456" s="30" t="str">
        <f aca="false">IF(O456="","",MAX(0,M456*(P456-O456)))</f>
        <v/>
      </c>
      <c r="S456" s="31" t="str">
        <f aca="false">IF(OR(L456="",L456=0,N456=""),"",N456/1000/L456)</f>
        <v/>
      </c>
      <c r="T456" s="27"/>
      <c r="U456" s="27"/>
      <c r="V456" s="27"/>
      <c r="W456" s="27"/>
      <c r="X456" s="27"/>
      <c r="Y456" s="27"/>
      <c r="Z456" s="27"/>
      <c r="AA456" s="25"/>
      <c r="AB456" s="27"/>
      <c r="AC456" s="30" t="str">
        <f aca="false">IF(M456="","",IF(AB456="",M456*Parámetros!$B$6,AB456))</f>
        <v/>
      </c>
      <c r="AD456" s="30" t="str">
        <f aca="false">IF(M456="","",SUM(T456:Z456)+AC456)</f>
        <v/>
      </c>
      <c r="AE456" s="30" t="str">
        <f aca="false">IF(OR(M456="",N456=""),"",M456-N456)</f>
        <v/>
      </c>
      <c r="AF456" s="30" t="str">
        <f aca="false">IF(AE456="","",AE456-AD456)</f>
        <v/>
      </c>
      <c r="AG456" s="28" t="str">
        <f aca="false">IF(OR(AF456="",M456=0),"",AF456/M456)</f>
        <v/>
      </c>
      <c r="AH456" s="32" t="str">
        <f aca="false">IF(OR(AE456="",N456=0),"",AE456/(N456/1000))</f>
        <v/>
      </c>
      <c r="AI456" s="30" t="str">
        <f aca="false">IF(O456="","",M456*P456)</f>
        <v/>
      </c>
      <c r="AJ456" s="11" t="str">
        <f aca="false">IF(O456="","",IF(O456&gt;1,"Error: rend &gt; 100 %",IF(SUM(T456:Z456)=0,"Falta registrar pérdidas",IF(ABS(AG456)&gt;Parámetros!$B$7,"Revisar balance",IF(O456&lt;P456,"Bajo meta","OK")))))</f>
        <v/>
      </c>
      <c r="AK456" s="33"/>
      <c r="AL456" s="10"/>
      <c r="AM456" s="33"/>
      <c r="AN456" s="33"/>
      <c r="AO456" s="10"/>
    </row>
    <row r="457" customFormat="false" ht="15" hidden="false" customHeight="false" outlineLevel="0" collapsed="false">
      <c r="A457" s="22"/>
      <c r="B457" s="23" t="str">
        <f aca="false">IF(A457="","",YEAR(A457-WEEKDAY(A457,2)+4))</f>
        <v/>
      </c>
      <c r="C457" s="23" t="str">
        <f aca="false">IF(A457="","",WEEKNUM(A457,21))</f>
        <v/>
      </c>
      <c r="D457" s="24" t="str">
        <f aca="false">IF(A457="","",DATE(YEAR(A457),MONTH(A457),1))</f>
        <v/>
      </c>
      <c r="E457" s="10"/>
      <c r="F457" s="25"/>
      <c r="G457" s="25"/>
      <c r="H457" s="10"/>
      <c r="I457" s="10"/>
      <c r="J457" s="26"/>
      <c r="K457" s="25"/>
      <c r="L457" s="26"/>
      <c r="M457" s="27"/>
      <c r="N457" s="27"/>
      <c r="O457" s="28" t="str">
        <f aca="false">IF(OR(M457="",M457=0,N457=""),"",N457/M457)</f>
        <v/>
      </c>
      <c r="P457" s="28" t="str">
        <f aca="false">IF(M457="","",IFERROR(IF(INDEX(Parámetros!$B$14:$B$21,MATCH(I457,Parámetros!$A$14:$A$21,0))="",Parámetros!$B$5,INDEX(Parámetros!$B$14:$B$21,MATCH(I457,Parámetros!$A$14:$A$21,0))),Parámetros!$B$5))</f>
        <v/>
      </c>
      <c r="Q457" s="29" t="str">
        <f aca="false">IF(O457="","",(O457-P457)*100)</f>
        <v/>
      </c>
      <c r="R457" s="30" t="str">
        <f aca="false">IF(O457="","",MAX(0,M457*(P457-O457)))</f>
        <v/>
      </c>
      <c r="S457" s="31" t="str">
        <f aca="false">IF(OR(L457="",L457=0,N457=""),"",N457/1000/L457)</f>
        <v/>
      </c>
      <c r="T457" s="27"/>
      <c r="U457" s="27"/>
      <c r="V457" s="27"/>
      <c r="W457" s="27"/>
      <c r="X457" s="27"/>
      <c r="Y457" s="27"/>
      <c r="Z457" s="27"/>
      <c r="AA457" s="25"/>
      <c r="AB457" s="27"/>
      <c r="AC457" s="30" t="str">
        <f aca="false">IF(M457="","",IF(AB457="",M457*Parámetros!$B$6,AB457))</f>
        <v/>
      </c>
      <c r="AD457" s="30" t="str">
        <f aca="false">IF(M457="","",SUM(T457:Z457)+AC457)</f>
        <v/>
      </c>
      <c r="AE457" s="30" t="str">
        <f aca="false">IF(OR(M457="",N457=""),"",M457-N457)</f>
        <v/>
      </c>
      <c r="AF457" s="30" t="str">
        <f aca="false">IF(AE457="","",AE457-AD457)</f>
        <v/>
      </c>
      <c r="AG457" s="28" t="str">
        <f aca="false">IF(OR(AF457="",M457=0),"",AF457/M457)</f>
        <v/>
      </c>
      <c r="AH457" s="32" t="str">
        <f aca="false">IF(OR(AE457="",N457=0),"",AE457/(N457/1000))</f>
        <v/>
      </c>
      <c r="AI457" s="30" t="str">
        <f aca="false">IF(O457="","",M457*P457)</f>
        <v/>
      </c>
      <c r="AJ457" s="11" t="str">
        <f aca="false">IF(O457="","",IF(O457&gt;1,"Error: rend &gt; 100 %",IF(SUM(T457:Z457)=0,"Falta registrar pérdidas",IF(ABS(AG457)&gt;Parámetros!$B$7,"Revisar balance",IF(O457&lt;P457,"Bajo meta","OK")))))</f>
        <v/>
      </c>
      <c r="AK457" s="33"/>
      <c r="AL457" s="10"/>
      <c r="AM457" s="33"/>
      <c r="AN457" s="33"/>
      <c r="AO457" s="10"/>
    </row>
    <row r="458" customFormat="false" ht="15" hidden="false" customHeight="false" outlineLevel="0" collapsed="false">
      <c r="A458" s="22"/>
      <c r="B458" s="23" t="str">
        <f aca="false">IF(A458="","",YEAR(A458-WEEKDAY(A458,2)+4))</f>
        <v/>
      </c>
      <c r="C458" s="23" t="str">
        <f aca="false">IF(A458="","",WEEKNUM(A458,21))</f>
        <v/>
      </c>
      <c r="D458" s="24" t="str">
        <f aca="false">IF(A458="","",DATE(YEAR(A458),MONTH(A458),1))</f>
        <v/>
      </c>
      <c r="E458" s="10"/>
      <c r="F458" s="25"/>
      <c r="G458" s="25"/>
      <c r="H458" s="10"/>
      <c r="I458" s="10"/>
      <c r="J458" s="26"/>
      <c r="K458" s="25"/>
      <c r="L458" s="26"/>
      <c r="M458" s="27"/>
      <c r="N458" s="27"/>
      <c r="O458" s="28" t="str">
        <f aca="false">IF(OR(M458="",M458=0,N458=""),"",N458/M458)</f>
        <v/>
      </c>
      <c r="P458" s="28" t="str">
        <f aca="false">IF(M458="","",IFERROR(IF(INDEX(Parámetros!$B$14:$B$21,MATCH(I458,Parámetros!$A$14:$A$21,0))="",Parámetros!$B$5,INDEX(Parámetros!$B$14:$B$21,MATCH(I458,Parámetros!$A$14:$A$21,0))),Parámetros!$B$5))</f>
        <v/>
      </c>
      <c r="Q458" s="29" t="str">
        <f aca="false">IF(O458="","",(O458-P458)*100)</f>
        <v/>
      </c>
      <c r="R458" s="30" t="str">
        <f aca="false">IF(O458="","",MAX(0,M458*(P458-O458)))</f>
        <v/>
      </c>
      <c r="S458" s="31" t="str">
        <f aca="false">IF(OR(L458="",L458=0,N458=""),"",N458/1000/L458)</f>
        <v/>
      </c>
      <c r="T458" s="27"/>
      <c r="U458" s="27"/>
      <c r="V458" s="27"/>
      <c r="W458" s="27"/>
      <c r="X458" s="27"/>
      <c r="Y458" s="27"/>
      <c r="Z458" s="27"/>
      <c r="AA458" s="25"/>
      <c r="AB458" s="27"/>
      <c r="AC458" s="30" t="str">
        <f aca="false">IF(M458="","",IF(AB458="",M458*Parámetros!$B$6,AB458))</f>
        <v/>
      </c>
      <c r="AD458" s="30" t="str">
        <f aca="false">IF(M458="","",SUM(T458:Z458)+AC458)</f>
        <v/>
      </c>
      <c r="AE458" s="30" t="str">
        <f aca="false">IF(OR(M458="",N458=""),"",M458-N458)</f>
        <v/>
      </c>
      <c r="AF458" s="30" t="str">
        <f aca="false">IF(AE458="","",AE458-AD458)</f>
        <v/>
      </c>
      <c r="AG458" s="28" t="str">
        <f aca="false">IF(OR(AF458="",M458=0),"",AF458/M458)</f>
        <v/>
      </c>
      <c r="AH458" s="32" t="str">
        <f aca="false">IF(OR(AE458="",N458=0),"",AE458/(N458/1000))</f>
        <v/>
      </c>
      <c r="AI458" s="30" t="str">
        <f aca="false">IF(O458="","",M458*P458)</f>
        <v/>
      </c>
      <c r="AJ458" s="11" t="str">
        <f aca="false">IF(O458="","",IF(O458&gt;1,"Error: rend &gt; 100 %",IF(SUM(T458:Z458)=0,"Falta registrar pérdidas",IF(ABS(AG458)&gt;Parámetros!$B$7,"Revisar balance",IF(O458&lt;P458,"Bajo meta","OK")))))</f>
        <v/>
      </c>
      <c r="AK458" s="33"/>
      <c r="AL458" s="10"/>
      <c r="AM458" s="33"/>
      <c r="AN458" s="33"/>
      <c r="AO458" s="10"/>
    </row>
    <row r="459" customFormat="false" ht="15" hidden="false" customHeight="false" outlineLevel="0" collapsed="false">
      <c r="A459" s="22"/>
      <c r="B459" s="23" t="str">
        <f aca="false">IF(A459="","",YEAR(A459-WEEKDAY(A459,2)+4))</f>
        <v/>
      </c>
      <c r="C459" s="23" t="str">
        <f aca="false">IF(A459="","",WEEKNUM(A459,21))</f>
        <v/>
      </c>
      <c r="D459" s="24" t="str">
        <f aca="false">IF(A459="","",DATE(YEAR(A459),MONTH(A459),1))</f>
        <v/>
      </c>
      <c r="E459" s="10"/>
      <c r="F459" s="25"/>
      <c r="G459" s="25"/>
      <c r="H459" s="10"/>
      <c r="I459" s="10"/>
      <c r="J459" s="26"/>
      <c r="K459" s="25"/>
      <c r="L459" s="26"/>
      <c r="M459" s="27"/>
      <c r="N459" s="27"/>
      <c r="O459" s="28" t="str">
        <f aca="false">IF(OR(M459="",M459=0,N459=""),"",N459/M459)</f>
        <v/>
      </c>
      <c r="P459" s="28" t="str">
        <f aca="false">IF(M459="","",IFERROR(IF(INDEX(Parámetros!$B$14:$B$21,MATCH(I459,Parámetros!$A$14:$A$21,0))="",Parámetros!$B$5,INDEX(Parámetros!$B$14:$B$21,MATCH(I459,Parámetros!$A$14:$A$21,0))),Parámetros!$B$5))</f>
        <v/>
      </c>
      <c r="Q459" s="29" t="str">
        <f aca="false">IF(O459="","",(O459-P459)*100)</f>
        <v/>
      </c>
      <c r="R459" s="30" t="str">
        <f aca="false">IF(O459="","",MAX(0,M459*(P459-O459)))</f>
        <v/>
      </c>
      <c r="S459" s="31" t="str">
        <f aca="false">IF(OR(L459="",L459=0,N459=""),"",N459/1000/L459)</f>
        <v/>
      </c>
      <c r="T459" s="27"/>
      <c r="U459" s="27"/>
      <c r="V459" s="27"/>
      <c r="W459" s="27"/>
      <c r="X459" s="27"/>
      <c r="Y459" s="27"/>
      <c r="Z459" s="27"/>
      <c r="AA459" s="25"/>
      <c r="AB459" s="27"/>
      <c r="AC459" s="30" t="str">
        <f aca="false">IF(M459="","",IF(AB459="",M459*Parámetros!$B$6,AB459))</f>
        <v/>
      </c>
      <c r="AD459" s="30" t="str">
        <f aca="false">IF(M459="","",SUM(T459:Z459)+AC459)</f>
        <v/>
      </c>
      <c r="AE459" s="30" t="str">
        <f aca="false">IF(OR(M459="",N459=""),"",M459-N459)</f>
        <v/>
      </c>
      <c r="AF459" s="30" t="str">
        <f aca="false">IF(AE459="","",AE459-AD459)</f>
        <v/>
      </c>
      <c r="AG459" s="28" t="str">
        <f aca="false">IF(OR(AF459="",M459=0),"",AF459/M459)</f>
        <v/>
      </c>
      <c r="AH459" s="32" t="str">
        <f aca="false">IF(OR(AE459="",N459=0),"",AE459/(N459/1000))</f>
        <v/>
      </c>
      <c r="AI459" s="30" t="str">
        <f aca="false">IF(O459="","",M459*P459)</f>
        <v/>
      </c>
      <c r="AJ459" s="11" t="str">
        <f aca="false">IF(O459="","",IF(O459&gt;1,"Error: rend &gt; 100 %",IF(SUM(T459:Z459)=0,"Falta registrar pérdidas",IF(ABS(AG459)&gt;Parámetros!$B$7,"Revisar balance",IF(O459&lt;P459,"Bajo meta","OK")))))</f>
        <v/>
      </c>
      <c r="AK459" s="33"/>
      <c r="AL459" s="10"/>
      <c r="AM459" s="33"/>
      <c r="AN459" s="33"/>
      <c r="AO459" s="10"/>
    </row>
    <row r="460" customFormat="false" ht="15" hidden="false" customHeight="false" outlineLevel="0" collapsed="false">
      <c r="A460" s="22"/>
      <c r="B460" s="23" t="str">
        <f aca="false">IF(A460="","",YEAR(A460-WEEKDAY(A460,2)+4))</f>
        <v/>
      </c>
      <c r="C460" s="23" t="str">
        <f aca="false">IF(A460="","",WEEKNUM(A460,21))</f>
        <v/>
      </c>
      <c r="D460" s="24" t="str">
        <f aca="false">IF(A460="","",DATE(YEAR(A460),MONTH(A460),1))</f>
        <v/>
      </c>
      <c r="E460" s="10"/>
      <c r="F460" s="25"/>
      <c r="G460" s="25"/>
      <c r="H460" s="10"/>
      <c r="I460" s="10"/>
      <c r="J460" s="26"/>
      <c r="K460" s="25"/>
      <c r="L460" s="26"/>
      <c r="M460" s="27"/>
      <c r="N460" s="27"/>
      <c r="O460" s="28" t="str">
        <f aca="false">IF(OR(M460="",M460=0,N460=""),"",N460/M460)</f>
        <v/>
      </c>
      <c r="P460" s="28" t="str">
        <f aca="false">IF(M460="","",IFERROR(IF(INDEX(Parámetros!$B$14:$B$21,MATCH(I460,Parámetros!$A$14:$A$21,0))="",Parámetros!$B$5,INDEX(Parámetros!$B$14:$B$21,MATCH(I460,Parámetros!$A$14:$A$21,0))),Parámetros!$B$5))</f>
        <v/>
      </c>
      <c r="Q460" s="29" t="str">
        <f aca="false">IF(O460="","",(O460-P460)*100)</f>
        <v/>
      </c>
      <c r="R460" s="30" t="str">
        <f aca="false">IF(O460="","",MAX(0,M460*(P460-O460)))</f>
        <v/>
      </c>
      <c r="S460" s="31" t="str">
        <f aca="false">IF(OR(L460="",L460=0,N460=""),"",N460/1000/L460)</f>
        <v/>
      </c>
      <c r="T460" s="27"/>
      <c r="U460" s="27"/>
      <c r="V460" s="27"/>
      <c r="W460" s="27"/>
      <c r="X460" s="27"/>
      <c r="Y460" s="27"/>
      <c r="Z460" s="27"/>
      <c r="AA460" s="25"/>
      <c r="AB460" s="27"/>
      <c r="AC460" s="30" t="str">
        <f aca="false">IF(M460="","",IF(AB460="",M460*Parámetros!$B$6,AB460))</f>
        <v/>
      </c>
      <c r="AD460" s="30" t="str">
        <f aca="false">IF(M460="","",SUM(T460:Z460)+AC460)</f>
        <v/>
      </c>
      <c r="AE460" s="30" t="str">
        <f aca="false">IF(OR(M460="",N460=""),"",M460-N460)</f>
        <v/>
      </c>
      <c r="AF460" s="30" t="str">
        <f aca="false">IF(AE460="","",AE460-AD460)</f>
        <v/>
      </c>
      <c r="AG460" s="28" t="str">
        <f aca="false">IF(OR(AF460="",M460=0),"",AF460/M460)</f>
        <v/>
      </c>
      <c r="AH460" s="32" t="str">
        <f aca="false">IF(OR(AE460="",N460=0),"",AE460/(N460/1000))</f>
        <v/>
      </c>
      <c r="AI460" s="30" t="str">
        <f aca="false">IF(O460="","",M460*P460)</f>
        <v/>
      </c>
      <c r="AJ460" s="11" t="str">
        <f aca="false">IF(O460="","",IF(O460&gt;1,"Error: rend &gt; 100 %",IF(SUM(T460:Z460)=0,"Falta registrar pérdidas",IF(ABS(AG460)&gt;Parámetros!$B$7,"Revisar balance",IF(O460&lt;P460,"Bajo meta","OK")))))</f>
        <v/>
      </c>
      <c r="AK460" s="33"/>
      <c r="AL460" s="10"/>
      <c r="AM460" s="33"/>
      <c r="AN460" s="33"/>
      <c r="AO460" s="10"/>
    </row>
    <row r="461" customFormat="false" ht="15" hidden="false" customHeight="false" outlineLevel="0" collapsed="false">
      <c r="A461" s="22"/>
      <c r="B461" s="23" t="str">
        <f aca="false">IF(A461="","",YEAR(A461-WEEKDAY(A461,2)+4))</f>
        <v/>
      </c>
      <c r="C461" s="23" t="str">
        <f aca="false">IF(A461="","",WEEKNUM(A461,21))</f>
        <v/>
      </c>
      <c r="D461" s="24" t="str">
        <f aca="false">IF(A461="","",DATE(YEAR(A461),MONTH(A461),1))</f>
        <v/>
      </c>
      <c r="E461" s="10"/>
      <c r="F461" s="25"/>
      <c r="G461" s="25"/>
      <c r="H461" s="10"/>
      <c r="I461" s="10"/>
      <c r="J461" s="26"/>
      <c r="K461" s="25"/>
      <c r="L461" s="26"/>
      <c r="M461" s="27"/>
      <c r="N461" s="27"/>
      <c r="O461" s="28" t="str">
        <f aca="false">IF(OR(M461="",M461=0,N461=""),"",N461/M461)</f>
        <v/>
      </c>
      <c r="P461" s="28" t="str">
        <f aca="false">IF(M461="","",IFERROR(IF(INDEX(Parámetros!$B$14:$B$21,MATCH(I461,Parámetros!$A$14:$A$21,0))="",Parámetros!$B$5,INDEX(Parámetros!$B$14:$B$21,MATCH(I461,Parámetros!$A$14:$A$21,0))),Parámetros!$B$5))</f>
        <v/>
      </c>
      <c r="Q461" s="29" t="str">
        <f aca="false">IF(O461="","",(O461-P461)*100)</f>
        <v/>
      </c>
      <c r="R461" s="30" t="str">
        <f aca="false">IF(O461="","",MAX(0,M461*(P461-O461)))</f>
        <v/>
      </c>
      <c r="S461" s="31" t="str">
        <f aca="false">IF(OR(L461="",L461=0,N461=""),"",N461/1000/L461)</f>
        <v/>
      </c>
      <c r="T461" s="27"/>
      <c r="U461" s="27"/>
      <c r="V461" s="27"/>
      <c r="W461" s="27"/>
      <c r="X461" s="27"/>
      <c r="Y461" s="27"/>
      <c r="Z461" s="27"/>
      <c r="AA461" s="25"/>
      <c r="AB461" s="27"/>
      <c r="AC461" s="30" t="str">
        <f aca="false">IF(M461="","",IF(AB461="",M461*Parámetros!$B$6,AB461))</f>
        <v/>
      </c>
      <c r="AD461" s="30" t="str">
        <f aca="false">IF(M461="","",SUM(T461:Z461)+AC461)</f>
        <v/>
      </c>
      <c r="AE461" s="30" t="str">
        <f aca="false">IF(OR(M461="",N461=""),"",M461-N461)</f>
        <v/>
      </c>
      <c r="AF461" s="30" t="str">
        <f aca="false">IF(AE461="","",AE461-AD461)</f>
        <v/>
      </c>
      <c r="AG461" s="28" t="str">
        <f aca="false">IF(OR(AF461="",M461=0),"",AF461/M461)</f>
        <v/>
      </c>
      <c r="AH461" s="32" t="str">
        <f aca="false">IF(OR(AE461="",N461=0),"",AE461/(N461/1000))</f>
        <v/>
      </c>
      <c r="AI461" s="30" t="str">
        <f aca="false">IF(O461="","",M461*P461)</f>
        <v/>
      </c>
      <c r="AJ461" s="11" t="str">
        <f aca="false">IF(O461="","",IF(O461&gt;1,"Error: rend &gt; 100 %",IF(SUM(T461:Z461)=0,"Falta registrar pérdidas",IF(ABS(AG461)&gt;Parámetros!$B$7,"Revisar balance",IF(O461&lt;P461,"Bajo meta","OK")))))</f>
        <v/>
      </c>
      <c r="AK461" s="33"/>
      <c r="AL461" s="10"/>
      <c r="AM461" s="33"/>
      <c r="AN461" s="33"/>
      <c r="AO461" s="10"/>
    </row>
    <row r="462" customFormat="false" ht="15" hidden="false" customHeight="false" outlineLevel="0" collapsed="false">
      <c r="A462" s="22"/>
      <c r="B462" s="23" t="str">
        <f aca="false">IF(A462="","",YEAR(A462-WEEKDAY(A462,2)+4))</f>
        <v/>
      </c>
      <c r="C462" s="23" t="str">
        <f aca="false">IF(A462="","",WEEKNUM(A462,21))</f>
        <v/>
      </c>
      <c r="D462" s="24" t="str">
        <f aca="false">IF(A462="","",DATE(YEAR(A462),MONTH(A462),1))</f>
        <v/>
      </c>
      <c r="E462" s="10"/>
      <c r="F462" s="25"/>
      <c r="G462" s="25"/>
      <c r="H462" s="10"/>
      <c r="I462" s="10"/>
      <c r="J462" s="26"/>
      <c r="K462" s="25"/>
      <c r="L462" s="26"/>
      <c r="M462" s="27"/>
      <c r="N462" s="27"/>
      <c r="O462" s="28" t="str">
        <f aca="false">IF(OR(M462="",M462=0,N462=""),"",N462/M462)</f>
        <v/>
      </c>
      <c r="P462" s="28" t="str">
        <f aca="false">IF(M462="","",IFERROR(IF(INDEX(Parámetros!$B$14:$B$21,MATCH(I462,Parámetros!$A$14:$A$21,0))="",Parámetros!$B$5,INDEX(Parámetros!$B$14:$B$21,MATCH(I462,Parámetros!$A$14:$A$21,0))),Parámetros!$B$5))</f>
        <v/>
      </c>
      <c r="Q462" s="29" t="str">
        <f aca="false">IF(O462="","",(O462-P462)*100)</f>
        <v/>
      </c>
      <c r="R462" s="30" t="str">
        <f aca="false">IF(O462="","",MAX(0,M462*(P462-O462)))</f>
        <v/>
      </c>
      <c r="S462" s="31" t="str">
        <f aca="false">IF(OR(L462="",L462=0,N462=""),"",N462/1000/L462)</f>
        <v/>
      </c>
      <c r="T462" s="27"/>
      <c r="U462" s="27"/>
      <c r="V462" s="27"/>
      <c r="W462" s="27"/>
      <c r="X462" s="27"/>
      <c r="Y462" s="27"/>
      <c r="Z462" s="27"/>
      <c r="AA462" s="25"/>
      <c r="AB462" s="27"/>
      <c r="AC462" s="30" t="str">
        <f aca="false">IF(M462="","",IF(AB462="",M462*Parámetros!$B$6,AB462))</f>
        <v/>
      </c>
      <c r="AD462" s="30" t="str">
        <f aca="false">IF(M462="","",SUM(T462:Z462)+AC462)</f>
        <v/>
      </c>
      <c r="AE462" s="30" t="str">
        <f aca="false">IF(OR(M462="",N462=""),"",M462-N462)</f>
        <v/>
      </c>
      <c r="AF462" s="30" t="str">
        <f aca="false">IF(AE462="","",AE462-AD462)</f>
        <v/>
      </c>
      <c r="AG462" s="28" t="str">
        <f aca="false">IF(OR(AF462="",M462=0),"",AF462/M462)</f>
        <v/>
      </c>
      <c r="AH462" s="32" t="str">
        <f aca="false">IF(OR(AE462="",N462=0),"",AE462/(N462/1000))</f>
        <v/>
      </c>
      <c r="AI462" s="30" t="str">
        <f aca="false">IF(O462="","",M462*P462)</f>
        <v/>
      </c>
      <c r="AJ462" s="11" t="str">
        <f aca="false">IF(O462="","",IF(O462&gt;1,"Error: rend &gt; 100 %",IF(SUM(T462:Z462)=0,"Falta registrar pérdidas",IF(ABS(AG462)&gt;Parámetros!$B$7,"Revisar balance",IF(O462&lt;P462,"Bajo meta","OK")))))</f>
        <v/>
      </c>
      <c r="AK462" s="33"/>
      <c r="AL462" s="10"/>
      <c r="AM462" s="33"/>
      <c r="AN462" s="33"/>
      <c r="AO462" s="10"/>
    </row>
    <row r="463" customFormat="false" ht="15" hidden="false" customHeight="false" outlineLevel="0" collapsed="false">
      <c r="A463" s="22"/>
      <c r="B463" s="23" t="str">
        <f aca="false">IF(A463="","",YEAR(A463-WEEKDAY(A463,2)+4))</f>
        <v/>
      </c>
      <c r="C463" s="23" t="str">
        <f aca="false">IF(A463="","",WEEKNUM(A463,21))</f>
        <v/>
      </c>
      <c r="D463" s="24" t="str">
        <f aca="false">IF(A463="","",DATE(YEAR(A463),MONTH(A463),1))</f>
        <v/>
      </c>
      <c r="E463" s="10"/>
      <c r="F463" s="25"/>
      <c r="G463" s="25"/>
      <c r="H463" s="10"/>
      <c r="I463" s="10"/>
      <c r="J463" s="26"/>
      <c r="K463" s="25"/>
      <c r="L463" s="26"/>
      <c r="M463" s="27"/>
      <c r="N463" s="27"/>
      <c r="O463" s="28" t="str">
        <f aca="false">IF(OR(M463="",M463=0,N463=""),"",N463/M463)</f>
        <v/>
      </c>
      <c r="P463" s="28" t="str">
        <f aca="false">IF(M463="","",IFERROR(IF(INDEX(Parámetros!$B$14:$B$21,MATCH(I463,Parámetros!$A$14:$A$21,0))="",Parámetros!$B$5,INDEX(Parámetros!$B$14:$B$21,MATCH(I463,Parámetros!$A$14:$A$21,0))),Parámetros!$B$5))</f>
        <v/>
      </c>
      <c r="Q463" s="29" t="str">
        <f aca="false">IF(O463="","",(O463-P463)*100)</f>
        <v/>
      </c>
      <c r="R463" s="30" t="str">
        <f aca="false">IF(O463="","",MAX(0,M463*(P463-O463)))</f>
        <v/>
      </c>
      <c r="S463" s="31" t="str">
        <f aca="false">IF(OR(L463="",L463=0,N463=""),"",N463/1000/L463)</f>
        <v/>
      </c>
      <c r="T463" s="27"/>
      <c r="U463" s="27"/>
      <c r="V463" s="27"/>
      <c r="W463" s="27"/>
      <c r="X463" s="27"/>
      <c r="Y463" s="27"/>
      <c r="Z463" s="27"/>
      <c r="AA463" s="25"/>
      <c r="AB463" s="27"/>
      <c r="AC463" s="30" t="str">
        <f aca="false">IF(M463="","",IF(AB463="",M463*Parámetros!$B$6,AB463))</f>
        <v/>
      </c>
      <c r="AD463" s="30" t="str">
        <f aca="false">IF(M463="","",SUM(T463:Z463)+AC463)</f>
        <v/>
      </c>
      <c r="AE463" s="30" t="str">
        <f aca="false">IF(OR(M463="",N463=""),"",M463-N463)</f>
        <v/>
      </c>
      <c r="AF463" s="30" t="str">
        <f aca="false">IF(AE463="","",AE463-AD463)</f>
        <v/>
      </c>
      <c r="AG463" s="28" t="str">
        <f aca="false">IF(OR(AF463="",M463=0),"",AF463/M463)</f>
        <v/>
      </c>
      <c r="AH463" s="32" t="str">
        <f aca="false">IF(OR(AE463="",N463=0),"",AE463/(N463/1000))</f>
        <v/>
      </c>
      <c r="AI463" s="30" t="str">
        <f aca="false">IF(O463="","",M463*P463)</f>
        <v/>
      </c>
      <c r="AJ463" s="11" t="str">
        <f aca="false">IF(O463="","",IF(O463&gt;1,"Error: rend &gt; 100 %",IF(SUM(T463:Z463)=0,"Falta registrar pérdidas",IF(ABS(AG463)&gt;Parámetros!$B$7,"Revisar balance",IF(O463&lt;P463,"Bajo meta","OK")))))</f>
        <v/>
      </c>
      <c r="AK463" s="33"/>
      <c r="AL463" s="10"/>
      <c r="AM463" s="33"/>
      <c r="AN463" s="33"/>
      <c r="AO463" s="10"/>
    </row>
    <row r="464" customFormat="false" ht="15" hidden="false" customHeight="false" outlineLevel="0" collapsed="false">
      <c r="A464" s="22"/>
      <c r="B464" s="23" t="str">
        <f aca="false">IF(A464="","",YEAR(A464-WEEKDAY(A464,2)+4))</f>
        <v/>
      </c>
      <c r="C464" s="23" t="str">
        <f aca="false">IF(A464="","",WEEKNUM(A464,21))</f>
        <v/>
      </c>
      <c r="D464" s="24" t="str">
        <f aca="false">IF(A464="","",DATE(YEAR(A464),MONTH(A464),1))</f>
        <v/>
      </c>
      <c r="E464" s="10"/>
      <c r="F464" s="25"/>
      <c r="G464" s="25"/>
      <c r="H464" s="10"/>
      <c r="I464" s="10"/>
      <c r="J464" s="26"/>
      <c r="K464" s="25"/>
      <c r="L464" s="26"/>
      <c r="M464" s="27"/>
      <c r="N464" s="27"/>
      <c r="O464" s="28" t="str">
        <f aca="false">IF(OR(M464="",M464=0,N464=""),"",N464/M464)</f>
        <v/>
      </c>
      <c r="P464" s="28" t="str">
        <f aca="false">IF(M464="","",IFERROR(IF(INDEX(Parámetros!$B$14:$B$21,MATCH(I464,Parámetros!$A$14:$A$21,0))="",Parámetros!$B$5,INDEX(Parámetros!$B$14:$B$21,MATCH(I464,Parámetros!$A$14:$A$21,0))),Parámetros!$B$5))</f>
        <v/>
      </c>
      <c r="Q464" s="29" t="str">
        <f aca="false">IF(O464="","",(O464-P464)*100)</f>
        <v/>
      </c>
      <c r="R464" s="30" t="str">
        <f aca="false">IF(O464="","",MAX(0,M464*(P464-O464)))</f>
        <v/>
      </c>
      <c r="S464" s="31" t="str">
        <f aca="false">IF(OR(L464="",L464=0,N464=""),"",N464/1000/L464)</f>
        <v/>
      </c>
      <c r="T464" s="27"/>
      <c r="U464" s="27"/>
      <c r="V464" s="27"/>
      <c r="W464" s="27"/>
      <c r="X464" s="27"/>
      <c r="Y464" s="27"/>
      <c r="Z464" s="27"/>
      <c r="AA464" s="25"/>
      <c r="AB464" s="27"/>
      <c r="AC464" s="30" t="str">
        <f aca="false">IF(M464="","",IF(AB464="",M464*Parámetros!$B$6,AB464))</f>
        <v/>
      </c>
      <c r="AD464" s="30" t="str">
        <f aca="false">IF(M464="","",SUM(T464:Z464)+AC464)</f>
        <v/>
      </c>
      <c r="AE464" s="30" t="str">
        <f aca="false">IF(OR(M464="",N464=""),"",M464-N464)</f>
        <v/>
      </c>
      <c r="AF464" s="30" t="str">
        <f aca="false">IF(AE464="","",AE464-AD464)</f>
        <v/>
      </c>
      <c r="AG464" s="28" t="str">
        <f aca="false">IF(OR(AF464="",M464=0),"",AF464/M464)</f>
        <v/>
      </c>
      <c r="AH464" s="32" t="str">
        <f aca="false">IF(OR(AE464="",N464=0),"",AE464/(N464/1000))</f>
        <v/>
      </c>
      <c r="AI464" s="30" t="str">
        <f aca="false">IF(O464="","",M464*P464)</f>
        <v/>
      </c>
      <c r="AJ464" s="11" t="str">
        <f aca="false">IF(O464="","",IF(O464&gt;1,"Error: rend &gt; 100 %",IF(SUM(T464:Z464)=0,"Falta registrar pérdidas",IF(ABS(AG464)&gt;Parámetros!$B$7,"Revisar balance",IF(O464&lt;P464,"Bajo meta","OK")))))</f>
        <v/>
      </c>
      <c r="AK464" s="33"/>
      <c r="AL464" s="10"/>
      <c r="AM464" s="33"/>
      <c r="AN464" s="33"/>
      <c r="AO464" s="10"/>
    </row>
    <row r="465" customFormat="false" ht="15" hidden="false" customHeight="false" outlineLevel="0" collapsed="false">
      <c r="A465" s="22"/>
      <c r="B465" s="23" t="str">
        <f aca="false">IF(A465="","",YEAR(A465-WEEKDAY(A465,2)+4))</f>
        <v/>
      </c>
      <c r="C465" s="23" t="str">
        <f aca="false">IF(A465="","",WEEKNUM(A465,21))</f>
        <v/>
      </c>
      <c r="D465" s="24" t="str">
        <f aca="false">IF(A465="","",DATE(YEAR(A465),MONTH(A465),1))</f>
        <v/>
      </c>
      <c r="E465" s="10"/>
      <c r="F465" s="25"/>
      <c r="G465" s="25"/>
      <c r="H465" s="10"/>
      <c r="I465" s="10"/>
      <c r="J465" s="26"/>
      <c r="K465" s="25"/>
      <c r="L465" s="26"/>
      <c r="M465" s="27"/>
      <c r="N465" s="27"/>
      <c r="O465" s="28" t="str">
        <f aca="false">IF(OR(M465="",M465=0,N465=""),"",N465/M465)</f>
        <v/>
      </c>
      <c r="P465" s="28" t="str">
        <f aca="false">IF(M465="","",IFERROR(IF(INDEX(Parámetros!$B$14:$B$21,MATCH(I465,Parámetros!$A$14:$A$21,0))="",Parámetros!$B$5,INDEX(Parámetros!$B$14:$B$21,MATCH(I465,Parámetros!$A$14:$A$21,0))),Parámetros!$B$5))</f>
        <v/>
      </c>
      <c r="Q465" s="29" t="str">
        <f aca="false">IF(O465="","",(O465-P465)*100)</f>
        <v/>
      </c>
      <c r="R465" s="30" t="str">
        <f aca="false">IF(O465="","",MAX(0,M465*(P465-O465)))</f>
        <v/>
      </c>
      <c r="S465" s="31" t="str">
        <f aca="false">IF(OR(L465="",L465=0,N465=""),"",N465/1000/L465)</f>
        <v/>
      </c>
      <c r="T465" s="27"/>
      <c r="U465" s="27"/>
      <c r="V465" s="27"/>
      <c r="W465" s="27"/>
      <c r="X465" s="27"/>
      <c r="Y465" s="27"/>
      <c r="Z465" s="27"/>
      <c r="AA465" s="25"/>
      <c r="AB465" s="27"/>
      <c r="AC465" s="30" t="str">
        <f aca="false">IF(M465="","",IF(AB465="",M465*Parámetros!$B$6,AB465))</f>
        <v/>
      </c>
      <c r="AD465" s="30" t="str">
        <f aca="false">IF(M465="","",SUM(T465:Z465)+AC465)</f>
        <v/>
      </c>
      <c r="AE465" s="30" t="str">
        <f aca="false">IF(OR(M465="",N465=""),"",M465-N465)</f>
        <v/>
      </c>
      <c r="AF465" s="30" t="str">
        <f aca="false">IF(AE465="","",AE465-AD465)</f>
        <v/>
      </c>
      <c r="AG465" s="28" t="str">
        <f aca="false">IF(OR(AF465="",M465=0),"",AF465/M465)</f>
        <v/>
      </c>
      <c r="AH465" s="32" t="str">
        <f aca="false">IF(OR(AE465="",N465=0),"",AE465/(N465/1000))</f>
        <v/>
      </c>
      <c r="AI465" s="30" t="str">
        <f aca="false">IF(O465="","",M465*P465)</f>
        <v/>
      </c>
      <c r="AJ465" s="11" t="str">
        <f aca="false">IF(O465="","",IF(O465&gt;1,"Error: rend &gt; 100 %",IF(SUM(T465:Z465)=0,"Falta registrar pérdidas",IF(ABS(AG465)&gt;Parámetros!$B$7,"Revisar balance",IF(O465&lt;P465,"Bajo meta","OK")))))</f>
        <v/>
      </c>
      <c r="AK465" s="33"/>
      <c r="AL465" s="10"/>
      <c r="AM465" s="33"/>
      <c r="AN465" s="33"/>
      <c r="AO465" s="10"/>
    </row>
    <row r="466" customFormat="false" ht="15" hidden="false" customHeight="false" outlineLevel="0" collapsed="false">
      <c r="A466" s="22"/>
      <c r="B466" s="23" t="str">
        <f aca="false">IF(A466="","",YEAR(A466-WEEKDAY(A466,2)+4))</f>
        <v/>
      </c>
      <c r="C466" s="23" t="str">
        <f aca="false">IF(A466="","",WEEKNUM(A466,21))</f>
        <v/>
      </c>
      <c r="D466" s="24" t="str">
        <f aca="false">IF(A466="","",DATE(YEAR(A466),MONTH(A466),1))</f>
        <v/>
      </c>
      <c r="E466" s="10"/>
      <c r="F466" s="25"/>
      <c r="G466" s="25"/>
      <c r="H466" s="10"/>
      <c r="I466" s="10"/>
      <c r="J466" s="26"/>
      <c r="K466" s="25"/>
      <c r="L466" s="26"/>
      <c r="M466" s="27"/>
      <c r="N466" s="27"/>
      <c r="O466" s="28" t="str">
        <f aca="false">IF(OR(M466="",M466=0,N466=""),"",N466/M466)</f>
        <v/>
      </c>
      <c r="P466" s="28" t="str">
        <f aca="false">IF(M466="","",IFERROR(IF(INDEX(Parámetros!$B$14:$B$21,MATCH(I466,Parámetros!$A$14:$A$21,0))="",Parámetros!$B$5,INDEX(Parámetros!$B$14:$B$21,MATCH(I466,Parámetros!$A$14:$A$21,0))),Parámetros!$B$5))</f>
        <v/>
      </c>
      <c r="Q466" s="29" t="str">
        <f aca="false">IF(O466="","",(O466-P466)*100)</f>
        <v/>
      </c>
      <c r="R466" s="30" t="str">
        <f aca="false">IF(O466="","",MAX(0,M466*(P466-O466)))</f>
        <v/>
      </c>
      <c r="S466" s="31" t="str">
        <f aca="false">IF(OR(L466="",L466=0,N466=""),"",N466/1000/L466)</f>
        <v/>
      </c>
      <c r="T466" s="27"/>
      <c r="U466" s="27"/>
      <c r="V466" s="27"/>
      <c r="W466" s="27"/>
      <c r="X466" s="27"/>
      <c r="Y466" s="27"/>
      <c r="Z466" s="27"/>
      <c r="AA466" s="25"/>
      <c r="AB466" s="27"/>
      <c r="AC466" s="30" t="str">
        <f aca="false">IF(M466="","",IF(AB466="",M466*Parámetros!$B$6,AB466))</f>
        <v/>
      </c>
      <c r="AD466" s="30" t="str">
        <f aca="false">IF(M466="","",SUM(T466:Z466)+AC466)</f>
        <v/>
      </c>
      <c r="AE466" s="30" t="str">
        <f aca="false">IF(OR(M466="",N466=""),"",M466-N466)</f>
        <v/>
      </c>
      <c r="AF466" s="30" t="str">
        <f aca="false">IF(AE466="","",AE466-AD466)</f>
        <v/>
      </c>
      <c r="AG466" s="28" t="str">
        <f aca="false">IF(OR(AF466="",M466=0),"",AF466/M466)</f>
        <v/>
      </c>
      <c r="AH466" s="32" t="str">
        <f aca="false">IF(OR(AE466="",N466=0),"",AE466/(N466/1000))</f>
        <v/>
      </c>
      <c r="AI466" s="30" t="str">
        <f aca="false">IF(O466="","",M466*P466)</f>
        <v/>
      </c>
      <c r="AJ466" s="11" t="str">
        <f aca="false">IF(O466="","",IF(O466&gt;1,"Error: rend &gt; 100 %",IF(SUM(T466:Z466)=0,"Falta registrar pérdidas",IF(ABS(AG466)&gt;Parámetros!$B$7,"Revisar balance",IF(O466&lt;P466,"Bajo meta","OK")))))</f>
        <v/>
      </c>
      <c r="AK466" s="33"/>
      <c r="AL466" s="10"/>
      <c r="AM466" s="33"/>
      <c r="AN466" s="33"/>
      <c r="AO466" s="10"/>
    </row>
    <row r="467" customFormat="false" ht="15" hidden="false" customHeight="false" outlineLevel="0" collapsed="false">
      <c r="A467" s="22"/>
      <c r="B467" s="23" t="str">
        <f aca="false">IF(A467="","",YEAR(A467-WEEKDAY(A467,2)+4))</f>
        <v/>
      </c>
      <c r="C467" s="23" t="str">
        <f aca="false">IF(A467="","",WEEKNUM(A467,21))</f>
        <v/>
      </c>
      <c r="D467" s="24" t="str">
        <f aca="false">IF(A467="","",DATE(YEAR(A467),MONTH(A467),1))</f>
        <v/>
      </c>
      <c r="E467" s="10"/>
      <c r="F467" s="25"/>
      <c r="G467" s="25"/>
      <c r="H467" s="10"/>
      <c r="I467" s="10"/>
      <c r="J467" s="26"/>
      <c r="K467" s="25"/>
      <c r="L467" s="26"/>
      <c r="M467" s="27"/>
      <c r="N467" s="27"/>
      <c r="O467" s="28" t="str">
        <f aca="false">IF(OR(M467="",M467=0,N467=""),"",N467/M467)</f>
        <v/>
      </c>
      <c r="P467" s="28" t="str">
        <f aca="false">IF(M467="","",IFERROR(IF(INDEX(Parámetros!$B$14:$B$21,MATCH(I467,Parámetros!$A$14:$A$21,0))="",Parámetros!$B$5,INDEX(Parámetros!$B$14:$B$21,MATCH(I467,Parámetros!$A$14:$A$21,0))),Parámetros!$B$5))</f>
        <v/>
      </c>
      <c r="Q467" s="29" t="str">
        <f aca="false">IF(O467="","",(O467-P467)*100)</f>
        <v/>
      </c>
      <c r="R467" s="30" t="str">
        <f aca="false">IF(O467="","",MAX(0,M467*(P467-O467)))</f>
        <v/>
      </c>
      <c r="S467" s="31" t="str">
        <f aca="false">IF(OR(L467="",L467=0,N467=""),"",N467/1000/L467)</f>
        <v/>
      </c>
      <c r="T467" s="27"/>
      <c r="U467" s="27"/>
      <c r="V467" s="27"/>
      <c r="W467" s="27"/>
      <c r="X467" s="27"/>
      <c r="Y467" s="27"/>
      <c r="Z467" s="27"/>
      <c r="AA467" s="25"/>
      <c r="AB467" s="27"/>
      <c r="AC467" s="30" t="str">
        <f aca="false">IF(M467="","",IF(AB467="",M467*Parámetros!$B$6,AB467))</f>
        <v/>
      </c>
      <c r="AD467" s="30" t="str">
        <f aca="false">IF(M467="","",SUM(T467:Z467)+AC467)</f>
        <v/>
      </c>
      <c r="AE467" s="30" t="str">
        <f aca="false">IF(OR(M467="",N467=""),"",M467-N467)</f>
        <v/>
      </c>
      <c r="AF467" s="30" t="str">
        <f aca="false">IF(AE467="","",AE467-AD467)</f>
        <v/>
      </c>
      <c r="AG467" s="28" t="str">
        <f aca="false">IF(OR(AF467="",M467=0),"",AF467/M467)</f>
        <v/>
      </c>
      <c r="AH467" s="32" t="str">
        <f aca="false">IF(OR(AE467="",N467=0),"",AE467/(N467/1000))</f>
        <v/>
      </c>
      <c r="AI467" s="30" t="str">
        <f aca="false">IF(O467="","",M467*P467)</f>
        <v/>
      </c>
      <c r="AJ467" s="11" t="str">
        <f aca="false">IF(O467="","",IF(O467&gt;1,"Error: rend &gt; 100 %",IF(SUM(T467:Z467)=0,"Falta registrar pérdidas",IF(ABS(AG467)&gt;Parámetros!$B$7,"Revisar balance",IF(O467&lt;P467,"Bajo meta","OK")))))</f>
        <v/>
      </c>
      <c r="AK467" s="33"/>
      <c r="AL467" s="10"/>
      <c r="AM467" s="33"/>
      <c r="AN467" s="33"/>
      <c r="AO467" s="10"/>
    </row>
    <row r="468" customFormat="false" ht="15" hidden="false" customHeight="false" outlineLevel="0" collapsed="false">
      <c r="A468" s="22"/>
      <c r="B468" s="23" t="str">
        <f aca="false">IF(A468="","",YEAR(A468-WEEKDAY(A468,2)+4))</f>
        <v/>
      </c>
      <c r="C468" s="23" t="str">
        <f aca="false">IF(A468="","",WEEKNUM(A468,21))</f>
        <v/>
      </c>
      <c r="D468" s="24" t="str">
        <f aca="false">IF(A468="","",DATE(YEAR(A468),MONTH(A468),1))</f>
        <v/>
      </c>
      <c r="E468" s="10"/>
      <c r="F468" s="25"/>
      <c r="G468" s="25"/>
      <c r="H468" s="10"/>
      <c r="I468" s="10"/>
      <c r="J468" s="26"/>
      <c r="K468" s="25"/>
      <c r="L468" s="26"/>
      <c r="M468" s="27"/>
      <c r="N468" s="27"/>
      <c r="O468" s="28" t="str">
        <f aca="false">IF(OR(M468="",M468=0,N468=""),"",N468/M468)</f>
        <v/>
      </c>
      <c r="P468" s="28" t="str">
        <f aca="false">IF(M468="","",IFERROR(IF(INDEX(Parámetros!$B$14:$B$21,MATCH(I468,Parámetros!$A$14:$A$21,0))="",Parámetros!$B$5,INDEX(Parámetros!$B$14:$B$21,MATCH(I468,Parámetros!$A$14:$A$21,0))),Parámetros!$B$5))</f>
        <v/>
      </c>
      <c r="Q468" s="29" t="str">
        <f aca="false">IF(O468="","",(O468-P468)*100)</f>
        <v/>
      </c>
      <c r="R468" s="30" t="str">
        <f aca="false">IF(O468="","",MAX(0,M468*(P468-O468)))</f>
        <v/>
      </c>
      <c r="S468" s="31" t="str">
        <f aca="false">IF(OR(L468="",L468=0,N468=""),"",N468/1000/L468)</f>
        <v/>
      </c>
      <c r="T468" s="27"/>
      <c r="U468" s="27"/>
      <c r="V468" s="27"/>
      <c r="W468" s="27"/>
      <c r="X468" s="27"/>
      <c r="Y468" s="27"/>
      <c r="Z468" s="27"/>
      <c r="AA468" s="25"/>
      <c r="AB468" s="27"/>
      <c r="AC468" s="30" t="str">
        <f aca="false">IF(M468="","",IF(AB468="",M468*Parámetros!$B$6,AB468))</f>
        <v/>
      </c>
      <c r="AD468" s="30" t="str">
        <f aca="false">IF(M468="","",SUM(T468:Z468)+AC468)</f>
        <v/>
      </c>
      <c r="AE468" s="30" t="str">
        <f aca="false">IF(OR(M468="",N468=""),"",M468-N468)</f>
        <v/>
      </c>
      <c r="AF468" s="30" t="str">
        <f aca="false">IF(AE468="","",AE468-AD468)</f>
        <v/>
      </c>
      <c r="AG468" s="28" t="str">
        <f aca="false">IF(OR(AF468="",M468=0),"",AF468/M468)</f>
        <v/>
      </c>
      <c r="AH468" s="32" t="str">
        <f aca="false">IF(OR(AE468="",N468=0),"",AE468/(N468/1000))</f>
        <v/>
      </c>
      <c r="AI468" s="30" t="str">
        <f aca="false">IF(O468="","",M468*P468)</f>
        <v/>
      </c>
      <c r="AJ468" s="11" t="str">
        <f aca="false">IF(O468="","",IF(O468&gt;1,"Error: rend &gt; 100 %",IF(SUM(T468:Z468)=0,"Falta registrar pérdidas",IF(ABS(AG468)&gt;Parámetros!$B$7,"Revisar balance",IF(O468&lt;P468,"Bajo meta","OK")))))</f>
        <v/>
      </c>
      <c r="AK468" s="33"/>
      <c r="AL468" s="10"/>
      <c r="AM468" s="33"/>
      <c r="AN468" s="33"/>
      <c r="AO468" s="10"/>
    </row>
    <row r="469" customFormat="false" ht="15" hidden="false" customHeight="false" outlineLevel="0" collapsed="false">
      <c r="A469" s="22"/>
      <c r="B469" s="23" t="str">
        <f aca="false">IF(A469="","",YEAR(A469-WEEKDAY(A469,2)+4))</f>
        <v/>
      </c>
      <c r="C469" s="23" t="str">
        <f aca="false">IF(A469="","",WEEKNUM(A469,21))</f>
        <v/>
      </c>
      <c r="D469" s="24" t="str">
        <f aca="false">IF(A469="","",DATE(YEAR(A469),MONTH(A469),1))</f>
        <v/>
      </c>
      <c r="E469" s="10"/>
      <c r="F469" s="25"/>
      <c r="G469" s="25"/>
      <c r="H469" s="10"/>
      <c r="I469" s="10"/>
      <c r="J469" s="26"/>
      <c r="K469" s="25"/>
      <c r="L469" s="26"/>
      <c r="M469" s="27"/>
      <c r="N469" s="27"/>
      <c r="O469" s="28" t="str">
        <f aca="false">IF(OR(M469="",M469=0,N469=""),"",N469/M469)</f>
        <v/>
      </c>
      <c r="P469" s="28" t="str">
        <f aca="false">IF(M469="","",IFERROR(IF(INDEX(Parámetros!$B$14:$B$21,MATCH(I469,Parámetros!$A$14:$A$21,0))="",Parámetros!$B$5,INDEX(Parámetros!$B$14:$B$21,MATCH(I469,Parámetros!$A$14:$A$21,0))),Parámetros!$B$5))</f>
        <v/>
      </c>
      <c r="Q469" s="29" t="str">
        <f aca="false">IF(O469="","",(O469-P469)*100)</f>
        <v/>
      </c>
      <c r="R469" s="30" t="str">
        <f aca="false">IF(O469="","",MAX(0,M469*(P469-O469)))</f>
        <v/>
      </c>
      <c r="S469" s="31" t="str">
        <f aca="false">IF(OR(L469="",L469=0,N469=""),"",N469/1000/L469)</f>
        <v/>
      </c>
      <c r="T469" s="27"/>
      <c r="U469" s="27"/>
      <c r="V469" s="27"/>
      <c r="W469" s="27"/>
      <c r="X469" s="27"/>
      <c r="Y469" s="27"/>
      <c r="Z469" s="27"/>
      <c r="AA469" s="25"/>
      <c r="AB469" s="27"/>
      <c r="AC469" s="30" t="str">
        <f aca="false">IF(M469="","",IF(AB469="",M469*Parámetros!$B$6,AB469))</f>
        <v/>
      </c>
      <c r="AD469" s="30" t="str">
        <f aca="false">IF(M469="","",SUM(T469:Z469)+AC469)</f>
        <v/>
      </c>
      <c r="AE469" s="30" t="str">
        <f aca="false">IF(OR(M469="",N469=""),"",M469-N469)</f>
        <v/>
      </c>
      <c r="AF469" s="30" t="str">
        <f aca="false">IF(AE469="","",AE469-AD469)</f>
        <v/>
      </c>
      <c r="AG469" s="28" t="str">
        <f aca="false">IF(OR(AF469="",M469=0),"",AF469/M469)</f>
        <v/>
      </c>
      <c r="AH469" s="32" t="str">
        <f aca="false">IF(OR(AE469="",N469=0),"",AE469/(N469/1000))</f>
        <v/>
      </c>
      <c r="AI469" s="30" t="str">
        <f aca="false">IF(O469="","",M469*P469)</f>
        <v/>
      </c>
      <c r="AJ469" s="11" t="str">
        <f aca="false">IF(O469="","",IF(O469&gt;1,"Error: rend &gt; 100 %",IF(SUM(T469:Z469)=0,"Falta registrar pérdidas",IF(ABS(AG469)&gt;Parámetros!$B$7,"Revisar balance",IF(O469&lt;P469,"Bajo meta","OK")))))</f>
        <v/>
      </c>
      <c r="AK469" s="33"/>
      <c r="AL469" s="10"/>
      <c r="AM469" s="33"/>
      <c r="AN469" s="33"/>
      <c r="AO469" s="10"/>
    </row>
    <row r="470" customFormat="false" ht="15" hidden="false" customHeight="false" outlineLevel="0" collapsed="false">
      <c r="A470" s="22"/>
      <c r="B470" s="23" t="str">
        <f aca="false">IF(A470="","",YEAR(A470-WEEKDAY(A470,2)+4))</f>
        <v/>
      </c>
      <c r="C470" s="23" t="str">
        <f aca="false">IF(A470="","",WEEKNUM(A470,21))</f>
        <v/>
      </c>
      <c r="D470" s="24" t="str">
        <f aca="false">IF(A470="","",DATE(YEAR(A470),MONTH(A470),1))</f>
        <v/>
      </c>
      <c r="E470" s="10"/>
      <c r="F470" s="25"/>
      <c r="G470" s="25"/>
      <c r="H470" s="10"/>
      <c r="I470" s="10"/>
      <c r="J470" s="26"/>
      <c r="K470" s="25"/>
      <c r="L470" s="26"/>
      <c r="M470" s="27"/>
      <c r="N470" s="27"/>
      <c r="O470" s="28" t="str">
        <f aca="false">IF(OR(M470="",M470=0,N470=""),"",N470/M470)</f>
        <v/>
      </c>
      <c r="P470" s="28" t="str">
        <f aca="false">IF(M470="","",IFERROR(IF(INDEX(Parámetros!$B$14:$B$21,MATCH(I470,Parámetros!$A$14:$A$21,0))="",Parámetros!$B$5,INDEX(Parámetros!$B$14:$B$21,MATCH(I470,Parámetros!$A$14:$A$21,0))),Parámetros!$B$5))</f>
        <v/>
      </c>
      <c r="Q470" s="29" t="str">
        <f aca="false">IF(O470="","",(O470-P470)*100)</f>
        <v/>
      </c>
      <c r="R470" s="30" t="str">
        <f aca="false">IF(O470="","",MAX(0,M470*(P470-O470)))</f>
        <v/>
      </c>
      <c r="S470" s="31" t="str">
        <f aca="false">IF(OR(L470="",L470=0,N470=""),"",N470/1000/L470)</f>
        <v/>
      </c>
      <c r="T470" s="27"/>
      <c r="U470" s="27"/>
      <c r="V470" s="27"/>
      <c r="W470" s="27"/>
      <c r="X470" s="27"/>
      <c r="Y470" s="27"/>
      <c r="Z470" s="27"/>
      <c r="AA470" s="25"/>
      <c r="AB470" s="27"/>
      <c r="AC470" s="30" t="str">
        <f aca="false">IF(M470="","",IF(AB470="",M470*Parámetros!$B$6,AB470))</f>
        <v/>
      </c>
      <c r="AD470" s="30" t="str">
        <f aca="false">IF(M470="","",SUM(T470:Z470)+AC470)</f>
        <v/>
      </c>
      <c r="AE470" s="30" t="str">
        <f aca="false">IF(OR(M470="",N470=""),"",M470-N470)</f>
        <v/>
      </c>
      <c r="AF470" s="30" t="str">
        <f aca="false">IF(AE470="","",AE470-AD470)</f>
        <v/>
      </c>
      <c r="AG470" s="28" t="str">
        <f aca="false">IF(OR(AF470="",M470=0),"",AF470/M470)</f>
        <v/>
      </c>
      <c r="AH470" s="32" t="str">
        <f aca="false">IF(OR(AE470="",N470=0),"",AE470/(N470/1000))</f>
        <v/>
      </c>
      <c r="AI470" s="30" t="str">
        <f aca="false">IF(O470="","",M470*P470)</f>
        <v/>
      </c>
      <c r="AJ470" s="11" t="str">
        <f aca="false">IF(O470="","",IF(O470&gt;1,"Error: rend &gt; 100 %",IF(SUM(T470:Z470)=0,"Falta registrar pérdidas",IF(ABS(AG470)&gt;Parámetros!$B$7,"Revisar balance",IF(O470&lt;P470,"Bajo meta","OK")))))</f>
        <v/>
      </c>
      <c r="AK470" s="33"/>
      <c r="AL470" s="10"/>
      <c r="AM470" s="33"/>
      <c r="AN470" s="33"/>
      <c r="AO470" s="10"/>
    </row>
    <row r="471" customFormat="false" ht="15" hidden="false" customHeight="false" outlineLevel="0" collapsed="false">
      <c r="A471" s="22"/>
      <c r="B471" s="23" t="str">
        <f aca="false">IF(A471="","",YEAR(A471-WEEKDAY(A471,2)+4))</f>
        <v/>
      </c>
      <c r="C471" s="23" t="str">
        <f aca="false">IF(A471="","",WEEKNUM(A471,21))</f>
        <v/>
      </c>
      <c r="D471" s="24" t="str">
        <f aca="false">IF(A471="","",DATE(YEAR(A471),MONTH(A471),1))</f>
        <v/>
      </c>
      <c r="E471" s="10"/>
      <c r="F471" s="25"/>
      <c r="G471" s="25"/>
      <c r="H471" s="10"/>
      <c r="I471" s="10"/>
      <c r="J471" s="26"/>
      <c r="K471" s="25"/>
      <c r="L471" s="26"/>
      <c r="M471" s="27"/>
      <c r="N471" s="27"/>
      <c r="O471" s="28" t="str">
        <f aca="false">IF(OR(M471="",M471=0,N471=""),"",N471/M471)</f>
        <v/>
      </c>
      <c r="P471" s="28" t="str">
        <f aca="false">IF(M471="","",IFERROR(IF(INDEX(Parámetros!$B$14:$B$21,MATCH(I471,Parámetros!$A$14:$A$21,0))="",Parámetros!$B$5,INDEX(Parámetros!$B$14:$B$21,MATCH(I471,Parámetros!$A$14:$A$21,0))),Parámetros!$B$5))</f>
        <v/>
      </c>
      <c r="Q471" s="29" t="str">
        <f aca="false">IF(O471="","",(O471-P471)*100)</f>
        <v/>
      </c>
      <c r="R471" s="30" t="str">
        <f aca="false">IF(O471="","",MAX(0,M471*(P471-O471)))</f>
        <v/>
      </c>
      <c r="S471" s="31" t="str">
        <f aca="false">IF(OR(L471="",L471=0,N471=""),"",N471/1000/L471)</f>
        <v/>
      </c>
      <c r="T471" s="27"/>
      <c r="U471" s="27"/>
      <c r="V471" s="27"/>
      <c r="W471" s="27"/>
      <c r="X471" s="27"/>
      <c r="Y471" s="27"/>
      <c r="Z471" s="27"/>
      <c r="AA471" s="25"/>
      <c r="AB471" s="27"/>
      <c r="AC471" s="30" t="str">
        <f aca="false">IF(M471="","",IF(AB471="",M471*Parámetros!$B$6,AB471))</f>
        <v/>
      </c>
      <c r="AD471" s="30" t="str">
        <f aca="false">IF(M471="","",SUM(T471:Z471)+AC471)</f>
        <v/>
      </c>
      <c r="AE471" s="30" t="str">
        <f aca="false">IF(OR(M471="",N471=""),"",M471-N471)</f>
        <v/>
      </c>
      <c r="AF471" s="30" t="str">
        <f aca="false">IF(AE471="","",AE471-AD471)</f>
        <v/>
      </c>
      <c r="AG471" s="28" t="str">
        <f aca="false">IF(OR(AF471="",M471=0),"",AF471/M471)</f>
        <v/>
      </c>
      <c r="AH471" s="32" t="str">
        <f aca="false">IF(OR(AE471="",N471=0),"",AE471/(N471/1000))</f>
        <v/>
      </c>
      <c r="AI471" s="30" t="str">
        <f aca="false">IF(O471="","",M471*P471)</f>
        <v/>
      </c>
      <c r="AJ471" s="11" t="str">
        <f aca="false">IF(O471="","",IF(O471&gt;1,"Error: rend &gt; 100 %",IF(SUM(T471:Z471)=0,"Falta registrar pérdidas",IF(ABS(AG471)&gt;Parámetros!$B$7,"Revisar balance",IF(O471&lt;P471,"Bajo meta","OK")))))</f>
        <v/>
      </c>
      <c r="AK471" s="33"/>
      <c r="AL471" s="10"/>
      <c r="AM471" s="33"/>
      <c r="AN471" s="33"/>
      <c r="AO471" s="10"/>
    </row>
    <row r="472" customFormat="false" ht="15" hidden="false" customHeight="false" outlineLevel="0" collapsed="false">
      <c r="A472" s="22"/>
      <c r="B472" s="23" t="str">
        <f aca="false">IF(A472="","",YEAR(A472-WEEKDAY(A472,2)+4))</f>
        <v/>
      </c>
      <c r="C472" s="23" t="str">
        <f aca="false">IF(A472="","",WEEKNUM(A472,21))</f>
        <v/>
      </c>
      <c r="D472" s="24" t="str">
        <f aca="false">IF(A472="","",DATE(YEAR(A472),MONTH(A472),1))</f>
        <v/>
      </c>
      <c r="E472" s="10"/>
      <c r="F472" s="25"/>
      <c r="G472" s="25"/>
      <c r="H472" s="10"/>
      <c r="I472" s="10"/>
      <c r="J472" s="26"/>
      <c r="K472" s="25"/>
      <c r="L472" s="26"/>
      <c r="M472" s="27"/>
      <c r="N472" s="27"/>
      <c r="O472" s="28" t="str">
        <f aca="false">IF(OR(M472="",M472=0,N472=""),"",N472/M472)</f>
        <v/>
      </c>
      <c r="P472" s="28" t="str">
        <f aca="false">IF(M472="","",IFERROR(IF(INDEX(Parámetros!$B$14:$B$21,MATCH(I472,Parámetros!$A$14:$A$21,0))="",Parámetros!$B$5,INDEX(Parámetros!$B$14:$B$21,MATCH(I472,Parámetros!$A$14:$A$21,0))),Parámetros!$B$5))</f>
        <v/>
      </c>
      <c r="Q472" s="29" t="str">
        <f aca="false">IF(O472="","",(O472-P472)*100)</f>
        <v/>
      </c>
      <c r="R472" s="30" t="str">
        <f aca="false">IF(O472="","",MAX(0,M472*(P472-O472)))</f>
        <v/>
      </c>
      <c r="S472" s="31" t="str">
        <f aca="false">IF(OR(L472="",L472=0,N472=""),"",N472/1000/L472)</f>
        <v/>
      </c>
      <c r="T472" s="27"/>
      <c r="U472" s="27"/>
      <c r="V472" s="27"/>
      <c r="W472" s="27"/>
      <c r="X472" s="27"/>
      <c r="Y472" s="27"/>
      <c r="Z472" s="27"/>
      <c r="AA472" s="25"/>
      <c r="AB472" s="27"/>
      <c r="AC472" s="30" t="str">
        <f aca="false">IF(M472="","",IF(AB472="",M472*Parámetros!$B$6,AB472))</f>
        <v/>
      </c>
      <c r="AD472" s="30" t="str">
        <f aca="false">IF(M472="","",SUM(T472:Z472)+AC472)</f>
        <v/>
      </c>
      <c r="AE472" s="30" t="str">
        <f aca="false">IF(OR(M472="",N472=""),"",M472-N472)</f>
        <v/>
      </c>
      <c r="AF472" s="30" t="str">
        <f aca="false">IF(AE472="","",AE472-AD472)</f>
        <v/>
      </c>
      <c r="AG472" s="28" t="str">
        <f aca="false">IF(OR(AF472="",M472=0),"",AF472/M472)</f>
        <v/>
      </c>
      <c r="AH472" s="32" t="str">
        <f aca="false">IF(OR(AE472="",N472=0),"",AE472/(N472/1000))</f>
        <v/>
      </c>
      <c r="AI472" s="30" t="str">
        <f aca="false">IF(O472="","",M472*P472)</f>
        <v/>
      </c>
      <c r="AJ472" s="11" t="str">
        <f aca="false">IF(O472="","",IF(O472&gt;1,"Error: rend &gt; 100 %",IF(SUM(T472:Z472)=0,"Falta registrar pérdidas",IF(ABS(AG472)&gt;Parámetros!$B$7,"Revisar balance",IF(O472&lt;P472,"Bajo meta","OK")))))</f>
        <v/>
      </c>
      <c r="AK472" s="33"/>
      <c r="AL472" s="10"/>
      <c r="AM472" s="33"/>
      <c r="AN472" s="33"/>
      <c r="AO472" s="10"/>
    </row>
    <row r="473" customFormat="false" ht="15" hidden="false" customHeight="false" outlineLevel="0" collapsed="false">
      <c r="A473" s="22"/>
      <c r="B473" s="23" t="str">
        <f aca="false">IF(A473="","",YEAR(A473-WEEKDAY(A473,2)+4))</f>
        <v/>
      </c>
      <c r="C473" s="23" t="str">
        <f aca="false">IF(A473="","",WEEKNUM(A473,21))</f>
        <v/>
      </c>
      <c r="D473" s="24" t="str">
        <f aca="false">IF(A473="","",DATE(YEAR(A473),MONTH(A473),1))</f>
        <v/>
      </c>
      <c r="E473" s="10"/>
      <c r="F473" s="25"/>
      <c r="G473" s="25"/>
      <c r="H473" s="10"/>
      <c r="I473" s="10"/>
      <c r="J473" s="26"/>
      <c r="K473" s="25"/>
      <c r="L473" s="26"/>
      <c r="M473" s="27"/>
      <c r="N473" s="27"/>
      <c r="O473" s="28" t="str">
        <f aca="false">IF(OR(M473="",M473=0,N473=""),"",N473/M473)</f>
        <v/>
      </c>
      <c r="P473" s="28" t="str">
        <f aca="false">IF(M473="","",IFERROR(IF(INDEX(Parámetros!$B$14:$B$21,MATCH(I473,Parámetros!$A$14:$A$21,0))="",Parámetros!$B$5,INDEX(Parámetros!$B$14:$B$21,MATCH(I473,Parámetros!$A$14:$A$21,0))),Parámetros!$B$5))</f>
        <v/>
      </c>
      <c r="Q473" s="29" t="str">
        <f aca="false">IF(O473="","",(O473-P473)*100)</f>
        <v/>
      </c>
      <c r="R473" s="30" t="str">
        <f aca="false">IF(O473="","",MAX(0,M473*(P473-O473)))</f>
        <v/>
      </c>
      <c r="S473" s="31" t="str">
        <f aca="false">IF(OR(L473="",L473=0,N473=""),"",N473/1000/L473)</f>
        <v/>
      </c>
      <c r="T473" s="27"/>
      <c r="U473" s="27"/>
      <c r="V473" s="27"/>
      <c r="W473" s="27"/>
      <c r="X473" s="27"/>
      <c r="Y473" s="27"/>
      <c r="Z473" s="27"/>
      <c r="AA473" s="25"/>
      <c r="AB473" s="27"/>
      <c r="AC473" s="30" t="str">
        <f aca="false">IF(M473="","",IF(AB473="",M473*Parámetros!$B$6,AB473))</f>
        <v/>
      </c>
      <c r="AD473" s="30" t="str">
        <f aca="false">IF(M473="","",SUM(T473:Z473)+AC473)</f>
        <v/>
      </c>
      <c r="AE473" s="30" t="str">
        <f aca="false">IF(OR(M473="",N473=""),"",M473-N473)</f>
        <v/>
      </c>
      <c r="AF473" s="30" t="str">
        <f aca="false">IF(AE473="","",AE473-AD473)</f>
        <v/>
      </c>
      <c r="AG473" s="28" t="str">
        <f aca="false">IF(OR(AF473="",M473=0),"",AF473/M473)</f>
        <v/>
      </c>
      <c r="AH473" s="32" t="str">
        <f aca="false">IF(OR(AE473="",N473=0),"",AE473/(N473/1000))</f>
        <v/>
      </c>
      <c r="AI473" s="30" t="str">
        <f aca="false">IF(O473="","",M473*P473)</f>
        <v/>
      </c>
      <c r="AJ473" s="11" t="str">
        <f aca="false">IF(O473="","",IF(O473&gt;1,"Error: rend &gt; 100 %",IF(SUM(T473:Z473)=0,"Falta registrar pérdidas",IF(ABS(AG473)&gt;Parámetros!$B$7,"Revisar balance",IF(O473&lt;P473,"Bajo meta","OK")))))</f>
        <v/>
      </c>
      <c r="AK473" s="33"/>
      <c r="AL473" s="10"/>
      <c r="AM473" s="33"/>
      <c r="AN473" s="33"/>
      <c r="AO473" s="10"/>
    </row>
    <row r="474" customFormat="false" ht="15" hidden="false" customHeight="false" outlineLevel="0" collapsed="false">
      <c r="A474" s="22"/>
      <c r="B474" s="23" t="str">
        <f aca="false">IF(A474="","",YEAR(A474-WEEKDAY(A474,2)+4))</f>
        <v/>
      </c>
      <c r="C474" s="23" t="str">
        <f aca="false">IF(A474="","",WEEKNUM(A474,21))</f>
        <v/>
      </c>
      <c r="D474" s="24" t="str">
        <f aca="false">IF(A474="","",DATE(YEAR(A474),MONTH(A474),1))</f>
        <v/>
      </c>
      <c r="E474" s="10"/>
      <c r="F474" s="25"/>
      <c r="G474" s="25"/>
      <c r="H474" s="10"/>
      <c r="I474" s="10"/>
      <c r="J474" s="26"/>
      <c r="K474" s="25"/>
      <c r="L474" s="26"/>
      <c r="M474" s="27"/>
      <c r="N474" s="27"/>
      <c r="O474" s="28" t="str">
        <f aca="false">IF(OR(M474="",M474=0,N474=""),"",N474/M474)</f>
        <v/>
      </c>
      <c r="P474" s="28" t="str">
        <f aca="false">IF(M474="","",IFERROR(IF(INDEX(Parámetros!$B$14:$B$21,MATCH(I474,Parámetros!$A$14:$A$21,0))="",Parámetros!$B$5,INDEX(Parámetros!$B$14:$B$21,MATCH(I474,Parámetros!$A$14:$A$21,0))),Parámetros!$B$5))</f>
        <v/>
      </c>
      <c r="Q474" s="29" t="str">
        <f aca="false">IF(O474="","",(O474-P474)*100)</f>
        <v/>
      </c>
      <c r="R474" s="30" t="str">
        <f aca="false">IF(O474="","",MAX(0,M474*(P474-O474)))</f>
        <v/>
      </c>
      <c r="S474" s="31" t="str">
        <f aca="false">IF(OR(L474="",L474=0,N474=""),"",N474/1000/L474)</f>
        <v/>
      </c>
      <c r="T474" s="27"/>
      <c r="U474" s="27"/>
      <c r="V474" s="27"/>
      <c r="W474" s="27"/>
      <c r="X474" s="27"/>
      <c r="Y474" s="27"/>
      <c r="Z474" s="27"/>
      <c r="AA474" s="25"/>
      <c r="AB474" s="27"/>
      <c r="AC474" s="30" t="str">
        <f aca="false">IF(M474="","",IF(AB474="",M474*Parámetros!$B$6,AB474))</f>
        <v/>
      </c>
      <c r="AD474" s="30" t="str">
        <f aca="false">IF(M474="","",SUM(T474:Z474)+AC474)</f>
        <v/>
      </c>
      <c r="AE474" s="30" t="str">
        <f aca="false">IF(OR(M474="",N474=""),"",M474-N474)</f>
        <v/>
      </c>
      <c r="AF474" s="30" t="str">
        <f aca="false">IF(AE474="","",AE474-AD474)</f>
        <v/>
      </c>
      <c r="AG474" s="28" t="str">
        <f aca="false">IF(OR(AF474="",M474=0),"",AF474/M474)</f>
        <v/>
      </c>
      <c r="AH474" s="32" t="str">
        <f aca="false">IF(OR(AE474="",N474=0),"",AE474/(N474/1000))</f>
        <v/>
      </c>
      <c r="AI474" s="30" t="str">
        <f aca="false">IF(O474="","",M474*P474)</f>
        <v/>
      </c>
      <c r="AJ474" s="11" t="str">
        <f aca="false">IF(O474="","",IF(O474&gt;1,"Error: rend &gt; 100 %",IF(SUM(T474:Z474)=0,"Falta registrar pérdidas",IF(ABS(AG474)&gt;Parámetros!$B$7,"Revisar balance",IF(O474&lt;P474,"Bajo meta","OK")))))</f>
        <v/>
      </c>
      <c r="AK474" s="33"/>
      <c r="AL474" s="10"/>
      <c r="AM474" s="33"/>
      <c r="AN474" s="33"/>
      <c r="AO474" s="10"/>
    </row>
    <row r="475" customFormat="false" ht="15" hidden="false" customHeight="false" outlineLevel="0" collapsed="false">
      <c r="A475" s="22"/>
      <c r="B475" s="23" t="str">
        <f aca="false">IF(A475="","",YEAR(A475-WEEKDAY(A475,2)+4))</f>
        <v/>
      </c>
      <c r="C475" s="23" t="str">
        <f aca="false">IF(A475="","",WEEKNUM(A475,21))</f>
        <v/>
      </c>
      <c r="D475" s="24" t="str">
        <f aca="false">IF(A475="","",DATE(YEAR(A475),MONTH(A475),1))</f>
        <v/>
      </c>
      <c r="E475" s="10"/>
      <c r="F475" s="25"/>
      <c r="G475" s="25"/>
      <c r="H475" s="10"/>
      <c r="I475" s="10"/>
      <c r="J475" s="26"/>
      <c r="K475" s="25"/>
      <c r="L475" s="26"/>
      <c r="M475" s="27"/>
      <c r="N475" s="27"/>
      <c r="O475" s="28" t="str">
        <f aca="false">IF(OR(M475="",M475=0,N475=""),"",N475/M475)</f>
        <v/>
      </c>
      <c r="P475" s="28" t="str">
        <f aca="false">IF(M475="","",IFERROR(IF(INDEX(Parámetros!$B$14:$B$21,MATCH(I475,Parámetros!$A$14:$A$21,0))="",Parámetros!$B$5,INDEX(Parámetros!$B$14:$B$21,MATCH(I475,Parámetros!$A$14:$A$21,0))),Parámetros!$B$5))</f>
        <v/>
      </c>
      <c r="Q475" s="29" t="str">
        <f aca="false">IF(O475="","",(O475-P475)*100)</f>
        <v/>
      </c>
      <c r="R475" s="30" t="str">
        <f aca="false">IF(O475="","",MAX(0,M475*(P475-O475)))</f>
        <v/>
      </c>
      <c r="S475" s="31" t="str">
        <f aca="false">IF(OR(L475="",L475=0,N475=""),"",N475/1000/L475)</f>
        <v/>
      </c>
      <c r="T475" s="27"/>
      <c r="U475" s="27"/>
      <c r="V475" s="27"/>
      <c r="W475" s="27"/>
      <c r="X475" s="27"/>
      <c r="Y475" s="27"/>
      <c r="Z475" s="27"/>
      <c r="AA475" s="25"/>
      <c r="AB475" s="27"/>
      <c r="AC475" s="30" t="str">
        <f aca="false">IF(M475="","",IF(AB475="",M475*Parámetros!$B$6,AB475))</f>
        <v/>
      </c>
      <c r="AD475" s="30" t="str">
        <f aca="false">IF(M475="","",SUM(T475:Z475)+AC475)</f>
        <v/>
      </c>
      <c r="AE475" s="30" t="str">
        <f aca="false">IF(OR(M475="",N475=""),"",M475-N475)</f>
        <v/>
      </c>
      <c r="AF475" s="30" t="str">
        <f aca="false">IF(AE475="","",AE475-AD475)</f>
        <v/>
      </c>
      <c r="AG475" s="28" t="str">
        <f aca="false">IF(OR(AF475="",M475=0),"",AF475/M475)</f>
        <v/>
      </c>
      <c r="AH475" s="32" t="str">
        <f aca="false">IF(OR(AE475="",N475=0),"",AE475/(N475/1000))</f>
        <v/>
      </c>
      <c r="AI475" s="30" t="str">
        <f aca="false">IF(O475="","",M475*P475)</f>
        <v/>
      </c>
      <c r="AJ475" s="11" t="str">
        <f aca="false">IF(O475="","",IF(O475&gt;1,"Error: rend &gt; 100 %",IF(SUM(T475:Z475)=0,"Falta registrar pérdidas",IF(ABS(AG475)&gt;Parámetros!$B$7,"Revisar balance",IF(O475&lt;P475,"Bajo meta","OK")))))</f>
        <v/>
      </c>
      <c r="AK475" s="33"/>
      <c r="AL475" s="10"/>
      <c r="AM475" s="33"/>
      <c r="AN475" s="33"/>
      <c r="AO475" s="10"/>
    </row>
    <row r="476" customFormat="false" ht="15" hidden="false" customHeight="false" outlineLevel="0" collapsed="false">
      <c r="A476" s="22"/>
      <c r="B476" s="23" t="str">
        <f aca="false">IF(A476="","",YEAR(A476-WEEKDAY(A476,2)+4))</f>
        <v/>
      </c>
      <c r="C476" s="23" t="str">
        <f aca="false">IF(A476="","",WEEKNUM(A476,21))</f>
        <v/>
      </c>
      <c r="D476" s="24" t="str">
        <f aca="false">IF(A476="","",DATE(YEAR(A476),MONTH(A476),1))</f>
        <v/>
      </c>
      <c r="E476" s="10"/>
      <c r="F476" s="25"/>
      <c r="G476" s="25"/>
      <c r="H476" s="10"/>
      <c r="I476" s="10"/>
      <c r="J476" s="26"/>
      <c r="K476" s="25"/>
      <c r="L476" s="26"/>
      <c r="M476" s="27"/>
      <c r="N476" s="27"/>
      <c r="O476" s="28" t="str">
        <f aca="false">IF(OR(M476="",M476=0,N476=""),"",N476/M476)</f>
        <v/>
      </c>
      <c r="P476" s="28" t="str">
        <f aca="false">IF(M476="","",IFERROR(IF(INDEX(Parámetros!$B$14:$B$21,MATCH(I476,Parámetros!$A$14:$A$21,0))="",Parámetros!$B$5,INDEX(Parámetros!$B$14:$B$21,MATCH(I476,Parámetros!$A$14:$A$21,0))),Parámetros!$B$5))</f>
        <v/>
      </c>
      <c r="Q476" s="29" t="str">
        <f aca="false">IF(O476="","",(O476-P476)*100)</f>
        <v/>
      </c>
      <c r="R476" s="30" t="str">
        <f aca="false">IF(O476="","",MAX(0,M476*(P476-O476)))</f>
        <v/>
      </c>
      <c r="S476" s="31" t="str">
        <f aca="false">IF(OR(L476="",L476=0,N476=""),"",N476/1000/L476)</f>
        <v/>
      </c>
      <c r="T476" s="27"/>
      <c r="U476" s="27"/>
      <c r="V476" s="27"/>
      <c r="W476" s="27"/>
      <c r="X476" s="27"/>
      <c r="Y476" s="27"/>
      <c r="Z476" s="27"/>
      <c r="AA476" s="25"/>
      <c r="AB476" s="27"/>
      <c r="AC476" s="30" t="str">
        <f aca="false">IF(M476="","",IF(AB476="",M476*Parámetros!$B$6,AB476))</f>
        <v/>
      </c>
      <c r="AD476" s="30" t="str">
        <f aca="false">IF(M476="","",SUM(T476:Z476)+AC476)</f>
        <v/>
      </c>
      <c r="AE476" s="30" t="str">
        <f aca="false">IF(OR(M476="",N476=""),"",M476-N476)</f>
        <v/>
      </c>
      <c r="AF476" s="30" t="str">
        <f aca="false">IF(AE476="","",AE476-AD476)</f>
        <v/>
      </c>
      <c r="AG476" s="28" t="str">
        <f aca="false">IF(OR(AF476="",M476=0),"",AF476/M476)</f>
        <v/>
      </c>
      <c r="AH476" s="32" t="str">
        <f aca="false">IF(OR(AE476="",N476=0),"",AE476/(N476/1000))</f>
        <v/>
      </c>
      <c r="AI476" s="30" t="str">
        <f aca="false">IF(O476="","",M476*P476)</f>
        <v/>
      </c>
      <c r="AJ476" s="11" t="str">
        <f aca="false">IF(O476="","",IF(O476&gt;1,"Error: rend &gt; 100 %",IF(SUM(T476:Z476)=0,"Falta registrar pérdidas",IF(ABS(AG476)&gt;Parámetros!$B$7,"Revisar balance",IF(O476&lt;P476,"Bajo meta","OK")))))</f>
        <v/>
      </c>
      <c r="AK476" s="33"/>
      <c r="AL476" s="10"/>
      <c r="AM476" s="33"/>
      <c r="AN476" s="33"/>
      <c r="AO476" s="10"/>
    </row>
    <row r="477" customFormat="false" ht="15" hidden="false" customHeight="false" outlineLevel="0" collapsed="false">
      <c r="A477" s="22"/>
      <c r="B477" s="23" t="str">
        <f aca="false">IF(A477="","",YEAR(A477-WEEKDAY(A477,2)+4))</f>
        <v/>
      </c>
      <c r="C477" s="23" t="str">
        <f aca="false">IF(A477="","",WEEKNUM(A477,21))</f>
        <v/>
      </c>
      <c r="D477" s="24" t="str">
        <f aca="false">IF(A477="","",DATE(YEAR(A477),MONTH(A477),1))</f>
        <v/>
      </c>
      <c r="E477" s="10"/>
      <c r="F477" s="25"/>
      <c r="G477" s="25"/>
      <c r="H477" s="10"/>
      <c r="I477" s="10"/>
      <c r="J477" s="26"/>
      <c r="K477" s="25"/>
      <c r="L477" s="26"/>
      <c r="M477" s="27"/>
      <c r="N477" s="27"/>
      <c r="O477" s="28" t="str">
        <f aca="false">IF(OR(M477="",M477=0,N477=""),"",N477/M477)</f>
        <v/>
      </c>
      <c r="P477" s="28" t="str">
        <f aca="false">IF(M477="","",IFERROR(IF(INDEX(Parámetros!$B$14:$B$21,MATCH(I477,Parámetros!$A$14:$A$21,0))="",Parámetros!$B$5,INDEX(Parámetros!$B$14:$B$21,MATCH(I477,Parámetros!$A$14:$A$21,0))),Parámetros!$B$5))</f>
        <v/>
      </c>
      <c r="Q477" s="29" t="str">
        <f aca="false">IF(O477="","",(O477-P477)*100)</f>
        <v/>
      </c>
      <c r="R477" s="30" t="str">
        <f aca="false">IF(O477="","",MAX(0,M477*(P477-O477)))</f>
        <v/>
      </c>
      <c r="S477" s="31" t="str">
        <f aca="false">IF(OR(L477="",L477=0,N477=""),"",N477/1000/L477)</f>
        <v/>
      </c>
      <c r="T477" s="27"/>
      <c r="U477" s="27"/>
      <c r="V477" s="27"/>
      <c r="W477" s="27"/>
      <c r="X477" s="27"/>
      <c r="Y477" s="27"/>
      <c r="Z477" s="27"/>
      <c r="AA477" s="25"/>
      <c r="AB477" s="27"/>
      <c r="AC477" s="30" t="str">
        <f aca="false">IF(M477="","",IF(AB477="",M477*Parámetros!$B$6,AB477))</f>
        <v/>
      </c>
      <c r="AD477" s="30" t="str">
        <f aca="false">IF(M477="","",SUM(T477:Z477)+AC477)</f>
        <v/>
      </c>
      <c r="AE477" s="30" t="str">
        <f aca="false">IF(OR(M477="",N477=""),"",M477-N477)</f>
        <v/>
      </c>
      <c r="AF477" s="30" t="str">
        <f aca="false">IF(AE477="","",AE477-AD477)</f>
        <v/>
      </c>
      <c r="AG477" s="28" t="str">
        <f aca="false">IF(OR(AF477="",M477=0),"",AF477/M477)</f>
        <v/>
      </c>
      <c r="AH477" s="32" t="str">
        <f aca="false">IF(OR(AE477="",N477=0),"",AE477/(N477/1000))</f>
        <v/>
      </c>
      <c r="AI477" s="30" t="str">
        <f aca="false">IF(O477="","",M477*P477)</f>
        <v/>
      </c>
      <c r="AJ477" s="11" t="str">
        <f aca="false">IF(O477="","",IF(O477&gt;1,"Error: rend &gt; 100 %",IF(SUM(T477:Z477)=0,"Falta registrar pérdidas",IF(ABS(AG477)&gt;Parámetros!$B$7,"Revisar balance",IF(O477&lt;P477,"Bajo meta","OK")))))</f>
        <v/>
      </c>
      <c r="AK477" s="33"/>
      <c r="AL477" s="10"/>
      <c r="AM477" s="33"/>
      <c r="AN477" s="33"/>
      <c r="AO477" s="10"/>
    </row>
    <row r="478" customFormat="false" ht="15" hidden="false" customHeight="false" outlineLevel="0" collapsed="false">
      <c r="A478" s="22"/>
      <c r="B478" s="23" t="str">
        <f aca="false">IF(A478="","",YEAR(A478-WEEKDAY(A478,2)+4))</f>
        <v/>
      </c>
      <c r="C478" s="23" t="str">
        <f aca="false">IF(A478="","",WEEKNUM(A478,21))</f>
        <v/>
      </c>
      <c r="D478" s="24" t="str">
        <f aca="false">IF(A478="","",DATE(YEAR(A478),MONTH(A478),1))</f>
        <v/>
      </c>
      <c r="E478" s="10"/>
      <c r="F478" s="25"/>
      <c r="G478" s="25"/>
      <c r="H478" s="10"/>
      <c r="I478" s="10"/>
      <c r="J478" s="26"/>
      <c r="K478" s="25"/>
      <c r="L478" s="26"/>
      <c r="M478" s="27"/>
      <c r="N478" s="27"/>
      <c r="O478" s="28" t="str">
        <f aca="false">IF(OR(M478="",M478=0,N478=""),"",N478/M478)</f>
        <v/>
      </c>
      <c r="P478" s="28" t="str">
        <f aca="false">IF(M478="","",IFERROR(IF(INDEX(Parámetros!$B$14:$B$21,MATCH(I478,Parámetros!$A$14:$A$21,0))="",Parámetros!$B$5,INDEX(Parámetros!$B$14:$B$21,MATCH(I478,Parámetros!$A$14:$A$21,0))),Parámetros!$B$5))</f>
        <v/>
      </c>
      <c r="Q478" s="29" t="str">
        <f aca="false">IF(O478="","",(O478-P478)*100)</f>
        <v/>
      </c>
      <c r="R478" s="30" t="str">
        <f aca="false">IF(O478="","",MAX(0,M478*(P478-O478)))</f>
        <v/>
      </c>
      <c r="S478" s="31" t="str">
        <f aca="false">IF(OR(L478="",L478=0,N478=""),"",N478/1000/L478)</f>
        <v/>
      </c>
      <c r="T478" s="27"/>
      <c r="U478" s="27"/>
      <c r="V478" s="27"/>
      <c r="W478" s="27"/>
      <c r="X478" s="27"/>
      <c r="Y478" s="27"/>
      <c r="Z478" s="27"/>
      <c r="AA478" s="25"/>
      <c r="AB478" s="27"/>
      <c r="AC478" s="30" t="str">
        <f aca="false">IF(M478="","",IF(AB478="",M478*Parámetros!$B$6,AB478))</f>
        <v/>
      </c>
      <c r="AD478" s="30" t="str">
        <f aca="false">IF(M478="","",SUM(T478:Z478)+AC478)</f>
        <v/>
      </c>
      <c r="AE478" s="30" t="str">
        <f aca="false">IF(OR(M478="",N478=""),"",M478-N478)</f>
        <v/>
      </c>
      <c r="AF478" s="30" t="str">
        <f aca="false">IF(AE478="","",AE478-AD478)</f>
        <v/>
      </c>
      <c r="AG478" s="28" t="str">
        <f aca="false">IF(OR(AF478="",M478=0),"",AF478/M478)</f>
        <v/>
      </c>
      <c r="AH478" s="32" t="str">
        <f aca="false">IF(OR(AE478="",N478=0),"",AE478/(N478/1000))</f>
        <v/>
      </c>
      <c r="AI478" s="30" t="str">
        <f aca="false">IF(O478="","",M478*P478)</f>
        <v/>
      </c>
      <c r="AJ478" s="11" t="str">
        <f aca="false">IF(O478="","",IF(O478&gt;1,"Error: rend &gt; 100 %",IF(SUM(T478:Z478)=0,"Falta registrar pérdidas",IF(ABS(AG478)&gt;Parámetros!$B$7,"Revisar balance",IF(O478&lt;P478,"Bajo meta","OK")))))</f>
        <v/>
      </c>
      <c r="AK478" s="33"/>
      <c r="AL478" s="10"/>
      <c r="AM478" s="33"/>
      <c r="AN478" s="33"/>
      <c r="AO478" s="10"/>
    </row>
    <row r="479" customFormat="false" ht="15" hidden="false" customHeight="false" outlineLevel="0" collapsed="false">
      <c r="A479" s="22"/>
      <c r="B479" s="23" t="str">
        <f aca="false">IF(A479="","",YEAR(A479-WEEKDAY(A479,2)+4))</f>
        <v/>
      </c>
      <c r="C479" s="23" t="str">
        <f aca="false">IF(A479="","",WEEKNUM(A479,21))</f>
        <v/>
      </c>
      <c r="D479" s="24" t="str">
        <f aca="false">IF(A479="","",DATE(YEAR(A479),MONTH(A479),1))</f>
        <v/>
      </c>
      <c r="E479" s="10"/>
      <c r="F479" s="25"/>
      <c r="G479" s="25"/>
      <c r="H479" s="10"/>
      <c r="I479" s="10"/>
      <c r="J479" s="26"/>
      <c r="K479" s="25"/>
      <c r="L479" s="26"/>
      <c r="M479" s="27"/>
      <c r="N479" s="27"/>
      <c r="O479" s="28" t="str">
        <f aca="false">IF(OR(M479="",M479=0,N479=""),"",N479/M479)</f>
        <v/>
      </c>
      <c r="P479" s="28" t="str">
        <f aca="false">IF(M479="","",IFERROR(IF(INDEX(Parámetros!$B$14:$B$21,MATCH(I479,Parámetros!$A$14:$A$21,0))="",Parámetros!$B$5,INDEX(Parámetros!$B$14:$B$21,MATCH(I479,Parámetros!$A$14:$A$21,0))),Parámetros!$B$5))</f>
        <v/>
      </c>
      <c r="Q479" s="29" t="str">
        <f aca="false">IF(O479="","",(O479-P479)*100)</f>
        <v/>
      </c>
      <c r="R479" s="30" t="str">
        <f aca="false">IF(O479="","",MAX(0,M479*(P479-O479)))</f>
        <v/>
      </c>
      <c r="S479" s="31" t="str">
        <f aca="false">IF(OR(L479="",L479=0,N479=""),"",N479/1000/L479)</f>
        <v/>
      </c>
      <c r="T479" s="27"/>
      <c r="U479" s="27"/>
      <c r="V479" s="27"/>
      <c r="W479" s="27"/>
      <c r="X479" s="27"/>
      <c r="Y479" s="27"/>
      <c r="Z479" s="27"/>
      <c r="AA479" s="25"/>
      <c r="AB479" s="27"/>
      <c r="AC479" s="30" t="str">
        <f aca="false">IF(M479="","",IF(AB479="",M479*Parámetros!$B$6,AB479))</f>
        <v/>
      </c>
      <c r="AD479" s="30" t="str">
        <f aca="false">IF(M479="","",SUM(T479:Z479)+AC479)</f>
        <v/>
      </c>
      <c r="AE479" s="30" t="str">
        <f aca="false">IF(OR(M479="",N479=""),"",M479-N479)</f>
        <v/>
      </c>
      <c r="AF479" s="30" t="str">
        <f aca="false">IF(AE479="","",AE479-AD479)</f>
        <v/>
      </c>
      <c r="AG479" s="28" t="str">
        <f aca="false">IF(OR(AF479="",M479=0),"",AF479/M479)</f>
        <v/>
      </c>
      <c r="AH479" s="32" t="str">
        <f aca="false">IF(OR(AE479="",N479=0),"",AE479/(N479/1000))</f>
        <v/>
      </c>
      <c r="AI479" s="30" t="str">
        <f aca="false">IF(O479="","",M479*P479)</f>
        <v/>
      </c>
      <c r="AJ479" s="11" t="str">
        <f aca="false">IF(O479="","",IF(O479&gt;1,"Error: rend &gt; 100 %",IF(SUM(T479:Z479)=0,"Falta registrar pérdidas",IF(ABS(AG479)&gt;Parámetros!$B$7,"Revisar balance",IF(O479&lt;P479,"Bajo meta","OK")))))</f>
        <v/>
      </c>
      <c r="AK479" s="33"/>
      <c r="AL479" s="10"/>
      <c r="AM479" s="33"/>
      <c r="AN479" s="33"/>
      <c r="AO479" s="10"/>
    </row>
    <row r="480" customFormat="false" ht="15" hidden="false" customHeight="false" outlineLevel="0" collapsed="false">
      <c r="A480" s="22"/>
      <c r="B480" s="23" t="str">
        <f aca="false">IF(A480="","",YEAR(A480-WEEKDAY(A480,2)+4))</f>
        <v/>
      </c>
      <c r="C480" s="23" t="str">
        <f aca="false">IF(A480="","",WEEKNUM(A480,21))</f>
        <v/>
      </c>
      <c r="D480" s="24" t="str">
        <f aca="false">IF(A480="","",DATE(YEAR(A480),MONTH(A480),1))</f>
        <v/>
      </c>
      <c r="E480" s="10"/>
      <c r="F480" s="25"/>
      <c r="G480" s="25"/>
      <c r="H480" s="10"/>
      <c r="I480" s="10"/>
      <c r="J480" s="26"/>
      <c r="K480" s="25"/>
      <c r="L480" s="26"/>
      <c r="M480" s="27"/>
      <c r="N480" s="27"/>
      <c r="O480" s="28" t="str">
        <f aca="false">IF(OR(M480="",M480=0,N480=""),"",N480/M480)</f>
        <v/>
      </c>
      <c r="P480" s="28" t="str">
        <f aca="false">IF(M480="","",IFERROR(IF(INDEX(Parámetros!$B$14:$B$21,MATCH(I480,Parámetros!$A$14:$A$21,0))="",Parámetros!$B$5,INDEX(Parámetros!$B$14:$B$21,MATCH(I480,Parámetros!$A$14:$A$21,0))),Parámetros!$B$5))</f>
        <v/>
      </c>
      <c r="Q480" s="29" t="str">
        <f aca="false">IF(O480="","",(O480-P480)*100)</f>
        <v/>
      </c>
      <c r="R480" s="30" t="str">
        <f aca="false">IF(O480="","",MAX(0,M480*(P480-O480)))</f>
        <v/>
      </c>
      <c r="S480" s="31" t="str">
        <f aca="false">IF(OR(L480="",L480=0,N480=""),"",N480/1000/L480)</f>
        <v/>
      </c>
      <c r="T480" s="27"/>
      <c r="U480" s="27"/>
      <c r="V480" s="27"/>
      <c r="W480" s="27"/>
      <c r="X480" s="27"/>
      <c r="Y480" s="27"/>
      <c r="Z480" s="27"/>
      <c r="AA480" s="25"/>
      <c r="AB480" s="27"/>
      <c r="AC480" s="30" t="str">
        <f aca="false">IF(M480="","",IF(AB480="",M480*Parámetros!$B$6,AB480))</f>
        <v/>
      </c>
      <c r="AD480" s="30" t="str">
        <f aca="false">IF(M480="","",SUM(T480:Z480)+AC480)</f>
        <v/>
      </c>
      <c r="AE480" s="30" t="str">
        <f aca="false">IF(OR(M480="",N480=""),"",M480-N480)</f>
        <v/>
      </c>
      <c r="AF480" s="30" t="str">
        <f aca="false">IF(AE480="","",AE480-AD480)</f>
        <v/>
      </c>
      <c r="AG480" s="28" t="str">
        <f aca="false">IF(OR(AF480="",M480=0),"",AF480/M480)</f>
        <v/>
      </c>
      <c r="AH480" s="32" t="str">
        <f aca="false">IF(OR(AE480="",N480=0),"",AE480/(N480/1000))</f>
        <v/>
      </c>
      <c r="AI480" s="30" t="str">
        <f aca="false">IF(O480="","",M480*P480)</f>
        <v/>
      </c>
      <c r="AJ480" s="11" t="str">
        <f aca="false">IF(O480="","",IF(O480&gt;1,"Error: rend &gt; 100 %",IF(SUM(T480:Z480)=0,"Falta registrar pérdidas",IF(ABS(AG480)&gt;Parámetros!$B$7,"Revisar balance",IF(O480&lt;P480,"Bajo meta","OK")))))</f>
        <v/>
      </c>
      <c r="AK480" s="33"/>
      <c r="AL480" s="10"/>
      <c r="AM480" s="33"/>
      <c r="AN480" s="33"/>
      <c r="AO480" s="10"/>
    </row>
    <row r="481" customFormat="false" ht="15" hidden="false" customHeight="false" outlineLevel="0" collapsed="false">
      <c r="A481" s="22"/>
      <c r="B481" s="23" t="str">
        <f aca="false">IF(A481="","",YEAR(A481-WEEKDAY(A481,2)+4))</f>
        <v/>
      </c>
      <c r="C481" s="23" t="str">
        <f aca="false">IF(A481="","",WEEKNUM(A481,21))</f>
        <v/>
      </c>
      <c r="D481" s="24" t="str">
        <f aca="false">IF(A481="","",DATE(YEAR(A481),MONTH(A481),1))</f>
        <v/>
      </c>
      <c r="E481" s="10"/>
      <c r="F481" s="25"/>
      <c r="G481" s="25"/>
      <c r="H481" s="10"/>
      <c r="I481" s="10"/>
      <c r="J481" s="26"/>
      <c r="K481" s="25"/>
      <c r="L481" s="26"/>
      <c r="M481" s="27"/>
      <c r="N481" s="27"/>
      <c r="O481" s="28" t="str">
        <f aca="false">IF(OR(M481="",M481=0,N481=""),"",N481/M481)</f>
        <v/>
      </c>
      <c r="P481" s="28" t="str">
        <f aca="false">IF(M481="","",IFERROR(IF(INDEX(Parámetros!$B$14:$B$21,MATCH(I481,Parámetros!$A$14:$A$21,0))="",Parámetros!$B$5,INDEX(Parámetros!$B$14:$B$21,MATCH(I481,Parámetros!$A$14:$A$21,0))),Parámetros!$B$5))</f>
        <v/>
      </c>
      <c r="Q481" s="29" t="str">
        <f aca="false">IF(O481="","",(O481-P481)*100)</f>
        <v/>
      </c>
      <c r="R481" s="30" t="str">
        <f aca="false">IF(O481="","",MAX(0,M481*(P481-O481)))</f>
        <v/>
      </c>
      <c r="S481" s="31" t="str">
        <f aca="false">IF(OR(L481="",L481=0,N481=""),"",N481/1000/L481)</f>
        <v/>
      </c>
      <c r="T481" s="27"/>
      <c r="U481" s="27"/>
      <c r="V481" s="27"/>
      <c r="W481" s="27"/>
      <c r="X481" s="27"/>
      <c r="Y481" s="27"/>
      <c r="Z481" s="27"/>
      <c r="AA481" s="25"/>
      <c r="AB481" s="27"/>
      <c r="AC481" s="30" t="str">
        <f aca="false">IF(M481="","",IF(AB481="",M481*Parámetros!$B$6,AB481))</f>
        <v/>
      </c>
      <c r="AD481" s="30" t="str">
        <f aca="false">IF(M481="","",SUM(T481:Z481)+AC481)</f>
        <v/>
      </c>
      <c r="AE481" s="30" t="str">
        <f aca="false">IF(OR(M481="",N481=""),"",M481-N481)</f>
        <v/>
      </c>
      <c r="AF481" s="30" t="str">
        <f aca="false">IF(AE481="","",AE481-AD481)</f>
        <v/>
      </c>
      <c r="AG481" s="28" t="str">
        <f aca="false">IF(OR(AF481="",M481=0),"",AF481/M481)</f>
        <v/>
      </c>
      <c r="AH481" s="32" t="str">
        <f aca="false">IF(OR(AE481="",N481=0),"",AE481/(N481/1000))</f>
        <v/>
      </c>
      <c r="AI481" s="30" t="str">
        <f aca="false">IF(O481="","",M481*P481)</f>
        <v/>
      </c>
      <c r="AJ481" s="11" t="str">
        <f aca="false">IF(O481="","",IF(O481&gt;1,"Error: rend &gt; 100 %",IF(SUM(T481:Z481)=0,"Falta registrar pérdidas",IF(ABS(AG481)&gt;Parámetros!$B$7,"Revisar balance",IF(O481&lt;P481,"Bajo meta","OK")))))</f>
        <v/>
      </c>
      <c r="AK481" s="33"/>
      <c r="AL481" s="10"/>
      <c r="AM481" s="33"/>
      <c r="AN481" s="33"/>
      <c r="AO481" s="10"/>
    </row>
    <row r="482" customFormat="false" ht="15" hidden="false" customHeight="false" outlineLevel="0" collapsed="false">
      <c r="A482" s="22"/>
      <c r="B482" s="23" t="str">
        <f aca="false">IF(A482="","",YEAR(A482-WEEKDAY(A482,2)+4))</f>
        <v/>
      </c>
      <c r="C482" s="23" t="str">
        <f aca="false">IF(A482="","",WEEKNUM(A482,21))</f>
        <v/>
      </c>
      <c r="D482" s="24" t="str">
        <f aca="false">IF(A482="","",DATE(YEAR(A482),MONTH(A482),1))</f>
        <v/>
      </c>
      <c r="E482" s="10"/>
      <c r="F482" s="25"/>
      <c r="G482" s="25"/>
      <c r="H482" s="10"/>
      <c r="I482" s="10"/>
      <c r="J482" s="26"/>
      <c r="K482" s="25"/>
      <c r="L482" s="26"/>
      <c r="M482" s="27"/>
      <c r="N482" s="27"/>
      <c r="O482" s="28" t="str">
        <f aca="false">IF(OR(M482="",M482=0,N482=""),"",N482/M482)</f>
        <v/>
      </c>
      <c r="P482" s="28" t="str">
        <f aca="false">IF(M482="","",IFERROR(IF(INDEX(Parámetros!$B$14:$B$21,MATCH(I482,Parámetros!$A$14:$A$21,0))="",Parámetros!$B$5,INDEX(Parámetros!$B$14:$B$21,MATCH(I482,Parámetros!$A$14:$A$21,0))),Parámetros!$B$5))</f>
        <v/>
      </c>
      <c r="Q482" s="29" t="str">
        <f aca="false">IF(O482="","",(O482-P482)*100)</f>
        <v/>
      </c>
      <c r="R482" s="30" t="str">
        <f aca="false">IF(O482="","",MAX(0,M482*(P482-O482)))</f>
        <v/>
      </c>
      <c r="S482" s="31" t="str">
        <f aca="false">IF(OR(L482="",L482=0,N482=""),"",N482/1000/L482)</f>
        <v/>
      </c>
      <c r="T482" s="27"/>
      <c r="U482" s="27"/>
      <c r="V482" s="27"/>
      <c r="W482" s="27"/>
      <c r="X482" s="27"/>
      <c r="Y482" s="27"/>
      <c r="Z482" s="27"/>
      <c r="AA482" s="25"/>
      <c r="AB482" s="27"/>
      <c r="AC482" s="30" t="str">
        <f aca="false">IF(M482="","",IF(AB482="",M482*Parámetros!$B$6,AB482))</f>
        <v/>
      </c>
      <c r="AD482" s="30" t="str">
        <f aca="false">IF(M482="","",SUM(T482:Z482)+AC482)</f>
        <v/>
      </c>
      <c r="AE482" s="30" t="str">
        <f aca="false">IF(OR(M482="",N482=""),"",M482-N482)</f>
        <v/>
      </c>
      <c r="AF482" s="30" t="str">
        <f aca="false">IF(AE482="","",AE482-AD482)</f>
        <v/>
      </c>
      <c r="AG482" s="28" t="str">
        <f aca="false">IF(OR(AF482="",M482=0),"",AF482/M482)</f>
        <v/>
      </c>
      <c r="AH482" s="32" t="str">
        <f aca="false">IF(OR(AE482="",N482=0),"",AE482/(N482/1000))</f>
        <v/>
      </c>
      <c r="AI482" s="30" t="str">
        <f aca="false">IF(O482="","",M482*P482)</f>
        <v/>
      </c>
      <c r="AJ482" s="11" t="str">
        <f aca="false">IF(O482="","",IF(O482&gt;1,"Error: rend &gt; 100 %",IF(SUM(T482:Z482)=0,"Falta registrar pérdidas",IF(ABS(AG482)&gt;Parámetros!$B$7,"Revisar balance",IF(O482&lt;P482,"Bajo meta","OK")))))</f>
        <v/>
      </c>
      <c r="AK482" s="33"/>
      <c r="AL482" s="10"/>
      <c r="AM482" s="33"/>
      <c r="AN482" s="33"/>
      <c r="AO482" s="10"/>
    </row>
    <row r="483" customFormat="false" ht="15" hidden="false" customHeight="false" outlineLevel="0" collapsed="false">
      <c r="A483" s="22"/>
      <c r="B483" s="23" t="str">
        <f aca="false">IF(A483="","",YEAR(A483-WEEKDAY(A483,2)+4))</f>
        <v/>
      </c>
      <c r="C483" s="23" t="str">
        <f aca="false">IF(A483="","",WEEKNUM(A483,21))</f>
        <v/>
      </c>
      <c r="D483" s="24" t="str">
        <f aca="false">IF(A483="","",DATE(YEAR(A483),MONTH(A483),1))</f>
        <v/>
      </c>
      <c r="E483" s="10"/>
      <c r="F483" s="25"/>
      <c r="G483" s="25"/>
      <c r="H483" s="10"/>
      <c r="I483" s="10"/>
      <c r="J483" s="26"/>
      <c r="K483" s="25"/>
      <c r="L483" s="26"/>
      <c r="M483" s="27"/>
      <c r="N483" s="27"/>
      <c r="O483" s="28" t="str">
        <f aca="false">IF(OR(M483="",M483=0,N483=""),"",N483/M483)</f>
        <v/>
      </c>
      <c r="P483" s="28" t="str">
        <f aca="false">IF(M483="","",IFERROR(IF(INDEX(Parámetros!$B$14:$B$21,MATCH(I483,Parámetros!$A$14:$A$21,0))="",Parámetros!$B$5,INDEX(Parámetros!$B$14:$B$21,MATCH(I483,Parámetros!$A$14:$A$21,0))),Parámetros!$B$5))</f>
        <v/>
      </c>
      <c r="Q483" s="29" t="str">
        <f aca="false">IF(O483="","",(O483-P483)*100)</f>
        <v/>
      </c>
      <c r="R483" s="30" t="str">
        <f aca="false">IF(O483="","",MAX(0,M483*(P483-O483)))</f>
        <v/>
      </c>
      <c r="S483" s="31" t="str">
        <f aca="false">IF(OR(L483="",L483=0,N483=""),"",N483/1000/L483)</f>
        <v/>
      </c>
      <c r="T483" s="27"/>
      <c r="U483" s="27"/>
      <c r="V483" s="27"/>
      <c r="W483" s="27"/>
      <c r="X483" s="27"/>
      <c r="Y483" s="27"/>
      <c r="Z483" s="27"/>
      <c r="AA483" s="25"/>
      <c r="AB483" s="27"/>
      <c r="AC483" s="30" t="str">
        <f aca="false">IF(M483="","",IF(AB483="",M483*Parámetros!$B$6,AB483))</f>
        <v/>
      </c>
      <c r="AD483" s="30" t="str">
        <f aca="false">IF(M483="","",SUM(T483:Z483)+AC483)</f>
        <v/>
      </c>
      <c r="AE483" s="30" t="str">
        <f aca="false">IF(OR(M483="",N483=""),"",M483-N483)</f>
        <v/>
      </c>
      <c r="AF483" s="30" t="str">
        <f aca="false">IF(AE483="","",AE483-AD483)</f>
        <v/>
      </c>
      <c r="AG483" s="28" t="str">
        <f aca="false">IF(OR(AF483="",M483=0),"",AF483/M483)</f>
        <v/>
      </c>
      <c r="AH483" s="32" t="str">
        <f aca="false">IF(OR(AE483="",N483=0),"",AE483/(N483/1000))</f>
        <v/>
      </c>
      <c r="AI483" s="30" t="str">
        <f aca="false">IF(O483="","",M483*P483)</f>
        <v/>
      </c>
      <c r="AJ483" s="11" t="str">
        <f aca="false">IF(O483="","",IF(O483&gt;1,"Error: rend &gt; 100 %",IF(SUM(T483:Z483)=0,"Falta registrar pérdidas",IF(ABS(AG483)&gt;Parámetros!$B$7,"Revisar balance",IF(O483&lt;P483,"Bajo meta","OK")))))</f>
        <v/>
      </c>
      <c r="AK483" s="33"/>
      <c r="AL483" s="10"/>
      <c r="AM483" s="33"/>
      <c r="AN483" s="33"/>
      <c r="AO483" s="10"/>
    </row>
    <row r="484" customFormat="false" ht="15" hidden="false" customHeight="false" outlineLevel="0" collapsed="false">
      <c r="A484" s="22"/>
      <c r="B484" s="23" t="str">
        <f aca="false">IF(A484="","",YEAR(A484-WEEKDAY(A484,2)+4))</f>
        <v/>
      </c>
      <c r="C484" s="23" t="str">
        <f aca="false">IF(A484="","",WEEKNUM(A484,21))</f>
        <v/>
      </c>
      <c r="D484" s="24" t="str">
        <f aca="false">IF(A484="","",DATE(YEAR(A484),MONTH(A484),1))</f>
        <v/>
      </c>
      <c r="E484" s="10"/>
      <c r="F484" s="25"/>
      <c r="G484" s="25"/>
      <c r="H484" s="10"/>
      <c r="I484" s="10"/>
      <c r="J484" s="26"/>
      <c r="K484" s="25"/>
      <c r="L484" s="26"/>
      <c r="M484" s="27"/>
      <c r="N484" s="27"/>
      <c r="O484" s="28" t="str">
        <f aca="false">IF(OR(M484="",M484=0,N484=""),"",N484/M484)</f>
        <v/>
      </c>
      <c r="P484" s="28" t="str">
        <f aca="false">IF(M484="","",IFERROR(IF(INDEX(Parámetros!$B$14:$B$21,MATCH(I484,Parámetros!$A$14:$A$21,0))="",Parámetros!$B$5,INDEX(Parámetros!$B$14:$B$21,MATCH(I484,Parámetros!$A$14:$A$21,0))),Parámetros!$B$5))</f>
        <v/>
      </c>
      <c r="Q484" s="29" t="str">
        <f aca="false">IF(O484="","",(O484-P484)*100)</f>
        <v/>
      </c>
      <c r="R484" s="30" t="str">
        <f aca="false">IF(O484="","",MAX(0,M484*(P484-O484)))</f>
        <v/>
      </c>
      <c r="S484" s="31" t="str">
        <f aca="false">IF(OR(L484="",L484=0,N484=""),"",N484/1000/L484)</f>
        <v/>
      </c>
      <c r="T484" s="27"/>
      <c r="U484" s="27"/>
      <c r="V484" s="27"/>
      <c r="W484" s="27"/>
      <c r="X484" s="27"/>
      <c r="Y484" s="27"/>
      <c r="Z484" s="27"/>
      <c r="AA484" s="25"/>
      <c r="AB484" s="27"/>
      <c r="AC484" s="30" t="str">
        <f aca="false">IF(M484="","",IF(AB484="",M484*Parámetros!$B$6,AB484))</f>
        <v/>
      </c>
      <c r="AD484" s="30" t="str">
        <f aca="false">IF(M484="","",SUM(T484:Z484)+AC484)</f>
        <v/>
      </c>
      <c r="AE484" s="30" t="str">
        <f aca="false">IF(OR(M484="",N484=""),"",M484-N484)</f>
        <v/>
      </c>
      <c r="AF484" s="30" t="str">
        <f aca="false">IF(AE484="","",AE484-AD484)</f>
        <v/>
      </c>
      <c r="AG484" s="28" t="str">
        <f aca="false">IF(OR(AF484="",M484=0),"",AF484/M484)</f>
        <v/>
      </c>
      <c r="AH484" s="32" t="str">
        <f aca="false">IF(OR(AE484="",N484=0),"",AE484/(N484/1000))</f>
        <v/>
      </c>
      <c r="AI484" s="30" t="str">
        <f aca="false">IF(O484="","",M484*P484)</f>
        <v/>
      </c>
      <c r="AJ484" s="11" t="str">
        <f aca="false">IF(O484="","",IF(O484&gt;1,"Error: rend &gt; 100 %",IF(SUM(T484:Z484)=0,"Falta registrar pérdidas",IF(ABS(AG484)&gt;Parámetros!$B$7,"Revisar balance",IF(O484&lt;P484,"Bajo meta","OK")))))</f>
        <v/>
      </c>
      <c r="AK484" s="33"/>
      <c r="AL484" s="10"/>
      <c r="AM484" s="33"/>
      <c r="AN484" s="33"/>
      <c r="AO484" s="10"/>
    </row>
    <row r="485" customFormat="false" ht="15" hidden="false" customHeight="false" outlineLevel="0" collapsed="false">
      <c r="A485" s="22"/>
      <c r="B485" s="23" t="str">
        <f aca="false">IF(A485="","",YEAR(A485-WEEKDAY(A485,2)+4))</f>
        <v/>
      </c>
      <c r="C485" s="23" t="str">
        <f aca="false">IF(A485="","",WEEKNUM(A485,21))</f>
        <v/>
      </c>
      <c r="D485" s="24" t="str">
        <f aca="false">IF(A485="","",DATE(YEAR(A485),MONTH(A485),1))</f>
        <v/>
      </c>
      <c r="E485" s="10"/>
      <c r="F485" s="25"/>
      <c r="G485" s="25"/>
      <c r="H485" s="10"/>
      <c r="I485" s="10"/>
      <c r="J485" s="26"/>
      <c r="K485" s="25"/>
      <c r="L485" s="26"/>
      <c r="M485" s="27"/>
      <c r="N485" s="27"/>
      <c r="O485" s="28" t="str">
        <f aca="false">IF(OR(M485="",M485=0,N485=""),"",N485/M485)</f>
        <v/>
      </c>
      <c r="P485" s="28" t="str">
        <f aca="false">IF(M485="","",IFERROR(IF(INDEX(Parámetros!$B$14:$B$21,MATCH(I485,Parámetros!$A$14:$A$21,0))="",Parámetros!$B$5,INDEX(Parámetros!$B$14:$B$21,MATCH(I485,Parámetros!$A$14:$A$21,0))),Parámetros!$B$5))</f>
        <v/>
      </c>
      <c r="Q485" s="29" t="str">
        <f aca="false">IF(O485="","",(O485-P485)*100)</f>
        <v/>
      </c>
      <c r="R485" s="30" t="str">
        <f aca="false">IF(O485="","",MAX(0,M485*(P485-O485)))</f>
        <v/>
      </c>
      <c r="S485" s="31" t="str">
        <f aca="false">IF(OR(L485="",L485=0,N485=""),"",N485/1000/L485)</f>
        <v/>
      </c>
      <c r="T485" s="27"/>
      <c r="U485" s="27"/>
      <c r="V485" s="27"/>
      <c r="W485" s="27"/>
      <c r="X485" s="27"/>
      <c r="Y485" s="27"/>
      <c r="Z485" s="27"/>
      <c r="AA485" s="25"/>
      <c r="AB485" s="27"/>
      <c r="AC485" s="30" t="str">
        <f aca="false">IF(M485="","",IF(AB485="",M485*Parámetros!$B$6,AB485))</f>
        <v/>
      </c>
      <c r="AD485" s="30" t="str">
        <f aca="false">IF(M485="","",SUM(T485:Z485)+AC485)</f>
        <v/>
      </c>
      <c r="AE485" s="30" t="str">
        <f aca="false">IF(OR(M485="",N485=""),"",M485-N485)</f>
        <v/>
      </c>
      <c r="AF485" s="30" t="str">
        <f aca="false">IF(AE485="","",AE485-AD485)</f>
        <v/>
      </c>
      <c r="AG485" s="28" t="str">
        <f aca="false">IF(OR(AF485="",M485=0),"",AF485/M485)</f>
        <v/>
      </c>
      <c r="AH485" s="32" t="str">
        <f aca="false">IF(OR(AE485="",N485=0),"",AE485/(N485/1000))</f>
        <v/>
      </c>
      <c r="AI485" s="30" t="str">
        <f aca="false">IF(O485="","",M485*P485)</f>
        <v/>
      </c>
      <c r="AJ485" s="11" t="str">
        <f aca="false">IF(O485="","",IF(O485&gt;1,"Error: rend &gt; 100 %",IF(SUM(T485:Z485)=0,"Falta registrar pérdidas",IF(ABS(AG485)&gt;Parámetros!$B$7,"Revisar balance",IF(O485&lt;P485,"Bajo meta","OK")))))</f>
        <v/>
      </c>
      <c r="AK485" s="33"/>
      <c r="AL485" s="10"/>
      <c r="AM485" s="33"/>
      <c r="AN485" s="33"/>
      <c r="AO485" s="10"/>
    </row>
    <row r="486" customFormat="false" ht="15" hidden="false" customHeight="false" outlineLevel="0" collapsed="false">
      <c r="A486" s="22"/>
      <c r="B486" s="23" t="str">
        <f aca="false">IF(A486="","",YEAR(A486-WEEKDAY(A486,2)+4))</f>
        <v/>
      </c>
      <c r="C486" s="23" t="str">
        <f aca="false">IF(A486="","",WEEKNUM(A486,21))</f>
        <v/>
      </c>
      <c r="D486" s="24" t="str">
        <f aca="false">IF(A486="","",DATE(YEAR(A486),MONTH(A486),1))</f>
        <v/>
      </c>
      <c r="E486" s="10"/>
      <c r="F486" s="25"/>
      <c r="G486" s="25"/>
      <c r="H486" s="10"/>
      <c r="I486" s="10"/>
      <c r="J486" s="26"/>
      <c r="K486" s="25"/>
      <c r="L486" s="26"/>
      <c r="M486" s="27"/>
      <c r="N486" s="27"/>
      <c r="O486" s="28" t="str">
        <f aca="false">IF(OR(M486="",M486=0,N486=""),"",N486/M486)</f>
        <v/>
      </c>
      <c r="P486" s="28" t="str">
        <f aca="false">IF(M486="","",IFERROR(IF(INDEX(Parámetros!$B$14:$B$21,MATCH(I486,Parámetros!$A$14:$A$21,0))="",Parámetros!$B$5,INDEX(Parámetros!$B$14:$B$21,MATCH(I486,Parámetros!$A$14:$A$21,0))),Parámetros!$B$5))</f>
        <v/>
      </c>
      <c r="Q486" s="29" t="str">
        <f aca="false">IF(O486="","",(O486-P486)*100)</f>
        <v/>
      </c>
      <c r="R486" s="30" t="str">
        <f aca="false">IF(O486="","",MAX(0,M486*(P486-O486)))</f>
        <v/>
      </c>
      <c r="S486" s="31" t="str">
        <f aca="false">IF(OR(L486="",L486=0,N486=""),"",N486/1000/L486)</f>
        <v/>
      </c>
      <c r="T486" s="27"/>
      <c r="U486" s="27"/>
      <c r="V486" s="27"/>
      <c r="W486" s="27"/>
      <c r="X486" s="27"/>
      <c r="Y486" s="27"/>
      <c r="Z486" s="27"/>
      <c r="AA486" s="25"/>
      <c r="AB486" s="27"/>
      <c r="AC486" s="30" t="str">
        <f aca="false">IF(M486="","",IF(AB486="",M486*Parámetros!$B$6,AB486))</f>
        <v/>
      </c>
      <c r="AD486" s="30" t="str">
        <f aca="false">IF(M486="","",SUM(T486:Z486)+AC486)</f>
        <v/>
      </c>
      <c r="AE486" s="30" t="str">
        <f aca="false">IF(OR(M486="",N486=""),"",M486-N486)</f>
        <v/>
      </c>
      <c r="AF486" s="30" t="str">
        <f aca="false">IF(AE486="","",AE486-AD486)</f>
        <v/>
      </c>
      <c r="AG486" s="28" t="str">
        <f aca="false">IF(OR(AF486="",M486=0),"",AF486/M486)</f>
        <v/>
      </c>
      <c r="AH486" s="32" t="str">
        <f aca="false">IF(OR(AE486="",N486=0),"",AE486/(N486/1000))</f>
        <v/>
      </c>
      <c r="AI486" s="30" t="str">
        <f aca="false">IF(O486="","",M486*P486)</f>
        <v/>
      </c>
      <c r="AJ486" s="11" t="str">
        <f aca="false">IF(O486="","",IF(O486&gt;1,"Error: rend &gt; 100 %",IF(SUM(T486:Z486)=0,"Falta registrar pérdidas",IF(ABS(AG486)&gt;Parámetros!$B$7,"Revisar balance",IF(O486&lt;P486,"Bajo meta","OK")))))</f>
        <v/>
      </c>
      <c r="AK486" s="33"/>
      <c r="AL486" s="10"/>
      <c r="AM486" s="33"/>
      <c r="AN486" s="33"/>
      <c r="AO486" s="10"/>
    </row>
    <row r="487" customFormat="false" ht="15" hidden="false" customHeight="false" outlineLevel="0" collapsed="false">
      <c r="A487" s="22"/>
      <c r="B487" s="23" t="str">
        <f aca="false">IF(A487="","",YEAR(A487-WEEKDAY(A487,2)+4))</f>
        <v/>
      </c>
      <c r="C487" s="23" t="str">
        <f aca="false">IF(A487="","",WEEKNUM(A487,21))</f>
        <v/>
      </c>
      <c r="D487" s="24" t="str">
        <f aca="false">IF(A487="","",DATE(YEAR(A487),MONTH(A487),1))</f>
        <v/>
      </c>
      <c r="E487" s="10"/>
      <c r="F487" s="25"/>
      <c r="G487" s="25"/>
      <c r="H487" s="10"/>
      <c r="I487" s="10"/>
      <c r="J487" s="26"/>
      <c r="K487" s="25"/>
      <c r="L487" s="26"/>
      <c r="M487" s="27"/>
      <c r="N487" s="27"/>
      <c r="O487" s="28" t="str">
        <f aca="false">IF(OR(M487="",M487=0,N487=""),"",N487/M487)</f>
        <v/>
      </c>
      <c r="P487" s="28" t="str">
        <f aca="false">IF(M487="","",IFERROR(IF(INDEX(Parámetros!$B$14:$B$21,MATCH(I487,Parámetros!$A$14:$A$21,0))="",Parámetros!$B$5,INDEX(Parámetros!$B$14:$B$21,MATCH(I487,Parámetros!$A$14:$A$21,0))),Parámetros!$B$5))</f>
        <v/>
      </c>
      <c r="Q487" s="29" t="str">
        <f aca="false">IF(O487="","",(O487-P487)*100)</f>
        <v/>
      </c>
      <c r="R487" s="30" t="str">
        <f aca="false">IF(O487="","",MAX(0,M487*(P487-O487)))</f>
        <v/>
      </c>
      <c r="S487" s="31" t="str">
        <f aca="false">IF(OR(L487="",L487=0,N487=""),"",N487/1000/L487)</f>
        <v/>
      </c>
      <c r="T487" s="27"/>
      <c r="U487" s="27"/>
      <c r="V487" s="27"/>
      <c r="W487" s="27"/>
      <c r="X487" s="27"/>
      <c r="Y487" s="27"/>
      <c r="Z487" s="27"/>
      <c r="AA487" s="25"/>
      <c r="AB487" s="27"/>
      <c r="AC487" s="30" t="str">
        <f aca="false">IF(M487="","",IF(AB487="",M487*Parámetros!$B$6,AB487))</f>
        <v/>
      </c>
      <c r="AD487" s="30" t="str">
        <f aca="false">IF(M487="","",SUM(T487:Z487)+AC487)</f>
        <v/>
      </c>
      <c r="AE487" s="30" t="str">
        <f aca="false">IF(OR(M487="",N487=""),"",M487-N487)</f>
        <v/>
      </c>
      <c r="AF487" s="30" t="str">
        <f aca="false">IF(AE487="","",AE487-AD487)</f>
        <v/>
      </c>
      <c r="AG487" s="28" t="str">
        <f aca="false">IF(OR(AF487="",M487=0),"",AF487/M487)</f>
        <v/>
      </c>
      <c r="AH487" s="32" t="str">
        <f aca="false">IF(OR(AE487="",N487=0),"",AE487/(N487/1000))</f>
        <v/>
      </c>
      <c r="AI487" s="30" t="str">
        <f aca="false">IF(O487="","",M487*P487)</f>
        <v/>
      </c>
      <c r="AJ487" s="11" t="str">
        <f aca="false">IF(O487="","",IF(O487&gt;1,"Error: rend &gt; 100 %",IF(SUM(T487:Z487)=0,"Falta registrar pérdidas",IF(ABS(AG487)&gt;Parámetros!$B$7,"Revisar balance",IF(O487&lt;P487,"Bajo meta","OK")))))</f>
        <v/>
      </c>
      <c r="AK487" s="33"/>
      <c r="AL487" s="10"/>
      <c r="AM487" s="33"/>
      <c r="AN487" s="33"/>
      <c r="AO487" s="10"/>
    </row>
    <row r="488" customFormat="false" ht="15" hidden="false" customHeight="false" outlineLevel="0" collapsed="false">
      <c r="A488" s="22"/>
      <c r="B488" s="23" t="str">
        <f aca="false">IF(A488="","",YEAR(A488-WEEKDAY(A488,2)+4))</f>
        <v/>
      </c>
      <c r="C488" s="23" t="str">
        <f aca="false">IF(A488="","",WEEKNUM(A488,21))</f>
        <v/>
      </c>
      <c r="D488" s="24" t="str">
        <f aca="false">IF(A488="","",DATE(YEAR(A488),MONTH(A488),1))</f>
        <v/>
      </c>
      <c r="E488" s="10"/>
      <c r="F488" s="25"/>
      <c r="G488" s="25"/>
      <c r="H488" s="10"/>
      <c r="I488" s="10"/>
      <c r="J488" s="26"/>
      <c r="K488" s="25"/>
      <c r="L488" s="26"/>
      <c r="M488" s="27"/>
      <c r="N488" s="27"/>
      <c r="O488" s="28" t="str">
        <f aca="false">IF(OR(M488="",M488=0,N488=""),"",N488/M488)</f>
        <v/>
      </c>
      <c r="P488" s="28" t="str">
        <f aca="false">IF(M488="","",IFERROR(IF(INDEX(Parámetros!$B$14:$B$21,MATCH(I488,Parámetros!$A$14:$A$21,0))="",Parámetros!$B$5,INDEX(Parámetros!$B$14:$B$21,MATCH(I488,Parámetros!$A$14:$A$21,0))),Parámetros!$B$5))</f>
        <v/>
      </c>
      <c r="Q488" s="29" t="str">
        <f aca="false">IF(O488="","",(O488-P488)*100)</f>
        <v/>
      </c>
      <c r="R488" s="30" t="str">
        <f aca="false">IF(O488="","",MAX(0,M488*(P488-O488)))</f>
        <v/>
      </c>
      <c r="S488" s="31" t="str">
        <f aca="false">IF(OR(L488="",L488=0,N488=""),"",N488/1000/L488)</f>
        <v/>
      </c>
      <c r="T488" s="27"/>
      <c r="U488" s="27"/>
      <c r="V488" s="27"/>
      <c r="W488" s="27"/>
      <c r="X488" s="27"/>
      <c r="Y488" s="27"/>
      <c r="Z488" s="27"/>
      <c r="AA488" s="25"/>
      <c r="AB488" s="27"/>
      <c r="AC488" s="30" t="str">
        <f aca="false">IF(M488="","",IF(AB488="",M488*Parámetros!$B$6,AB488))</f>
        <v/>
      </c>
      <c r="AD488" s="30" t="str">
        <f aca="false">IF(M488="","",SUM(T488:Z488)+AC488)</f>
        <v/>
      </c>
      <c r="AE488" s="30" t="str">
        <f aca="false">IF(OR(M488="",N488=""),"",M488-N488)</f>
        <v/>
      </c>
      <c r="AF488" s="30" t="str">
        <f aca="false">IF(AE488="","",AE488-AD488)</f>
        <v/>
      </c>
      <c r="AG488" s="28" t="str">
        <f aca="false">IF(OR(AF488="",M488=0),"",AF488/M488)</f>
        <v/>
      </c>
      <c r="AH488" s="32" t="str">
        <f aca="false">IF(OR(AE488="",N488=0),"",AE488/(N488/1000))</f>
        <v/>
      </c>
      <c r="AI488" s="30" t="str">
        <f aca="false">IF(O488="","",M488*P488)</f>
        <v/>
      </c>
      <c r="AJ488" s="11" t="str">
        <f aca="false">IF(O488="","",IF(O488&gt;1,"Error: rend &gt; 100 %",IF(SUM(T488:Z488)=0,"Falta registrar pérdidas",IF(ABS(AG488)&gt;Parámetros!$B$7,"Revisar balance",IF(O488&lt;P488,"Bajo meta","OK")))))</f>
        <v/>
      </c>
      <c r="AK488" s="33"/>
      <c r="AL488" s="10"/>
      <c r="AM488" s="33"/>
      <c r="AN488" s="33"/>
      <c r="AO488" s="10"/>
    </row>
    <row r="489" customFormat="false" ht="15" hidden="false" customHeight="false" outlineLevel="0" collapsed="false">
      <c r="A489" s="22"/>
      <c r="B489" s="23" t="str">
        <f aca="false">IF(A489="","",YEAR(A489-WEEKDAY(A489,2)+4))</f>
        <v/>
      </c>
      <c r="C489" s="23" t="str">
        <f aca="false">IF(A489="","",WEEKNUM(A489,21))</f>
        <v/>
      </c>
      <c r="D489" s="24" t="str">
        <f aca="false">IF(A489="","",DATE(YEAR(A489),MONTH(A489),1))</f>
        <v/>
      </c>
      <c r="E489" s="10"/>
      <c r="F489" s="25"/>
      <c r="G489" s="25"/>
      <c r="H489" s="10"/>
      <c r="I489" s="10"/>
      <c r="J489" s="26"/>
      <c r="K489" s="25"/>
      <c r="L489" s="26"/>
      <c r="M489" s="27"/>
      <c r="N489" s="27"/>
      <c r="O489" s="28" t="str">
        <f aca="false">IF(OR(M489="",M489=0,N489=""),"",N489/M489)</f>
        <v/>
      </c>
      <c r="P489" s="28" t="str">
        <f aca="false">IF(M489="","",IFERROR(IF(INDEX(Parámetros!$B$14:$B$21,MATCH(I489,Parámetros!$A$14:$A$21,0))="",Parámetros!$B$5,INDEX(Parámetros!$B$14:$B$21,MATCH(I489,Parámetros!$A$14:$A$21,0))),Parámetros!$B$5))</f>
        <v/>
      </c>
      <c r="Q489" s="29" t="str">
        <f aca="false">IF(O489="","",(O489-P489)*100)</f>
        <v/>
      </c>
      <c r="R489" s="30" t="str">
        <f aca="false">IF(O489="","",MAX(0,M489*(P489-O489)))</f>
        <v/>
      </c>
      <c r="S489" s="31" t="str">
        <f aca="false">IF(OR(L489="",L489=0,N489=""),"",N489/1000/L489)</f>
        <v/>
      </c>
      <c r="T489" s="27"/>
      <c r="U489" s="27"/>
      <c r="V489" s="27"/>
      <c r="W489" s="27"/>
      <c r="X489" s="27"/>
      <c r="Y489" s="27"/>
      <c r="Z489" s="27"/>
      <c r="AA489" s="25"/>
      <c r="AB489" s="27"/>
      <c r="AC489" s="30" t="str">
        <f aca="false">IF(M489="","",IF(AB489="",M489*Parámetros!$B$6,AB489))</f>
        <v/>
      </c>
      <c r="AD489" s="30" t="str">
        <f aca="false">IF(M489="","",SUM(T489:Z489)+AC489)</f>
        <v/>
      </c>
      <c r="AE489" s="30" t="str">
        <f aca="false">IF(OR(M489="",N489=""),"",M489-N489)</f>
        <v/>
      </c>
      <c r="AF489" s="30" t="str">
        <f aca="false">IF(AE489="","",AE489-AD489)</f>
        <v/>
      </c>
      <c r="AG489" s="28" t="str">
        <f aca="false">IF(OR(AF489="",M489=0),"",AF489/M489)</f>
        <v/>
      </c>
      <c r="AH489" s="32" t="str">
        <f aca="false">IF(OR(AE489="",N489=0),"",AE489/(N489/1000))</f>
        <v/>
      </c>
      <c r="AI489" s="30" t="str">
        <f aca="false">IF(O489="","",M489*P489)</f>
        <v/>
      </c>
      <c r="AJ489" s="11" t="str">
        <f aca="false">IF(O489="","",IF(O489&gt;1,"Error: rend &gt; 100 %",IF(SUM(T489:Z489)=0,"Falta registrar pérdidas",IF(ABS(AG489)&gt;Parámetros!$B$7,"Revisar balance",IF(O489&lt;P489,"Bajo meta","OK")))))</f>
        <v/>
      </c>
      <c r="AK489" s="33"/>
      <c r="AL489" s="10"/>
      <c r="AM489" s="33"/>
      <c r="AN489" s="33"/>
      <c r="AO489" s="10"/>
    </row>
    <row r="490" customFormat="false" ht="15" hidden="false" customHeight="false" outlineLevel="0" collapsed="false">
      <c r="A490" s="22"/>
      <c r="B490" s="23" t="str">
        <f aca="false">IF(A490="","",YEAR(A490-WEEKDAY(A490,2)+4))</f>
        <v/>
      </c>
      <c r="C490" s="23" t="str">
        <f aca="false">IF(A490="","",WEEKNUM(A490,21))</f>
        <v/>
      </c>
      <c r="D490" s="24" t="str">
        <f aca="false">IF(A490="","",DATE(YEAR(A490),MONTH(A490),1))</f>
        <v/>
      </c>
      <c r="E490" s="10"/>
      <c r="F490" s="25"/>
      <c r="G490" s="25"/>
      <c r="H490" s="10"/>
      <c r="I490" s="10"/>
      <c r="J490" s="26"/>
      <c r="K490" s="25"/>
      <c r="L490" s="26"/>
      <c r="M490" s="27"/>
      <c r="N490" s="27"/>
      <c r="O490" s="28" t="str">
        <f aca="false">IF(OR(M490="",M490=0,N490=""),"",N490/M490)</f>
        <v/>
      </c>
      <c r="P490" s="28" t="str">
        <f aca="false">IF(M490="","",IFERROR(IF(INDEX(Parámetros!$B$14:$B$21,MATCH(I490,Parámetros!$A$14:$A$21,0))="",Parámetros!$B$5,INDEX(Parámetros!$B$14:$B$21,MATCH(I490,Parámetros!$A$14:$A$21,0))),Parámetros!$B$5))</f>
        <v/>
      </c>
      <c r="Q490" s="29" t="str">
        <f aca="false">IF(O490="","",(O490-P490)*100)</f>
        <v/>
      </c>
      <c r="R490" s="30" t="str">
        <f aca="false">IF(O490="","",MAX(0,M490*(P490-O490)))</f>
        <v/>
      </c>
      <c r="S490" s="31" t="str">
        <f aca="false">IF(OR(L490="",L490=0,N490=""),"",N490/1000/L490)</f>
        <v/>
      </c>
      <c r="T490" s="27"/>
      <c r="U490" s="27"/>
      <c r="V490" s="27"/>
      <c r="W490" s="27"/>
      <c r="X490" s="27"/>
      <c r="Y490" s="27"/>
      <c r="Z490" s="27"/>
      <c r="AA490" s="25"/>
      <c r="AB490" s="27"/>
      <c r="AC490" s="30" t="str">
        <f aca="false">IF(M490="","",IF(AB490="",M490*Parámetros!$B$6,AB490))</f>
        <v/>
      </c>
      <c r="AD490" s="30" t="str">
        <f aca="false">IF(M490="","",SUM(T490:Z490)+AC490)</f>
        <v/>
      </c>
      <c r="AE490" s="30" t="str">
        <f aca="false">IF(OR(M490="",N490=""),"",M490-N490)</f>
        <v/>
      </c>
      <c r="AF490" s="30" t="str">
        <f aca="false">IF(AE490="","",AE490-AD490)</f>
        <v/>
      </c>
      <c r="AG490" s="28" t="str">
        <f aca="false">IF(OR(AF490="",M490=0),"",AF490/M490)</f>
        <v/>
      </c>
      <c r="AH490" s="32" t="str">
        <f aca="false">IF(OR(AE490="",N490=0),"",AE490/(N490/1000))</f>
        <v/>
      </c>
      <c r="AI490" s="30" t="str">
        <f aca="false">IF(O490="","",M490*P490)</f>
        <v/>
      </c>
      <c r="AJ490" s="11" t="str">
        <f aca="false">IF(O490="","",IF(O490&gt;1,"Error: rend &gt; 100 %",IF(SUM(T490:Z490)=0,"Falta registrar pérdidas",IF(ABS(AG490)&gt;Parámetros!$B$7,"Revisar balance",IF(O490&lt;P490,"Bajo meta","OK")))))</f>
        <v/>
      </c>
      <c r="AK490" s="33"/>
      <c r="AL490" s="10"/>
      <c r="AM490" s="33"/>
      <c r="AN490" s="33"/>
      <c r="AO490" s="10"/>
    </row>
    <row r="491" customFormat="false" ht="15" hidden="false" customHeight="false" outlineLevel="0" collapsed="false">
      <c r="A491" s="22"/>
      <c r="B491" s="23" t="str">
        <f aca="false">IF(A491="","",YEAR(A491-WEEKDAY(A491,2)+4))</f>
        <v/>
      </c>
      <c r="C491" s="23" t="str">
        <f aca="false">IF(A491="","",WEEKNUM(A491,21))</f>
        <v/>
      </c>
      <c r="D491" s="24" t="str">
        <f aca="false">IF(A491="","",DATE(YEAR(A491),MONTH(A491),1))</f>
        <v/>
      </c>
      <c r="E491" s="10"/>
      <c r="F491" s="25"/>
      <c r="G491" s="25"/>
      <c r="H491" s="10"/>
      <c r="I491" s="10"/>
      <c r="J491" s="26"/>
      <c r="K491" s="25"/>
      <c r="L491" s="26"/>
      <c r="M491" s="27"/>
      <c r="N491" s="27"/>
      <c r="O491" s="28" t="str">
        <f aca="false">IF(OR(M491="",M491=0,N491=""),"",N491/M491)</f>
        <v/>
      </c>
      <c r="P491" s="28" t="str">
        <f aca="false">IF(M491="","",IFERROR(IF(INDEX(Parámetros!$B$14:$B$21,MATCH(I491,Parámetros!$A$14:$A$21,0))="",Parámetros!$B$5,INDEX(Parámetros!$B$14:$B$21,MATCH(I491,Parámetros!$A$14:$A$21,0))),Parámetros!$B$5))</f>
        <v/>
      </c>
      <c r="Q491" s="29" t="str">
        <f aca="false">IF(O491="","",(O491-P491)*100)</f>
        <v/>
      </c>
      <c r="R491" s="30" t="str">
        <f aca="false">IF(O491="","",MAX(0,M491*(P491-O491)))</f>
        <v/>
      </c>
      <c r="S491" s="31" t="str">
        <f aca="false">IF(OR(L491="",L491=0,N491=""),"",N491/1000/L491)</f>
        <v/>
      </c>
      <c r="T491" s="27"/>
      <c r="U491" s="27"/>
      <c r="V491" s="27"/>
      <c r="W491" s="27"/>
      <c r="X491" s="27"/>
      <c r="Y491" s="27"/>
      <c r="Z491" s="27"/>
      <c r="AA491" s="25"/>
      <c r="AB491" s="27"/>
      <c r="AC491" s="30" t="str">
        <f aca="false">IF(M491="","",IF(AB491="",M491*Parámetros!$B$6,AB491))</f>
        <v/>
      </c>
      <c r="AD491" s="30" t="str">
        <f aca="false">IF(M491="","",SUM(T491:Z491)+AC491)</f>
        <v/>
      </c>
      <c r="AE491" s="30" t="str">
        <f aca="false">IF(OR(M491="",N491=""),"",M491-N491)</f>
        <v/>
      </c>
      <c r="AF491" s="30" t="str">
        <f aca="false">IF(AE491="","",AE491-AD491)</f>
        <v/>
      </c>
      <c r="AG491" s="28" t="str">
        <f aca="false">IF(OR(AF491="",M491=0),"",AF491/M491)</f>
        <v/>
      </c>
      <c r="AH491" s="32" t="str">
        <f aca="false">IF(OR(AE491="",N491=0),"",AE491/(N491/1000))</f>
        <v/>
      </c>
      <c r="AI491" s="30" t="str">
        <f aca="false">IF(O491="","",M491*P491)</f>
        <v/>
      </c>
      <c r="AJ491" s="11" t="str">
        <f aca="false">IF(O491="","",IF(O491&gt;1,"Error: rend &gt; 100 %",IF(SUM(T491:Z491)=0,"Falta registrar pérdidas",IF(ABS(AG491)&gt;Parámetros!$B$7,"Revisar balance",IF(O491&lt;P491,"Bajo meta","OK")))))</f>
        <v/>
      </c>
      <c r="AK491" s="33"/>
      <c r="AL491" s="10"/>
      <c r="AM491" s="33"/>
      <c r="AN491" s="33"/>
      <c r="AO491" s="10"/>
    </row>
    <row r="492" customFormat="false" ht="15" hidden="false" customHeight="false" outlineLevel="0" collapsed="false">
      <c r="A492" s="22"/>
      <c r="B492" s="23" t="str">
        <f aca="false">IF(A492="","",YEAR(A492-WEEKDAY(A492,2)+4))</f>
        <v/>
      </c>
      <c r="C492" s="23" t="str">
        <f aca="false">IF(A492="","",WEEKNUM(A492,21))</f>
        <v/>
      </c>
      <c r="D492" s="24" t="str">
        <f aca="false">IF(A492="","",DATE(YEAR(A492),MONTH(A492),1))</f>
        <v/>
      </c>
      <c r="E492" s="10"/>
      <c r="F492" s="25"/>
      <c r="G492" s="25"/>
      <c r="H492" s="10"/>
      <c r="I492" s="10"/>
      <c r="J492" s="26"/>
      <c r="K492" s="25"/>
      <c r="L492" s="26"/>
      <c r="M492" s="27"/>
      <c r="N492" s="27"/>
      <c r="O492" s="28" t="str">
        <f aca="false">IF(OR(M492="",M492=0,N492=""),"",N492/M492)</f>
        <v/>
      </c>
      <c r="P492" s="28" t="str">
        <f aca="false">IF(M492="","",IFERROR(IF(INDEX(Parámetros!$B$14:$B$21,MATCH(I492,Parámetros!$A$14:$A$21,0))="",Parámetros!$B$5,INDEX(Parámetros!$B$14:$B$21,MATCH(I492,Parámetros!$A$14:$A$21,0))),Parámetros!$B$5))</f>
        <v/>
      </c>
      <c r="Q492" s="29" t="str">
        <f aca="false">IF(O492="","",(O492-P492)*100)</f>
        <v/>
      </c>
      <c r="R492" s="30" t="str">
        <f aca="false">IF(O492="","",MAX(0,M492*(P492-O492)))</f>
        <v/>
      </c>
      <c r="S492" s="31" t="str">
        <f aca="false">IF(OR(L492="",L492=0,N492=""),"",N492/1000/L492)</f>
        <v/>
      </c>
      <c r="T492" s="27"/>
      <c r="U492" s="27"/>
      <c r="V492" s="27"/>
      <c r="W492" s="27"/>
      <c r="X492" s="27"/>
      <c r="Y492" s="27"/>
      <c r="Z492" s="27"/>
      <c r="AA492" s="25"/>
      <c r="AB492" s="27"/>
      <c r="AC492" s="30" t="str">
        <f aca="false">IF(M492="","",IF(AB492="",M492*Parámetros!$B$6,AB492))</f>
        <v/>
      </c>
      <c r="AD492" s="30" t="str">
        <f aca="false">IF(M492="","",SUM(T492:Z492)+AC492)</f>
        <v/>
      </c>
      <c r="AE492" s="30" t="str">
        <f aca="false">IF(OR(M492="",N492=""),"",M492-N492)</f>
        <v/>
      </c>
      <c r="AF492" s="30" t="str">
        <f aca="false">IF(AE492="","",AE492-AD492)</f>
        <v/>
      </c>
      <c r="AG492" s="28" t="str">
        <f aca="false">IF(OR(AF492="",M492=0),"",AF492/M492)</f>
        <v/>
      </c>
      <c r="AH492" s="32" t="str">
        <f aca="false">IF(OR(AE492="",N492=0),"",AE492/(N492/1000))</f>
        <v/>
      </c>
      <c r="AI492" s="30" t="str">
        <f aca="false">IF(O492="","",M492*P492)</f>
        <v/>
      </c>
      <c r="AJ492" s="11" t="str">
        <f aca="false">IF(O492="","",IF(O492&gt;1,"Error: rend &gt; 100 %",IF(SUM(T492:Z492)=0,"Falta registrar pérdidas",IF(ABS(AG492)&gt;Parámetros!$B$7,"Revisar balance",IF(O492&lt;P492,"Bajo meta","OK")))))</f>
        <v/>
      </c>
      <c r="AK492" s="33"/>
      <c r="AL492" s="10"/>
      <c r="AM492" s="33"/>
      <c r="AN492" s="33"/>
      <c r="AO492" s="10"/>
    </row>
    <row r="493" customFormat="false" ht="15" hidden="false" customHeight="false" outlineLevel="0" collapsed="false">
      <c r="A493" s="22"/>
      <c r="B493" s="23" t="str">
        <f aca="false">IF(A493="","",YEAR(A493-WEEKDAY(A493,2)+4))</f>
        <v/>
      </c>
      <c r="C493" s="23" t="str">
        <f aca="false">IF(A493="","",WEEKNUM(A493,21))</f>
        <v/>
      </c>
      <c r="D493" s="24" t="str">
        <f aca="false">IF(A493="","",DATE(YEAR(A493),MONTH(A493),1))</f>
        <v/>
      </c>
      <c r="E493" s="10"/>
      <c r="F493" s="25"/>
      <c r="G493" s="25"/>
      <c r="H493" s="10"/>
      <c r="I493" s="10"/>
      <c r="J493" s="26"/>
      <c r="K493" s="25"/>
      <c r="L493" s="26"/>
      <c r="M493" s="27"/>
      <c r="N493" s="27"/>
      <c r="O493" s="28" t="str">
        <f aca="false">IF(OR(M493="",M493=0,N493=""),"",N493/M493)</f>
        <v/>
      </c>
      <c r="P493" s="28" t="str">
        <f aca="false">IF(M493="","",IFERROR(IF(INDEX(Parámetros!$B$14:$B$21,MATCH(I493,Parámetros!$A$14:$A$21,0))="",Parámetros!$B$5,INDEX(Parámetros!$B$14:$B$21,MATCH(I493,Parámetros!$A$14:$A$21,0))),Parámetros!$B$5))</f>
        <v/>
      </c>
      <c r="Q493" s="29" t="str">
        <f aca="false">IF(O493="","",(O493-P493)*100)</f>
        <v/>
      </c>
      <c r="R493" s="30" t="str">
        <f aca="false">IF(O493="","",MAX(0,M493*(P493-O493)))</f>
        <v/>
      </c>
      <c r="S493" s="31" t="str">
        <f aca="false">IF(OR(L493="",L493=0,N493=""),"",N493/1000/L493)</f>
        <v/>
      </c>
      <c r="T493" s="27"/>
      <c r="U493" s="27"/>
      <c r="V493" s="27"/>
      <c r="W493" s="27"/>
      <c r="X493" s="27"/>
      <c r="Y493" s="27"/>
      <c r="Z493" s="27"/>
      <c r="AA493" s="25"/>
      <c r="AB493" s="27"/>
      <c r="AC493" s="30" t="str">
        <f aca="false">IF(M493="","",IF(AB493="",M493*Parámetros!$B$6,AB493))</f>
        <v/>
      </c>
      <c r="AD493" s="30" t="str">
        <f aca="false">IF(M493="","",SUM(T493:Z493)+AC493)</f>
        <v/>
      </c>
      <c r="AE493" s="30" t="str">
        <f aca="false">IF(OR(M493="",N493=""),"",M493-N493)</f>
        <v/>
      </c>
      <c r="AF493" s="30" t="str">
        <f aca="false">IF(AE493="","",AE493-AD493)</f>
        <v/>
      </c>
      <c r="AG493" s="28" t="str">
        <f aca="false">IF(OR(AF493="",M493=0),"",AF493/M493)</f>
        <v/>
      </c>
      <c r="AH493" s="32" t="str">
        <f aca="false">IF(OR(AE493="",N493=0),"",AE493/(N493/1000))</f>
        <v/>
      </c>
      <c r="AI493" s="30" t="str">
        <f aca="false">IF(O493="","",M493*P493)</f>
        <v/>
      </c>
      <c r="AJ493" s="11" t="str">
        <f aca="false">IF(O493="","",IF(O493&gt;1,"Error: rend &gt; 100 %",IF(SUM(T493:Z493)=0,"Falta registrar pérdidas",IF(ABS(AG493)&gt;Parámetros!$B$7,"Revisar balance",IF(O493&lt;P493,"Bajo meta","OK")))))</f>
        <v/>
      </c>
      <c r="AK493" s="33"/>
      <c r="AL493" s="10"/>
      <c r="AM493" s="33"/>
      <c r="AN493" s="33"/>
      <c r="AO493" s="10"/>
    </row>
    <row r="494" customFormat="false" ht="15" hidden="false" customHeight="false" outlineLevel="0" collapsed="false">
      <c r="A494" s="22"/>
      <c r="B494" s="23" t="str">
        <f aca="false">IF(A494="","",YEAR(A494-WEEKDAY(A494,2)+4))</f>
        <v/>
      </c>
      <c r="C494" s="23" t="str">
        <f aca="false">IF(A494="","",WEEKNUM(A494,21))</f>
        <v/>
      </c>
      <c r="D494" s="24" t="str">
        <f aca="false">IF(A494="","",DATE(YEAR(A494),MONTH(A494),1))</f>
        <v/>
      </c>
      <c r="E494" s="10"/>
      <c r="F494" s="25"/>
      <c r="G494" s="25"/>
      <c r="H494" s="10"/>
      <c r="I494" s="10"/>
      <c r="J494" s="26"/>
      <c r="K494" s="25"/>
      <c r="L494" s="26"/>
      <c r="M494" s="27"/>
      <c r="N494" s="27"/>
      <c r="O494" s="28" t="str">
        <f aca="false">IF(OR(M494="",M494=0,N494=""),"",N494/M494)</f>
        <v/>
      </c>
      <c r="P494" s="28" t="str">
        <f aca="false">IF(M494="","",IFERROR(IF(INDEX(Parámetros!$B$14:$B$21,MATCH(I494,Parámetros!$A$14:$A$21,0))="",Parámetros!$B$5,INDEX(Parámetros!$B$14:$B$21,MATCH(I494,Parámetros!$A$14:$A$21,0))),Parámetros!$B$5))</f>
        <v/>
      </c>
      <c r="Q494" s="29" t="str">
        <f aca="false">IF(O494="","",(O494-P494)*100)</f>
        <v/>
      </c>
      <c r="R494" s="30" t="str">
        <f aca="false">IF(O494="","",MAX(0,M494*(P494-O494)))</f>
        <v/>
      </c>
      <c r="S494" s="31" t="str">
        <f aca="false">IF(OR(L494="",L494=0,N494=""),"",N494/1000/L494)</f>
        <v/>
      </c>
      <c r="T494" s="27"/>
      <c r="U494" s="27"/>
      <c r="V494" s="27"/>
      <c r="W494" s="27"/>
      <c r="X494" s="27"/>
      <c r="Y494" s="27"/>
      <c r="Z494" s="27"/>
      <c r="AA494" s="25"/>
      <c r="AB494" s="27"/>
      <c r="AC494" s="30" t="str">
        <f aca="false">IF(M494="","",IF(AB494="",M494*Parámetros!$B$6,AB494))</f>
        <v/>
      </c>
      <c r="AD494" s="30" t="str">
        <f aca="false">IF(M494="","",SUM(T494:Z494)+AC494)</f>
        <v/>
      </c>
      <c r="AE494" s="30" t="str">
        <f aca="false">IF(OR(M494="",N494=""),"",M494-N494)</f>
        <v/>
      </c>
      <c r="AF494" s="30" t="str">
        <f aca="false">IF(AE494="","",AE494-AD494)</f>
        <v/>
      </c>
      <c r="AG494" s="28" t="str">
        <f aca="false">IF(OR(AF494="",M494=0),"",AF494/M494)</f>
        <v/>
      </c>
      <c r="AH494" s="32" t="str">
        <f aca="false">IF(OR(AE494="",N494=0),"",AE494/(N494/1000))</f>
        <v/>
      </c>
      <c r="AI494" s="30" t="str">
        <f aca="false">IF(O494="","",M494*P494)</f>
        <v/>
      </c>
      <c r="AJ494" s="11" t="str">
        <f aca="false">IF(O494="","",IF(O494&gt;1,"Error: rend &gt; 100 %",IF(SUM(T494:Z494)=0,"Falta registrar pérdidas",IF(ABS(AG494)&gt;Parámetros!$B$7,"Revisar balance",IF(O494&lt;P494,"Bajo meta","OK")))))</f>
        <v/>
      </c>
      <c r="AK494" s="33"/>
      <c r="AL494" s="10"/>
      <c r="AM494" s="33"/>
      <c r="AN494" s="33"/>
      <c r="AO494" s="10"/>
    </row>
    <row r="495" customFormat="false" ht="15" hidden="false" customHeight="false" outlineLevel="0" collapsed="false">
      <c r="A495" s="22"/>
      <c r="B495" s="23" t="str">
        <f aca="false">IF(A495="","",YEAR(A495-WEEKDAY(A495,2)+4))</f>
        <v/>
      </c>
      <c r="C495" s="23" t="str">
        <f aca="false">IF(A495="","",WEEKNUM(A495,21))</f>
        <v/>
      </c>
      <c r="D495" s="24" t="str">
        <f aca="false">IF(A495="","",DATE(YEAR(A495),MONTH(A495),1))</f>
        <v/>
      </c>
      <c r="E495" s="10"/>
      <c r="F495" s="25"/>
      <c r="G495" s="25"/>
      <c r="H495" s="10"/>
      <c r="I495" s="10"/>
      <c r="J495" s="26"/>
      <c r="K495" s="25"/>
      <c r="L495" s="26"/>
      <c r="M495" s="27"/>
      <c r="N495" s="27"/>
      <c r="O495" s="28" t="str">
        <f aca="false">IF(OR(M495="",M495=0,N495=""),"",N495/M495)</f>
        <v/>
      </c>
      <c r="P495" s="28" t="str">
        <f aca="false">IF(M495="","",IFERROR(IF(INDEX(Parámetros!$B$14:$B$21,MATCH(I495,Parámetros!$A$14:$A$21,0))="",Parámetros!$B$5,INDEX(Parámetros!$B$14:$B$21,MATCH(I495,Parámetros!$A$14:$A$21,0))),Parámetros!$B$5))</f>
        <v/>
      </c>
      <c r="Q495" s="29" t="str">
        <f aca="false">IF(O495="","",(O495-P495)*100)</f>
        <v/>
      </c>
      <c r="R495" s="30" t="str">
        <f aca="false">IF(O495="","",MAX(0,M495*(P495-O495)))</f>
        <v/>
      </c>
      <c r="S495" s="31" t="str">
        <f aca="false">IF(OR(L495="",L495=0,N495=""),"",N495/1000/L495)</f>
        <v/>
      </c>
      <c r="T495" s="27"/>
      <c r="U495" s="27"/>
      <c r="V495" s="27"/>
      <c r="W495" s="27"/>
      <c r="X495" s="27"/>
      <c r="Y495" s="27"/>
      <c r="Z495" s="27"/>
      <c r="AA495" s="25"/>
      <c r="AB495" s="27"/>
      <c r="AC495" s="30" t="str">
        <f aca="false">IF(M495="","",IF(AB495="",M495*Parámetros!$B$6,AB495))</f>
        <v/>
      </c>
      <c r="AD495" s="30" t="str">
        <f aca="false">IF(M495="","",SUM(T495:Z495)+AC495)</f>
        <v/>
      </c>
      <c r="AE495" s="30" t="str">
        <f aca="false">IF(OR(M495="",N495=""),"",M495-N495)</f>
        <v/>
      </c>
      <c r="AF495" s="30" t="str">
        <f aca="false">IF(AE495="","",AE495-AD495)</f>
        <v/>
      </c>
      <c r="AG495" s="28" t="str">
        <f aca="false">IF(OR(AF495="",M495=0),"",AF495/M495)</f>
        <v/>
      </c>
      <c r="AH495" s="32" t="str">
        <f aca="false">IF(OR(AE495="",N495=0),"",AE495/(N495/1000))</f>
        <v/>
      </c>
      <c r="AI495" s="30" t="str">
        <f aca="false">IF(O495="","",M495*P495)</f>
        <v/>
      </c>
      <c r="AJ495" s="11" t="str">
        <f aca="false">IF(O495="","",IF(O495&gt;1,"Error: rend &gt; 100 %",IF(SUM(T495:Z495)=0,"Falta registrar pérdidas",IF(ABS(AG495)&gt;Parámetros!$B$7,"Revisar balance",IF(O495&lt;P495,"Bajo meta","OK")))))</f>
        <v/>
      </c>
      <c r="AK495" s="33"/>
      <c r="AL495" s="10"/>
      <c r="AM495" s="33"/>
      <c r="AN495" s="33"/>
      <c r="AO495" s="10"/>
    </row>
    <row r="496" customFormat="false" ht="15" hidden="false" customHeight="false" outlineLevel="0" collapsed="false">
      <c r="A496" s="22"/>
      <c r="B496" s="23" t="str">
        <f aca="false">IF(A496="","",YEAR(A496-WEEKDAY(A496,2)+4))</f>
        <v/>
      </c>
      <c r="C496" s="23" t="str">
        <f aca="false">IF(A496="","",WEEKNUM(A496,21))</f>
        <v/>
      </c>
      <c r="D496" s="24" t="str">
        <f aca="false">IF(A496="","",DATE(YEAR(A496),MONTH(A496),1))</f>
        <v/>
      </c>
      <c r="E496" s="10"/>
      <c r="F496" s="25"/>
      <c r="G496" s="25"/>
      <c r="H496" s="10"/>
      <c r="I496" s="10"/>
      <c r="J496" s="26"/>
      <c r="K496" s="25"/>
      <c r="L496" s="26"/>
      <c r="M496" s="27"/>
      <c r="N496" s="27"/>
      <c r="O496" s="28" t="str">
        <f aca="false">IF(OR(M496="",M496=0,N496=""),"",N496/M496)</f>
        <v/>
      </c>
      <c r="P496" s="28" t="str">
        <f aca="false">IF(M496="","",IFERROR(IF(INDEX(Parámetros!$B$14:$B$21,MATCH(I496,Parámetros!$A$14:$A$21,0))="",Parámetros!$B$5,INDEX(Parámetros!$B$14:$B$21,MATCH(I496,Parámetros!$A$14:$A$21,0))),Parámetros!$B$5))</f>
        <v/>
      </c>
      <c r="Q496" s="29" t="str">
        <f aca="false">IF(O496="","",(O496-P496)*100)</f>
        <v/>
      </c>
      <c r="R496" s="30" t="str">
        <f aca="false">IF(O496="","",MAX(0,M496*(P496-O496)))</f>
        <v/>
      </c>
      <c r="S496" s="31" t="str">
        <f aca="false">IF(OR(L496="",L496=0,N496=""),"",N496/1000/L496)</f>
        <v/>
      </c>
      <c r="T496" s="27"/>
      <c r="U496" s="27"/>
      <c r="V496" s="27"/>
      <c r="W496" s="27"/>
      <c r="X496" s="27"/>
      <c r="Y496" s="27"/>
      <c r="Z496" s="27"/>
      <c r="AA496" s="25"/>
      <c r="AB496" s="27"/>
      <c r="AC496" s="30" t="str">
        <f aca="false">IF(M496="","",IF(AB496="",M496*Parámetros!$B$6,AB496))</f>
        <v/>
      </c>
      <c r="AD496" s="30" t="str">
        <f aca="false">IF(M496="","",SUM(T496:Z496)+AC496)</f>
        <v/>
      </c>
      <c r="AE496" s="30" t="str">
        <f aca="false">IF(OR(M496="",N496=""),"",M496-N496)</f>
        <v/>
      </c>
      <c r="AF496" s="30" t="str">
        <f aca="false">IF(AE496="","",AE496-AD496)</f>
        <v/>
      </c>
      <c r="AG496" s="28" t="str">
        <f aca="false">IF(OR(AF496="",M496=0),"",AF496/M496)</f>
        <v/>
      </c>
      <c r="AH496" s="32" t="str">
        <f aca="false">IF(OR(AE496="",N496=0),"",AE496/(N496/1000))</f>
        <v/>
      </c>
      <c r="AI496" s="30" t="str">
        <f aca="false">IF(O496="","",M496*P496)</f>
        <v/>
      </c>
      <c r="AJ496" s="11" t="str">
        <f aca="false">IF(O496="","",IF(O496&gt;1,"Error: rend &gt; 100 %",IF(SUM(T496:Z496)=0,"Falta registrar pérdidas",IF(ABS(AG496)&gt;Parámetros!$B$7,"Revisar balance",IF(O496&lt;P496,"Bajo meta","OK")))))</f>
        <v/>
      </c>
      <c r="AK496" s="33"/>
      <c r="AL496" s="10"/>
      <c r="AM496" s="33"/>
      <c r="AN496" s="33"/>
      <c r="AO496" s="10"/>
    </row>
    <row r="497" customFormat="false" ht="15" hidden="false" customHeight="false" outlineLevel="0" collapsed="false">
      <c r="A497" s="22"/>
      <c r="B497" s="23" t="str">
        <f aca="false">IF(A497="","",YEAR(A497-WEEKDAY(A497,2)+4))</f>
        <v/>
      </c>
      <c r="C497" s="23" t="str">
        <f aca="false">IF(A497="","",WEEKNUM(A497,21))</f>
        <v/>
      </c>
      <c r="D497" s="24" t="str">
        <f aca="false">IF(A497="","",DATE(YEAR(A497),MONTH(A497),1))</f>
        <v/>
      </c>
      <c r="E497" s="10"/>
      <c r="F497" s="25"/>
      <c r="G497" s="25"/>
      <c r="H497" s="10"/>
      <c r="I497" s="10"/>
      <c r="J497" s="26"/>
      <c r="K497" s="25"/>
      <c r="L497" s="26"/>
      <c r="M497" s="27"/>
      <c r="N497" s="27"/>
      <c r="O497" s="28" t="str">
        <f aca="false">IF(OR(M497="",M497=0,N497=""),"",N497/M497)</f>
        <v/>
      </c>
      <c r="P497" s="28" t="str">
        <f aca="false">IF(M497="","",IFERROR(IF(INDEX(Parámetros!$B$14:$B$21,MATCH(I497,Parámetros!$A$14:$A$21,0))="",Parámetros!$B$5,INDEX(Parámetros!$B$14:$B$21,MATCH(I497,Parámetros!$A$14:$A$21,0))),Parámetros!$B$5))</f>
        <v/>
      </c>
      <c r="Q497" s="29" t="str">
        <f aca="false">IF(O497="","",(O497-P497)*100)</f>
        <v/>
      </c>
      <c r="R497" s="30" t="str">
        <f aca="false">IF(O497="","",MAX(0,M497*(P497-O497)))</f>
        <v/>
      </c>
      <c r="S497" s="31" t="str">
        <f aca="false">IF(OR(L497="",L497=0,N497=""),"",N497/1000/L497)</f>
        <v/>
      </c>
      <c r="T497" s="27"/>
      <c r="U497" s="27"/>
      <c r="V497" s="27"/>
      <c r="W497" s="27"/>
      <c r="X497" s="27"/>
      <c r="Y497" s="27"/>
      <c r="Z497" s="27"/>
      <c r="AA497" s="25"/>
      <c r="AB497" s="27"/>
      <c r="AC497" s="30" t="str">
        <f aca="false">IF(M497="","",IF(AB497="",M497*Parámetros!$B$6,AB497))</f>
        <v/>
      </c>
      <c r="AD497" s="30" t="str">
        <f aca="false">IF(M497="","",SUM(T497:Z497)+AC497)</f>
        <v/>
      </c>
      <c r="AE497" s="30" t="str">
        <f aca="false">IF(OR(M497="",N497=""),"",M497-N497)</f>
        <v/>
      </c>
      <c r="AF497" s="30" t="str">
        <f aca="false">IF(AE497="","",AE497-AD497)</f>
        <v/>
      </c>
      <c r="AG497" s="28" t="str">
        <f aca="false">IF(OR(AF497="",M497=0),"",AF497/M497)</f>
        <v/>
      </c>
      <c r="AH497" s="32" t="str">
        <f aca="false">IF(OR(AE497="",N497=0),"",AE497/(N497/1000))</f>
        <v/>
      </c>
      <c r="AI497" s="30" t="str">
        <f aca="false">IF(O497="","",M497*P497)</f>
        <v/>
      </c>
      <c r="AJ497" s="11" t="str">
        <f aca="false">IF(O497="","",IF(O497&gt;1,"Error: rend &gt; 100 %",IF(SUM(T497:Z497)=0,"Falta registrar pérdidas",IF(ABS(AG497)&gt;Parámetros!$B$7,"Revisar balance",IF(O497&lt;P497,"Bajo meta","OK")))))</f>
        <v/>
      </c>
      <c r="AK497" s="33"/>
      <c r="AL497" s="10"/>
      <c r="AM497" s="33"/>
      <c r="AN497" s="33"/>
      <c r="AO497" s="10"/>
    </row>
    <row r="498" customFormat="false" ht="15" hidden="false" customHeight="false" outlineLevel="0" collapsed="false">
      <c r="A498" s="22"/>
      <c r="B498" s="23" t="str">
        <f aca="false">IF(A498="","",YEAR(A498-WEEKDAY(A498,2)+4))</f>
        <v/>
      </c>
      <c r="C498" s="23" t="str">
        <f aca="false">IF(A498="","",WEEKNUM(A498,21))</f>
        <v/>
      </c>
      <c r="D498" s="24" t="str">
        <f aca="false">IF(A498="","",DATE(YEAR(A498),MONTH(A498),1))</f>
        <v/>
      </c>
      <c r="E498" s="10"/>
      <c r="F498" s="25"/>
      <c r="G498" s="25"/>
      <c r="H498" s="10"/>
      <c r="I498" s="10"/>
      <c r="J498" s="26"/>
      <c r="K498" s="25"/>
      <c r="L498" s="26"/>
      <c r="M498" s="27"/>
      <c r="N498" s="27"/>
      <c r="O498" s="28" t="str">
        <f aca="false">IF(OR(M498="",M498=0,N498=""),"",N498/M498)</f>
        <v/>
      </c>
      <c r="P498" s="28" t="str">
        <f aca="false">IF(M498="","",IFERROR(IF(INDEX(Parámetros!$B$14:$B$21,MATCH(I498,Parámetros!$A$14:$A$21,0))="",Parámetros!$B$5,INDEX(Parámetros!$B$14:$B$21,MATCH(I498,Parámetros!$A$14:$A$21,0))),Parámetros!$B$5))</f>
        <v/>
      </c>
      <c r="Q498" s="29" t="str">
        <f aca="false">IF(O498="","",(O498-P498)*100)</f>
        <v/>
      </c>
      <c r="R498" s="30" t="str">
        <f aca="false">IF(O498="","",MAX(0,M498*(P498-O498)))</f>
        <v/>
      </c>
      <c r="S498" s="31" t="str">
        <f aca="false">IF(OR(L498="",L498=0,N498=""),"",N498/1000/L498)</f>
        <v/>
      </c>
      <c r="T498" s="27"/>
      <c r="U498" s="27"/>
      <c r="V498" s="27"/>
      <c r="W498" s="27"/>
      <c r="X498" s="27"/>
      <c r="Y498" s="27"/>
      <c r="Z498" s="27"/>
      <c r="AA498" s="25"/>
      <c r="AB498" s="27"/>
      <c r="AC498" s="30" t="str">
        <f aca="false">IF(M498="","",IF(AB498="",M498*Parámetros!$B$6,AB498))</f>
        <v/>
      </c>
      <c r="AD498" s="30" t="str">
        <f aca="false">IF(M498="","",SUM(T498:Z498)+AC498)</f>
        <v/>
      </c>
      <c r="AE498" s="30" t="str">
        <f aca="false">IF(OR(M498="",N498=""),"",M498-N498)</f>
        <v/>
      </c>
      <c r="AF498" s="30" t="str">
        <f aca="false">IF(AE498="","",AE498-AD498)</f>
        <v/>
      </c>
      <c r="AG498" s="28" t="str">
        <f aca="false">IF(OR(AF498="",M498=0),"",AF498/M498)</f>
        <v/>
      </c>
      <c r="AH498" s="32" t="str">
        <f aca="false">IF(OR(AE498="",N498=0),"",AE498/(N498/1000))</f>
        <v/>
      </c>
      <c r="AI498" s="30" t="str">
        <f aca="false">IF(O498="","",M498*P498)</f>
        <v/>
      </c>
      <c r="AJ498" s="11" t="str">
        <f aca="false">IF(O498="","",IF(O498&gt;1,"Error: rend &gt; 100 %",IF(SUM(T498:Z498)=0,"Falta registrar pérdidas",IF(ABS(AG498)&gt;Parámetros!$B$7,"Revisar balance",IF(O498&lt;P498,"Bajo meta","OK")))))</f>
        <v/>
      </c>
      <c r="AK498" s="33"/>
      <c r="AL498" s="10"/>
      <c r="AM498" s="33"/>
      <c r="AN498" s="33"/>
      <c r="AO498" s="10"/>
    </row>
    <row r="499" customFormat="false" ht="15" hidden="false" customHeight="false" outlineLevel="0" collapsed="false">
      <c r="A499" s="22"/>
      <c r="B499" s="23" t="str">
        <f aca="false">IF(A499="","",YEAR(A499-WEEKDAY(A499,2)+4))</f>
        <v/>
      </c>
      <c r="C499" s="23" t="str">
        <f aca="false">IF(A499="","",WEEKNUM(A499,21))</f>
        <v/>
      </c>
      <c r="D499" s="24" t="str">
        <f aca="false">IF(A499="","",DATE(YEAR(A499),MONTH(A499),1))</f>
        <v/>
      </c>
      <c r="E499" s="10"/>
      <c r="F499" s="25"/>
      <c r="G499" s="25"/>
      <c r="H499" s="10"/>
      <c r="I499" s="10"/>
      <c r="J499" s="26"/>
      <c r="K499" s="25"/>
      <c r="L499" s="26"/>
      <c r="M499" s="27"/>
      <c r="N499" s="27"/>
      <c r="O499" s="28" t="str">
        <f aca="false">IF(OR(M499="",M499=0,N499=""),"",N499/M499)</f>
        <v/>
      </c>
      <c r="P499" s="28" t="str">
        <f aca="false">IF(M499="","",IFERROR(IF(INDEX(Parámetros!$B$14:$B$21,MATCH(I499,Parámetros!$A$14:$A$21,0))="",Parámetros!$B$5,INDEX(Parámetros!$B$14:$B$21,MATCH(I499,Parámetros!$A$14:$A$21,0))),Parámetros!$B$5))</f>
        <v/>
      </c>
      <c r="Q499" s="29" t="str">
        <f aca="false">IF(O499="","",(O499-P499)*100)</f>
        <v/>
      </c>
      <c r="R499" s="30" t="str">
        <f aca="false">IF(O499="","",MAX(0,M499*(P499-O499)))</f>
        <v/>
      </c>
      <c r="S499" s="31" t="str">
        <f aca="false">IF(OR(L499="",L499=0,N499=""),"",N499/1000/L499)</f>
        <v/>
      </c>
      <c r="T499" s="27"/>
      <c r="U499" s="27"/>
      <c r="V499" s="27"/>
      <c r="W499" s="27"/>
      <c r="X499" s="27"/>
      <c r="Y499" s="27"/>
      <c r="Z499" s="27"/>
      <c r="AA499" s="25"/>
      <c r="AB499" s="27"/>
      <c r="AC499" s="30" t="str">
        <f aca="false">IF(M499="","",IF(AB499="",M499*Parámetros!$B$6,AB499))</f>
        <v/>
      </c>
      <c r="AD499" s="30" t="str">
        <f aca="false">IF(M499="","",SUM(T499:Z499)+AC499)</f>
        <v/>
      </c>
      <c r="AE499" s="30" t="str">
        <f aca="false">IF(OR(M499="",N499=""),"",M499-N499)</f>
        <v/>
      </c>
      <c r="AF499" s="30" t="str">
        <f aca="false">IF(AE499="","",AE499-AD499)</f>
        <v/>
      </c>
      <c r="AG499" s="28" t="str">
        <f aca="false">IF(OR(AF499="",M499=0),"",AF499/M499)</f>
        <v/>
      </c>
      <c r="AH499" s="32" t="str">
        <f aca="false">IF(OR(AE499="",N499=0),"",AE499/(N499/1000))</f>
        <v/>
      </c>
      <c r="AI499" s="30" t="str">
        <f aca="false">IF(O499="","",M499*P499)</f>
        <v/>
      </c>
      <c r="AJ499" s="11" t="str">
        <f aca="false">IF(O499="","",IF(O499&gt;1,"Error: rend &gt; 100 %",IF(SUM(T499:Z499)=0,"Falta registrar pérdidas",IF(ABS(AG499)&gt;Parámetros!$B$7,"Revisar balance",IF(O499&lt;P499,"Bajo meta","OK")))))</f>
        <v/>
      </c>
      <c r="AK499" s="33"/>
      <c r="AL499" s="10"/>
      <c r="AM499" s="33"/>
      <c r="AN499" s="33"/>
      <c r="AO499" s="10"/>
    </row>
    <row r="500" customFormat="false" ht="15" hidden="false" customHeight="false" outlineLevel="0" collapsed="false">
      <c r="A500" s="22"/>
      <c r="B500" s="23" t="str">
        <f aca="false">IF(A500="","",YEAR(A500-WEEKDAY(A500,2)+4))</f>
        <v/>
      </c>
      <c r="C500" s="23" t="str">
        <f aca="false">IF(A500="","",WEEKNUM(A500,21))</f>
        <v/>
      </c>
      <c r="D500" s="24" t="str">
        <f aca="false">IF(A500="","",DATE(YEAR(A500),MONTH(A500),1))</f>
        <v/>
      </c>
      <c r="E500" s="10"/>
      <c r="F500" s="25"/>
      <c r="G500" s="25"/>
      <c r="H500" s="10"/>
      <c r="I500" s="10"/>
      <c r="J500" s="26"/>
      <c r="K500" s="25"/>
      <c r="L500" s="26"/>
      <c r="M500" s="27"/>
      <c r="N500" s="27"/>
      <c r="O500" s="28" t="str">
        <f aca="false">IF(OR(M500="",M500=0,N500=""),"",N500/M500)</f>
        <v/>
      </c>
      <c r="P500" s="28" t="str">
        <f aca="false">IF(M500="","",IFERROR(IF(INDEX(Parámetros!$B$14:$B$21,MATCH(I500,Parámetros!$A$14:$A$21,0))="",Parámetros!$B$5,INDEX(Parámetros!$B$14:$B$21,MATCH(I500,Parámetros!$A$14:$A$21,0))),Parámetros!$B$5))</f>
        <v/>
      </c>
      <c r="Q500" s="29" t="str">
        <f aca="false">IF(O500="","",(O500-P500)*100)</f>
        <v/>
      </c>
      <c r="R500" s="30" t="str">
        <f aca="false">IF(O500="","",MAX(0,M500*(P500-O500)))</f>
        <v/>
      </c>
      <c r="S500" s="31" t="str">
        <f aca="false">IF(OR(L500="",L500=0,N500=""),"",N500/1000/L500)</f>
        <v/>
      </c>
      <c r="T500" s="27"/>
      <c r="U500" s="27"/>
      <c r="V500" s="27"/>
      <c r="W500" s="27"/>
      <c r="X500" s="27"/>
      <c r="Y500" s="27"/>
      <c r="Z500" s="27"/>
      <c r="AA500" s="25"/>
      <c r="AB500" s="27"/>
      <c r="AC500" s="30" t="str">
        <f aca="false">IF(M500="","",IF(AB500="",M500*Parámetros!$B$6,AB500))</f>
        <v/>
      </c>
      <c r="AD500" s="30" t="str">
        <f aca="false">IF(M500="","",SUM(T500:Z500)+AC500)</f>
        <v/>
      </c>
      <c r="AE500" s="30" t="str">
        <f aca="false">IF(OR(M500="",N500=""),"",M500-N500)</f>
        <v/>
      </c>
      <c r="AF500" s="30" t="str">
        <f aca="false">IF(AE500="","",AE500-AD500)</f>
        <v/>
      </c>
      <c r="AG500" s="28" t="str">
        <f aca="false">IF(OR(AF500="",M500=0),"",AF500/M500)</f>
        <v/>
      </c>
      <c r="AH500" s="32" t="str">
        <f aca="false">IF(OR(AE500="",N500=0),"",AE500/(N500/1000))</f>
        <v/>
      </c>
      <c r="AI500" s="30" t="str">
        <f aca="false">IF(O500="","",M500*P500)</f>
        <v/>
      </c>
      <c r="AJ500" s="11" t="str">
        <f aca="false">IF(O500="","",IF(O500&gt;1,"Error: rend &gt; 100 %",IF(SUM(T500:Z500)=0,"Falta registrar pérdidas",IF(ABS(AG500)&gt;Parámetros!$B$7,"Revisar balance",IF(O500&lt;P500,"Bajo meta","OK")))))</f>
        <v/>
      </c>
      <c r="AK500" s="33"/>
      <c r="AL500" s="10"/>
      <c r="AM500" s="33"/>
      <c r="AN500" s="33"/>
      <c r="AO500" s="10"/>
    </row>
    <row r="501" customFormat="false" ht="15" hidden="false" customHeight="false" outlineLevel="0" collapsed="false">
      <c r="A501" s="22"/>
      <c r="B501" s="23" t="str">
        <f aca="false">IF(A501="","",YEAR(A501-WEEKDAY(A501,2)+4))</f>
        <v/>
      </c>
      <c r="C501" s="23" t="str">
        <f aca="false">IF(A501="","",WEEKNUM(A501,21))</f>
        <v/>
      </c>
      <c r="D501" s="24" t="str">
        <f aca="false">IF(A501="","",DATE(YEAR(A501),MONTH(A501),1))</f>
        <v/>
      </c>
      <c r="E501" s="10"/>
      <c r="F501" s="25"/>
      <c r="G501" s="25"/>
      <c r="H501" s="10"/>
      <c r="I501" s="10"/>
      <c r="J501" s="26"/>
      <c r="K501" s="25"/>
      <c r="L501" s="26"/>
      <c r="M501" s="27"/>
      <c r="N501" s="27"/>
      <c r="O501" s="28" t="str">
        <f aca="false">IF(OR(M501="",M501=0,N501=""),"",N501/M501)</f>
        <v/>
      </c>
      <c r="P501" s="28" t="str">
        <f aca="false">IF(M501="","",IFERROR(IF(INDEX(Parámetros!$B$14:$B$21,MATCH(I501,Parámetros!$A$14:$A$21,0))="",Parámetros!$B$5,INDEX(Parámetros!$B$14:$B$21,MATCH(I501,Parámetros!$A$14:$A$21,0))),Parámetros!$B$5))</f>
        <v/>
      </c>
      <c r="Q501" s="29" t="str">
        <f aca="false">IF(O501="","",(O501-P501)*100)</f>
        <v/>
      </c>
      <c r="R501" s="30" t="str">
        <f aca="false">IF(O501="","",MAX(0,M501*(P501-O501)))</f>
        <v/>
      </c>
      <c r="S501" s="31" t="str">
        <f aca="false">IF(OR(L501="",L501=0,N501=""),"",N501/1000/L501)</f>
        <v/>
      </c>
      <c r="T501" s="27"/>
      <c r="U501" s="27"/>
      <c r="V501" s="27"/>
      <c r="W501" s="27"/>
      <c r="X501" s="27"/>
      <c r="Y501" s="27"/>
      <c r="Z501" s="27"/>
      <c r="AA501" s="25"/>
      <c r="AB501" s="27"/>
      <c r="AC501" s="30" t="str">
        <f aca="false">IF(M501="","",IF(AB501="",M501*Parámetros!$B$6,AB501))</f>
        <v/>
      </c>
      <c r="AD501" s="30" t="str">
        <f aca="false">IF(M501="","",SUM(T501:Z501)+AC501)</f>
        <v/>
      </c>
      <c r="AE501" s="30" t="str">
        <f aca="false">IF(OR(M501="",N501=""),"",M501-N501)</f>
        <v/>
      </c>
      <c r="AF501" s="30" t="str">
        <f aca="false">IF(AE501="","",AE501-AD501)</f>
        <v/>
      </c>
      <c r="AG501" s="28" t="str">
        <f aca="false">IF(OR(AF501="",M501=0),"",AF501/M501)</f>
        <v/>
      </c>
      <c r="AH501" s="32" t="str">
        <f aca="false">IF(OR(AE501="",N501=0),"",AE501/(N501/1000))</f>
        <v/>
      </c>
      <c r="AI501" s="30" t="str">
        <f aca="false">IF(O501="","",M501*P501)</f>
        <v/>
      </c>
      <c r="AJ501" s="11" t="str">
        <f aca="false">IF(O501="","",IF(O501&gt;1,"Error: rend &gt; 100 %",IF(SUM(T501:Z501)=0,"Falta registrar pérdidas",IF(ABS(AG501)&gt;Parámetros!$B$7,"Revisar balance",IF(O501&lt;P501,"Bajo meta","OK")))))</f>
        <v/>
      </c>
      <c r="AK501" s="33"/>
      <c r="AL501" s="10"/>
      <c r="AM501" s="33"/>
      <c r="AN501" s="33"/>
      <c r="AO501" s="10"/>
    </row>
    <row r="502" customFormat="false" ht="15" hidden="false" customHeight="false" outlineLevel="0" collapsed="false">
      <c r="A502" s="22"/>
      <c r="B502" s="23" t="str">
        <f aca="false">IF(A502="","",YEAR(A502-WEEKDAY(A502,2)+4))</f>
        <v/>
      </c>
      <c r="C502" s="23" t="str">
        <f aca="false">IF(A502="","",WEEKNUM(A502,21))</f>
        <v/>
      </c>
      <c r="D502" s="24" t="str">
        <f aca="false">IF(A502="","",DATE(YEAR(A502),MONTH(A502),1))</f>
        <v/>
      </c>
      <c r="E502" s="10"/>
      <c r="F502" s="25"/>
      <c r="G502" s="25"/>
      <c r="H502" s="10"/>
      <c r="I502" s="10"/>
      <c r="J502" s="26"/>
      <c r="K502" s="25"/>
      <c r="L502" s="26"/>
      <c r="M502" s="27"/>
      <c r="N502" s="27"/>
      <c r="O502" s="28" t="str">
        <f aca="false">IF(OR(M502="",M502=0,N502=""),"",N502/M502)</f>
        <v/>
      </c>
      <c r="P502" s="28" t="str">
        <f aca="false">IF(M502="","",IFERROR(IF(INDEX(Parámetros!$B$14:$B$21,MATCH(I502,Parámetros!$A$14:$A$21,0))="",Parámetros!$B$5,INDEX(Parámetros!$B$14:$B$21,MATCH(I502,Parámetros!$A$14:$A$21,0))),Parámetros!$B$5))</f>
        <v/>
      </c>
      <c r="Q502" s="29" t="str">
        <f aca="false">IF(O502="","",(O502-P502)*100)</f>
        <v/>
      </c>
      <c r="R502" s="30" t="str">
        <f aca="false">IF(O502="","",MAX(0,M502*(P502-O502)))</f>
        <v/>
      </c>
      <c r="S502" s="31" t="str">
        <f aca="false">IF(OR(L502="",L502=0,N502=""),"",N502/1000/L502)</f>
        <v/>
      </c>
      <c r="T502" s="27"/>
      <c r="U502" s="27"/>
      <c r="V502" s="27"/>
      <c r="W502" s="27"/>
      <c r="X502" s="27"/>
      <c r="Y502" s="27"/>
      <c r="Z502" s="27"/>
      <c r="AA502" s="25"/>
      <c r="AB502" s="27"/>
      <c r="AC502" s="30" t="str">
        <f aca="false">IF(M502="","",IF(AB502="",M502*Parámetros!$B$6,AB502))</f>
        <v/>
      </c>
      <c r="AD502" s="30" t="str">
        <f aca="false">IF(M502="","",SUM(T502:Z502)+AC502)</f>
        <v/>
      </c>
      <c r="AE502" s="30" t="str">
        <f aca="false">IF(OR(M502="",N502=""),"",M502-N502)</f>
        <v/>
      </c>
      <c r="AF502" s="30" t="str">
        <f aca="false">IF(AE502="","",AE502-AD502)</f>
        <v/>
      </c>
      <c r="AG502" s="28" t="str">
        <f aca="false">IF(OR(AF502="",M502=0),"",AF502/M502)</f>
        <v/>
      </c>
      <c r="AH502" s="32" t="str">
        <f aca="false">IF(OR(AE502="",N502=0),"",AE502/(N502/1000))</f>
        <v/>
      </c>
      <c r="AI502" s="30" t="str">
        <f aca="false">IF(O502="","",M502*P502)</f>
        <v/>
      </c>
      <c r="AJ502" s="11" t="str">
        <f aca="false">IF(O502="","",IF(O502&gt;1,"Error: rend &gt; 100 %",IF(SUM(T502:Z502)=0,"Falta registrar pérdidas",IF(ABS(AG502)&gt;Parámetros!$B$7,"Revisar balance",IF(O502&lt;P502,"Bajo meta","OK")))))</f>
        <v/>
      </c>
      <c r="AK502" s="33"/>
      <c r="AL502" s="10"/>
      <c r="AM502" s="33"/>
      <c r="AN502" s="33"/>
      <c r="AO502" s="10"/>
    </row>
    <row r="503" customFormat="false" ht="15" hidden="false" customHeight="false" outlineLevel="0" collapsed="false">
      <c r="A503" s="22"/>
      <c r="B503" s="23" t="str">
        <f aca="false">IF(A503="","",YEAR(A503-WEEKDAY(A503,2)+4))</f>
        <v/>
      </c>
      <c r="C503" s="23" t="str">
        <f aca="false">IF(A503="","",WEEKNUM(A503,21))</f>
        <v/>
      </c>
      <c r="D503" s="24" t="str">
        <f aca="false">IF(A503="","",DATE(YEAR(A503),MONTH(A503),1))</f>
        <v/>
      </c>
      <c r="E503" s="10"/>
      <c r="F503" s="25"/>
      <c r="G503" s="25"/>
      <c r="H503" s="10"/>
      <c r="I503" s="10"/>
      <c r="J503" s="26"/>
      <c r="K503" s="25"/>
      <c r="L503" s="26"/>
      <c r="M503" s="27"/>
      <c r="N503" s="27"/>
      <c r="O503" s="28" t="str">
        <f aca="false">IF(OR(M503="",M503=0,N503=""),"",N503/M503)</f>
        <v/>
      </c>
      <c r="P503" s="28" t="str">
        <f aca="false">IF(M503="","",IFERROR(IF(INDEX(Parámetros!$B$14:$B$21,MATCH(I503,Parámetros!$A$14:$A$21,0))="",Parámetros!$B$5,INDEX(Parámetros!$B$14:$B$21,MATCH(I503,Parámetros!$A$14:$A$21,0))),Parámetros!$B$5))</f>
        <v/>
      </c>
      <c r="Q503" s="29" t="str">
        <f aca="false">IF(O503="","",(O503-P503)*100)</f>
        <v/>
      </c>
      <c r="R503" s="30" t="str">
        <f aca="false">IF(O503="","",MAX(0,M503*(P503-O503)))</f>
        <v/>
      </c>
      <c r="S503" s="31" t="str">
        <f aca="false">IF(OR(L503="",L503=0,N503=""),"",N503/1000/L503)</f>
        <v/>
      </c>
      <c r="T503" s="27"/>
      <c r="U503" s="27"/>
      <c r="V503" s="27"/>
      <c r="W503" s="27"/>
      <c r="X503" s="27"/>
      <c r="Y503" s="27"/>
      <c r="Z503" s="27"/>
      <c r="AA503" s="25"/>
      <c r="AB503" s="27"/>
      <c r="AC503" s="30" t="str">
        <f aca="false">IF(M503="","",IF(AB503="",M503*Parámetros!$B$6,AB503))</f>
        <v/>
      </c>
      <c r="AD503" s="30" t="str">
        <f aca="false">IF(M503="","",SUM(T503:Z503)+AC503)</f>
        <v/>
      </c>
      <c r="AE503" s="30" t="str">
        <f aca="false">IF(OR(M503="",N503=""),"",M503-N503)</f>
        <v/>
      </c>
      <c r="AF503" s="30" t="str">
        <f aca="false">IF(AE503="","",AE503-AD503)</f>
        <v/>
      </c>
      <c r="AG503" s="28" t="str">
        <f aca="false">IF(OR(AF503="",M503=0),"",AF503/M503)</f>
        <v/>
      </c>
      <c r="AH503" s="32" t="str">
        <f aca="false">IF(OR(AE503="",N503=0),"",AE503/(N503/1000))</f>
        <v/>
      </c>
      <c r="AI503" s="30" t="str">
        <f aca="false">IF(O503="","",M503*P503)</f>
        <v/>
      </c>
      <c r="AJ503" s="11" t="str">
        <f aca="false">IF(O503="","",IF(O503&gt;1,"Error: rend &gt; 100 %",IF(SUM(T503:Z503)=0,"Falta registrar pérdidas",IF(ABS(AG503)&gt;Parámetros!$B$7,"Revisar balance",IF(O503&lt;P503,"Bajo meta","OK")))))</f>
        <v/>
      </c>
      <c r="AK503" s="33"/>
      <c r="AL503" s="10"/>
      <c r="AM503" s="33"/>
      <c r="AN503" s="33"/>
      <c r="AO503" s="10"/>
    </row>
    <row r="504" customFormat="false" ht="15" hidden="false" customHeight="false" outlineLevel="0" collapsed="false">
      <c r="A504" s="22"/>
      <c r="B504" s="23" t="str">
        <f aca="false">IF(A504="","",YEAR(A504-WEEKDAY(A504,2)+4))</f>
        <v/>
      </c>
      <c r="C504" s="23" t="str">
        <f aca="false">IF(A504="","",WEEKNUM(A504,21))</f>
        <v/>
      </c>
      <c r="D504" s="24" t="str">
        <f aca="false">IF(A504="","",DATE(YEAR(A504),MONTH(A504),1))</f>
        <v/>
      </c>
      <c r="E504" s="10"/>
      <c r="F504" s="25"/>
      <c r="G504" s="25"/>
      <c r="H504" s="10"/>
      <c r="I504" s="10"/>
      <c r="J504" s="26"/>
      <c r="K504" s="25"/>
      <c r="L504" s="26"/>
      <c r="M504" s="27"/>
      <c r="N504" s="27"/>
      <c r="O504" s="28" t="str">
        <f aca="false">IF(OR(M504="",M504=0,N504=""),"",N504/M504)</f>
        <v/>
      </c>
      <c r="P504" s="28" t="str">
        <f aca="false">IF(M504="","",IFERROR(IF(INDEX(Parámetros!$B$14:$B$21,MATCH(I504,Parámetros!$A$14:$A$21,0))="",Parámetros!$B$5,INDEX(Parámetros!$B$14:$B$21,MATCH(I504,Parámetros!$A$14:$A$21,0))),Parámetros!$B$5))</f>
        <v/>
      </c>
      <c r="Q504" s="29" t="str">
        <f aca="false">IF(O504="","",(O504-P504)*100)</f>
        <v/>
      </c>
      <c r="R504" s="30" t="str">
        <f aca="false">IF(O504="","",MAX(0,M504*(P504-O504)))</f>
        <v/>
      </c>
      <c r="S504" s="31" t="str">
        <f aca="false">IF(OR(L504="",L504=0,N504=""),"",N504/1000/L504)</f>
        <v/>
      </c>
      <c r="T504" s="27"/>
      <c r="U504" s="27"/>
      <c r="V504" s="27"/>
      <c r="W504" s="27"/>
      <c r="X504" s="27"/>
      <c r="Y504" s="27"/>
      <c r="Z504" s="27"/>
      <c r="AA504" s="25"/>
      <c r="AB504" s="27"/>
      <c r="AC504" s="30" t="str">
        <f aca="false">IF(M504="","",IF(AB504="",M504*Parámetros!$B$6,AB504))</f>
        <v/>
      </c>
      <c r="AD504" s="30" t="str">
        <f aca="false">IF(M504="","",SUM(T504:Z504)+AC504)</f>
        <v/>
      </c>
      <c r="AE504" s="30" t="str">
        <f aca="false">IF(OR(M504="",N504=""),"",M504-N504)</f>
        <v/>
      </c>
      <c r="AF504" s="30" t="str">
        <f aca="false">IF(AE504="","",AE504-AD504)</f>
        <v/>
      </c>
      <c r="AG504" s="28" t="str">
        <f aca="false">IF(OR(AF504="",M504=0),"",AF504/M504)</f>
        <v/>
      </c>
      <c r="AH504" s="32" t="str">
        <f aca="false">IF(OR(AE504="",N504=0),"",AE504/(N504/1000))</f>
        <v/>
      </c>
      <c r="AI504" s="30" t="str">
        <f aca="false">IF(O504="","",M504*P504)</f>
        <v/>
      </c>
      <c r="AJ504" s="11" t="str">
        <f aca="false">IF(O504="","",IF(O504&gt;1,"Error: rend &gt; 100 %",IF(SUM(T504:Z504)=0,"Falta registrar pérdidas",IF(ABS(AG504)&gt;Parámetros!$B$7,"Revisar balance",IF(O504&lt;P504,"Bajo meta","OK")))))</f>
        <v/>
      </c>
      <c r="AK504" s="33"/>
      <c r="AL504" s="10"/>
      <c r="AM504" s="33"/>
      <c r="AN504" s="33"/>
      <c r="AO504" s="10"/>
    </row>
    <row r="505" customFormat="false" ht="15" hidden="false" customHeight="false" outlineLevel="0" collapsed="false">
      <c r="A505" s="22"/>
      <c r="B505" s="23" t="str">
        <f aca="false">IF(A505="","",YEAR(A505-WEEKDAY(A505,2)+4))</f>
        <v/>
      </c>
      <c r="C505" s="23" t="str">
        <f aca="false">IF(A505="","",WEEKNUM(A505,21))</f>
        <v/>
      </c>
      <c r="D505" s="24" t="str">
        <f aca="false">IF(A505="","",DATE(YEAR(A505),MONTH(A505),1))</f>
        <v/>
      </c>
      <c r="E505" s="10"/>
      <c r="F505" s="25"/>
      <c r="G505" s="25"/>
      <c r="H505" s="10"/>
      <c r="I505" s="10"/>
      <c r="J505" s="26"/>
      <c r="K505" s="25"/>
      <c r="L505" s="26"/>
      <c r="M505" s="27"/>
      <c r="N505" s="27"/>
      <c r="O505" s="28" t="str">
        <f aca="false">IF(OR(M505="",M505=0,N505=""),"",N505/M505)</f>
        <v/>
      </c>
      <c r="P505" s="28" t="str">
        <f aca="false">IF(M505="","",IFERROR(IF(INDEX(Parámetros!$B$14:$B$21,MATCH(I505,Parámetros!$A$14:$A$21,0))="",Parámetros!$B$5,INDEX(Parámetros!$B$14:$B$21,MATCH(I505,Parámetros!$A$14:$A$21,0))),Parámetros!$B$5))</f>
        <v/>
      </c>
      <c r="Q505" s="29" t="str">
        <f aca="false">IF(O505="","",(O505-P505)*100)</f>
        <v/>
      </c>
      <c r="R505" s="30" t="str">
        <f aca="false">IF(O505="","",MAX(0,M505*(P505-O505)))</f>
        <v/>
      </c>
      <c r="S505" s="31" t="str">
        <f aca="false">IF(OR(L505="",L505=0,N505=""),"",N505/1000/L505)</f>
        <v/>
      </c>
      <c r="T505" s="27"/>
      <c r="U505" s="27"/>
      <c r="V505" s="27"/>
      <c r="W505" s="27"/>
      <c r="X505" s="27"/>
      <c r="Y505" s="27"/>
      <c r="Z505" s="27"/>
      <c r="AA505" s="25"/>
      <c r="AB505" s="27"/>
      <c r="AC505" s="30" t="str">
        <f aca="false">IF(M505="","",IF(AB505="",M505*Parámetros!$B$6,AB505))</f>
        <v/>
      </c>
      <c r="AD505" s="30" t="str">
        <f aca="false">IF(M505="","",SUM(T505:Z505)+AC505)</f>
        <v/>
      </c>
      <c r="AE505" s="30" t="str">
        <f aca="false">IF(OR(M505="",N505=""),"",M505-N505)</f>
        <v/>
      </c>
      <c r="AF505" s="30" t="str">
        <f aca="false">IF(AE505="","",AE505-AD505)</f>
        <v/>
      </c>
      <c r="AG505" s="28" t="str">
        <f aca="false">IF(OR(AF505="",M505=0),"",AF505/M505)</f>
        <v/>
      </c>
      <c r="AH505" s="32" t="str">
        <f aca="false">IF(OR(AE505="",N505=0),"",AE505/(N505/1000))</f>
        <v/>
      </c>
      <c r="AI505" s="30" t="str">
        <f aca="false">IF(O505="","",M505*P505)</f>
        <v/>
      </c>
      <c r="AJ505" s="11" t="str">
        <f aca="false">IF(O505="","",IF(O505&gt;1,"Error: rend &gt; 100 %",IF(SUM(T505:Z505)=0,"Falta registrar pérdidas",IF(ABS(AG505)&gt;Parámetros!$B$7,"Revisar balance",IF(O505&lt;P505,"Bajo meta","OK")))))</f>
        <v/>
      </c>
      <c r="AK505" s="33"/>
      <c r="AL505" s="10"/>
      <c r="AM505" s="33"/>
      <c r="AN505" s="33"/>
      <c r="AO505" s="10"/>
    </row>
    <row r="506" customFormat="false" ht="15" hidden="false" customHeight="false" outlineLevel="0" collapsed="false">
      <c r="A506" s="22"/>
      <c r="B506" s="23" t="str">
        <f aca="false">IF(A506="","",YEAR(A506-WEEKDAY(A506,2)+4))</f>
        <v/>
      </c>
      <c r="C506" s="23" t="str">
        <f aca="false">IF(A506="","",WEEKNUM(A506,21))</f>
        <v/>
      </c>
      <c r="D506" s="24" t="str">
        <f aca="false">IF(A506="","",DATE(YEAR(A506),MONTH(A506),1))</f>
        <v/>
      </c>
      <c r="E506" s="10"/>
      <c r="F506" s="25"/>
      <c r="G506" s="25"/>
      <c r="H506" s="10"/>
      <c r="I506" s="10"/>
      <c r="J506" s="26"/>
      <c r="K506" s="25"/>
      <c r="L506" s="26"/>
      <c r="M506" s="27"/>
      <c r="N506" s="27"/>
      <c r="O506" s="28" t="str">
        <f aca="false">IF(OR(M506="",M506=0,N506=""),"",N506/M506)</f>
        <v/>
      </c>
      <c r="P506" s="28" t="str">
        <f aca="false">IF(M506="","",IFERROR(IF(INDEX(Parámetros!$B$14:$B$21,MATCH(I506,Parámetros!$A$14:$A$21,0))="",Parámetros!$B$5,INDEX(Parámetros!$B$14:$B$21,MATCH(I506,Parámetros!$A$14:$A$21,0))),Parámetros!$B$5))</f>
        <v/>
      </c>
      <c r="Q506" s="29" t="str">
        <f aca="false">IF(O506="","",(O506-P506)*100)</f>
        <v/>
      </c>
      <c r="R506" s="30" t="str">
        <f aca="false">IF(O506="","",MAX(0,M506*(P506-O506)))</f>
        <v/>
      </c>
      <c r="S506" s="31" t="str">
        <f aca="false">IF(OR(L506="",L506=0,N506=""),"",N506/1000/L506)</f>
        <v/>
      </c>
      <c r="T506" s="27"/>
      <c r="U506" s="27"/>
      <c r="V506" s="27"/>
      <c r="W506" s="27"/>
      <c r="X506" s="27"/>
      <c r="Y506" s="27"/>
      <c r="Z506" s="27"/>
      <c r="AA506" s="25"/>
      <c r="AB506" s="27"/>
      <c r="AC506" s="30" t="str">
        <f aca="false">IF(M506="","",IF(AB506="",M506*Parámetros!$B$6,AB506))</f>
        <v/>
      </c>
      <c r="AD506" s="30" t="str">
        <f aca="false">IF(M506="","",SUM(T506:Z506)+AC506)</f>
        <v/>
      </c>
      <c r="AE506" s="30" t="str">
        <f aca="false">IF(OR(M506="",N506=""),"",M506-N506)</f>
        <v/>
      </c>
      <c r="AF506" s="30" t="str">
        <f aca="false">IF(AE506="","",AE506-AD506)</f>
        <v/>
      </c>
      <c r="AG506" s="28" t="str">
        <f aca="false">IF(OR(AF506="",M506=0),"",AF506/M506)</f>
        <v/>
      </c>
      <c r="AH506" s="32" t="str">
        <f aca="false">IF(OR(AE506="",N506=0),"",AE506/(N506/1000))</f>
        <v/>
      </c>
      <c r="AI506" s="30" t="str">
        <f aca="false">IF(O506="","",M506*P506)</f>
        <v/>
      </c>
      <c r="AJ506" s="11" t="str">
        <f aca="false">IF(O506="","",IF(O506&gt;1,"Error: rend &gt; 100 %",IF(SUM(T506:Z506)=0,"Falta registrar pérdidas",IF(ABS(AG506)&gt;Parámetros!$B$7,"Revisar balance",IF(O506&lt;P506,"Bajo meta","OK")))))</f>
        <v/>
      </c>
      <c r="AK506" s="33"/>
      <c r="AL506" s="10"/>
      <c r="AM506" s="33"/>
      <c r="AN506" s="33"/>
      <c r="AO506" s="10"/>
    </row>
    <row r="507" customFormat="false" ht="15" hidden="false" customHeight="false" outlineLevel="0" collapsed="false">
      <c r="A507" s="22"/>
      <c r="B507" s="23" t="str">
        <f aca="false">IF(A507="","",YEAR(A507-WEEKDAY(A507,2)+4))</f>
        <v/>
      </c>
      <c r="C507" s="23" t="str">
        <f aca="false">IF(A507="","",WEEKNUM(A507,21))</f>
        <v/>
      </c>
      <c r="D507" s="24" t="str">
        <f aca="false">IF(A507="","",DATE(YEAR(A507),MONTH(A507),1))</f>
        <v/>
      </c>
      <c r="E507" s="10"/>
      <c r="F507" s="25"/>
      <c r="G507" s="25"/>
      <c r="H507" s="10"/>
      <c r="I507" s="10"/>
      <c r="J507" s="26"/>
      <c r="K507" s="25"/>
      <c r="L507" s="26"/>
      <c r="M507" s="27"/>
      <c r="N507" s="27"/>
      <c r="O507" s="28" t="str">
        <f aca="false">IF(OR(M507="",M507=0,N507=""),"",N507/M507)</f>
        <v/>
      </c>
      <c r="P507" s="28" t="str">
        <f aca="false">IF(M507="","",IFERROR(IF(INDEX(Parámetros!$B$14:$B$21,MATCH(I507,Parámetros!$A$14:$A$21,0))="",Parámetros!$B$5,INDEX(Parámetros!$B$14:$B$21,MATCH(I507,Parámetros!$A$14:$A$21,0))),Parámetros!$B$5))</f>
        <v/>
      </c>
      <c r="Q507" s="29" t="str">
        <f aca="false">IF(O507="","",(O507-P507)*100)</f>
        <v/>
      </c>
      <c r="R507" s="30" t="str">
        <f aca="false">IF(O507="","",MAX(0,M507*(P507-O507)))</f>
        <v/>
      </c>
      <c r="S507" s="31" t="str">
        <f aca="false">IF(OR(L507="",L507=0,N507=""),"",N507/1000/L507)</f>
        <v/>
      </c>
      <c r="T507" s="27"/>
      <c r="U507" s="27"/>
      <c r="V507" s="27"/>
      <c r="W507" s="27"/>
      <c r="X507" s="27"/>
      <c r="Y507" s="27"/>
      <c r="Z507" s="27"/>
      <c r="AA507" s="25"/>
      <c r="AB507" s="27"/>
      <c r="AC507" s="30" t="str">
        <f aca="false">IF(M507="","",IF(AB507="",M507*Parámetros!$B$6,AB507))</f>
        <v/>
      </c>
      <c r="AD507" s="30" t="str">
        <f aca="false">IF(M507="","",SUM(T507:Z507)+AC507)</f>
        <v/>
      </c>
      <c r="AE507" s="30" t="str">
        <f aca="false">IF(OR(M507="",N507=""),"",M507-N507)</f>
        <v/>
      </c>
      <c r="AF507" s="30" t="str">
        <f aca="false">IF(AE507="","",AE507-AD507)</f>
        <v/>
      </c>
      <c r="AG507" s="28" t="str">
        <f aca="false">IF(OR(AF507="",M507=0),"",AF507/M507)</f>
        <v/>
      </c>
      <c r="AH507" s="32" t="str">
        <f aca="false">IF(OR(AE507="",N507=0),"",AE507/(N507/1000))</f>
        <v/>
      </c>
      <c r="AI507" s="30" t="str">
        <f aca="false">IF(O507="","",M507*P507)</f>
        <v/>
      </c>
      <c r="AJ507" s="11" t="str">
        <f aca="false">IF(O507="","",IF(O507&gt;1,"Error: rend &gt; 100 %",IF(SUM(T507:Z507)=0,"Falta registrar pérdidas",IF(ABS(AG507)&gt;Parámetros!$B$7,"Revisar balance",IF(O507&lt;P507,"Bajo meta","OK")))))</f>
        <v/>
      </c>
      <c r="AK507" s="33"/>
      <c r="AL507" s="10"/>
      <c r="AM507" s="33"/>
      <c r="AN507" s="33"/>
      <c r="AO507" s="10"/>
    </row>
    <row r="508" customFormat="false" ht="15" hidden="false" customHeight="false" outlineLevel="0" collapsed="false">
      <c r="A508" s="22"/>
      <c r="B508" s="23" t="str">
        <f aca="false">IF(A508="","",YEAR(A508-WEEKDAY(A508,2)+4))</f>
        <v/>
      </c>
      <c r="C508" s="23" t="str">
        <f aca="false">IF(A508="","",WEEKNUM(A508,21))</f>
        <v/>
      </c>
      <c r="D508" s="24" t="str">
        <f aca="false">IF(A508="","",DATE(YEAR(A508),MONTH(A508),1))</f>
        <v/>
      </c>
      <c r="E508" s="10"/>
      <c r="F508" s="25"/>
      <c r="G508" s="25"/>
      <c r="H508" s="10"/>
      <c r="I508" s="10"/>
      <c r="J508" s="26"/>
      <c r="K508" s="25"/>
      <c r="L508" s="26"/>
      <c r="M508" s="27"/>
      <c r="N508" s="27"/>
      <c r="O508" s="28" t="str">
        <f aca="false">IF(OR(M508="",M508=0,N508=""),"",N508/M508)</f>
        <v/>
      </c>
      <c r="P508" s="28" t="str">
        <f aca="false">IF(M508="","",IFERROR(IF(INDEX(Parámetros!$B$14:$B$21,MATCH(I508,Parámetros!$A$14:$A$21,0))="",Parámetros!$B$5,INDEX(Parámetros!$B$14:$B$21,MATCH(I508,Parámetros!$A$14:$A$21,0))),Parámetros!$B$5))</f>
        <v/>
      </c>
      <c r="Q508" s="29" t="str">
        <f aca="false">IF(O508="","",(O508-P508)*100)</f>
        <v/>
      </c>
      <c r="R508" s="30" t="str">
        <f aca="false">IF(O508="","",MAX(0,M508*(P508-O508)))</f>
        <v/>
      </c>
      <c r="S508" s="31" t="str">
        <f aca="false">IF(OR(L508="",L508=0,N508=""),"",N508/1000/L508)</f>
        <v/>
      </c>
      <c r="T508" s="27"/>
      <c r="U508" s="27"/>
      <c r="V508" s="27"/>
      <c r="W508" s="27"/>
      <c r="X508" s="27"/>
      <c r="Y508" s="27"/>
      <c r="Z508" s="27"/>
      <c r="AA508" s="25"/>
      <c r="AB508" s="27"/>
      <c r="AC508" s="30" t="str">
        <f aca="false">IF(M508="","",IF(AB508="",M508*Parámetros!$B$6,AB508))</f>
        <v/>
      </c>
      <c r="AD508" s="30" t="str">
        <f aca="false">IF(M508="","",SUM(T508:Z508)+AC508)</f>
        <v/>
      </c>
      <c r="AE508" s="30" t="str">
        <f aca="false">IF(OR(M508="",N508=""),"",M508-N508)</f>
        <v/>
      </c>
      <c r="AF508" s="30" t="str">
        <f aca="false">IF(AE508="","",AE508-AD508)</f>
        <v/>
      </c>
      <c r="AG508" s="28" t="str">
        <f aca="false">IF(OR(AF508="",M508=0),"",AF508/M508)</f>
        <v/>
      </c>
      <c r="AH508" s="32" t="str">
        <f aca="false">IF(OR(AE508="",N508=0),"",AE508/(N508/1000))</f>
        <v/>
      </c>
      <c r="AI508" s="30" t="str">
        <f aca="false">IF(O508="","",M508*P508)</f>
        <v/>
      </c>
      <c r="AJ508" s="11" t="str">
        <f aca="false">IF(O508="","",IF(O508&gt;1,"Error: rend &gt; 100 %",IF(SUM(T508:Z508)=0,"Falta registrar pérdidas",IF(ABS(AG508)&gt;Parámetros!$B$7,"Revisar balance",IF(O508&lt;P508,"Bajo meta","OK")))))</f>
        <v/>
      </c>
      <c r="AK508" s="33"/>
      <c r="AL508" s="10"/>
      <c r="AM508" s="33"/>
      <c r="AN508" s="33"/>
      <c r="AO508" s="10"/>
    </row>
    <row r="509" customFormat="false" ht="15" hidden="false" customHeight="false" outlineLevel="0" collapsed="false">
      <c r="A509" s="22"/>
      <c r="B509" s="23" t="str">
        <f aca="false">IF(A509="","",YEAR(A509-WEEKDAY(A509,2)+4))</f>
        <v/>
      </c>
      <c r="C509" s="23" t="str">
        <f aca="false">IF(A509="","",WEEKNUM(A509,21))</f>
        <v/>
      </c>
      <c r="D509" s="24" t="str">
        <f aca="false">IF(A509="","",DATE(YEAR(A509),MONTH(A509),1))</f>
        <v/>
      </c>
      <c r="E509" s="10"/>
      <c r="F509" s="25"/>
      <c r="G509" s="25"/>
      <c r="H509" s="10"/>
      <c r="I509" s="10"/>
      <c r="J509" s="26"/>
      <c r="K509" s="25"/>
      <c r="L509" s="26"/>
      <c r="M509" s="27"/>
      <c r="N509" s="27"/>
      <c r="O509" s="28" t="str">
        <f aca="false">IF(OR(M509="",M509=0,N509=""),"",N509/M509)</f>
        <v/>
      </c>
      <c r="P509" s="28" t="str">
        <f aca="false">IF(M509="","",IFERROR(IF(INDEX(Parámetros!$B$14:$B$21,MATCH(I509,Parámetros!$A$14:$A$21,0))="",Parámetros!$B$5,INDEX(Parámetros!$B$14:$B$21,MATCH(I509,Parámetros!$A$14:$A$21,0))),Parámetros!$B$5))</f>
        <v/>
      </c>
      <c r="Q509" s="29" t="str">
        <f aca="false">IF(O509="","",(O509-P509)*100)</f>
        <v/>
      </c>
      <c r="R509" s="30" t="str">
        <f aca="false">IF(O509="","",MAX(0,M509*(P509-O509)))</f>
        <v/>
      </c>
      <c r="S509" s="31" t="str">
        <f aca="false">IF(OR(L509="",L509=0,N509=""),"",N509/1000/L509)</f>
        <v/>
      </c>
      <c r="T509" s="27"/>
      <c r="U509" s="27"/>
      <c r="V509" s="27"/>
      <c r="W509" s="27"/>
      <c r="X509" s="27"/>
      <c r="Y509" s="27"/>
      <c r="Z509" s="27"/>
      <c r="AA509" s="25"/>
      <c r="AB509" s="27"/>
      <c r="AC509" s="30" t="str">
        <f aca="false">IF(M509="","",IF(AB509="",M509*Parámetros!$B$6,AB509))</f>
        <v/>
      </c>
      <c r="AD509" s="30" t="str">
        <f aca="false">IF(M509="","",SUM(T509:Z509)+AC509)</f>
        <v/>
      </c>
      <c r="AE509" s="30" t="str">
        <f aca="false">IF(OR(M509="",N509=""),"",M509-N509)</f>
        <v/>
      </c>
      <c r="AF509" s="30" t="str">
        <f aca="false">IF(AE509="","",AE509-AD509)</f>
        <v/>
      </c>
      <c r="AG509" s="28" t="str">
        <f aca="false">IF(OR(AF509="",M509=0),"",AF509/M509)</f>
        <v/>
      </c>
      <c r="AH509" s="32" t="str">
        <f aca="false">IF(OR(AE509="",N509=0),"",AE509/(N509/1000))</f>
        <v/>
      </c>
      <c r="AI509" s="30" t="str">
        <f aca="false">IF(O509="","",M509*P509)</f>
        <v/>
      </c>
      <c r="AJ509" s="11" t="str">
        <f aca="false">IF(O509="","",IF(O509&gt;1,"Error: rend &gt; 100 %",IF(SUM(T509:Z509)=0,"Falta registrar pérdidas",IF(ABS(AG509)&gt;Parámetros!$B$7,"Revisar balance",IF(O509&lt;P509,"Bajo meta","OK")))))</f>
        <v/>
      </c>
      <c r="AK509" s="33"/>
      <c r="AL509" s="10"/>
      <c r="AM509" s="33"/>
      <c r="AN509" s="33"/>
      <c r="AO509" s="10"/>
    </row>
    <row r="510" customFormat="false" ht="15" hidden="false" customHeight="false" outlineLevel="0" collapsed="false">
      <c r="A510" s="22"/>
      <c r="B510" s="23" t="str">
        <f aca="false">IF(A510="","",YEAR(A510-WEEKDAY(A510,2)+4))</f>
        <v/>
      </c>
      <c r="C510" s="23" t="str">
        <f aca="false">IF(A510="","",WEEKNUM(A510,21))</f>
        <v/>
      </c>
      <c r="D510" s="24" t="str">
        <f aca="false">IF(A510="","",DATE(YEAR(A510),MONTH(A510),1))</f>
        <v/>
      </c>
      <c r="E510" s="10"/>
      <c r="F510" s="25"/>
      <c r="G510" s="25"/>
      <c r="H510" s="10"/>
      <c r="I510" s="10"/>
      <c r="J510" s="26"/>
      <c r="K510" s="25"/>
      <c r="L510" s="26"/>
      <c r="M510" s="27"/>
      <c r="N510" s="27"/>
      <c r="O510" s="28" t="str">
        <f aca="false">IF(OR(M510="",M510=0,N510=""),"",N510/M510)</f>
        <v/>
      </c>
      <c r="P510" s="28" t="str">
        <f aca="false">IF(M510="","",IFERROR(IF(INDEX(Parámetros!$B$14:$B$21,MATCH(I510,Parámetros!$A$14:$A$21,0))="",Parámetros!$B$5,INDEX(Parámetros!$B$14:$B$21,MATCH(I510,Parámetros!$A$14:$A$21,0))),Parámetros!$B$5))</f>
        <v/>
      </c>
      <c r="Q510" s="29" t="str">
        <f aca="false">IF(O510="","",(O510-P510)*100)</f>
        <v/>
      </c>
      <c r="R510" s="30" t="str">
        <f aca="false">IF(O510="","",MAX(0,M510*(P510-O510)))</f>
        <v/>
      </c>
      <c r="S510" s="31" t="str">
        <f aca="false">IF(OR(L510="",L510=0,N510=""),"",N510/1000/L510)</f>
        <v/>
      </c>
      <c r="T510" s="27"/>
      <c r="U510" s="27"/>
      <c r="V510" s="27"/>
      <c r="W510" s="27"/>
      <c r="X510" s="27"/>
      <c r="Y510" s="27"/>
      <c r="Z510" s="27"/>
      <c r="AA510" s="25"/>
      <c r="AB510" s="27"/>
      <c r="AC510" s="30" t="str">
        <f aca="false">IF(M510="","",IF(AB510="",M510*Parámetros!$B$6,AB510))</f>
        <v/>
      </c>
      <c r="AD510" s="30" t="str">
        <f aca="false">IF(M510="","",SUM(T510:Z510)+AC510)</f>
        <v/>
      </c>
      <c r="AE510" s="30" t="str">
        <f aca="false">IF(OR(M510="",N510=""),"",M510-N510)</f>
        <v/>
      </c>
      <c r="AF510" s="30" t="str">
        <f aca="false">IF(AE510="","",AE510-AD510)</f>
        <v/>
      </c>
      <c r="AG510" s="28" t="str">
        <f aca="false">IF(OR(AF510="",M510=0),"",AF510/M510)</f>
        <v/>
      </c>
      <c r="AH510" s="32" t="str">
        <f aca="false">IF(OR(AE510="",N510=0),"",AE510/(N510/1000))</f>
        <v/>
      </c>
      <c r="AI510" s="30" t="str">
        <f aca="false">IF(O510="","",M510*P510)</f>
        <v/>
      </c>
      <c r="AJ510" s="11" t="str">
        <f aca="false">IF(O510="","",IF(O510&gt;1,"Error: rend &gt; 100 %",IF(SUM(T510:Z510)=0,"Falta registrar pérdidas",IF(ABS(AG510)&gt;Parámetros!$B$7,"Revisar balance",IF(O510&lt;P510,"Bajo meta","OK")))))</f>
        <v/>
      </c>
      <c r="AK510" s="33"/>
      <c r="AL510" s="10"/>
      <c r="AM510" s="33"/>
      <c r="AN510" s="33"/>
      <c r="AO510" s="10"/>
    </row>
    <row r="511" customFormat="false" ht="15" hidden="false" customHeight="false" outlineLevel="0" collapsed="false">
      <c r="A511" s="22"/>
      <c r="B511" s="23" t="str">
        <f aca="false">IF(A511="","",YEAR(A511-WEEKDAY(A511,2)+4))</f>
        <v/>
      </c>
      <c r="C511" s="23" t="str">
        <f aca="false">IF(A511="","",WEEKNUM(A511,21))</f>
        <v/>
      </c>
      <c r="D511" s="24" t="str">
        <f aca="false">IF(A511="","",DATE(YEAR(A511),MONTH(A511),1))</f>
        <v/>
      </c>
      <c r="E511" s="10"/>
      <c r="F511" s="25"/>
      <c r="G511" s="25"/>
      <c r="H511" s="10"/>
      <c r="I511" s="10"/>
      <c r="J511" s="26"/>
      <c r="K511" s="25"/>
      <c r="L511" s="26"/>
      <c r="M511" s="27"/>
      <c r="N511" s="27"/>
      <c r="O511" s="28" t="str">
        <f aca="false">IF(OR(M511="",M511=0,N511=""),"",N511/M511)</f>
        <v/>
      </c>
      <c r="P511" s="28" t="str">
        <f aca="false">IF(M511="","",IFERROR(IF(INDEX(Parámetros!$B$14:$B$21,MATCH(I511,Parámetros!$A$14:$A$21,0))="",Parámetros!$B$5,INDEX(Parámetros!$B$14:$B$21,MATCH(I511,Parámetros!$A$14:$A$21,0))),Parámetros!$B$5))</f>
        <v/>
      </c>
      <c r="Q511" s="29" t="str">
        <f aca="false">IF(O511="","",(O511-P511)*100)</f>
        <v/>
      </c>
      <c r="R511" s="30" t="str">
        <f aca="false">IF(O511="","",MAX(0,M511*(P511-O511)))</f>
        <v/>
      </c>
      <c r="S511" s="31" t="str">
        <f aca="false">IF(OR(L511="",L511=0,N511=""),"",N511/1000/L511)</f>
        <v/>
      </c>
      <c r="T511" s="27"/>
      <c r="U511" s="27"/>
      <c r="V511" s="27"/>
      <c r="W511" s="27"/>
      <c r="X511" s="27"/>
      <c r="Y511" s="27"/>
      <c r="Z511" s="27"/>
      <c r="AA511" s="25"/>
      <c r="AB511" s="27"/>
      <c r="AC511" s="30" t="str">
        <f aca="false">IF(M511="","",IF(AB511="",M511*Parámetros!$B$6,AB511))</f>
        <v/>
      </c>
      <c r="AD511" s="30" t="str">
        <f aca="false">IF(M511="","",SUM(T511:Z511)+AC511)</f>
        <v/>
      </c>
      <c r="AE511" s="30" t="str">
        <f aca="false">IF(OR(M511="",N511=""),"",M511-N511)</f>
        <v/>
      </c>
      <c r="AF511" s="30" t="str">
        <f aca="false">IF(AE511="","",AE511-AD511)</f>
        <v/>
      </c>
      <c r="AG511" s="28" t="str">
        <f aca="false">IF(OR(AF511="",M511=0),"",AF511/M511)</f>
        <v/>
      </c>
      <c r="AH511" s="32" t="str">
        <f aca="false">IF(OR(AE511="",N511=0),"",AE511/(N511/1000))</f>
        <v/>
      </c>
      <c r="AI511" s="30" t="str">
        <f aca="false">IF(O511="","",M511*P511)</f>
        <v/>
      </c>
      <c r="AJ511" s="11" t="str">
        <f aca="false">IF(O511="","",IF(O511&gt;1,"Error: rend &gt; 100 %",IF(SUM(T511:Z511)=0,"Falta registrar pérdidas",IF(ABS(AG511)&gt;Parámetros!$B$7,"Revisar balance",IF(O511&lt;P511,"Bajo meta","OK")))))</f>
        <v/>
      </c>
      <c r="AK511" s="33"/>
      <c r="AL511" s="10"/>
      <c r="AM511" s="33"/>
      <c r="AN511" s="33"/>
      <c r="AO511" s="10"/>
    </row>
    <row r="512" customFormat="false" ht="15" hidden="false" customHeight="false" outlineLevel="0" collapsed="false">
      <c r="A512" s="22"/>
      <c r="B512" s="23" t="str">
        <f aca="false">IF(A512="","",YEAR(A512-WEEKDAY(A512,2)+4))</f>
        <v/>
      </c>
      <c r="C512" s="23" t="str">
        <f aca="false">IF(A512="","",WEEKNUM(A512,21))</f>
        <v/>
      </c>
      <c r="D512" s="24" t="str">
        <f aca="false">IF(A512="","",DATE(YEAR(A512),MONTH(A512),1))</f>
        <v/>
      </c>
      <c r="E512" s="10"/>
      <c r="F512" s="25"/>
      <c r="G512" s="25"/>
      <c r="H512" s="10"/>
      <c r="I512" s="10"/>
      <c r="J512" s="26"/>
      <c r="K512" s="25"/>
      <c r="L512" s="26"/>
      <c r="M512" s="27"/>
      <c r="N512" s="27"/>
      <c r="O512" s="28" t="str">
        <f aca="false">IF(OR(M512="",M512=0,N512=""),"",N512/M512)</f>
        <v/>
      </c>
      <c r="P512" s="28" t="str">
        <f aca="false">IF(M512="","",IFERROR(IF(INDEX(Parámetros!$B$14:$B$21,MATCH(I512,Parámetros!$A$14:$A$21,0))="",Parámetros!$B$5,INDEX(Parámetros!$B$14:$B$21,MATCH(I512,Parámetros!$A$14:$A$21,0))),Parámetros!$B$5))</f>
        <v/>
      </c>
      <c r="Q512" s="29" t="str">
        <f aca="false">IF(O512="","",(O512-P512)*100)</f>
        <v/>
      </c>
      <c r="R512" s="30" t="str">
        <f aca="false">IF(O512="","",MAX(0,M512*(P512-O512)))</f>
        <v/>
      </c>
      <c r="S512" s="31" t="str">
        <f aca="false">IF(OR(L512="",L512=0,N512=""),"",N512/1000/L512)</f>
        <v/>
      </c>
      <c r="T512" s="27"/>
      <c r="U512" s="27"/>
      <c r="V512" s="27"/>
      <c r="W512" s="27"/>
      <c r="X512" s="27"/>
      <c r="Y512" s="27"/>
      <c r="Z512" s="27"/>
      <c r="AA512" s="25"/>
      <c r="AB512" s="27"/>
      <c r="AC512" s="30" t="str">
        <f aca="false">IF(M512="","",IF(AB512="",M512*Parámetros!$B$6,AB512))</f>
        <v/>
      </c>
      <c r="AD512" s="30" t="str">
        <f aca="false">IF(M512="","",SUM(T512:Z512)+AC512)</f>
        <v/>
      </c>
      <c r="AE512" s="30" t="str">
        <f aca="false">IF(OR(M512="",N512=""),"",M512-N512)</f>
        <v/>
      </c>
      <c r="AF512" s="30" t="str">
        <f aca="false">IF(AE512="","",AE512-AD512)</f>
        <v/>
      </c>
      <c r="AG512" s="28" t="str">
        <f aca="false">IF(OR(AF512="",M512=0),"",AF512/M512)</f>
        <v/>
      </c>
      <c r="AH512" s="32" t="str">
        <f aca="false">IF(OR(AE512="",N512=0),"",AE512/(N512/1000))</f>
        <v/>
      </c>
      <c r="AI512" s="30" t="str">
        <f aca="false">IF(O512="","",M512*P512)</f>
        <v/>
      </c>
      <c r="AJ512" s="11" t="str">
        <f aca="false">IF(O512="","",IF(O512&gt;1,"Error: rend &gt; 100 %",IF(SUM(T512:Z512)=0,"Falta registrar pérdidas",IF(ABS(AG512)&gt;Parámetros!$B$7,"Revisar balance",IF(O512&lt;P512,"Bajo meta","OK")))))</f>
        <v/>
      </c>
      <c r="AK512" s="33"/>
      <c r="AL512" s="10"/>
      <c r="AM512" s="33"/>
      <c r="AN512" s="33"/>
      <c r="AO512" s="10"/>
    </row>
    <row r="513" customFormat="false" ht="15" hidden="false" customHeight="false" outlineLevel="0" collapsed="false">
      <c r="A513" s="22"/>
      <c r="B513" s="23" t="str">
        <f aca="false">IF(A513="","",YEAR(A513-WEEKDAY(A513,2)+4))</f>
        <v/>
      </c>
      <c r="C513" s="23" t="str">
        <f aca="false">IF(A513="","",WEEKNUM(A513,21))</f>
        <v/>
      </c>
      <c r="D513" s="24" t="str">
        <f aca="false">IF(A513="","",DATE(YEAR(A513),MONTH(A513),1))</f>
        <v/>
      </c>
      <c r="E513" s="10"/>
      <c r="F513" s="25"/>
      <c r="G513" s="25"/>
      <c r="H513" s="10"/>
      <c r="I513" s="10"/>
      <c r="J513" s="26"/>
      <c r="K513" s="25"/>
      <c r="L513" s="26"/>
      <c r="M513" s="27"/>
      <c r="N513" s="27"/>
      <c r="O513" s="28" t="str">
        <f aca="false">IF(OR(M513="",M513=0,N513=""),"",N513/M513)</f>
        <v/>
      </c>
      <c r="P513" s="28" t="str">
        <f aca="false">IF(M513="","",IFERROR(IF(INDEX(Parámetros!$B$14:$B$21,MATCH(I513,Parámetros!$A$14:$A$21,0))="",Parámetros!$B$5,INDEX(Parámetros!$B$14:$B$21,MATCH(I513,Parámetros!$A$14:$A$21,0))),Parámetros!$B$5))</f>
        <v/>
      </c>
      <c r="Q513" s="29" t="str">
        <f aca="false">IF(O513="","",(O513-P513)*100)</f>
        <v/>
      </c>
      <c r="R513" s="30" t="str">
        <f aca="false">IF(O513="","",MAX(0,M513*(P513-O513)))</f>
        <v/>
      </c>
      <c r="S513" s="31" t="str">
        <f aca="false">IF(OR(L513="",L513=0,N513=""),"",N513/1000/L513)</f>
        <v/>
      </c>
      <c r="T513" s="27"/>
      <c r="U513" s="27"/>
      <c r="V513" s="27"/>
      <c r="W513" s="27"/>
      <c r="X513" s="27"/>
      <c r="Y513" s="27"/>
      <c r="Z513" s="27"/>
      <c r="AA513" s="25"/>
      <c r="AB513" s="27"/>
      <c r="AC513" s="30" t="str">
        <f aca="false">IF(M513="","",IF(AB513="",M513*Parámetros!$B$6,AB513))</f>
        <v/>
      </c>
      <c r="AD513" s="30" t="str">
        <f aca="false">IF(M513="","",SUM(T513:Z513)+AC513)</f>
        <v/>
      </c>
      <c r="AE513" s="30" t="str">
        <f aca="false">IF(OR(M513="",N513=""),"",M513-N513)</f>
        <v/>
      </c>
      <c r="AF513" s="30" t="str">
        <f aca="false">IF(AE513="","",AE513-AD513)</f>
        <v/>
      </c>
      <c r="AG513" s="28" t="str">
        <f aca="false">IF(OR(AF513="",M513=0),"",AF513/M513)</f>
        <v/>
      </c>
      <c r="AH513" s="32" t="str">
        <f aca="false">IF(OR(AE513="",N513=0),"",AE513/(N513/1000))</f>
        <v/>
      </c>
      <c r="AI513" s="30" t="str">
        <f aca="false">IF(O513="","",M513*P513)</f>
        <v/>
      </c>
      <c r="AJ513" s="11" t="str">
        <f aca="false">IF(O513="","",IF(O513&gt;1,"Error: rend &gt; 100 %",IF(SUM(T513:Z513)=0,"Falta registrar pérdidas",IF(ABS(AG513)&gt;Parámetros!$B$7,"Revisar balance",IF(O513&lt;P513,"Bajo meta","OK")))))</f>
        <v/>
      </c>
      <c r="AK513" s="33"/>
      <c r="AL513" s="10"/>
      <c r="AM513" s="33"/>
      <c r="AN513" s="33"/>
      <c r="AO513" s="10"/>
    </row>
    <row r="514" customFormat="false" ht="15" hidden="false" customHeight="false" outlineLevel="0" collapsed="false">
      <c r="A514" s="22"/>
      <c r="B514" s="23" t="str">
        <f aca="false">IF(A514="","",YEAR(A514-WEEKDAY(A514,2)+4))</f>
        <v/>
      </c>
      <c r="C514" s="23" t="str">
        <f aca="false">IF(A514="","",WEEKNUM(A514,21))</f>
        <v/>
      </c>
      <c r="D514" s="24" t="str">
        <f aca="false">IF(A514="","",DATE(YEAR(A514),MONTH(A514),1))</f>
        <v/>
      </c>
      <c r="E514" s="10"/>
      <c r="F514" s="25"/>
      <c r="G514" s="25"/>
      <c r="H514" s="10"/>
      <c r="I514" s="10"/>
      <c r="J514" s="26"/>
      <c r="K514" s="25"/>
      <c r="L514" s="26"/>
      <c r="M514" s="27"/>
      <c r="N514" s="27"/>
      <c r="O514" s="28" t="str">
        <f aca="false">IF(OR(M514="",M514=0,N514=""),"",N514/M514)</f>
        <v/>
      </c>
      <c r="P514" s="28" t="str">
        <f aca="false">IF(M514="","",IFERROR(IF(INDEX(Parámetros!$B$14:$B$21,MATCH(I514,Parámetros!$A$14:$A$21,0))="",Parámetros!$B$5,INDEX(Parámetros!$B$14:$B$21,MATCH(I514,Parámetros!$A$14:$A$21,0))),Parámetros!$B$5))</f>
        <v/>
      </c>
      <c r="Q514" s="29" t="str">
        <f aca="false">IF(O514="","",(O514-P514)*100)</f>
        <v/>
      </c>
      <c r="R514" s="30" t="str">
        <f aca="false">IF(O514="","",MAX(0,M514*(P514-O514)))</f>
        <v/>
      </c>
      <c r="S514" s="31" t="str">
        <f aca="false">IF(OR(L514="",L514=0,N514=""),"",N514/1000/L514)</f>
        <v/>
      </c>
      <c r="T514" s="27"/>
      <c r="U514" s="27"/>
      <c r="V514" s="27"/>
      <c r="W514" s="27"/>
      <c r="X514" s="27"/>
      <c r="Y514" s="27"/>
      <c r="Z514" s="27"/>
      <c r="AA514" s="25"/>
      <c r="AB514" s="27"/>
      <c r="AC514" s="30" t="str">
        <f aca="false">IF(M514="","",IF(AB514="",M514*Parámetros!$B$6,AB514))</f>
        <v/>
      </c>
      <c r="AD514" s="30" t="str">
        <f aca="false">IF(M514="","",SUM(T514:Z514)+AC514)</f>
        <v/>
      </c>
      <c r="AE514" s="30" t="str">
        <f aca="false">IF(OR(M514="",N514=""),"",M514-N514)</f>
        <v/>
      </c>
      <c r="AF514" s="30" t="str">
        <f aca="false">IF(AE514="","",AE514-AD514)</f>
        <v/>
      </c>
      <c r="AG514" s="28" t="str">
        <f aca="false">IF(OR(AF514="",M514=0),"",AF514/M514)</f>
        <v/>
      </c>
      <c r="AH514" s="32" t="str">
        <f aca="false">IF(OR(AE514="",N514=0),"",AE514/(N514/1000))</f>
        <v/>
      </c>
      <c r="AI514" s="30" t="str">
        <f aca="false">IF(O514="","",M514*P514)</f>
        <v/>
      </c>
      <c r="AJ514" s="11" t="str">
        <f aca="false">IF(O514="","",IF(O514&gt;1,"Error: rend &gt; 100 %",IF(SUM(T514:Z514)=0,"Falta registrar pérdidas",IF(ABS(AG514)&gt;Parámetros!$B$7,"Revisar balance",IF(O514&lt;P514,"Bajo meta","OK")))))</f>
        <v/>
      </c>
      <c r="AK514" s="33"/>
      <c r="AL514" s="10"/>
      <c r="AM514" s="33"/>
      <c r="AN514" s="33"/>
      <c r="AO514" s="10"/>
    </row>
    <row r="515" customFormat="false" ht="15" hidden="false" customHeight="false" outlineLevel="0" collapsed="false">
      <c r="A515" s="22"/>
      <c r="B515" s="23" t="str">
        <f aca="false">IF(A515="","",YEAR(A515-WEEKDAY(A515,2)+4))</f>
        <v/>
      </c>
      <c r="C515" s="23" t="str">
        <f aca="false">IF(A515="","",WEEKNUM(A515,21))</f>
        <v/>
      </c>
      <c r="D515" s="24" t="str">
        <f aca="false">IF(A515="","",DATE(YEAR(A515),MONTH(A515),1))</f>
        <v/>
      </c>
      <c r="E515" s="10"/>
      <c r="F515" s="25"/>
      <c r="G515" s="25"/>
      <c r="H515" s="10"/>
      <c r="I515" s="10"/>
      <c r="J515" s="26"/>
      <c r="K515" s="25"/>
      <c r="L515" s="26"/>
      <c r="M515" s="27"/>
      <c r="N515" s="27"/>
      <c r="O515" s="28" t="str">
        <f aca="false">IF(OR(M515="",M515=0,N515=""),"",N515/M515)</f>
        <v/>
      </c>
      <c r="P515" s="28" t="str">
        <f aca="false">IF(M515="","",IFERROR(IF(INDEX(Parámetros!$B$14:$B$21,MATCH(I515,Parámetros!$A$14:$A$21,0))="",Parámetros!$B$5,INDEX(Parámetros!$B$14:$B$21,MATCH(I515,Parámetros!$A$14:$A$21,0))),Parámetros!$B$5))</f>
        <v/>
      </c>
      <c r="Q515" s="29" t="str">
        <f aca="false">IF(O515="","",(O515-P515)*100)</f>
        <v/>
      </c>
      <c r="R515" s="30" t="str">
        <f aca="false">IF(O515="","",MAX(0,M515*(P515-O515)))</f>
        <v/>
      </c>
      <c r="S515" s="31" t="str">
        <f aca="false">IF(OR(L515="",L515=0,N515=""),"",N515/1000/L515)</f>
        <v/>
      </c>
      <c r="T515" s="27"/>
      <c r="U515" s="27"/>
      <c r="V515" s="27"/>
      <c r="W515" s="27"/>
      <c r="X515" s="27"/>
      <c r="Y515" s="27"/>
      <c r="Z515" s="27"/>
      <c r="AA515" s="25"/>
      <c r="AB515" s="27"/>
      <c r="AC515" s="30" t="str">
        <f aca="false">IF(M515="","",IF(AB515="",M515*Parámetros!$B$6,AB515))</f>
        <v/>
      </c>
      <c r="AD515" s="30" t="str">
        <f aca="false">IF(M515="","",SUM(T515:Z515)+AC515)</f>
        <v/>
      </c>
      <c r="AE515" s="30" t="str">
        <f aca="false">IF(OR(M515="",N515=""),"",M515-N515)</f>
        <v/>
      </c>
      <c r="AF515" s="30" t="str">
        <f aca="false">IF(AE515="","",AE515-AD515)</f>
        <v/>
      </c>
      <c r="AG515" s="28" t="str">
        <f aca="false">IF(OR(AF515="",M515=0),"",AF515/M515)</f>
        <v/>
      </c>
      <c r="AH515" s="32" t="str">
        <f aca="false">IF(OR(AE515="",N515=0),"",AE515/(N515/1000))</f>
        <v/>
      </c>
      <c r="AI515" s="30" t="str">
        <f aca="false">IF(O515="","",M515*P515)</f>
        <v/>
      </c>
      <c r="AJ515" s="11" t="str">
        <f aca="false">IF(O515="","",IF(O515&gt;1,"Error: rend &gt; 100 %",IF(SUM(T515:Z515)=0,"Falta registrar pérdidas",IF(ABS(AG515)&gt;Parámetros!$B$7,"Revisar balance",IF(O515&lt;P515,"Bajo meta","OK")))))</f>
        <v/>
      </c>
      <c r="AK515" s="33"/>
      <c r="AL515" s="10"/>
      <c r="AM515" s="33"/>
      <c r="AN515" s="33"/>
      <c r="AO515" s="10"/>
    </row>
    <row r="516" customFormat="false" ht="15" hidden="false" customHeight="false" outlineLevel="0" collapsed="false">
      <c r="A516" s="22"/>
      <c r="B516" s="23" t="str">
        <f aca="false">IF(A516="","",YEAR(A516-WEEKDAY(A516,2)+4))</f>
        <v/>
      </c>
      <c r="C516" s="23" t="str">
        <f aca="false">IF(A516="","",WEEKNUM(A516,21))</f>
        <v/>
      </c>
      <c r="D516" s="24" t="str">
        <f aca="false">IF(A516="","",DATE(YEAR(A516),MONTH(A516),1))</f>
        <v/>
      </c>
      <c r="E516" s="10"/>
      <c r="F516" s="25"/>
      <c r="G516" s="25"/>
      <c r="H516" s="10"/>
      <c r="I516" s="10"/>
      <c r="J516" s="26"/>
      <c r="K516" s="25"/>
      <c r="L516" s="26"/>
      <c r="M516" s="27"/>
      <c r="N516" s="27"/>
      <c r="O516" s="28" t="str">
        <f aca="false">IF(OR(M516="",M516=0,N516=""),"",N516/M516)</f>
        <v/>
      </c>
      <c r="P516" s="28" t="str">
        <f aca="false">IF(M516="","",IFERROR(IF(INDEX(Parámetros!$B$14:$B$21,MATCH(I516,Parámetros!$A$14:$A$21,0))="",Parámetros!$B$5,INDEX(Parámetros!$B$14:$B$21,MATCH(I516,Parámetros!$A$14:$A$21,0))),Parámetros!$B$5))</f>
        <v/>
      </c>
      <c r="Q516" s="29" t="str">
        <f aca="false">IF(O516="","",(O516-P516)*100)</f>
        <v/>
      </c>
      <c r="R516" s="30" t="str">
        <f aca="false">IF(O516="","",MAX(0,M516*(P516-O516)))</f>
        <v/>
      </c>
      <c r="S516" s="31" t="str">
        <f aca="false">IF(OR(L516="",L516=0,N516=""),"",N516/1000/L516)</f>
        <v/>
      </c>
      <c r="T516" s="27"/>
      <c r="U516" s="27"/>
      <c r="V516" s="27"/>
      <c r="W516" s="27"/>
      <c r="X516" s="27"/>
      <c r="Y516" s="27"/>
      <c r="Z516" s="27"/>
      <c r="AA516" s="25"/>
      <c r="AB516" s="27"/>
      <c r="AC516" s="30" t="str">
        <f aca="false">IF(M516="","",IF(AB516="",M516*Parámetros!$B$6,AB516))</f>
        <v/>
      </c>
      <c r="AD516" s="30" t="str">
        <f aca="false">IF(M516="","",SUM(T516:Z516)+AC516)</f>
        <v/>
      </c>
      <c r="AE516" s="30" t="str">
        <f aca="false">IF(OR(M516="",N516=""),"",M516-N516)</f>
        <v/>
      </c>
      <c r="AF516" s="30" t="str">
        <f aca="false">IF(AE516="","",AE516-AD516)</f>
        <v/>
      </c>
      <c r="AG516" s="28" t="str">
        <f aca="false">IF(OR(AF516="",M516=0),"",AF516/M516)</f>
        <v/>
      </c>
      <c r="AH516" s="32" t="str">
        <f aca="false">IF(OR(AE516="",N516=0),"",AE516/(N516/1000))</f>
        <v/>
      </c>
      <c r="AI516" s="30" t="str">
        <f aca="false">IF(O516="","",M516*P516)</f>
        <v/>
      </c>
      <c r="AJ516" s="11" t="str">
        <f aca="false">IF(O516="","",IF(O516&gt;1,"Error: rend &gt; 100 %",IF(SUM(T516:Z516)=0,"Falta registrar pérdidas",IF(ABS(AG516)&gt;Parámetros!$B$7,"Revisar balance",IF(O516&lt;P516,"Bajo meta","OK")))))</f>
        <v/>
      </c>
      <c r="AK516" s="33"/>
      <c r="AL516" s="10"/>
      <c r="AM516" s="33"/>
      <c r="AN516" s="33"/>
      <c r="AO516" s="10"/>
    </row>
    <row r="517" customFormat="false" ht="15" hidden="false" customHeight="false" outlineLevel="0" collapsed="false">
      <c r="A517" s="22"/>
      <c r="B517" s="23" t="str">
        <f aca="false">IF(A517="","",YEAR(A517-WEEKDAY(A517,2)+4))</f>
        <v/>
      </c>
      <c r="C517" s="23" t="str">
        <f aca="false">IF(A517="","",WEEKNUM(A517,21))</f>
        <v/>
      </c>
      <c r="D517" s="24" t="str">
        <f aca="false">IF(A517="","",DATE(YEAR(A517),MONTH(A517),1))</f>
        <v/>
      </c>
      <c r="E517" s="10"/>
      <c r="F517" s="25"/>
      <c r="G517" s="25"/>
      <c r="H517" s="10"/>
      <c r="I517" s="10"/>
      <c r="J517" s="26"/>
      <c r="K517" s="25"/>
      <c r="L517" s="26"/>
      <c r="M517" s="27"/>
      <c r="N517" s="27"/>
      <c r="O517" s="28" t="str">
        <f aca="false">IF(OR(M517="",M517=0,N517=""),"",N517/M517)</f>
        <v/>
      </c>
      <c r="P517" s="28" t="str">
        <f aca="false">IF(M517="","",IFERROR(IF(INDEX(Parámetros!$B$14:$B$21,MATCH(I517,Parámetros!$A$14:$A$21,0))="",Parámetros!$B$5,INDEX(Parámetros!$B$14:$B$21,MATCH(I517,Parámetros!$A$14:$A$21,0))),Parámetros!$B$5))</f>
        <v/>
      </c>
      <c r="Q517" s="29" t="str">
        <f aca="false">IF(O517="","",(O517-P517)*100)</f>
        <v/>
      </c>
      <c r="R517" s="30" t="str">
        <f aca="false">IF(O517="","",MAX(0,M517*(P517-O517)))</f>
        <v/>
      </c>
      <c r="S517" s="31" t="str">
        <f aca="false">IF(OR(L517="",L517=0,N517=""),"",N517/1000/L517)</f>
        <v/>
      </c>
      <c r="T517" s="27"/>
      <c r="U517" s="27"/>
      <c r="V517" s="27"/>
      <c r="W517" s="27"/>
      <c r="X517" s="27"/>
      <c r="Y517" s="27"/>
      <c r="Z517" s="27"/>
      <c r="AA517" s="25"/>
      <c r="AB517" s="27"/>
      <c r="AC517" s="30" t="str">
        <f aca="false">IF(M517="","",IF(AB517="",M517*Parámetros!$B$6,AB517))</f>
        <v/>
      </c>
      <c r="AD517" s="30" t="str">
        <f aca="false">IF(M517="","",SUM(T517:Z517)+AC517)</f>
        <v/>
      </c>
      <c r="AE517" s="30" t="str">
        <f aca="false">IF(OR(M517="",N517=""),"",M517-N517)</f>
        <v/>
      </c>
      <c r="AF517" s="30" t="str">
        <f aca="false">IF(AE517="","",AE517-AD517)</f>
        <v/>
      </c>
      <c r="AG517" s="28" t="str">
        <f aca="false">IF(OR(AF517="",M517=0),"",AF517/M517)</f>
        <v/>
      </c>
      <c r="AH517" s="32" t="str">
        <f aca="false">IF(OR(AE517="",N517=0),"",AE517/(N517/1000))</f>
        <v/>
      </c>
      <c r="AI517" s="30" t="str">
        <f aca="false">IF(O517="","",M517*P517)</f>
        <v/>
      </c>
      <c r="AJ517" s="11" t="str">
        <f aca="false">IF(O517="","",IF(O517&gt;1,"Error: rend &gt; 100 %",IF(SUM(T517:Z517)=0,"Falta registrar pérdidas",IF(ABS(AG517)&gt;Parámetros!$B$7,"Revisar balance",IF(O517&lt;P517,"Bajo meta","OK")))))</f>
        <v/>
      </c>
      <c r="AK517" s="33"/>
      <c r="AL517" s="10"/>
      <c r="AM517" s="33"/>
      <c r="AN517" s="33"/>
      <c r="AO517" s="10"/>
    </row>
    <row r="518" customFormat="false" ht="15" hidden="false" customHeight="false" outlineLevel="0" collapsed="false">
      <c r="A518" s="22"/>
      <c r="B518" s="23" t="str">
        <f aca="false">IF(A518="","",YEAR(A518-WEEKDAY(A518,2)+4))</f>
        <v/>
      </c>
      <c r="C518" s="23" t="str">
        <f aca="false">IF(A518="","",WEEKNUM(A518,21))</f>
        <v/>
      </c>
      <c r="D518" s="24" t="str">
        <f aca="false">IF(A518="","",DATE(YEAR(A518),MONTH(A518),1))</f>
        <v/>
      </c>
      <c r="E518" s="10"/>
      <c r="F518" s="25"/>
      <c r="G518" s="25"/>
      <c r="H518" s="10"/>
      <c r="I518" s="10"/>
      <c r="J518" s="26"/>
      <c r="K518" s="25"/>
      <c r="L518" s="26"/>
      <c r="M518" s="27"/>
      <c r="N518" s="27"/>
      <c r="O518" s="28" t="str">
        <f aca="false">IF(OR(M518="",M518=0,N518=""),"",N518/M518)</f>
        <v/>
      </c>
      <c r="P518" s="28" t="str">
        <f aca="false">IF(M518="","",IFERROR(IF(INDEX(Parámetros!$B$14:$B$21,MATCH(I518,Parámetros!$A$14:$A$21,0))="",Parámetros!$B$5,INDEX(Parámetros!$B$14:$B$21,MATCH(I518,Parámetros!$A$14:$A$21,0))),Parámetros!$B$5))</f>
        <v/>
      </c>
      <c r="Q518" s="29" t="str">
        <f aca="false">IF(O518="","",(O518-P518)*100)</f>
        <v/>
      </c>
      <c r="R518" s="30" t="str">
        <f aca="false">IF(O518="","",MAX(0,M518*(P518-O518)))</f>
        <v/>
      </c>
      <c r="S518" s="31" t="str">
        <f aca="false">IF(OR(L518="",L518=0,N518=""),"",N518/1000/L518)</f>
        <v/>
      </c>
      <c r="T518" s="27"/>
      <c r="U518" s="27"/>
      <c r="V518" s="27"/>
      <c r="W518" s="27"/>
      <c r="X518" s="27"/>
      <c r="Y518" s="27"/>
      <c r="Z518" s="27"/>
      <c r="AA518" s="25"/>
      <c r="AB518" s="27"/>
      <c r="AC518" s="30" t="str">
        <f aca="false">IF(M518="","",IF(AB518="",M518*Parámetros!$B$6,AB518))</f>
        <v/>
      </c>
      <c r="AD518" s="30" t="str">
        <f aca="false">IF(M518="","",SUM(T518:Z518)+AC518)</f>
        <v/>
      </c>
      <c r="AE518" s="30" t="str">
        <f aca="false">IF(OR(M518="",N518=""),"",M518-N518)</f>
        <v/>
      </c>
      <c r="AF518" s="30" t="str">
        <f aca="false">IF(AE518="","",AE518-AD518)</f>
        <v/>
      </c>
      <c r="AG518" s="28" t="str">
        <f aca="false">IF(OR(AF518="",M518=0),"",AF518/M518)</f>
        <v/>
      </c>
      <c r="AH518" s="32" t="str">
        <f aca="false">IF(OR(AE518="",N518=0),"",AE518/(N518/1000))</f>
        <v/>
      </c>
      <c r="AI518" s="30" t="str">
        <f aca="false">IF(O518="","",M518*P518)</f>
        <v/>
      </c>
      <c r="AJ518" s="11" t="str">
        <f aca="false">IF(O518="","",IF(O518&gt;1,"Error: rend &gt; 100 %",IF(SUM(T518:Z518)=0,"Falta registrar pérdidas",IF(ABS(AG518)&gt;Parámetros!$B$7,"Revisar balance",IF(O518&lt;P518,"Bajo meta","OK")))))</f>
        <v/>
      </c>
      <c r="AK518" s="33"/>
      <c r="AL518" s="10"/>
      <c r="AM518" s="33"/>
      <c r="AN518" s="33"/>
      <c r="AO518" s="10"/>
    </row>
    <row r="519" customFormat="false" ht="15" hidden="false" customHeight="false" outlineLevel="0" collapsed="false">
      <c r="A519" s="22"/>
      <c r="B519" s="23" t="str">
        <f aca="false">IF(A519="","",YEAR(A519-WEEKDAY(A519,2)+4))</f>
        <v/>
      </c>
      <c r="C519" s="23" t="str">
        <f aca="false">IF(A519="","",WEEKNUM(A519,21))</f>
        <v/>
      </c>
      <c r="D519" s="24" t="str">
        <f aca="false">IF(A519="","",DATE(YEAR(A519),MONTH(A519),1))</f>
        <v/>
      </c>
      <c r="E519" s="10"/>
      <c r="F519" s="25"/>
      <c r="G519" s="25"/>
      <c r="H519" s="10"/>
      <c r="I519" s="10"/>
      <c r="J519" s="26"/>
      <c r="K519" s="25"/>
      <c r="L519" s="26"/>
      <c r="M519" s="27"/>
      <c r="N519" s="27"/>
      <c r="O519" s="28" t="str">
        <f aca="false">IF(OR(M519="",M519=0,N519=""),"",N519/M519)</f>
        <v/>
      </c>
      <c r="P519" s="28" t="str">
        <f aca="false">IF(M519="","",IFERROR(IF(INDEX(Parámetros!$B$14:$B$21,MATCH(I519,Parámetros!$A$14:$A$21,0))="",Parámetros!$B$5,INDEX(Parámetros!$B$14:$B$21,MATCH(I519,Parámetros!$A$14:$A$21,0))),Parámetros!$B$5))</f>
        <v/>
      </c>
      <c r="Q519" s="29" t="str">
        <f aca="false">IF(O519="","",(O519-P519)*100)</f>
        <v/>
      </c>
      <c r="R519" s="30" t="str">
        <f aca="false">IF(O519="","",MAX(0,M519*(P519-O519)))</f>
        <v/>
      </c>
      <c r="S519" s="31" t="str">
        <f aca="false">IF(OR(L519="",L519=0,N519=""),"",N519/1000/L519)</f>
        <v/>
      </c>
      <c r="T519" s="27"/>
      <c r="U519" s="27"/>
      <c r="V519" s="27"/>
      <c r="W519" s="27"/>
      <c r="X519" s="27"/>
      <c r="Y519" s="27"/>
      <c r="Z519" s="27"/>
      <c r="AA519" s="25"/>
      <c r="AB519" s="27"/>
      <c r="AC519" s="30" t="str">
        <f aca="false">IF(M519="","",IF(AB519="",M519*Parámetros!$B$6,AB519))</f>
        <v/>
      </c>
      <c r="AD519" s="30" t="str">
        <f aca="false">IF(M519="","",SUM(T519:Z519)+AC519)</f>
        <v/>
      </c>
      <c r="AE519" s="30" t="str">
        <f aca="false">IF(OR(M519="",N519=""),"",M519-N519)</f>
        <v/>
      </c>
      <c r="AF519" s="30" t="str">
        <f aca="false">IF(AE519="","",AE519-AD519)</f>
        <v/>
      </c>
      <c r="AG519" s="28" t="str">
        <f aca="false">IF(OR(AF519="",M519=0),"",AF519/M519)</f>
        <v/>
      </c>
      <c r="AH519" s="32" t="str">
        <f aca="false">IF(OR(AE519="",N519=0),"",AE519/(N519/1000))</f>
        <v/>
      </c>
      <c r="AI519" s="30" t="str">
        <f aca="false">IF(O519="","",M519*P519)</f>
        <v/>
      </c>
      <c r="AJ519" s="11" t="str">
        <f aca="false">IF(O519="","",IF(O519&gt;1,"Error: rend &gt; 100 %",IF(SUM(T519:Z519)=0,"Falta registrar pérdidas",IF(ABS(AG519)&gt;Parámetros!$B$7,"Revisar balance",IF(O519&lt;P519,"Bajo meta","OK")))))</f>
        <v/>
      </c>
      <c r="AK519" s="33"/>
      <c r="AL519" s="10"/>
      <c r="AM519" s="33"/>
      <c r="AN519" s="33"/>
      <c r="AO519" s="10"/>
    </row>
    <row r="520" customFormat="false" ht="15" hidden="false" customHeight="false" outlineLevel="0" collapsed="false">
      <c r="A520" s="22"/>
      <c r="B520" s="23" t="str">
        <f aca="false">IF(A520="","",YEAR(A520-WEEKDAY(A520,2)+4))</f>
        <v/>
      </c>
      <c r="C520" s="23" t="str">
        <f aca="false">IF(A520="","",WEEKNUM(A520,21))</f>
        <v/>
      </c>
      <c r="D520" s="24" t="str">
        <f aca="false">IF(A520="","",DATE(YEAR(A520),MONTH(A520),1))</f>
        <v/>
      </c>
      <c r="E520" s="10"/>
      <c r="F520" s="25"/>
      <c r="G520" s="25"/>
      <c r="H520" s="10"/>
      <c r="I520" s="10"/>
      <c r="J520" s="26"/>
      <c r="K520" s="25"/>
      <c r="L520" s="26"/>
      <c r="M520" s="27"/>
      <c r="N520" s="27"/>
      <c r="O520" s="28" t="str">
        <f aca="false">IF(OR(M520="",M520=0,N520=""),"",N520/M520)</f>
        <v/>
      </c>
      <c r="P520" s="28" t="str">
        <f aca="false">IF(M520="","",IFERROR(IF(INDEX(Parámetros!$B$14:$B$21,MATCH(I520,Parámetros!$A$14:$A$21,0))="",Parámetros!$B$5,INDEX(Parámetros!$B$14:$B$21,MATCH(I520,Parámetros!$A$14:$A$21,0))),Parámetros!$B$5))</f>
        <v/>
      </c>
      <c r="Q520" s="29" t="str">
        <f aca="false">IF(O520="","",(O520-P520)*100)</f>
        <v/>
      </c>
      <c r="R520" s="30" t="str">
        <f aca="false">IF(O520="","",MAX(0,M520*(P520-O520)))</f>
        <v/>
      </c>
      <c r="S520" s="31" t="str">
        <f aca="false">IF(OR(L520="",L520=0,N520=""),"",N520/1000/L520)</f>
        <v/>
      </c>
      <c r="T520" s="27"/>
      <c r="U520" s="27"/>
      <c r="V520" s="27"/>
      <c r="W520" s="27"/>
      <c r="X520" s="27"/>
      <c r="Y520" s="27"/>
      <c r="Z520" s="27"/>
      <c r="AA520" s="25"/>
      <c r="AB520" s="27"/>
      <c r="AC520" s="30" t="str">
        <f aca="false">IF(M520="","",IF(AB520="",M520*Parámetros!$B$6,AB520))</f>
        <v/>
      </c>
      <c r="AD520" s="30" t="str">
        <f aca="false">IF(M520="","",SUM(T520:Z520)+AC520)</f>
        <v/>
      </c>
      <c r="AE520" s="30" t="str">
        <f aca="false">IF(OR(M520="",N520=""),"",M520-N520)</f>
        <v/>
      </c>
      <c r="AF520" s="30" t="str">
        <f aca="false">IF(AE520="","",AE520-AD520)</f>
        <v/>
      </c>
      <c r="AG520" s="28" t="str">
        <f aca="false">IF(OR(AF520="",M520=0),"",AF520/M520)</f>
        <v/>
      </c>
      <c r="AH520" s="32" t="str">
        <f aca="false">IF(OR(AE520="",N520=0),"",AE520/(N520/1000))</f>
        <v/>
      </c>
      <c r="AI520" s="30" t="str">
        <f aca="false">IF(O520="","",M520*P520)</f>
        <v/>
      </c>
      <c r="AJ520" s="11" t="str">
        <f aca="false">IF(O520="","",IF(O520&gt;1,"Error: rend &gt; 100 %",IF(SUM(T520:Z520)=0,"Falta registrar pérdidas",IF(ABS(AG520)&gt;Parámetros!$B$7,"Revisar balance",IF(O520&lt;P520,"Bajo meta","OK")))))</f>
        <v/>
      </c>
      <c r="AK520" s="33"/>
      <c r="AL520" s="10"/>
      <c r="AM520" s="33"/>
      <c r="AN520" s="33"/>
      <c r="AO520" s="10"/>
    </row>
    <row r="521" customFormat="false" ht="15" hidden="false" customHeight="false" outlineLevel="0" collapsed="false">
      <c r="A521" s="22"/>
      <c r="B521" s="23" t="str">
        <f aca="false">IF(A521="","",YEAR(A521-WEEKDAY(A521,2)+4))</f>
        <v/>
      </c>
      <c r="C521" s="23" t="str">
        <f aca="false">IF(A521="","",WEEKNUM(A521,21))</f>
        <v/>
      </c>
      <c r="D521" s="24" t="str">
        <f aca="false">IF(A521="","",DATE(YEAR(A521),MONTH(A521),1))</f>
        <v/>
      </c>
      <c r="E521" s="10"/>
      <c r="F521" s="25"/>
      <c r="G521" s="25"/>
      <c r="H521" s="10"/>
      <c r="I521" s="10"/>
      <c r="J521" s="26"/>
      <c r="K521" s="25"/>
      <c r="L521" s="26"/>
      <c r="M521" s="27"/>
      <c r="N521" s="27"/>
      <c r="O521" s="28" t="str">
        <f aca="false">IF(OR(M521="",M521=0,N521=""),"",N521/M521)</f>
        <v/>
      </c>
      <c r="P521" s="28" t="str">
        <f aca="false">IF(M521="","",IFERROR(IF(INDEX(Parámetros!$B$14:$B$21,MATCH(I521,Parámetros!$A$14:$A$21,0))="",Parámetros!$B$5,INDEX(Parámetros!$B$14:$B$21,MATCH(I521,Parámetros!$A$14:$A$21,0))),Parámetros!$B$5))</f>
        <v/>
      </c>
      <c r="Q521" s="29" t="str">
        <f aca="false">IF(O521="","",(O521-P521)*100)</f>
        <v/>
      </c>
      <c r="R521" s="30" t="str">
        <f aca="false">IF(O521="","",MAX(0,M521*(P521-O521)))</f>
        <v/>
      </c>
      <c r="S521" s="31" t="str">
        <f aca="false">IF(OR(L521="",L521=0,N521=""),"",N521/1000/L521)</f>
        <v/>
      </c>
      <c r="T521" s="27"/>
      <c r="U521" s="27"/>
      <c r="V521" s="27"/>
      <c r="W521" s="27"/>
      <c r="X521" s="27"/>
      <c r="Y521" s="27"/>
      <c r="Z521" s="27"/>
      <c r="AA521" s="25"/>
      <c r="AB521" s="27"/>
      <c r="AC521" s="30" t="str">
        <f aca="false">IF(M521="","",IF(AB521="",M521*Parámetros!$B$6,AB521))</f>
        <v/>
      </c>
      <c r="AD521" s="30" t="str">
        <f aca="false">IF(M521="","",SUM(T521:Z521)+AC521)</f>
        <v/>
      </c>
      <c r="AE521" s="30" t="str">
        <f aca="false">IF(OR(M521="",N521=""),"",M521-N521)</f>
        <v/>
      </c>
      <c r="AF521" s="30" t="str">
        <f aca="false">IF(AE521="","",AE521-AD521)</f>
        <v/>
      </c>
      <c r="AG521" s="28" t="str">
        <f aca="false">IF(OR(AF521="",M521=0),"",AF521/M521)</f>
        <v/>
      </c>
      <c r="AH521" s="32" t="str">
        <f aca="false">IF(OR(AE521="",N521=0),"",AE521/(N521/1000))</f>
        <v/>
      </c>
      <c r="AI521" s="30" t="str">
        <f aca="false">IF(O521="","",M521*P521)</f>
        <v/>
      </c>
      <c r="AJ521" s="11" t="str">
        <f aca="false">IF(O521="","",IF(O521&gt;1,"Error: rend &gt; 100 %",IF(SUM(T521:Z521)=0,"Falta registrar pérdidas",IF(ABS(AG521)&gt;Parámetros!$B$7,"Revisar balance",IF(O521&lt;P521,"Bajo meta","OK")))))</f>
        <v/>
      </c>
      <c r="AK521" s="33"/>
      <c r="AL521" s="10"/>
      <c r="AM521" s="33"/>
      <c r="AN521" s="33"/>
      <c r="AO521" s="10"/>
    </row>
    <row r="522" customFormat="false" ht="15" hidden="false" customHeight="false" outlineLevel="0" collapsed="false">
      <c r="A522" s="22"/>
      <c r="B522" s="23" t="str">
        <f aca="false">IF(A522="","",YEAR(A522-WEEKDAY(A522,2)+4))</f>
        <v/>
      </c>
      <c r="C522" s="23" t="str">
        <f aca="false">IF(A522="","",WEEKNUM(A522,21))</f>
        <v/>
      </c>
      <c r="D522" s="24" t="str">
        <f aca="false">IF(A522="","",DATE(YEAR(A522),MONTH(A522),1))</f>
        <v/>
      </c>
      <c r="E522" s="10"/>
      <c r="F522" s="25"/>
      <c r="G522" s="25"/>
      <c r="H522" s="10"/>
      <c r="I522" s="10"/>
      <c r="J522" s="26"/>
      <c r="K522" s="25"/>
      <c r="L522" s="26"/>
      <c r="M522" s="27"/>
      <c r="N522" s="27"/>
      <c r="O522" s="28" t="str">
        <f aca="false">IF(OR(M522="",M522=0,N522=""),"",N522/M522)</f>
        <v/>
      </c>
      <c r="P522" s="28" t="str">
        <f aca="false">IF(M522="","",IFERROR(IF(INDEX(Parámetros!$B$14:$B$21,MATCH(I522,Parámetros!$A$14:$A$21,0))="",Parámetros!$B$5,INDEX(Parámetros!$B$14:$B$21,MATCH(I522,Parámetros!$A$14:$A$21,0))),Parámetros!$B$5))</f>
        <v/>
      </c>
      <c r="Q522" s="29" t="str">
        <f aca="false">IF(O522="","",(O522-P522)*100)</f>
        <v/>
      </c>
      <c r="R522" s="30" t="str">
        <f aca="false">IF(O522="","",MAX(0,M522*(P522-O522)))</f>
        <v/>
      </c>
      <c r="S522" s="31" t="str">
        <f aca="false">IF(OR(L522="",L522=0,N522=""),"",N522/1000/L522)</f>
        <v/>
      </c>
      <c r="T522" s="27"/>
      <c r="U522" s="27"/>
      <c r="V522" s="27"/>
      <c r="W522" s="27"/>
      <c r="X522" s="27"/>
      <c r="Y522" s="27"/>
      <c r="Z522" s="27"/>
      <c r="AA522" s="25"/>
      <c r="AB522" s="27"/>
      <c r="AC522" s="30" t="str">
        <f aca="false">IF(M522="","",IF(AB522="",M522*Parámetros!$B$6,AB522))</f>
        <v/>
      </c>
      <c r="AD522" s="30" t="str">
        <f aca="false">IF(M522="","",SUM(T522:Z522)+AC522)</f>
        <v/>
      </c>
      <c r="AE522" s="30" t="str">
        <f aca="false">IF(OR(M522="",N522=""),"",M522-N522)</f>
        <v/>
      </c>
      <c r="AF522" s="30" t="str">
        <f aca="false">IF(AE522="","",AE522-AD522)</f>
        <v/>
      </c>
      <c r="AG522" s="28" t="str">
        <f aca="false">IF(OR(AF522="",M522=0),"",AF522/M522)</f>
        <v/>
      </c>
      <c r="AH522" s="32" t="str">
        <f aca="false">IF(OR(AE522="",N522=0),"",AE522/(N522/1000))</f>
        <v/>
      </c>
      <c r="AI522" s="30" t="str">
        <f aca="false">IF(O522="","",M522*P522)</f>
        <v/>
      </c>
      <c r="AJ522" s="11" t="str">
        <f aca="false">IF(O522="","",IF(O522&gt;1,"Error: rend &gt; 100 %",IF(SUM(T522:Z522)=0,"Falta registrar pérdidas",IF(ABS(AG522)&gt;Parámetros!$B$7,"Revisar balance",IF(O522&lt;P522,"Bajo meta","OK")))))</f>
        <v/>
      </c>
      <c r="AK522" s="33"/>
      <c r="AL522" s="10"/>
      <c r="AM522" s="33"/>
      <c r="AN522" s="33"/>
      <c r="AO522" s="10"/>
    </row>
    <row r="523" customFormat="false" ht="15" hidden="false" customHeight="false" outlineLevel="0" collapsed="false">
      <c r="A523" s="22"/>
      <c r="B523" s="23" t="str">
        <f aca="false">IF(A523="","",YEAR(A523-WEEKDAY(A523,2)+4))</f>
        <v/>
      </c>
      <c r="C523" s="23" t="str">
        <f aca="false">IF(A523="","",WEEKNUM(A523,21))</f>
        <v/>
      </c>
      <c r="D523" s="24" t="str">
        <f aca="false">IF(A523="","",DATE(YEAR(A523),MONTH(A523),1))</f>
        <v/>
      </c>
      <c r="E523" s="10"/>
      <c r="F523" s="25"/>
      <c r="G523" s="25"/>
      <c r="H523" s="10"/>
      <c r="I523" s="10"/>
      <c r="J523" s="26"/>
      <c r="K523" s="25"/>
      <c r="L523" s="26"/>
      <c r="M523" s="27"/>
      <c r="N523" s="27"/>
      <c r="O523" s="28" t="str">
        <f aca="false">IF(OR(M523="",M523=0,N523=""),"",N523/M523)</f>
        <v/>
      </c>
      <c r="P523" s="28" t="str">
        <f aca="false">IF(M523="","",IFERROR(IF(INDEX(Parámetros!$B$14:$B$21,MATCH(I523,Parámetros!$A$14:$A$21,0))="",Parámetros!$B$5,INDEX(Parámetros!$B$14:$B$21,MATCH(I523,Parámetros!$A$14:$A$21,0))),Parámetros!$B$5))</f>
        <v/>
      </c>
      <c r="Q523" s="29" t="str">
        <f aca="false">IF(O523="","",(O523-P523)*100)</f>
        <v/>
      </c>
      <c r="R523" s="30" t="str">
        <f aca="false">IF(O523="","",MAX(0,M523*(P523-O523)))</f>
        <v/>
      </c>
      <c r="S523" s="31" t="str">
        <f aca="false">IF(OR(L523="",L523=0,N523=""),"",N523/1000/L523)</f>
        <v/>
      </c>
      <c r="T523" s="27"/>
      <c r="U523" s="27"/>
      <c r="V523" s="27"/>
      <c r="W523" s="27"/>
      <c r="X523" s="27"/>
      <c r="Y523" s="27"/>
      <c r="Z523" s="27"/>
      <c r="AA523" s="25"/>
      <c r="AB523" s="27"/>
      <c r="AC523" s="30" t="str">
        <f aca="false">IF(M523="","",IF(AB523="",M523*Parámetros!$B$6,AB523))</f>
        <v/>
      </c>
      <c r="AD523" s="30" t="str">
        <f aca="false">IF(M523="","",SUM(T523:Z523)+AC523)</f>
        <v/>
      </c>
      <c r="AE523" s="30" t="str">
        <f aca="false">IF(OR(M523="",N523=""),"",M523-N523)</f>
        <v/>
      </c>
      <c r="AF523" s="30" t="str">
        <f aca="false">IF(AE523="","",AE523-AD523)</f>
        <v/>
      </c>
      <c r="AG523" s="28" t="str">
        <f aca="false">IF(OR(AF523="",M523=0),"",AF523/M523)</f>
        <v/>
      </c>
      <c r="AH523" s="32" t="str">
        <f aca="false">IF(OR(AE523="",N523=0),"",AE523/(N523/1000))</f>
        <v/>
      </c>
      <c r="AI523" s="30" t="str">
        <f aca="false">IF(O523="","",M523*P523)</f>
        <v/>
      </c>
      <c r="AJ523" s="11" t="str">
        <f aca="false">IF(O523="","",IF(O523&gt;1,"Error: rend &gt; 100 %",IF(SUM(T523:Z523)=0,"Falta registrar pérdidas",IF(ABS(AG523)&gt;Parámetros!$B$7,"Revisar balance",IF(O523&lt;P523,"Bajo meta","OK")))))</f>
        <v/>
      </c>
      <c r="AK523" s="33"/>
      <c r="AL523" s="10"/>
      <c r="AM523" s="33"/>
      <c r="AN523" s="33"/>
      <c r="AO523" s="10"/>
    </row>
    <row r="524" customFormat="false" ht="15" hidden="false" customHeight="false" outlineLevel="0" collapsed="false">
      <c r="A524" s="22"/>
      <c r="B524" s="23" t="str">
        <f aca="false">IF(A524="","",YEAR(A524-WEEKDAY(A524,2)+4))</f>
        <v/>
      </c>
      <c r="C524" s="23" t="str">
        <f aca="false">IF(A524="","",WEEKNUM(A524,21))</f>
        <v/>
      </c>
      <c r="D524" s="24" t="str">
        <f aca="false">IF(A524="","",DATE(YEAR(A524),MONTH(A524),1))</f>
        <v/>
      </c>
      <c r="E524" s="10"/>
      <c r="F524" s="25"/>
      <c r="G524" s="25"/>
      <c r="H524" s="10"/>
      <c r="I524" s="10"/>
      <c r="J524" s="26"/>
      <c r="K524" s="25"/>
      <c r="L524" s="26"/>
      <c r="M524" s="27"/>
      <c r="N524" s="27"/>
      <c r="O524" s="28" t="str">
        <f aca="false">IF(OR(M524="",M524=0,N524=""),"",N524/M524)</f>
        <v/>
      </c>
      <c r="P524" s="28" t="str">
        <f aca="false">IF(M524="","",IFERROR(IF(INDEX(Parámetros!$B$14:$B$21,MATCH(I524,Parámetros!$A$14:$A$21,0))="",Parámetros!$B$5,INDEX(Parámetros!$B$14:$B$21,MATCH(I524,Parámetros!$A$14:$A$21,0))),Parámetros!$B$5))</f>
        <v/>
      </c>
      <c r="Q524" s="29" t="str">
        <f aca="false">IF(O524="","",(O524-P524)*100)</f>
        <v/>
      </c>
      <c r="R524" s="30" t="str">
        <f aca="false">IF(O524="","",MAX(0,M524*(P524-O524)))</f>
        <v/>
      </c>
      <c r="S524" s="31" t="str">
        <f aca="false">IF(OR(L524="",L524=0,N524=""),"",N524/1000/L524)</f>
        <v/>
      </c>
      <c r="T524" s="27"/>
      <c r="U524" s="27"/>
      <c r="V524" s="27"/>
      <c r="W524" s="27"/>
      <c r="X524" s="27"/>
      <c r="Y524" s="27"/>
      <c r="Z524" s="27"/>
      <c r="AA524" s="25"/>
      <c r="AB524" s="27"/>
      <c r="AC524" s="30" t="str">
        <f aca="false">IF(M524="","",IF(AB524="",M524*Parámetros!$B$6,AB524))</f>
        <v/>
      </c>
      <c r="AD524" s="30" t="str">
        <f aca="false">IF(M524="","",SUM(T524:Z524)+AC524)</f>
        <v/>
      </c>
      <c r="AE524" s="30" t="str">
        <f aca="false">IF(OR(M524="",N524=""),"",M524-N524)</f>
        <v/>
      </c>
      <c r="AF524" s="30" t="str">
        <f aca="false">IF(AE524="","",AE524-AD524)</f>
        <v/>
      </c>
      <c r="AG524" s="28" t="str">
        <f aca="false">IF(OR(AF524="",M524=0),"",AF524/M524)</f>
        <v/>
      </c>
      <c r="AH524" s="32" t="str">
        <f aca="false">IF(OR(AE524="",N524=0),"",AE524/(N524/1000))</f>
        <v/>
      </c>
      <c r="AI524" s="30" t="str">
        <f aca="false">IF(O524="","",M524*P524)</f>
        <v/>
      </c>
      <c r="AJ524" s="11" t="str">
        <f aca="false">IF(O524="","",IF(O524&gt;1,"Error: rend &gt; 100 %",IF(SUM(T524:Z524)=0,"Falta registrar pérdidas",IF(ABS(AG524)&gt;Parámetros!$B$7,"Revisar balance",IF(O524&lt;P524,"Bajo meta","OK")))))</f>
        <v/>
      </c>
      <c r="AK524" s="33"/>
      <c r="AL524" s="10"/>
      <c r="AM524" s="33"/>
      <c r="AN524" s="33"/>
      <c r="AO524" s="10"/>
    </row>
    <row r="525" customFormat="false" ht="15" hidden="false" customHeight="false" outlineLevel="0" collapsed="false">
      <c r="A525" s="22"/>
      <c r="B525" s="23" t="str">
        <f aca="false">IF(A525="","",YEAR(A525-WEEKDAY(A525,2)+4))</f>
        <v/>
      </c>
      <c r="C525" s="23" t="str">
        <f aca="false">IF(A525="","",WEEKNUM(A525,21))</f>
        <v/>
      </c>
      <c r="D525" s="24" t="str">
        <f aca="false">IF(A525="","",DATE(YEAR(A525),MONTH(A525),1))</f>
        <v/>
      </c>
      <c r="E525" s="10"/>
      <c r="F525" s="25"/>
      <c r="G525" s="25"/>
      <c r="H525" s="10"/>
      <c r="I525" s="10"/>
      <c r="J525" s="26"/>
      <c r="K525" s="25"/>
      <c r="L525" s="26"/>
      <c r="M525" s="27"/>
      <c r="N525" s="27"/>
      <c r="O525" s="28" t="str">
        <f aca="false">IF(OR(M525="",M525=0,N525=""),"",N525/M525)</f>
        <v/>
      </c>
      <c r="P525" s="28" t="str">
        <f aca="false">IF(M525="","",IFERROR(IF(INDEX(Parámetros!$B$14:$B$21,MATCH(I525,Parámetros!$A$14:$A$21,0))="",Parámetros!$B$5,INDEX(Parámetros!$B$14:$B$21,MATCH(I525,Parámetros!$A$14:$A$21,0))),Parámetros!$B$5))</f>
        <v/>
      </c>
      <c r="Q525" s="29" t="str">
        <f aca="false">IF(O525="","",(O525-P525)*100)</f>
        <v/>
      </c>
      <c r="R525" s="30" t="str">
        <f aca="false">IF(O525="","",MAX(0,M525*(P525-O525)))</f>
        <v/>
      </c>
      <c r="S525" s="31" t="str">
        <f aca="false">IF(OR(L525="",L525=0,N525=""),"",N525/1000/L525)</f>
        <v/>
      </c>
      <c r="T525" s="27"/>
      <c r="U525" s="27"/>
      <c r="V525" s="27"/>
      <c r="W525" s="27"/>
      <c r="X525" s="27"/>
      <c r="Y525" s="27"/>
      <c r="Z525" s="27"/>
      <c r="AA525" s="25"/>
      <c r="AB525" s="27"/>
      <c r="AC525" s="30" t="str">
        <f aca="false">IF(M525="","",IF(AB525="",M525*Parámetros!$B$6,AB525))</f>
        <v/>
      </c>
      <c r="AD525" s="30" t="str">
        <f aca="false">IF(M525="","",SUM(T525:Z525)+AC525)</f>
        <v/>
      </c>
      <c r="AE525" s="30" t="str">
        <f aca="false">IF(OR(M525="",N525=""),"",M525-N525)</f>
        <v/>
      </c>
      <c r="AF525" s="30" t="str">
        <f aca="false">IF(AE525="","",AE525-AD525)</f>
        <v/>
      </c>
      <c r="AG525" s="28" t="str">
        <f aca="false">IF(OR(AF525="",M525=0),"",AF525/M525)</f>
        <v/>
      </c>
      <c r="AH525" s="32" t="str">
        <f aca="false">IF(OR(AE525="",N525=0),"",AE525/(N525/1000))</f>
        <v/>
      </c>
      <c r="AI525" s="30" t="str">
        <f aca="false">IF(O525="","",M525*P525)</f>
        <v/>
      </c>
      <c r="AJ525" s="11" t="str">
        <f aca="false">IF(O525="","",IF(O525&gt;1,"Error: rend &gt; 100 %",IF(SUM(T525:Z525)=0,"Falta registrar pérdidas",IF(ABS(AG525)&gt;Parámetros!$B$7,"Revisar balance",IF(O525&lt;P525,"Bajo meta","OK")))))</f>
        <v/>
      </c>
      <c r="AK525" s="33"/>
      <c r="AL525" s="10"/>
      <c r="AM525" s="33"/>
      <c r="AN525" s="33"/>
      <c r="AO525" s="10"/>
    </row>
    <row r="526" customFormat="false" ht="15" hidden="false" customHeight="false" outlineLevel="0" collapsed="false">
      <c r="A526" s="22"/>
      <c r="B526" s="23" t="str">
        <f aca="false">IF(A526="","",YEAR(A526-WEEKDAY(A526,2)+4))</f>
        <v/>
      </c>
      <c r="C526" s="23" t="str">
        <f aca="false">IF(A526="","",WEEKNUM(A526,21))</f>
        <v/>
      </c>
      <c r="D526" s="24" t="str">
        <f aca="false">IF(A526="","",DATE(YEAR(A526),MONTH(A526),1))</f>
        <v/>
      </c>
      <c r="E526" s="10"/>
      <c r="F526" s="25"/>
      <c r="G526" s="25"/>
      <c r="H526" s="10"/>
      <c r="I526" s="10"/>
      <c r="J526" s="26"/>
      <c r="K526" s="25"/>
      <c r="L526" s="26"/>
      <c r="M526" s="27"/>
      <c r="N526" s="27"/>
      <c r="O526" s="28" t="str">
        <f aca="false">IF(OR(M526="",M526=0,N526=""),"",N526/M526)</f>
        <v/>
      </c>
      <c r="P526" s="28" t="str">
        <f aca="false">IF(M526="","",IFERROR(IF(INDEX(Parámetros!$B$14:$B$21,MATCH(I526,Parámetros!$A$14:$A$21,0))="",Parámetros!$B$5,INDEX(Parámetros!$B$14:$B$21,MATCH(I526,Parámetros!$A$14:$A$21,0))),Parámetros!$B$5))</f>
        <v/>
      </c>
      <c r="Q526" s="29" t="str">
        <f aca="false">IF(O526="","",(O526-P526)*100)</f>
        <v/>
      </c>
      <c r="R526" s="30" t="str">
        <f aca="false">IF(O526="","",MAX(0,M526*(P526-O526)))</f>
        <v/>
      </c>
      <c r="S526" s="31" t="str">
        <f aca="false">IF(OR(L526="",L526=0,N526=""),"",N526/1000/L526)</f>
        <v/>
      </c>
      <c r="T526" s="27"/>
      <c r="U526" s="27"/>
      <c r="V526" s="27"/>
      <c r="W526" s="27"/>
      <c r="X526" s="27"/>
      <c r="Y526" s="27"/>
      <c r="Z526" s="27"/>
      <c r="AA526" s="25"/>
      <c r="AB526" s="27"/>
      <c r="AC526" s="30" t="str">
        <f aca="false">IF(M526="","",IF(AB526="",M526*Parámetros!$B$6,AB526))</f>
        <v/>
      </c>
      <c r="AD526" s="30" t="str">
        <f aca="false">IF(M526="","",SUM(T526:Z526)+AC526)</f>
        <v/>
      </c>
      <c r="AE526" s="30" t="str">
        <f aca="false">IF(OR(M526="",N526=""),"",M526-N526)</f>
        <v/>
      </c>
      <c r="AF526" s="30" t="str">
        <f aca="false">IF(AE526="","",AE526-AD526)</f>
        <v/>
      </c>
      <c r="AG526" s="28" t="str">
        <f aca="false">IF(OR(AF526="",M526=0),"",AF526/M526)</f>
        <v/>
      </c>
      <c r="AH526" s="32" t="str">
        <f aca="false">IF(OR(AE526="",N526=0),"",AE526/(N526/1000))</f>
        <v/>
      </c>
      <c r="AI526" s="30" t="str">
        <f aca="false">IF(O526="","",M526*P526)</f>
        <v/>
      </c>
      <c r="AJ526" s="11" t="str">
        <f aca="false">IF(O526="","",IF(O526&gt;1,"Error: rend &gt; 100 %",IF(SUM(T526:Z526)=0,"Falta registrar pérdidas",IF(ABS(AG526)&gt;Parámetros!$B$7,"Revisar balance",IF(O526&lt;P526,"Bajo meta","OK")))))</f>
        <v/>
      </c>
      <c r="AK526" s="33"/>
      <c r="AL526" s="10"/>
      <c r="AM526" s="33"/>
      <c r="AN526" s="33"/>
      <c r="AO526" s="10"/>
    </row>
    <row r="527" customFormat="false" ht="15" hidden="false" customHeight="false" outlineLevel="0" collapsed="false">
      <c r="A527" s="22"/>
      <c r="B527" s="23" t="str">
        <f aca="false">IF(A527="","",YEAR(A527-WEEKDAY(A527,2)+4))</f>
        <v/>
      </c>
      <c r="C527" s="23" t="str">
        <f aca="false">IF(A527="","",WEEKNUM(A527,21))</f>
        <v/>
      </c>
      <c r="D527" s="24" t="str">
        <f aca="false">IF(A527="","",DATE(YEAR(A527),MONTH(A527),1))</f>
        <v/>
      </c>
      <c r="E527" s="10"/>
      <c r="F527" s="25"/>
      <c r="G527" s="25"/>
      <c r="H527" s="10"/>
      <c r="I527" s="10"/>
      <c r="J527" s="26"/>
      <c r="K527" s="25"/>
      <c r="L527" s="26"/>
      <c r="M527" s="27"/>
      <c r="N527" s="27"/>
      <c r="O527" s="28" t="str">
        <f aca="false">IF(OR(M527="",M527=0,N527=""),"",N527/M527)</f>
        <v/>
      </c>
      <c r="P527" s="28" t="str">
        <f aca="false">IF(M527="","",IFERROR(IF(INDEX(Parámetros!$B$14:$B$21,MATCH(I527,Parámetros!$A$14:$A$21,0))="",Parámetros!$B$5,INDEX(Parámetros!$B$14:$B$21,MATCH(I527,Parámetros!$A$14:$A$21,0))),Parámetros!$B$5))</f>
        <v/>
      </c>
      <c r="Q527" s="29" t="str">
        <f aca="false">IF(O527="","",(O527-P527)*100)</f>
        <v/>
      </c>
      <c r="R527" s="30" t="str">
        <f aca="false">IF(O527="","",MAX(0,M527*(P527-O527)))</f>
        <v/>
      </c>
      <c r="S527" s="31" t="str">
        <f aca="false">IF(OR(L527="",L527=0,N527=""),"",N527/1000/L527)</f>
        <v/>
      </c>
      <c r="T527" s="27"/>
      <c r="U527" s="27"/>
      <c r="V527" s="27"/>
      <c r="W527" s="27"/>
      <c r="X527" s="27"/>
      <c r="Y527" s="27"/>
      <c r="Z527" s="27"/>
      <c r="AA527" s="25"/>
      <c r="AB527" s="27"/>
      <c r="AC527" s="30" t="str">
        <f aca="false">IF(M527="","",IF(AB527="",M527*Parámetros!$B$6,AB527))</f>
        <v/>
      </c>
      <c r="AD527" s="30" t="str">
        <f aca="false">IF(M527="","",SUM(T527:Z527)+AC527)</f>
        <v/>
      </c>
      <c r="AE527" s="30" t="str">
        <f aca="false">IF(OR(M527="",N527=""),"",M527-N527)</f>
        <v/>
      </c>
      <c r="AF527" s="30" t="str">
        <f aca="false">IF(AE527="","",AE527-AD527)</f>
        <v/>
      </c>
      <c r="AG527" s="28" t="str">
        <f aca="false">IF(OR(AF527="",M527=0),"",AF527/M527)</f>
        <v/>
      </c>
      <c r="AH527" s="32" t="str">
        <f aca="false">IF(OR(AE527="",N527=0),"",AE527/(N527/1000))</f>
        <v/>
      </c>
      <c r="AI527" s="30" t="str">
        <f aca="false">IF(O527="","",M527*P527)</f>
        <v/>
      </c>
      <c r="AJ527" s="11" t="str">
        <f aca="false">IF(O527="","",IF(O527&gt;1,"Error: rend &gt; 100 %",IF(SUM(T527:Z527)=0,"Falta registrar pérdidas",IF(ABS(AG527)&gt;Parámetros!$B$7,"Revisar balance",IF(O527&lt;P527,"Bajo meta","OK")))))</f>
        <v/>
      </c>
      <c r="AK527" s="33"/>
      <c r="AL527" s="10"/>
      <c r="AM527" s="33"/>
      <c r="AN527" s="33"/>
      <c r="AO527" s="10"/>
    </row>
    <row r="528" customFormat="false" ht="15" hidden="false" customHeight="false" outlineLevel="0" collapsed="false">
      <c r="A528" s="22"/>
      <c r="B528" s="23" t="str">
        <f aca="false">IF(A528="","",YEAR(A528-WEEKDAY(A528,2)+4))</f>
        <v/>
      </c>
      <c r="C528" s="23" t="str">
        <f aca="false">IF(A528="","",WEEKNUM(A528,21))</f>
        <v/>
      </c>
      <c r="D528" s="24" t="str">
        <f aca="false">IF(A528="","",DATE(YEAR(A528),MONTH(A528),1))</f>
        <v/>
      </c>
      <c r="E528" s="10"/>
      <c r="F528" s="25"/>
      <c r="G528" s="25"/>
      <c r="H528" s="10"/>
      <c r="I528" s="10"/>
      <c r="J528" s="26"/>
      <c r="K528" s="25"/>
      <c r="L528" s="26"/>
      <c r="M528" s="27"/>
      <c r="N528" s="27"/>
      <c r="O528" s="28" t="str">
        <f aca="false">IF(OR(M528="",M528=0,N528=""),"",N528/M528)</f>
        <v/>
      </c>
      <c r="P528" s="28" t="str">
        <f aca="false">IF(M528="","",IFERROR(IF(INDEX(Parámetros!$B$14:$B$21,MATCH(I528,Parámetros!$A$14:$A$21,0))="",Parámetros!$B$5,INDEX(Parámetros!$B$14:$B$21,MATCH(I528,Parámetros!$A$14:$A$21,0))),Parámetros!$B$5))</f>
        <v/>
      </c>
      <c r="Q528" s="29" t="str">
        <f aca="false">IF(O528="","",(O528-P528)*100)</f>
        <v/>
      </c>
      <c r="R528" s="30" t="str">
        <f aca="false">IF(O528="","",MAX(0,M528*(P528-O528)))</f>
        <v/>
      </c>
      <c r="S528" s="31" t="str">
        <f aca="false">IF(OR(L528="",L528=0,N528=""),"",N528/1000/L528)</f>
        <v/>
      </c>
      <c r="T528" s="27"/>
      <c r="U528" s="27"/>
      <c r="V528" s="27"/>
      <c r="W528" s="27"/>
      <c r="X528" s="27"/>
      <c r="Y528" s="27"/>
      <c r="Z528" s="27"/>
      <c r="AA528" s="25"/>
      <c r="AB528" s="27"/>
      <c r="AC528" s="30" t="str">
        <f aca="false">IF(M528="","",IF(AB528="",M528*Parámetros!$B$6,AB528))</f>
        <v/>
      </c>
      <c r="AD528" s="30" t="str">
        <f aca="false">IF(M528="","",SUM(T528:Z528)+AC528)</f>
        <v/>
      </c>
      <c r="AE528" s="30" t="str">
        <f aca="false">IF(OR(M528="",N528=""),"",M528-N528)</f>
        <v/>
      </c>
      <c r="AF528" s="30" t="str">
        <f aca="false">IF(AE528="","",AE528-AD528)</f>
        <v/>
      </c>
      <c r="AG528" s="28" t="str">
        <f aca="false">IF(OR(AF528="",M528=0),"",AF528/M528)</f>
        <v/>
      </c>
      <c r="AH528" s="32" t="str">
        <f aca="false">IF(OR(AE528="",N528=0),"",AE528/(N528/1000))</f>
        <v/>
      </c>
      <c r="AI528" s="30" t="str">
        <f aca="false">IF(O528="","",M528*P528)</f>
        <v/>
      </c>
      <c r="AJ528" s="11" t="str">
        <f aca="false">IF(O528="","",IF(O528&gt;1,"Error: rend &gt; 100 %",IF(SUM(T528:Z528)=0,"Falta registrar pérdidas",IF(ABS(AG528)&gt;Parámetros!$B$7,"Revisar balance",IF(O528&lt;P528,"Bajo meta","OK")))))</f>
        <v/>
      </c>
      <c r="AK528" s="33"/>
      <c r="AL528" s="10"/>
      <c r="AM528" s="33"/>
      <c r="AN528" s="33"/>
      <c r="AO528" s="10"/>
    </row>
    <row r="529" customFormat="false" ht="15" hidden="false" customHeight="false" outlineLevel="0" collapsed="false">
      <c r="A529" s="22"/>
      <c r="B529" s="23" t="str">
        <f aca="false">IF(A529="","",YEAR(A529-WEEKDAY(A529,2)+4))</f>
        <v/>
      </c>
      <c r="C529" s="23" t="str">
        <f aca="false">IF(A529="","",WEEKNUM(A529,21))</f>
        <v/>
      </c>
      <c r="D529" s="24" t="str">
        <f aca="false">IF(A529="","",DATE(YEAR(A529),MONTH(A529),1))</f>
        <v/>
      </c>
      <c r="E529" s="10"/>
      <c r="F529" s="25"/>
      <c r="G529" s="25"/>
      <c r="H529" s="10"/>
      <c r="I529" s="10"/>
      <c r="J529" s="26"/>
      <c r="K529" s="25"/>
      <c r="L529" s="26"/>
      <c r="M529" s="27"/>
      <c r="N529" s="27"/>
      <c r="O529" s="28" t="str">
        <f aca="false">IF(OR(M529="",M529=0,N529=""),"",N529/M529)</f>
        <v/>
      </c>
      <c r="P529" s="28" t="str">
        <f aca="false">IF(M529="","",IFERROR(IF(INDEX(Parámetros!$B$14:$B$21,MATCH(I529,Parámetros!$A$14:$A$21,0))="",Parámetros!$B$5,INDEX(Parámetros!$B$14:$B$21,MATCH(I529,Parámetros!$A$14:$A$21,0))),Parámetros!$B$5))</f>
        <v/>
      </c>
      <c r="Q529" s="29" t="str">
        <f aca="false">IF(O529="","",(O529-P529)*100)</f>
        <v/>
      </c>
      <c r="R529" s="30" t="str">
        <f aca="false">IF(O529="","",MAX(0,M529*(P529-O529)))</f>
        <v/>
      </c>
      <c r="S529" s="31" t="str">
        <f aca="false">IF(OR(L529="",L529=0,N529=""),"",N529/1000/L529)</f>
        <v/>
      </c>
      <c r="T529" s="27"/>
      <c r="U529" s="27"/>
      <c r="V529" s="27"/>
      <c r="W529" s="27"/>
      <c r="X529" s="27"/>
      <c r="Y529" s="27"/>
      <c r="Z529" s="27"/>
      <c r="AA529" s="25"/>
      <c r="AB529" s="27"/>
      <c r="AC529" s="30" t="str">
        <f aca="false">IF(M529="","",IF(AB529="",M529*Parámetros!$B$6,AB529))</f>
        <v/>
      </c>
      <c r="AD529" s="30" t="str">
        <f aca="false">IF(M529="","",SUM(T529:Z529)+AC529)</f>
        <v/>
      </c>
      <c r="AE529" s="30" t="str">
        <f aca="false">IF(OR(M529="",N529=""),"",M529-N529)</f>
        <v/>
      </c>
      <c r="AF529" s="30" t="str">
        <f aca="false">IF(AE529="","",AE529-AD529)</f>
        <v/>
      </c>
      <c r="AG529" s="28" t="str">
        <f aca="false">IF(OR(AF529="",M529=0),"",AF529/M529)</f>
        <v/>
      </c>
      <c r="AH529" s="32" t="str">
        <f aca="false">IF(OR(AE529="",N529=0),"",AE529/(N529/1000))</f>
        <v/>
      </c>
      <c r="AI529" s="30" t="str">
        <f aca="false">IF(O529="","",M529*P529)</f>
        <v/>
      </c>
      <c r="AJ529" s="11" t="str">
        <f aca="false">IF(O529="","",IF(O529&gt;1,"Error: rend &gt; 100 %",IF(SUM(T529:Z529)=0,"Falta registrar pérdidas",IF(ABS(AG529)&gt;Parámetros!$B$7,"Revisar balance",IF(O529&lt;P529,"Bajo meta","OK")))))</f>
        <v/>
      </c>
      <c r="AK529" s="33"/>
      <c r="AL529" s="10"/>
      <c r="AM529" s="33"/>
      <c r="AN529" s="33"/>
      <c r="AO529" s="10"/>
    </row>
    <row r="530" customFormat="false" ht="15" hidden="false" customHeight="false" outlineLevel="0" collapsed="false">
      <c r="A530" s="22"/>
      <c r="B530" s="23" t="str">
        <f aca="false">IF(A530="","",YEAR(A530-WEEKDAY(A530,2)+4))</f>
        <v/>
      </c>
      <c r="C530" s="23" t="str">
        <f aca="false">IF(A530="","",WEEKNUM(A530,21))</f>
        <v/>
      </c>
      <c r="D530" s="24" t="str">
        <f aca="false">IF(A530="","",DATE(YEAR(A530),MONTH(A530),1))</f>
        <v/>
      </c>
      <c r="E530" s="10"/>
      <c r="F530" s="25"/>
      <c r="G530" s="25"/>
      <c r="H530" s="10"/>
      <c r="I530" s="10"/>
      <c r="J530" s="26"/>
      <c r="K530" s="25"/>
      <c r="L530" s="26"/>
      <c r="M530" s="27"/>
      <c r="N530" s="27"/>
      <c r="O530" s="28" t="str">
        <f aca="false">IF(OR(M530="",M530=0,N530=""),"",N530/M530)</f>
        <v/>
      </c>
      <c r="P530" s="28" t="str">
        <f aca="false">IF(M530="","",IFERROR(IF(INDEX(Parámetros!$B$14:$B$21,MATCH(I530,Parámetros!$A$14:$A$21,0))="",Parámetros!$B$5,INDEX(Parámetros!$B$14:$B$21,MATCH(I530,Parámetros!$A$14:$A$21,0))),Parámetros!$B$5))</f>
        <v/>
      </c>
      <c r="Q530" s="29" t="str">
        <f aca="false">IF(O530="","",(O530-P530)*100)</f>
        <v/>
      </c>
      <c r="R530" s="30" t="str">
        <f aca="false">IF(O530="","",MAX(0,M530*(P530-O530)))</f>
        <v/>
      </c>
      <c r="S530" s="31" t="str">
        <f aca="false">IF(OR(L530="",L530=0,N530=""),"",N530/1000/L530)</f>
        <v/>
      </c>
      <c r="T530" s="27"/>
      <c r="U530" s="27"/>
      <c r="V530" s="27"/>
      <c r="W530" s="27"/>
      <c r="X530" s="27"/>
      <c r="Y530" s="27"/>
      <c r="Z530" s="27"/>
      <c r="AA530" s="25"/>
      <c r="AB530" s="27"/>
      <c r="AC530" s="30" t="str">
        <f aca="false">IF(M530="","",IF(AB530="",M530*Parámetros!$B$6,AB530))</f>
        <v/>
      </c>
      <c r="AD530" s="30" t="str">
        <f aca="false">IF(M530="","",SUM(T530:Z530)+AC530)</f>
        <v/>
      </c>
      <c r="AE530" s="30" t="str">
        <f aca="false">IF(OR(M530="",N530=""),"",M530-N530)</f>
        <v/>
      </c>
      <c r="AF530" s="30" t="str">
        <f aca="false">IF(AE530="","",AE530-AD530)</f>
        <v/>
      </c>
      <c r="AG530" s="28" t="str">
        <f aca="false">IF(OR(AF530="",M530=0),"",AF530/M530)</f>
        <v/>
      </c>
      <c r="AH530" s="32" t="str">
        <f aca="false">IF(OR(AE530="",N530=0),"",AE530/(N530/1000))</f>
        <v/>
      </c>
      <c r="AI530" s="30" t="str">
        <f aca="false">IF(O530="","",M530*P530)</f>
        <v/>
      </c>
      <c r="AJ530" s="11" t="str">
        <f aca="false">IF(O530="","",IF(O530&gt;1,"Error: rend &gt; 100 %",IF(SUM(T530:Z530)=0,"Falta registrar pérdidas",IF(ABS(AG530)&gt;Parámetros!$B$7,"Revisar balance",IF(O530&lt;P530,"Bajo meta","OK")))))</f>
        <v/>
      </c>
      <c r="AK530" s="33"/>
      <c r="AL530" s="10"/>
      <c r="AM530" s="33"/>
      <c r="AN530" s="33"/>
      <c r="AO530" s="10"/>
    </row>
    <row r="531" customFormat="false" ht="15" hidden="false" customHeight="false" outlineLevel="0" collapsed="false">
      <c r="A531" s="22"/>
      <c r="B531" s="23" t="str">
        <f aca="false">IF(A531="","",YEAR(A531-WEEKDAY(A531,2)+4))</f>
        <v/>
      </c>
      <c r="C531" s="23" t="str">
        <f aca="false">IF(A531="","",WEEKNUM(A531,21))</f>
        <v/>
      </c>
      <c r="D531" s="24" t="str">
        <f aca="false">IF(A531="","",DATE(YEAR(A531),MONTH(A531),1))</f>
        <v/>
      </c>
      <c r="E531" s="10"/>
      <c r="F531" s="25"/>
      <c r="G531" s="25"/>
      <c r="H531" s="10"/>
      <c r="I531" s="10"/>
      <c r="J531" s="26"/>
      <c r="K531" s="25"/>
      <c r="L531" s="26"/>
      <c r="M531" s="27"/>
      <c r="N531" s="27"/>
      <c r="O531" s="28" t="str">
        <f aca="false">IF(OR(M531="",M531=0,N531=""),"",N531/M531)</f>
        <v/>
      </c>
      <c r="P531" s="28" t="str">
        <f aca="false">IF(M531="","",IFERROR(IF(INDEX(Parámetros!$B$14:$B$21,MATCH(I531,Parámetros!$A$14:$A$21,0))="",Parámetros!$B$5,INDEX(Parámetros!$B$14:$B$21,MATCH(I531,Parámetros!$A$14:$A$21,0))),Parámetros!$B$5))</f>
        <v/>
      </c>
      <c r="Q531" s="29" t="str">
        <f aca="false">IF(O531="","",(O531-P531)*100)</f>
        <v/>
      </c>
      <c r="R531" s="30" t="str">
        <f aca="false">IF(O531="","",MAX(0,M531*(P531-O531)))</f>
        <v/>
      </c>
      <c r="S531" s="31" t="str">
        <f aca="false">IF(OR(L531="",L531=0,N531=""),"",N531/1000/L531)</f>
        <v/>
      </c>
      <c r="T531" s="27"/>
      <c r="U531" s="27"/>
      <c r="V531" s="27"/>
      <c r="W531" s="27"/>
      <c r="X531" s="27"/>
      <c r="Y531" s="27"/>
      <c r="Z531" s="27"/>
      <c r="AA531" s="25"/>
      <c r="AB531" s="27"/>
      <c r="AC531" s="30" t="str">
        <f aca="false">IF(M531="","",IF(AB531="",M531*Parámetros!$B$6,AB531))</f>
        <v/>
      </c>
      <c r="AD531" s="30" t="str">
        <f aca="false">IF(M531="","",SUM(T531:Z531)+AC531)</f>
        <v/>
      </c>
      <c r="AE531" s="30" t="str">
        <f aca="false">IF(OR(M531="",N531=""),"",M531-N531)</f>
        <v/>
      </c>
      <c r="AF531" s="30" t="str">
        <f aca="false">IF(AE531="","",AE531-AD531)</f>
        <v/>
      </c>
      <c r="AG531" s="28" t="str">
        <f aca="false">IF(OR(AF531="",M531=0),"",AF531/M531)</f>
        <v/>
      </c>
      <c r="AH531" s="32" t="str">
        <f aca="false">IF(OR(AE531="",N531=0),"",AE531/(N531/1000))</f>
        <v/>
      </c>
      <c r="AI531" s="30" t="str">
        <f aca="false">IF(O531="","",M531*P531)</f>
        <v/>
      </c>
      <c r="AJ531" s="11" t="str">
        <f aca="false">IF(O531="","",IF(O531&gt;1,"Error: rend &gt; 100 %",IF(SUM(T531:Z531)=0,"Falta registrar pérdidas",IF(ABS(AG531)&gt;Parámetros!$B$7,"Revisar balance",IF(O531&lt;P531,"Bajo meta","OK")))))</f>
        <v/>
      </c>
      <c r="AK531" s="33"/>
      <c r="AL531" s="10"/>
      <c r="AM531" s="33"/>
      <c r="AN531" s="33"/>
      <c r="AO531" s="10"/>
    </row>
    <row r="532" customFormat="false" ht="15" hidden="false" customHeight="false" outlineLevel="0" collapsed="false">
      <c r="A532" s="22"/>
      <c r="B532" s="23" t="str">
        <f aca="false">IF(A532="","",YEAR(A532-WEEKDAY(A532,2)+4))</f>
        <v/>
      </c>
      <c r="C532" s="23" t="str">
        <f aca="false">IF(A532="","",WEEKNUM(A532,21))</f>
        <v/>
      </c>
      <c r="D532" s="24" t="str">
        <f aca="false">IF(A532="","",DATE(YEAR(A532),MONTH(A532),1))</f>
        <v/>
      </c>
      <c r="E532" s="10"/>
      <c r="F532" s="25"/>
      <c r="G532" s="25"/>
      <c r="H532" s="10"/>
      <c r="I532" s="10"/>
      <c r="J532" s="26"/>
      <c r="K532" s="25"/>
      <c r="L532" s="26"/>
      <c r="M532" s="27"/>
      <c r="N532" s="27"/>
      <c r="O532" s="28" t="str">
        <f aca="false">IF(OR(M532="",M532=0,N532=""),"",N532/M532)</f>
        <v/>
      </c>
      <c r="P532" s="28" t="str">
        <f aca="false">IF(M532="","",IFERROR(IF(INDEX(Parámetros!$B$14:$B$21,MATCH(I532,Parámetros!$A$14:$A$21,0))="",Parámetros!$B$5,INDEX(Parámetros!$B$14:$B$21,MATCH(I532,Parámetros!$A$14:$A$21,0))),Parámetros!$B$5))</f>
        <v/>
      </c>
      <c r="Q532" s="29" t="str">
        <f aca="false">IF(O532="","",(O532-P532)*100)</f>
        <v/>
      </c>
      <c r="R532" s="30" t="str">
        <f aca="false">IF(O532="","",MAX(0,M532*(P532-O532)))</f>
        <v/>
      </c>
      <c r="S532" s="31" t="str">
        <f aca="false">IF(OR(L532="",L532=0,N532=""),"",N532/1000/L532)</f>
        <v/>
      </c>
      <c r="T532" s="27"/>
      <c r="U532" s="27"/>
      <c r="V532" s="27"/>
      <c r="W532" s="27"/>
      <c r="X532" s="27"/>
      <c r="Y532" s="27"/>
      <c r="Z532" s="27"/>
      <c r="AA532" s="25"/>
      <c r="AB532" s="27"/>
      <c r="AC532" s="30" t="str">
        <f aca="false">IF(M532="","",IF(AB532="",M532*Parámetros!$B$6,AB532))</f>
        <v/>
      </c>
      <c r="AD532" s="30" t="str">
        <f aca="false">IF(M532="","",SUM(T532:Z532)+AC532)</f>
        <v/>
      </c>
      <c r="AE532" s="30" t="str">
        <f aca="false">IF(OR(M532="",N532=""),"",M532-N532)</f>
        <v/>
      </c>
      <c r="AF532" s="30" t="str">
        <f aca="false">IF(AE532="","",AE532-AD532)</f>
        <v/>
      </c>
      <c r="AG532" s="28" t="str">
        <f aca="false">IF(OR(AF532="",M532=0),"",AF532/M532)</f>
        <v/>
      </c>
      <c r="AH532" s="32" t="str">
        <f aca="false">IF(OR(AE532="",N532=0),"",AE532/(N532/1000))</f>
        <v/>
      </c>
      <c r="AI532" s="30" t="str">
        <f aca="false">IF(O532="","",M532*P532)</f>
        <v/>
      </c>
      <c r="AJ532" s="11" t="str">
        <f aca="false">IF(O532="","",IF(O532&gt;1,"Error: rend &gt; 100 %",IF(SUM(T532:Z532)=0,"Falta registrar pérdidas",IF(ABS(AG532)&gt;Parámetros!$B$7,"Revisar balance",IF(O532&lt;P532,"Bajo meta","OK")))))</f>
        <v/>
      </c>
      <c r="AK532" s="33"/>
      <c r="AL532" s="10"/>
      <c r="AM532" s="33"/>
      <c r="AN532" s="33"/>
      <c r="AO532" s="10"/>
    </row>
    <row r="533" customFormat="false" ht="15" hidden="false" customHeight="false" outlineLevel="0" collapsed="false">
      <c r="A533" s="22"/>
      <c r="B533" s="23" t="str">
        <f aca="false">IF(A533="","",YEAR(A533-WEEKDAY(A533,2)+4))</f>
        <v/>
      </c>
      <c r="C533" s="23" t="str">
        <f aca="false">IF(A533="","",WEEKNUM(A533,21))</f>
        <v/>
      </c>
      <c r="D533" s="24" t="str">
        <f aca="false">IF(A533="","",DATE(YEAR(A533),MONTH(A533),1))</f>
        <v/>
      </c>
      <c r="E533" s="10"/>
      <c r="F533" s="25"/>
      <c r="G533" s="25"/>
      <c r="H533" s="10"/>
      <c r="I533" s="10"/>
      <c r="J533" s="26"/>
      <c r="K533" s="25"/>
      <c r="L533" s="26"/>
      <c r="M533" s="27"/>
      <c r="N533" s="27"/>
      <c r="O533" s="28" t="str">
        <f aca="false">IF(OR(M533="",M533=0,N533=""),"",N533/M533)</f>
        <v/>
      </c>
      <c r="P533" s="28" t="str">
        <f aca="false">IF(M533="","",IFERROR(IF(INDEX(Parámetros!$B$14:$B$21,MATCH(I533,Parámetros!$A$14:$A$21,0))="",Parámetros!$B$5,INDEX(Parámetros!$B$14:$B$21,MATCH(I533,Parámetros!$A$14:$A$21,0))),Parámetros!$B$5))</f>
        <v/>
      </c>
      <c r="Q533" s="29" t="str">
        <f aca="false">IF(O533="","",(O533-P533)*100)</f>
        <v/>
      </c>
      <c r="R533" s="30" t="str">
        <f aca="false">IF(O533="","",MAX(0,M533*(P533-O533)))</f>
        <v/>
      </c>
      <c r="S533" s="31" t="str">
        <f aca="false">IF(OR(L533="",L533=0,N533=""),"",N533/1000/L533)</f>
        <v/>
      </c>
      <c r="T533" s="27"/>
      <c r="U533" s="27"/>
      <c r="V533" s="27"/>
      <c r="W533" s="27"/>
      <c r="X533" s="27"/>
      <c r="Y533" s="27"/>
      <c r="Z533" s="27"/>
      <c r="AA533" s="25"/>
      <c r="AB533" s="27"/>
      <c r="AC533" s="30" t="str">
        <f aca="false">IF(M533="","",IF(AB533="",M533*Parámetros!$B$6,AB533))</f>
        <v/>
      </c>
      <c r="AD533" s="30" t="str">
        <f aca="false">IF(M533="","",SUM(T533:Z533)+AC533)</f>
        <v/>
      </c>
      <c r="AE533" s="30" t="str">
        <f aca="false">IF(OR(M533="",N533=""),"",M533-N533)</f>
        <v/>
      </c>
      <c r="AF533" s="30" t="str">
        <f aca="false">IF(AE533="","",AE533-AD533)</f>
        <v/>
      </c>
      <c r="AG533" s="28" t="str">
        <f aca="false">IF(OR(AF533="",M533=0),"",AF533/M533)</f>
        <v/>
      </c>
      <c r="AH533" s="32" t="str">
        <f aca="false">IF(OR(AE533="",N533=0),"",AE533/(N533/1000))</f>
        <v/>
      </c>
      <c r="AI533" s="30" t="str">
        <f aca="false">IF(O533="","",M533*P533)</f>
        <v/>
      </c>
      <c r="AJ533" s="11" t="str">
        <f aca="false">IF(O533="","",IF(O533&gt;1,"Error: rend &gt; 100 %",IF(SUM(T533:Z533)=0,"Falta registrar pérdidas",IF(ABS(AG533)&gt;Parámetros!$B$7,"Revisar balance",IF(O533&lt;P533,"Bajo meta","OK")))))</f>
        <v/>
      </c>
      <c r="AK533" s="33"/>
      <c r="AL533" s="10"/>
      <c r="AM533" s="33"/>
      <c r="AN533" s="33"/>
      <c r="AO533" s="10"/>
    </row>
    <row r="534" customFormat="false" ht="15" hidden="false" customHeight="false" outlineLevel="0" collapsed="false">
      <c r="A534" s="22"/>
      <c r="B534" s="23" t="str">
        <f aca="false">IF(A534="","",YEAR(A534-WEEKDAY(A534,2)+4))</f>
        <v/>
      </c>
      <c r="C534" s="23" t="str">
        <f aca="false">IF(A534="","",WEEKNUM(A534,21))</f>
        <v/>
      </c>
      <c r="D534" s="24" t="str">
        <f aca="false">IF(A534="","",DATE(YEAR(A534),MONTH(A534),1))</f>
        <v/>
      </c>
      <c r="E534" s="10"/>
      <c r="F534" s="25"/>
      <c r="G534" s="25"/>
      <c r="H534" s="10"/>
      <c r="I534" s="10"/>
      <c r="J534" s="26"/>
      <c r="K534" s="25"/>
      <c r="L534" s="26"/>
      <c r="M534" s="27"/>
      <c r="N534" s="27"/>
      <c r="O534" s="28" t="str">
        <f aca="false">IF(OR(M534="",M534=0,N534=""),"",N534/M534)</f>
        <v/>
      </c>
      <c r="P534" s="28" t="str">
        <f aca="false">IF(M534="","",IFERROR(IF(INDEX(Parámetros!$B$14:$B$21,MATCH(I534,Parámetros!$A$14:$A$21,0))="",Parámetros!$B$5,INDEX(Parámetros!$B$14:$B$21,MATCH(I534,Parámetros!$A$14:$A$21,0))),Parámetros!$B$5))</f>
        <v/>
      </c>
      <c r="Q534" s="29" t="str">
        <f aca="false">IF(O534="","",(O534-P534)*100)</f>
        <v/>
      </c>
      <c r="R534" s="30" t="str">
        <f aca="false">IF(O534="","",MAX(0,M534*(P534-O534)))</f>
        <v/>
      </c>
      <c r="S534" s="31" t="str">
        <f aca="false">IF(OR(L534="",L534=0,N534=""),"",N534/1000/L534)</f>
        <v/>
      </c>
      <c r="T534" s="27"/>
      <c r="U534" s="27"/>
      <c r="V534" s="27"/>
      <c r="W534" s="27"/>
      <c r="X534" s="27"/>
      <c r="Y534" s="27"/>
      <c r="Z534" s="27"/>
      <c r="AA534" s="25"/>
      <c r="AB534" s="27"/>
      <c r="AC534" s="30" t="str">
        <f aca="false">IF(M534="","",IF(AB534="",M534*Parámetros!$B$6,AB534))</f>
        <v/>
      </c>
      <c r="AD534" s="30" t="str">
        <f aca="false">IF(M534="","",SUM(T534:Z534)+AC534)</f>
        <v/>
      </c>
      <c r="AE534" s="30" t="str">
        <f aca="false">IF(OR(M534="",N534=""),"",M534-N534)</f>
        <v/>
      </c>
      <c r="AF534" s="30" t="str">
        <f aca="false">IF(AE534="","",AE534-AD534)</f>
        <v/>
      </c>
      <c r="AG534" s="28" t="str">
        <f aca="false">IF(OR(AF534="",M534=0),"",AF534/M534)</f>
        <v/>
      </c>
      <c r="AH534" s="32" t="str">
        <f aca="false">IF(OR(AE534="",N534=0),"",AE534/(N534/1000))</f>
        <v/>
      </c>
      <c r="AI534" s="30" t="str">
        <f aca="false">IF(O534="","",M534*P534)</f>
        <v/>
      </c>
      <c r="AJ534" s="11" t="str">
        <f aca="false">IF(O534="","",IF(O534&gt;1,"Error: rend &gt; 100 %",IF(SUM(T534:Z534)=0,"Falta registrar pérdidas",IF(ABS(AG534)&gt;Parámetros!$B$7,"Revisar balance",IF(O534&lt;P534,"Bajo meta","OK")))))</f>
        <v/>
      </c>
      <c r="AK534" s="33"/>
      <c r="AL534" s="10"/>
      <c r="AM534" s="33"/>
      <c r="AN534" s="33"/>
      <c r="AO534" s="10"/>
    </row>
    <row r="535" customFormat="false" ht="15" hidden="false" customHeight="false" outlineLevel="0" collapsed="false">
      <c r="A535" s="22"/>
      <c r="B535" s="23" t="str">
        <f aca="false">IF(A535="","",YEAR(A535-WEEKDAY(A535,2)+4))</f>
        <v/>
      </c>
      <c r="C535" s="23" t="str">
        <f aca="false">IF(A535="","",WEEKNUM(A535,21))</f>
        <v/>
      </c>
      <c r="D535" s="24" t="str">
        <f aca="false">IF(A535="","",DATE(YEAR(A535),MONTH(A535),1))</f>
        <v/>
      </c>
      <c r="E535" s="10"/>
      <c r="F535" s="25"/>
      <c r="G535" s="25"/>
      <c r="H535" s="10"/>
      <c r="I535" s="10"/>
      <c r="J535" s="26"/>
      <c r="K535" s="25"/>
      <c r="L535" s="26"/>
      <c r="M535" s="27"/>
      <c r="N535" s="27"/>
      <c r="O535" s="28" t="str">
        <f aca="false">IF(OR(M535="",M535=0,N535=""),"",N535/M535)</f>
        <v/>
      </c>
      <c r="P535" s="28" t="str">
        <f aca="false">IF(M535="","",IFERROR(IF(INDEX(Parámetros!$B$14:$B$21,MATCH(I535,Parámetros!$A$14:$A$21,0))="",Parámetros!$B$5,INDEX(Parámetros!$B$14:$B$21,MATCH(I535,Parámetros!$A$14:$A$21,0))),Parámetros!$B$5))</f>
        <v/>
      </c>
      <c r="Q535" s="29" t="str">
        <f aca="false">IF(O535="","",(O535-P535)*100)</f>
        <v/>
      </c>
      <c r="R535" s="30" t="str">
        <f aca="false">IF(O535="","",MAX(0,M535*(P535-O535)))</f>
        <v/>
      </c>
      <c r="S535" s="31" t="str">
        <f aca="false">IF(OR(L535="",L535=0,N535=""),"",N535/1000/L535)</f>
        <v/>
      </c>
      <c r="T535" s="27"/>
      <c r="U535" s="27"/>
      <c r="V535" s="27"/>
      <c r="W535" s="27"/>
      <c r="X535" s="27"/>
      <c r="Y535" s="27"/>
      <c r="Z535" s="27"/>
      <c r="AA535" s="25"/>
      <c r="AB535" s="27"/>
      <c r="AC535" s="30" t="str">
        <f aca="false">IF(M535="","",IF(AB535="",M535*Parámetros!$B$6,AB535))</f>
        <v/>
      </c>
      <c r="AD535" s="30" t="str">
        <f aca="false">IF(M535="","",SUM(T535:Z535)+AC535)</f>
        <v/>
      </c>
      <c r="AE535" s="30" t="str">
        <f aca="false">IF(OR(M535="",N535=""),"",M535-N535)</f>
        <v/>
      </c>
      <c r="AF535" s="30" t="str">
        <f aca="false">IF(AE535="","",AE535-AD535)</f>
        <v/>
      </c>
      <c r="AG535" s="28" t="str">
        <f aca="false">IF(OR(AF535="",M535=0),"",AF535/M535)</f>
        <v/>
      </c>
      <c r="AH535" s="32" t="str">
        <f aca="false">IF(OR(AE535="",N535=0),"",AE535/(N535/1000))</f>
        <v/>
      </c>
      <c r="AI535" s="30" t="str">
        <f aca="false">IF(O535="","",M535*P535)</f>
        <v/>
      </c>
      <c r="AJ535" s="11" t="str">
        <f aca="false">IF(O535="","",IF(O535&gt;1,"Error: rend &gt; 100 %",IF(SUM(T535:Z535)=0,"Falta registrar pérdidas",IF(ABS(AG535)&gt;Parámetros!$B$7,"Revisar balance",IF(O535&lt;P535,"Bajo meta","OK")))))</f>
        <v/>
      </c>
      <c r="AK535" s="33"/>
      <c r="AL535" s="10"/>
      <c r="AM535" s="33"/>
      <c r="AN535" s="33"/>
      <c r="AO535" s="10"/>
    </row>
    <row r="536" customFormat="false" ht="15" hidden="false" customHeight="false" outlineLevel="0" collapsed="false">
      <c r="A536" s="22"/>
      <c r="B536" s="23" t="str">
        <f aca="false">IF(A536="","",YEAR(A536-WEEKDAY(A536,2)+4))</f>
        <v/>
      </c>
      <c r="C536" s="23" t="str">
        <f aca="false">IF(A536="","",WEEKNUM(A536,21))</f>
        <v/>
      </c>
      <c r="D536" s="24" t="str">
        <f aca="false">IF(A536="","",DATE(YEAR(A536),MONTH(A536),1))</f>
        <v/>
      </c>
      <c r="E536" s="10"/>
      <c r="F536" s="25"/>
      <c r="G536" s="25"/>
      <c r="H536" s="10"/>
      <c r="I536" s="10"/>
      <c r="J536" s="26"/>
      <c r="K536" s="25"/>
      <c r="L536" s="26"/>
      <c r="M536" s="27"/>
      <c r="N536" s="27"/>
      <c r="O536" s="28" t="str">
        <f aca="false">IF(OR(M536="",M536=0,N536=""),"",N536/M536)</f>
        <v/>
      </c>
      <c r="P536" s="28" t="str">
        <f aca="false">IF(M536="","",IFERROR(IF(INDEX(Parámetros!$B$14:$B$21,MATCH(I536,Parámetros!$A$14:$A$21,0))="",Parámetros!$B$5,INDEX(Parámetros!$B$14:$B$21,MATCH(I536,Parámetros!$A$14:$A$21,0))),Parámetros!$B$5))</f>
        <v/>
      </c>
      <c r="Q536" s="29" t="str">
        <f aca="false">IF(O536="","",(O536-P536)*100)</f>
        <v/>
      </c>
      <c r="R536" s="30" t="str">
        <f aca="false">IF(O536="","",MAX(0,M536*(P536-O536)))</f>
        <v/>
      </c>
      <c r="S536" s="31" t="str">
        <f aca="false">IF(OR(L536="",L536=0,N536=""),"",N536/1000/L536)</f>
        <v/>
      </c>
      <c r="T536" s="27"/>
      <c r="U536" s="27"/>
      <c r="V536" s="27"/>
      <c r="W536" s="27"/>
      <c r="X536" s="27"/>
      <c r="Y536" s="27"/>
      <c r="Z536" s="27"/>
      <c r="AA536" s="25"/>
      <c r="AB536" s="27"/>
      <c r="AC536" s="30" t="str">
        <f aca="false">IF(M536="","",IF(AB536="",M536*Parámetros!$B$6,AB536))</f>
        <v/>
      </c>
      <c r="AD536" s="30" t="str">
        <f aca="false">IF(M536="","",SUM(T536:Z536)+AC536)</f>
        <v/>
      </c>
      <c r="AE536" s="30" t="str">
        <f aca="false">IF(OR(M536="",N536=""),"",M536-N536)</f>
        <v/>
      </c>
      <c r="AF536" s="30" t="str">
        <f aca="false">IF(AE536="","",AE536-AD536)</f>
        <v/>
      </c>
      <c r="AG536" s="28" t="str">
        <f aca="false">IF(OR(AF536="",M536=0),"",AF536/M536)</f>
        <v/>
      </c>
      <c r="AH536" s="32" t="str">
        <f aca="false">IF(OR(AE536="",N536=0),"",AE536/(N536/1000))</f>
        <v/>
      </c>
      <c r="AI536" s="30" t="str">
        <f aca="false">IF(O536="","",M536*P536)</f>
        <v/>
      </c>
      <c r="AJ536" s="11" t="str">
        <f aca="false">IF(O536="","",IF(O536&gt;1,"Error: rend &gt; 100 %",IF(SUM(T536:Z536)=0,"Falta registrar pérdidas",IF(ABS(AG536)&gt;Parámetros!$B$7,"Revisar balance",IF(O536&lt;P536,"Bajo meta","OK")))))</f>
        <v/>
      </c>
      <c r="AK536" s="33"/>
      <c r="AL536" s="10"/>
      <c r="AM536" s="33"/>
      <c r="AN536" s="33"/>
      <c r="AO536" s="10"/>
    </row>
    <row r="537" customFormat="false" ht="15" hidden="false" customHeight="false" outlineLevel="0" collapsed="false">
      <c r="A537" s="22"/>
      <c r="B537" s="23" t="str">
        <f aca="false">IF(A537="","",YEAR(A537-WEEKDAY(A537,2)+4))</f>
        <v/>
      </c>
      <c r="C537" s="23" t="str">
        <f aca="false">IF(A537="","",WEEKNUM(A537,21))</f>
        <v/>
      </c>
      <c r="D537" s="24" t="str">
        <f aca="false">IF(A537="","",DATE(YEAR(A537),MONTH(A537),1))</f>
        <v/>
      </c>
      <c r="E537" s="10"/>
      <c r="F537" s="25"/>
      <c r="G537" s="25"/>
      <c r="H537" s="10"/>
      <c r="I537" s="10"/>
      <c r="J537" s="26"/>
      <c r="K537" s="25"/>
      <c r="L537" s="26"/>
      <c r="M537" s="27"/>
      <c r="N537" s="27"/>
      <c r="O537" s="28" t="str">
        <f aca="false">IF(OR(M537="",M537=0,N537=""),"",N537/M537)</f>
        <v/>
      </c>
      <c r="P537" s="28" t="str">
        <f aca="false">IF(M537="","",IFERROR(IF(INDEX(Parámetros!$B$14:$B$21,MATCH(I537,Parámetros!$A$14:$A$21,0))="",Parámetros!$B$5,INDEX(Parámetros!$B$14:$B$21,MATCH(I537,Parámetros!$A$14:$A$21,0))),Parámetros!$B$5))</f>
        <v/>
      </c>
      <c r="Q537" s="29" t="str">
        <f aca="false">IF(O537="","",(O537-P537)*100)</f>
        <v/>
      </c>
      <c r="R537" s="30" t="str">
        <f aca="false">IF(O537="","",MAX(0,M537*(P537-O537)))</f>
        <v/>
      </c>
      <c r="S537" s="31" t="str">
        <f aca="false">IF(OR(L537="",L537=0,N537=""),"",N537/1000/L537)</f>
        <v/>
      </c>
      <c r="T537" s="27"/>
      <c r="U537" s="27"/>
      <c r="V537" s="27"/>
      <c r="W537" s="27"/>
      <c r="X537" s="27"/>
      <c r="Y537" s="27"/>
      <c r="Z537" s="27"/>
      <c r="AA537" s="25"/>
      <c r="AB537" s="27"/>
      <c r="AC537" s="30" t="str">
        <f aca="false">IF(M537="","",IF(AB537="",M537*Parámetros!$B$6,AB537))</f>
        <v/>
      </c>
      <c r="AD537" s="30" t="str">
        <f aca="false">IF(M537="","",SUM(T537:Z537)+AC537)</f>
        <v/>
      </c>
      <c r="AE537" s="30" t="str">
        <f aca="false">IF(OR(M537="",N537=""),"",M537-N537)</f>
        <v/>
      </c>
      <c r="AF537" s="30" t="str">
        <f aca="false">IF(AE537="","",AE537-AD537)</f>
        <v/>
      </c>
      <c r="AG537" s="28" t="str">
        <f aca="false">IF(OR(AF537="",M537=0),"",AF537/M537)</f>
        <v/>
      </c>
      <c r="AH537" s="32" t="str">
        <f aca="false">IF(OR(AE537="",N537=0),"",AE537/(N537/1000))</f>
        <v/>
      </c>
      <c r="AI537" s="30" t="str">
        <f aca="false">IF(O537="","",M537*P537)</f>
        <v/>
      </c>
      <c r="AJ537" s="11" t="str">
        <f aca="false">IF(O537="","",IF(O537&gt;1,"Error: rend &gt; 100 %",IF(SUM(T537:Z537)=0,"Falta registrar pérdidas",IF(ABS(AG537)&gt;Parámetros!$B$7,"Revisar balance",IF(O537&lt;P537,"Bajo meta","OK")))))</f>
        <v/>
      </c>
      <c r="AK537" s="33"/>
      <c r="AL537" s="10"/>
      <c r="AM537" s="33"/>
      <c r="AN537" s="33"/>
      <c r="AO537" s="10"/>
    </row>
    <row r="538" customFormat="false" ht="15" hidden="false" customHeight="false" outlineLevel="0" collapsed="false">
      <c r="A538" s="22"/>
      <c r="B538" s="23" t="str">
        <f aca="false">IF(A538="","",YEAR(A538-WEEKDAY(A538,2)+4))</f>
        <v/>
      </c>
      <c r="C538" s="23" t="str">
        <f aca="false">IF(A538="","",WEEKNUM(A538,21))</f>
        <v/>
      </c>
      <c r="D538" s="24" t="str">
        <f aca="false">IF(A538="","",DATE(YEAR(A538),MONTH(A538),1))</f>
        <v/>
      </c>
      <c r="E538" s="10"/>
      <c r="F538" s="25"/>
      <c r="G538" s="25"/>
      <c r="H538" s="10"/>
      <c r="I538" s="10"/>
      <c r="J538" s="26"/>
      <c r="K538" s="25"/>
      <c r="L538" s="26"/>
      <c r="M538" s="27"/>
      <c r="N538" s="27"/>
      <c r="O538" s="28" t="str">
        <f aca="false">IF(OR(M538="",M538=0,N538=""),"",N538/M538)</f>
        <v/>
      </c>
      <c r="P538" s="28" t="str">
        <f aca="false">IF(M538="","",IFERROR(IF(INDEX(Parámetros!$B$14:$B$21,MATCH(I538,Parámetros!$A$14:$A$21,0))="",Parámetros!$B$5,INDEX(Parámetros!$B$14:$B$21,MATCH(I538,Parámetros!$A$14:$A$21,0))),Parámetros!$B$5))</f>
        <v/>
      </c>
      <c r="Q538" s="29" t="str">
        <f aca="false">IF(O538="","",(O538-P538)*100)</f>
        <v/>
      </c>
      <c r="R538" s="30" t="str">
        <f aca="false">IF(O538="","",MAX(0,M538*(P538-O538)))</f>
        <v/>
      </c>
      <c r="S538" s="31" t="str">
        <f aca="false">IF(OR(L538="",L538=0,N538=""),"",N538/1000/L538)</f>
        <v/>
      </c>
      <c r="T538" s="27"/>
      <c r="U538" s="27"/>
      <c r="V538" s="27"/>
      <c r="W538" s="27"/>
      <c r="X538" s="27"/>
      <c r="Y538" s="27"/>
      <c r="Z538" s="27"/>
      <c r="AA538" s="25"/>
      <c r="AB538" s="27"/>
      <c r="AC538" s="30" t="str">
        <f aca="false">IF(M538="","",IF(AB538="",M538*Parámetros!$B$6,AB538))</f>
        <v/>
      </c>
      <c r="AD538" s="30" t="str">
        <f aca="false">IF(M538="","",SUM(T538:Z538)+AC538)</f>
        <v/>
      </c>
      <c r="AE538" s="30" t="str">
        <f aca="false">IF(OR(M538="",N538=""),"",M538-N538)</f>
        <v/>
      </c>
      <c r="AF538" s="30" t="str">
        <f aca="false">IF(AE538="","",AE538-AD538)</f>
        <v/>
      </c>
      <c r="AG538" s="28" t="str">
        <f aca="false">IF(OR(AF538="",M538=0),"",AF538/M538)</f>
        <v/>
      </c>
      <c r="AH538" s="32" t="str">
        <f aca="false">IF(OR(AE538="",N538=0),"",AE538/(N538/1000))</f>
        <v/>
      </c>
      <c r="AI538" s="30" t="str">
        <f aca="false">IF(O538="","",M538*P538)</f>
        <v/>
      </c>
      <c r="AJ538" s="11" t="str">
        <f aca="false">IF(O538="","",IF(O538&gt;1,"Error: rend &gt; 100 %",IF(SUM(T538:Z538)=0,"Falta registrar pérdidas",IF(ABS(AG538)&gt;Parámetros!$B$7,"Revisar balance",IF(O538&lt;P538,"Bajo meta","OK")))))</f>
        <v/>
      </c>
      <c r="AK538" s="33"/>
      <c r="AL538" s="10"/>
      <c r="AM538" s="33"/>
      <c r="AN538" s="33"/>
      <c r="AO538" s="10"/>
    </row>
    <row r="539" customFormat="false" ht="15" hidden="false" customHeight="false" outlineLevel="0" collapsed="false">
      <c r="A539" s="22"/>
      <c r="B539" s="23" t="str">
        <f aca="false">IF(A539="","",YEAR(A539-WEEKDAY(A539,2)+4))</f>
        <v/>
      </c>
      <c r="C539" s="23" t="str">
        <f aca="false">IF(A539="","",WEEKNUM(A539,21))</f>
        <v/>
      </c>
      <c r="D539" s="24" t="str">
        <f aca="false">IF(A539="","",DATE(YEAR(A539),MONTH(A539),1))</f>
        <v/>
      </c>
      <c r="E539" s="10"/>
      <c r="F539" s="25"/>
      <c r="G539" s="25"/>
      <c r="H539" s="10"/>
      <c r="I539" s="10"/>
      <c r="J539" s="26"/>
      <c r="K539" s="25"/>
      <c r="L539" s="26"/>
      <c r="M539" s="27"/>
      <c r="N539" s="27"/>
      <c r="O539" s="28" t="str">
        <f aca="false">IF(OR(M539="",M539=0,N539=""),"",N539/M539)</f>
        <v/>
      </c>
      <c r="P539" s="28" t="str">
        <f aca="false">IF(M539="","",IFERROR(IF(INDEX(Parámetros!$B$14:$B$21,MATCH(I539,Parámetros!$A$14:$A$21,0))="",Parámetros!$B$5,INDEX(Parámetros!$B$14:$B$21,MATCH(I539,Parámetros!$A$14:$A$21,0))),Parámetros!$B$5))</f>
        <v/>
      </c>
      <c r="Q539" s="29" t="str">
        <f aca="false">IF(O539="","",(O539-P539)*100)</f>
        <v/>
      </c>
      <c r="R539" s="30" t="str">
        <f aca="false">IF(O539="","",MAX(0,M539*(P539-O539)))</f>
        <v/>
      </c>
      <c r="S539" s="31" t="str">
        <f aca="false">IF(OR(L539="",L539=0,N539=""),"",N539/1000/L539)</f>
        <v/>
      </c>
      <c r="T539" s="27"/>
      <c r="U539" s="27"/>
      <c r="V539" s="27"/>
      <c r="W539" s="27"/>
      <c r="X539" s="27"/>
      <c r="Y539" s="27"/>
      <c r="Z539" s="27"/>
      <c r="AA539" s="25"/>
      <c r="AB539" s="27"/>
      <c r="AC539" s="30" t="str">
        <f aca="false">IF(M539="","",IF(AB539="",M539*Parámetros!$B$6,AB539))</f>
        <v/>
      </c>
      <c r="AD539" s="30" t="str">
        <f aca="false">IF(M539="","",SUM(T539:Z539)+AC539)</f>
        <v/>
      </c>
      <c r="AE539" s="30" t="str">
        <f aca="false">IF(OR(M539="",N539=""),"",M539-N539)</f>
        <v/>
      </c>
      <c r="AF539" s="30" t="str">
        <f aca="false">IF(AE539="","",AE539-AD539)</f>
        <v/>
      </c>
      <c r="AG539" s="28" t="str">
        <f aca="false">IF(OR(AF539="",M539=0),"",AF539/M539)</f>
        <v/>
      </c>
      <c r="AH539" s="32" t="str">
        <f aca="false">IF(OR(AE539="",N539=0),"",AE539/(N539/1000))</f>
        <v/>
      </c>
      <c r="AI539" s="30" t="str">
        <f aca="false">IF(O539="","",M539*P539)</f>
        <v/>
      </c>
      <c r="AJ539" s="11" t="str">
        <f aca="false">IF(O539="","",IF(O539&gt;1,"Error: rend &gt; 100 %",IF(SUM(T539:Z539)=0,"Falta registrar pérdidas",IF(ABS(AG539)&gt;Parámetros!$B$7,"Revisar balance",IF(O539&lt;P539,"Bajo meta","OK")))))</f>
        <v/>
      </c>
      <c r="AK539" s="33"/>
      <c r="AL539" s="10"/>
      <c r="AM539" s="33"/>
      <c r="AN539" s="33"/>
      <c r="AO539" s="10"/>
    </row>
    <row r="540" customFormat="false" ht="15" hidden="false" customHeight="false" outlineLevel="0" collapsed="false">
      <c r="A540" s="22"/>
      <c r="B540" s="23" t="str">
        <f aca="false">IF(A540="","",YEAR(A540-WEEKDAY(A540,2)+4))</f>
        <v/>
      </c>
      <c r="C540" s="23" t="str">
        <f aca="false">IF(A540="","",WEEKNUM(A540,21))</f>
        <v/>
      </c>
      <c r="D540" s="24" t="str">
        <f aca="false">IF(A540="","",DATE(YEAR(A540),MONTH(A540),1))</f>
        <v/>
      </c>
      <c r="E540" s="10"/>
      <c r="F540" s="25"/>
      <c r="G540" s="25"/>
      <c r="H540" s="10"/>
      <c r="I540" s="10"/>
      <c r="J540" s="26"/>
      <c r="K540" s="25"/>
      <c r="L540" s="26"/>
      <c r="M540" s="27"/>
      <c r="N540" s="27"/>
      <c r="O540" s="28" t="str">
        <f aca="false">IF(OR(M540="",M540=0,N540=""),"",N540/M540)</f>
        <v/>
      </c>
      <c r="P540" s="28" t="str">
        <f aca="false">IF(M540="","",IFERROR(IF(INDEX(Parámetros!$B$14:$B$21,MATCH(I540,Parámetros!$A$14:$A$21,0))="",Parámetros!$B$5,INDEX(Parámetros!$B$14:$B$21,MATCH(I540,Parámetros!$A$14:$A$21,0))),Parámetros!$B$5))</f>
        <v/>
      </c>
      <c r="Q540" s="29" t="str">
        <f aca="false">IF(O540="","",(O540-P540)*100)</f>
        <v/>
      </c>
      <c r="R540" s="30" t="str">
        <f aca="false">IF(O540="","",MAX(0,M540*(P540-O540)))</f>
        <v/>
      </c>
      <c r="S540" s="31" t="str">
        <f aca="false">IF(OR(L540="",L540=0,N540=""),"",N540/1000/L540)</f>
        <v/>
      </c>
      <c r="T540" s="27"/>
      <c r="U540" s="27"/>
      <c r="V540" s="27"/>
      <c r="W540" s="27"/>
      <c r="X540" s="27"/>
      <c r="Y540" s="27"/>
      <c r="Z540" s="27"/>
      <c r="AA540" s="25"/>
      <c r="AB540" s="27"/>
      <c r="AC540" s="30" t="str">
        <f aca="false">IF(M540="","",IF(AB540="",M540*Parámetros!$B$6,AB540))</f>
        <v/>
      </c>
      <c r="AD540" s="30" t="str">
        <f aca="false">IF(M540="","",SUM(T540:Z540)+AC540)</f>
        <v/>
      </c>
      <c r="AE540" s="30" t="str">
        <f aca="false">IF(OR(M540="",N540=""),"",M540-N540)</f>
        <v/>
      </c>
      <c r="AF540" s="30" t="str">
        <f aca="false">IF(AE540="","",AE540-AD540)</f>
        <v/>
      </c>
      <c r="AG540" s="28" t="str">
        <f aca="false">IF(OR(AF540="",M540=0),"",AF540/M540)</f>
        <v/>
      </c>
      <c r="AH540" s="32" t="str">
        <f aca="false">IF(OR(AE540="",N540=0),"",AE540/(N540/1000))</f>
        <v/>
      </c>
      <c r="AI540" s="30" t="str">
        <f aca="false">IF(O540="","",M540*P540)</f>
        <v/>
      </c>
      <c r="AJ540" s="11" t="str">
        <f aca="false">IF(O540="","",IF(O540&gt;1,"Error: rend &gt; 100 %",IF(SUM(T540:Z540)=0,"Falta registrar pérdidas",IF(ABS(AG540)&gt;Parámetros!$B$7,"Revisar balance",IF(O540&lt;P540,"Bajo meta","OK")))))</f>
        <v/>
      </c>
      <c r="AK540" s="33"/>
      <c r="AL540" s="10"/>
      <c r="AM540" s="33"/>
      <c r="AN540" s="33"/>
      <c r="AO540" s="10"/>
    </row>
    <row r="541" customFormat="false" ht="15" hidden="false" customHeight="false" outlineLevel="0" collapsed="false">
      <c r="A541" s="22"/>
      <c r="B541" s="23" t="str">
        <f aca="false">IF(A541="","",YEAR(A541-WEEKDAY(A541,2)+4))</f>
        <v/>
      </c>
      <c r="C541" s="23" t="str">
        <f aca="false">IF(A541="","",WEEKNUM(A541,21))</f>
        <v/>
      </c>
      <c r="D541" s="24" t="str">
        <f aca="false">IF(A541="","",DATE(YEAR(A541),MONTH(A541),1))</f>
        <v/>
      </c>
      <c r="E541" s="10"/>
      <c r="F541" s="25"/>
      <c r="G541" s="25"/>
      <c r="H541" s="10"/>
      <c r="I541" s="10"/>
      <c r="J541" s="26"/>
      <c r="K541" s="25"/>
      <c r="L541" s="26"/>
      <c r="M541" s="27"/>
      <c r="N541" s="27"/>
      <c r="O541" s="28" t="str">
        <f aca="false">IF(OR(M541="",M541=0,N541=""),"",N541/M541)</f>
        <v/>
      </c>
      <c r="P541" s="28" t="str">
        <f aca="false">IF(M541="","",IFERROR(IF(INDEX(Parámetros!$B$14:$B$21,MATCH(I541,Parámetros!$A$14:$A$21,0))="",Parámetros!$B$5,INDEX(Parámetros!$B$14:$B$21,MATCH(I541,Parámetros!$A$14:$A$21,0))),Parámetros!$B$5))</f>
        <v/>
      </c>
      <c r="Q541" s="29" t="str">
        <f aca="false">IF(O541="","",(O541-P541)*100)</f>
        <v/>
      </c>
      <c r="R541" s="30" t="str">
        <f aca="false">IF(O541="","",MAX(0,M541*(P541-O541)))</f>
        <v/>
      </c>
      <c r="S541" s="31" t="str">
        <f aca="false">IF(OR(L541="",L541=0,N541=""),"",N541/1000/L541)</f>
        <v/>
      </c>
      <c r="T541" s="27"/>
      <c r="U541" s="27"/>
      <c r="V541" s="27"/>
      <c r="W541" s="27"/>
      <c r="X541" s="27"/>
      <c r="Y541" s="27"/>
      <c r="Z541" s="27"/>
      <c r="AA541" s="25"/>
      <c r="AB541" s="27"/>
      <c r="AC541" s="30" t="str">
        <f aca="false">IF(M541="","",IF(AB541="",M541*Parámetros!$B$6,AB541))</f>
        <v/>
      </c>
      <c r="AD541" s="30" t="str">
        <f aca="false">IF(M541="","",SUM(T541:Z541)+AC541)</f>
        <v/>
      </c>
      <c r="AE541" s="30" t="str">
        <f aca="false">IF(OR(M541="",N541=""),"",M541-N541)</f>
        <v/>
      </c>
      <c r="AF541" s="30" t="str">
        <f aca="false">IF(AE541="","",AE541-AD541)</f>
        <v/>
      </c>
      <c r="AG541" s="28" t="str">
        <f aca="false">IF(OR(AF541="",M541=0),"",AF541/M541)</f>
        <v/>
      </c>
      <c r="AH541" s="32" t="str">
        <f aca="false">IF(OR(AE541="",N541=0),"",AE541/(N541/1000))</f>
        <v/>
      </c>
      <c r="AI541" s="30" t="str">
        <f aca="false">IF(O541="","",M541*P541)</f>
        <v/>
      </c>
      <c r="AJ541" s="11" t="str">
        <f aca="false">IF(O541="","",IF(O541&gt;1,"Error: rend &gt; 100 %",IF(SUM(T541:Z541)=0,"Falta registrar pérdidas",IF(ABS(AG541)&gt;Parámetros!$B$7,"Revisar balance",IF(O541&lt;P541,"Bajo meta","OK")))))</f>
        <v/>
      </c>
      <c r="AK541" s="33"/>
      <c r="AL541" s="10"/>
      <c r="AM541" s="33"/>
      <c r="AN541" s="33"/>
      <c r="AO541" s="10"/>
    </row>
    <row r="542" customFormat="false" ht="15" hidden="false" customHeight="false" outlineLevel="0" collapsed="false">
      <c r="A542" s="22"/>
      <c r="B542" s="23" t="str">
        <f aca="false">IF(A542="","",YEAR(A542-WEEKDAY(A542,2)+4))</f>
        <v/>
      </c>
      <c r="C542" s="23" t="str">
        <f aca="false">IF(A542="","",WEEKNUM(A542,21))</f>
        <v/>
      </c>
      <c r="D542" s="24" t="str">
        <f aca="false">IF(A542="","",DATE(YEAR(A542),MONTH(A542),1))</f>
        <v/>
      </c>
      <c r="E542" s="10"/>
      <c r="F542" s="25"/>
      <c r="G542" s="25"/>
      <c r="H542" s="10"/>
      <c r="I542" s="10"/>
      <c r="J542" s="26"/>
      <c r="K542" s="25"/>
      <c r="L542" s="26"/>
      <c r="M542" s="27"/>
      <c r="N542" s="27"/>
      <c r="O542" s="28" t="str">
        <f aca="false">IF(OR(M542="",M542=0,N542=""),"",N542/M542)</f>
        <v/>
      </c>
      <c r="P542" s="28" t="str">
        <f aca="false">IF(M542="","",IFERROR(IF(INDEX(Parámetros!$B$14:$B$21,MATCH(I542,Parámetros!$A$14:$A$21,0))="",Parámetros!$B$5,INDEX(Parámetros!$B$14:$B$21,MATCH(I542,Parámetros!$A$14:$A$21,0))),Parámetros!$B$5))</f>
        <v/>
      </c>
      <c r="Q542" s="29" t="str">
        <f aca="false">IF(O542="","",(O542-P542)*100)</f>
        <v/>
      </c>
      <c r="R542" s="30" t="str">
        <f aca="false">IF(O542="","",MAX(0,M542*(P542-O542)))</f>
        <v/>
      </c>
      <c r="S542" s="31" t="str">
        <f aca="false">IF(OR(L542="",L542=0,N542=""),"",N542/1000/L542)</f>
        <v/>
      </c>
      <c r="T542" s="27"/>
      <c r="U542" s="27"/>
      <c r="V542" s="27"/>
      <c r="W542" s="27"/>
      <c r="X542" s="27"/>
      <c r="Y542" s="27"/>
      <c r="Z542" s="27"/>
      <c r="AA542" s="25"/>
      <c r="AB542" s="27"/>
      <c r="AC542" s="30" t="str">
        <f aca="false">IF(M542="","",IF(AB542="",M542*Parámetros!$B$6,AB542))</f>
        <v/>
      </c>
      <c r="AD542" s="30" t="str">
        <f aca="false">IF(M542="","",SUM(T542:Z542)+AC542)</f>
        <v/>
      </c>
      <c r="AE542" s="30" t="str">
        <f aca="false">IF(OR(M542="",N542=""),"",M542-N542)</f>
        <v/>
      </c>
      <c r="AF542" s="30" t="str">
        <f aca="false">IF(AE542="","",AE542-AD542)</f>
        <v/>
      </c>
      <c r="AG542" s="28" t="str">
        <f aca="false">IF(OR(AF542="",M542=0),"",AF542/M542)</f>
        <v/>
      </c>
      <c r="AH542" s="32" t="str">
        <f aca="false">IF(OR(AE542="",N542=0),"",AE542/(N542/1000))</f>
        <v/>
      </c>
      <c r="AI542" s="30" t="str">
        <f aca="false">IF(O542="","",M542*P542)</f>
        <v/>
      </c>
      <c r="AJ542" s="11" t="str">
        <f aca="false">IF(O542="","",IF(O542&gt;1,"Error: rend &gt; 100 %",IF(SUM(T542:Z542)=0,"Falta registrar pérdidas",IF(ABS(AG542)&gt;Parámetros!$B$7,"Revisar balance",IF(O542&lt;P542,"Bajo meta","OK")))))</f>
        <v/>
      </c>
      <c r="AK542" s="33"/>
      <c r="AL542" s="10"/>
      <c r="AM542" s="33"/>
      <c r="AN542" s="33"/>
      <c r="AO542" s="10"/>
    </row>
    <row r="543" customFormat="false" ht="15" hidden="false" customHeight="false" outlineLevel="0" collapsed="false">
      <c r="A543" s="22"/>
      <c r="B543" s="23" t="str">
        <f aca="false">IF(A543="","",YEAR(A543-WEEKDAY(A543,2)+4))</f>
        <v/>
      </c>
      <c r="C543" s="23" t="str">
        <f aca="false">IF(A543="","",WEEKNUM(A543,21))</f>
        <v/>
      </c>
      <c r="D543" s="24" t="str">
        <f aca="false">IF(A543="","",DATE(YEAR(A543),MONTH(A543),1))</f>
        <v/>
      </c>
      <c r="E543" s="10"/>
      <c r="F543" s="25"/>
      <c r="G543" s="25"/>
      <c r="H543" s="10"/>
      <c r="I543" s="10"/>
      <c r="J543" s="26"/>
      <c r="K543" s="25"/>
      <c r="L543" s="26"/>
      <c r="M543" s="27"/>
      <c r="N543" s="27"/>
      <c r="O543" s="28" t="str">
        <f aca="false">IF(OR(M543="",M543=0,N543=""),"",N543/M543)</f>
        <v/>
      </c>
      <c r="P543" s="28" t="str">
        <f aca="false">IF(M543="","",IFERROR(IF(INDEX(Parámetros!$B$14:$B$21,MATCH(I543,Parámetros!$A$14:$A$21,0))="",Parámetros!$B$5,INDEX(Parámetros!$B$14:$B$21,MATCH(I543,Parámetros!$A$14:$A$21,0))),Parámetros!$B$5))</f>
        <v/>
      </c>
      <c r="Q543" s="29" t="str">
        <f aca="false">IF(O543="","",(O543-P543)*100)</f>
        <v/>
      </c>
      <c r="R543" s="30" t="str">
        <f aca="false">IF(O543="","",MAX(0,M543*(P543-O543)))</f>
        <v/>
      </c>
      <c r="S543" s="31" t="str">
        <f aca="false">IF(OR(L543="",L543=0,N543=""),"",N543/1000/L543)</f>
        <v/>
      </c>
      <c r="T543" s="27"/>
      <c r="U543" s="27"/>
      <c r="V543" s="27"/>
      <c r="W543" s="27"/>
      <c r="X543" s="27"/>
      <c r="Y543" s="27"/>
      <c r="Z543" s="27"/>
      <c r="AA543" s="25"/>
      <c r="AB543" s="27"/>
      <c r="AC543" s="30" t="str">
        <f aca="false">IF(M543="","",IF(AB543="",M543*Parámetros!$B$6,AB543))</f>
        <v/>
      </c>
      <c r="AD543" s="30" t="str">
        <f aca="false">IF(M543="","",SUM(T543:Z543)+AC543)</f>
        <v/>
      </c>
      <c r="AE543" s="30" t="str">
        <f aca="false">IF(OR(M543="",N543=""),"",M543-N543)</f>
        <v/>
      </c>
      <c r="AF543" s="30" t="str">
        <f aca="false">IF(AE543="","",AE543-AD543)</f>
        <v/>
      </c>
      <c r="AG543" s="28" t="str">
        <f aca="false">IF(OR(AF543="",M543=0),"",AF543/M543)</f>
        <v/>
      </c>
      <c r="AH543" s="32" t="str">
        <f aca="false">IF(OR(AE543="",N543=0),"",AE543/(N543/1000))</f>
        <v/>
      </c>
      <c r="AI543" s="30" t="str">
        <f aca="false">IF(O543="","",M543*P543)</f>
        <v/>
      </c>
      <c r="AJ543" s="11" t="str">
        <f aca="false">IF(O543="","",IF(O543&gt;1,"Error: rend &gt; 100 %",IF(SUM(T543:Z543)=0,"Falta registrar pérdidas",IF(ABS(AG543)&gt;Parámetros!$B$7,"Revisar balance",IF(O543&lt;P543,"Bajo meta","OK")))))</f>
        <v/>
      </c>
      <c r="AK543" s="33"/>
      <c r="AL543" s="10"/>
      <c r="AM543" s="33"/>
      <c r="AN543" s="33"/>
      <c r="AO543" s="10"/>
    </row>
    <row r="544" customFormat="false" ht="15" hidden="false" customHeight="false" outlineLevel="0" collapsed="false">
      <c r="A544" s="22"/>
      <c r="B544" s="23" t="str">
        <f aca="false">IF(A544="","",YEAR(A544-WEEKDAY(A544,2)+4))</f>
        <v/>
      </c>
      <c r="C544" s="23" t="str">
        <f aca="false">IF(A544="","",WEEKNUM(A544,21))</f>
        <v/>
      </c>
      <c r="D544" s="24" t="str">
        <f aca="false">IF(A544="","",DATE(YEAR(A544),MONTH(A544),1))</f>
        <v/>
      </c>
      <c r="E544" s="10"/>
      <c r="F544" s="25"/>
      <c r="G544" s="25"/>
      <c r="H544" s="10"/>
      <c r="I544" s="10"/>
      <c r="J544" s="26"/>
      <c r="K544" s="25"/>
      <c r="L544" s="26"/>
      <c r="M544" s="27"/>
      <c r="N544" s="27"/>
      <c r="O544" s="28" t="str">
        <f aca="false">IF(OR(M544="",M544=0,N544=""),"",N544/M544)</f>
        <v/>
      </c>
      <c r="P544" s="28" t="str">
        <f aca="false">IF(M544="","",IFERROR(IF(INDEX(Parámetros!$B$14:$B$21,MATCH(I544,Parámetros!$A$14:$A$21,0))="",Parámetros!$B$5,INDEX(Parámetros!$B$14:$B$21,MATCH(I544,Parámetros!$A$14:$A$21,0))),Parámetros!$B$5))</f>
        <v/>
      </c>
      <c r="Q544" s="29" t="str">
        <f aca="false">IF(O544="","",(O544-P544)*100)</f>
        <v/>
      </c>
      <c r="R544" s="30" t="str">
        <f aca="false">IF(O544="","",MAX(0,M544*(P544-O544)))</f>
        <v/>
      </c>
      <c r="S544" s="31" t="str">
        <f aca="false">IF(OR(L544="",L544=0,N544=""),"",N544/1000/L544)</f>
        <v/>
      </c>
      <c r="T544" s="27"/>
      <c r="U544" s="27"/>
      <c r="V544" s="27"/>
      <c r="W544" s="27"/>
      <c r="X544" s="27"/>
      <c r="Y544" s="27"/>
      <c r="Z544" s="27"/>
      <c r="AA544" s="25"/>
      <c r="AB544" s="27"/>
      <c r="AC544" s="30" t="str">
        <f aca="false">IF(M544="","",IF(AB544="",M544*Parámetros!$B$6,AB544))</f>
        <v/>
      </c>
      <c r="AD544" s="30" t="str">
        <f aca="false">IF(M544="","",SUM(T544:Z544)+AC544)</f>
        <v/>
      </c>
      <c r="AE544" s="30" t="str">
        <f aca="false">IF(OR(M544="",N544=""),"",M544-N544)</f>
        <v/>
      </c>
      <c r="AF544" s="30" t="str">
        <f aca="false">IF(AE544="","",AE544-AD544)</f>
        <v/>
      </c>
      <c r="AG544" s="28" t="str">
        <f aca="false">IF(OR(AF544="",M544=0),"",AF544/M544)</f>
        <v/>
      </c>
      <c r="AH544" s="32" t="str">
        <f aca="false">IF(OR(AE544="",N544=0),"",AE544/(N544/1000))</f>
        <v/>
      </c>
      <c r="AI544" s="30" t="str">
        <f aca="false">IF(O544="","",M544*P544)</f>
        <v/>
      </c>
      <c r="AJ544" s="11" t="str">
        <f aca="false">IF(O544="","",IF(O544&gt;1,"Error: rend &gt; 100 %",IF(SUM(T544:Z544)=0,"Falta registrar pérdidas",IF(ABS(AG544)&gt;Parámetros!$B$7,"Revisar balance",IF(O544&lt;P544,"Bajo meta","OK")))))</f>
        <v/>
      </c>
      <c r="AK544" s="33"/>
      <c r="AL544" s="10"/>
      <c r="AM544" s="33"/>
      <c r="AN544" s="33"/>
      <c r="AO544" s="10"/>
    </row>
    <row r="545" customFormat="false" ht="15" hidden="false" customHeight="false" outlineLevel="0" collapsed="false">
      <c r="A545" s="22"/>
      <c r="B545" s="23" t="str">
        <f aca="false">IF(A545="","",YEAR(A545-WEEKDAY(A545,2)+4))</f>
        <v/>
      </c>
      <c r="C545" s="23" t="str">
        <f aca="false">IF(A545="","",WEEKNUM(A545,21))</f>
        <v/>
      </c>
      <c r="D545" s="24" t="str">
        <f aca="false">IF(A545="","",DATE(YEAR(A545),MONTH(A545),1))</f>
        <v/>
      </c>
      <c r="E545" s="10"/>
      <c r="F545" s="25"/>
      <c r="G545" s="25"/>
      <c r="H545" s="10"/>
      <c r="I545" s="10"/>
      <c r="J545" s="26"/>
      <c r="K545" s="25"/>
      <c r="L545" s="26"/>
      <c r="M545" s="27"/>
      <c r="N545" s="27"/>
      <c r="O545" s="28" t="str">
        <f aca="false">IF(OR(M545="",M545=0,N545=""),"",N545/M545)</f>
        <v/>
      </c>
      <c r="P545" s="28" t="str">
        <f aca="false">IF(M545="","",IFERROR(IF(INDEX(Parámetros!$B$14:$B$21,MATCH(I545,Parámetros!$A$14:$A$21,0))="",Parámetros!$B$5,INDEX(Parámetros!$B$14:$B$21,MATCH(I545,Parámetros!$A$14:$A$21,0))),Parámetros!$B$5))</f>
        <v/>
      </c>
      <c r="Q545" s="29" t="str">
        <f aca="false">IF(O545="","",(O545-P545)*100)</f>
        <v/>
      </c>
      <c r="R545" s="30" t="str">
        <f aca="false">IF(O545="","",MAX(0,M545*(P545-O545)))</f>
        <v/>
      </c>
      <c r="S545" s="31" t="str">
        <f aca="false">IF(OR(L545="",L545=0,N545=""),"",N545/1000/L545)</f>
        <v/>
      </c>
      <c r="T545" s="27"/>
      <c r="U545" s="27"/>
      <c r="V545" s="27"/>
      <c r="W545" s="27"/>
      <c r="X545" s="27"/>
      <c r="Y545" s="27"/>
      <c r="Z545" s="27"/>
      <c r="AA545" s="25"/>
      <c r="AB545" s="27"/>
      <c r="AC545" s="30" t="str">
        <f aca="false">IF(M545="","",IF(AB545="",M545*Parámetros!$B$6,AB545))</f>
        <v/>
      </c>
      <c r="AD545" s="30" t="str">
        <f aca="false">IF(M545="","",SUM(T545:Z545)+AC545)</f>
        <v/>
      </c>
      <c r="AE545" s="30" t="str">
        <f aca="false">IF(OR(M545="",N545=""),"",M545-N545)</f>
        <v/>
      </c>
      <c r="AF545" s="30" t="str">
        <f aca="false">IF(AE545="","",AE545-AD545)</f>
        <v/>
      </c>
      <c r="AG545" s="28" t="str">
        <f aca="false">IF(OR(AF545="",M545=0),"",AF545/M545)</f>
        <v/>
      </c>
      <c r="AH545" s="32" t="str">
        <f aca="false">IF(OR(AE545="",N545=0),"",AE545/(N545/1000))</f>
        <v/>
      </c>
      <c r="AI545" s="30" t="str">
        <f aca="false">IF(O545="","",M545*P545)</f>
        <v/>
      </c>
      <c r="AJ545" s="11" t="str">
        <f aca="false">IF(O545="","",IF(O545&gt;1,"Error: rend &gt; 100 %",IF(SUM(T545:Z545)=0,"Falta registrar pérdidas",IF(ABS(AG545)&gt;Parámetros!$B$7,"Revisar balance",IF(O545&lt;P545,"Bajo meta","OK")))))</f>
        <v/>
      </c>
      <c r="AK545" s="33"/>
      <c r="AL545" s="10"/>
      <c r="AM545" s="33"/>
      <c r="AN545" s="33"/>
      <c r="AO545" s="10"/>
    </row>
    <row r="546" customFormat="false" ht="15" hidden="false" customHeight="false" outlineLevel="0" collapsed="false">
      <c r="A546" s="22"/>
      <c r="B546" s="23" t="str">
        <f aca="false">IF(A546="","",YEAR(A546-WEEKDAY(A546,2)+4))</f>
        <v/>
      </c>
      <c r="C546" s="23" t="str">
        <f aca="false">IF(A546="","",WEEKNUM(A546,21))</f>
        <v/>
      </c>
      <c r="D546" s="24" t="str">
        <f aca="false">IF(A546="","",DATE(YEAR(A546),MONTH(A546),1))</f>
        <v/>
      </c>
      <c r="E546" s="10"/>
      <c r="F546" s="25"/>
      <c r="G546" s="25"/>
      <c r="H546" s="10"/>
      <c r="I546" s="10"/>
      <c r="J546" s="26"/>
      <c r="K546" s="25"/>
      <c r="L546" s="26"/>
      <c r="M546" s="27"/>
      <c r="N546" s="27"/>
      <c r="O546" s="28" t="str">
        <f aca="false">IF(OR(M546="",M546=0,N546=""),"",N546/M546)</f>
        <v/>
      </c>
      <c r="P546" s="28" t="str">
        <f aca="false">IF(M546="","",IFERROR(IF(INDEX(Parámetros!$B$14:$B$21,MATCH(I546,Parámetros!$A$14:$A$21,0))="",Parámetros!$B$5,INDEX(Parámetros!$B$14:$B$21,MATCH(I546,Parámetros!$A$14:$A$21,0))),Parámetros!$B$5))</f>
        <v/>
      </c>
      <c r="Q546" s="29" t="str">
        <f aca="false">IF(O546="","",(O546-P546)*100)</f>
        <v/>
      </c>
      <c r="R546" s="30" t="str">
        <f aca="false">IF(O546="","",MAX(0,M546*(P546-O546)))</f>
        <v/>
      </c>
      <c r="S546" s="31" t="str">
        <f aca="false">IF(OR(L546="",L546=0,N546=""),"",N546/1000/L546)</f>
        <v/>
      </c>
      <c r="T546" s="27"/>
      <c r="U546" s="27"/>
      <c r="V546" s="27"/>
      <c r="W546" s="27"/>
      <c r="X546" s="27"/>
      <c r="Y546" s="27"/>
      <c r="Z546" s="27"/>
      <c r="AA546" s="25"/>
      <c r="AB546" s="27"/>
      <c r="AC546" s="30" t="str">
        <f aca="false">IF(M546="","",IF(AB546="",M546*Parámetros!$B$6,AB546))</f>
        <v/>
      </c>
      <c r="AD546" s="30" t="str">
        <f aca="false">IF(M546="","",SUM(T546:Z546)+AC546)</f>
        <v/>
      </c>
      <c r="AE546" s="30" t="str">
        <f aca="false">IF(OR(M546="",N546=""),"",M546-N546)</f>
        <v/>
      </c>
      <c r="AF546" s="30" t="str">
        <f aca="false">IF(AE546="","",AE546-AD546)</f>
        <v/>
      </c>
      <c r="AG546" s="28" t="str">
        <f aca="false">IF(OR(AF546="",M546=0),"",AF546/M546)</f>
        <v/>
      </c>
      <c r="AH546" s="32" t="str">
        <f aca="false">IF(OR(AE546="",N546=0),"",AE546/(N546/1000))</f>
        <v/>
      </c>
      <c r="AI546" s="30" t="str">
        <f aca="false">IF(O546="","",M546*P546)</f>
        <v/>
      </c>
      <c r="AJ546" s="11" t="str">
        <f aca="false">IF(O546="","",IF(O546&gt;1,"Error: rend &gt; 100 %",IF(SUM(T546:Z546)=0,"Falta registrar pérdidas",IF(ABS(AG546)&gt;Parámetros!$B$7,"Revisar balance",IF(O546&lt;P546,"Bajo meta","OK")))))</f>
        <v/>
      </c>
      <c r="AK546" s="33"/>
      <c r="AL546" s="10"/>
      <c r="AM546" s="33"/>
      <c r="AN546" s="33"/>
      <c r="AO546" s="10"/>
    </row>
    <row r="547" customFormat="false" ht="15" hidden="false" customHeight="false" outlineLevel="0" collapsed="false">
      <c r="A547" s="22"/>
      <c r="B547" s="23" t="str">
        <f aca="false">IF(A547="","",YEAR(A547-WEEKDAY(A547,2)+4))</f>
        <v/>
      </c>
      <c r="C547" s="23" t="str">
        <f aca="false">IF(A547="","",WEEKNUM(A547,21))</f>
        <v/>
      </c>
      <c r="D547" s="24" t="str">
        <f aca="false">IF(A547="","",DATE(YEAR(A547),MONTH(A547),1))</f>
        <v/>
      </c>
      <c r="E547" s="10"/>
      <c r="F547" s="25"/>
      <c r="G547" s="25"/>
      <c r="H547" s="10"/>
      <c r="I547" s="10"/>
      <c r="J547" s="26"/>
      <c r="K547" s="25"/>
      <c r="L547" s="26"/>
      <c r="M547" s="27"/>
      <c r="N547" s="27"/>
      <c r="O547" s="28" t="str">
        <f aca="false">IF(OR(M547="",M547=0,N547=""),"",N547/M547)</f>
        <v/>
      </c>
      <c r="P547" s="28" t="str">
        <f aca="false">IF(M547="","",IFERROR(IF(INDEX(Parámetros!$B$14:$B$21,MATCH(I547,Parámetros!$A$14:$A$21,0))="",Parámetros!$B$5,INDEX(Parámetros!$B$14:$B$21,MATCH(I547,Parámetros!$A$14:$A$21,0))),Parámetros!$B$5))</f>
        <v/>
      </c>
      <c r="Q547" s="29" t="str">
        <f aca="false">IF(O547="","",(O547-P547)*100)</f>
        <v/>
      </c>
      <c r="R547" s="30" t="str">
        <f aca="false">IF(O547="","",MAX(0,M547*(P547-O547)))</f>
        <v/>
      </c>
      <c r="S547" s="31" t="str">
        <f aca="false">IF(OR(L547="",L547=0,N547=""),"",N547/1000/L547)</f>
        <v/>
      </c>
      <c r="T547" s="27"/>
      <c r="U547" s="27"/>
      <c r="V547" s="27"/>
      <c r="W547" s="27"/>
      <c r="X547" s="27"/>
      <c r="Y547" s="27"/>
      <c r="Z547" s="27"/>
      <c r="AA547" s="25"/>
      <c r="AB547" s="27"/>
      <c r="AC547" s="30" t="str">
        <f aca="false">IF(M547="","",IF(AB547="",M547*Parámetros!$B$6,AB547))</f>
        <v/>
      </c>
      <c r="AD547" s="30" t="str">
        <f aca="false">IF(M547="","",SUM(T547:Z547)+AC547)</f>
        <v/>
      </c>
      <c r="AE547" s="30" t="str">
        <f aca="false">IF(OR(M547="",N547=""),"",M547-N547)</f>
        <v/>
      </c>
      <c r="AF547" s="30" t="str">
        <f aca="false">IF(AE547="","",AE547-AD547)</f>
        <v/>
      </c>
      <c r="AG547" s="28" t="str">
        <f aca="false">IF(OR(AF547="",M547=0),"",AF547/M547)</f>
        <v/>
      </c>
      <c r="AH547" s="32" t="str">
        <f aca="false">IF(OR(AE547="",N547=0),"",AE547/(N547/1000))</f>
        <v/>
      </c>
      <c r="AI547" s="30" t="str">
        <f aca="false">IF(O547="","",M547*P547)</f>
        <v/>
      </c>
      <c r="AJ547" s="11" t="str">
        <f aca="false">IF(O547="","",IF(O547&gt;1,"Error: rend &gt; 100 %",IF(SUM(T547:Z547)=0,"Falta registrar pérdidas",IF(ABS(AG547)&gt;Parámetros!$B$7,"Revisar balance",IF(O547&lt;P547,"Bajo meta","OK")))))</f>
        <v/>
      </c>
      <c r="AK547" s="33"/>
      <c r="AL547" s="10"/>
      <c r="AM547" s="33"/>
      <c r="AN547" s="33"/>
      <c r="AO547" s="10"/>
    </row>
    <row r="548" customFormat="false" ht="15" hidden="false" customHeight="false" outlineLevel="0" collapsed="false">
      <c r="A548" s="22"/>
      <c r="B548" s="23" t="str">
        <f aca="false">IF(A548="","",YEAR(A548-WEEKDAY(A548,2)+4))</f>
        <v/>
      </c>
      <c r="C548" s="23" t="str">
        <f aca="false">IF(A548="","",WEEKNUM(A548,21))</f>
        <v/>
      </c>
      <c r="D548" s="24" t="str">
        <f aca="false">IF(A548="","",DATE(YEAR(A548),MONTH(A548),1))</f>
        <v/>
      </c>
      <c r="E548" s="10"/>
      <c r="F548" s="25"/>
      <c r="G548" s="25"/>
      <c r="H548" s="10"/>
      <c r="I548" s="10"/>
      <c r="J548" s="26"/>
      <c r="K548" s="25"/>
      <c r="L548" s="26"/>
      <c r="M548" s="27"/>
      <c r="N548" s="27"/>
      <c r="O548" s="28" t="str">
        <f aca="false">IF(OR(M548="",M548=0,N548=""),"",N548/M548)</f>
        <v/>
      </c>
      <c r="P548" s="28" t="str">
        <f aca="false">IF(M548="","",IFERROR(IF(INDEX(Parámetros!$B$14:$B$21,MATCH(I548,Parámetros!$A$14:$A$21,0))="",Parámetros!$B$5,INDEX(Parámetros!$B$14:$B$21,MATCH(I548,Parámetros!$A$14:$A$21,0))),Parámetros!$B$5))</f>
        <v/>
      </c>
      <c r="Q548" s="29" t="str">
        <f aca="false">IF(O548="","",(O548-P548)*100)</f>
        <v/>
      </c>
      <c r="R548" s="30" t="str">
        <f aca="false">IF(O548="","",MAX(0,M548*(P548-O548)))</f>
        <v/>
      </c>
      <c r="S548" s="31" t="str">
        <f aca="false">IF(OR(L548="",L548=0,N548=""),"",N548/1000/L548)</f>
        <v/>
      </c>
      <c r="T548" s="27"/>
      <c r="U548" s="27"/>
      <c r="V548" s="27"/>
      <c r="W548" s="27"/>
      <c r="X548" s="27"/>
      <c r="Y548" s="27"/>
      <c r="Z548" s="27"/>
      <c r="AA548" s="25"/>
      <c r="AB548" s="27"/>
      <c r="AC548" s="30" t="str">
        <f aca="false">IF(M548="","",IF(AB548="",M548*Parámetros!$B$6,AB548))</f>
        <v/>
      </c>
      <c r="AD548" s="30" t="str">
        <f aca="false">IF(M548="","",SUM(T548:Z548)+AC548)</f>
        <v/>
      </c>
      <c r="AE548" s="30" t="str">
        <f aca="false">IF(OR(M548="",N548=""),"",M548-N548)</f>
        <v/>
      </c>
      <c r="AF548" s="30" t="str">
        <f aca="false">IF(AE548="","",AE548-AD548)</f>
        <v/>
      </c>
      <c r="AG548" s="28" t="str">
        <f aca="false">IF(OR(AF548="",M548=0),"",AF548/M548)</f>
        <v/>
      </c>
      <c r="AH548" s="32" t="str">
        <f aca="false">IF(OR(AE548="",N548=0),"",AE548/(N548/1000))</f>
        <v/>
      </c>
      <c r="AI548" s="30" t="str">
        <f aca="false">IF(O548="","",M548*P548)</f>
        <v/>
      </c>
      <c r="AJ548" s="11" t="str">
        <f aca="false">IF(O548="","",IF(O548&gt;1,"Error: rend &gt; 100 %",IF(SUM(T548:Z548)=0,"Falta registrar pérdidas",IF(ABS(AG548)&gt;Parámetros!$B$7,"Revisar balance",IF(O548&lt;P548,"Bajo meta","OK")))))</f>
        <v/>
      </c>
      <c r="AK548" s="33"/>
      <c r="AL548" s="10"/>
      <c r="AM548" s="33"/>
      <c r="AN548" s="33"/>
      <c r="AO548" s="10"/>
    </row>
    <row r="549" customFormat="false" ht="15" hidden="false" customHeight="false" outlineLevel="0" collapsed="false">
      <c r="A549" s="22"/>
      <c r="B549" s="23" t="str">
        <f aca="false">IF(A549="","",YEAR(A549-WEEKDAY(A549,2)+4))</f>
        <v/>
      </c>
      <c r="C549" s="23" t="str">
        <f aca="false">IF(A549="","",WEEKNUM(A549,21))</f>
        <v/>
      </c>
      <c r="D549" s="24" t="str">
        <f aca="false">IF(A549="","",DATE(YEAR(A549),MONTH(A549),1))</f>
        <v/>
      </c>
      <c r="E549" s="10"/>
      <c r="F549" s="25"/>
      <c r="G549" s="25"/>
      <c r="H549" s="10"/>
      <c r="I549" s="10"/>
      <c r="J549" s="26"/>
      <c r="K549" s="25"/>
      <c r="L549" s="26"/>
      <c r="M549" s="27"/>
      <c r="N549" s="27"/>
      <c r="O549" s="28" t="str">
        <f aca="false">IF(OR(M549="",M549=0,N549=""),"",N549/M549)</f>
        <v/>
      </c>
      <c r="P549" s="28" t="str">
        <f aca="false">IF(M549="","",IFERROR(IF(INDEX(Parámetros!$B$14:$B$21,MATCH(I549,Parámetros!$A$14:$A$21,0))="",Parámetros!$B$5,INDEX(Parámetros!$B$14:$B$21,MATCH(I549,Parámetros!$A$14:$A$21,0))),Parámetros!$B$5))</f>
        <v/>
      </c>
      <c r="Q549" s="29" t="str">
        <f aca="false">IF(O549="","",(O549-P549)*100)</f>
        <v/>
      </c>
      <c r="R549" s="30" t="str">
        <f aca="false">IF(O549="","",MAX(0,M549*(P549-O549)))</f>
        <v/>
      </c>
      <c r="S549" s="31" t="str">
        <f aca="false">IF(OR(L549="",L549=0,N549=""),"",N549/1000/L549)</f>
        <v/>
      </c>
      <c r="T549" s="27"/>
      <c r="U549" s="27"/>
      <c r="V549" s="27"/>
      <c r="W549" s="27"/>
      <c r="X549" s="27"/>
      <c r="Y549" s="27"/>
      <c r="Z549" s="27"/>
      <c r="AA549" s="25"/>
      <c r="AB549" s="27"/>
      <c r="AC549" s="30" t="str">
        <f aca="false">IF(M549="","",IF(AB549="",M549*Parámetros!$B$6,AB549))</f>
        <v/>
      </c>
      <c r="AD549" s="30" t="str">
        <f aca="false">IF(M549="","",SUM(T549:Z549)+AC549)</f>
        <v/>
      </c>
      <c r="AE549" s="30" t="str">
        <f aca="false">IF(OR(M549="",N549=""),"",M549-N549)</f>
        <v/>
      </c>
      <c r="AF549" s="30" t="str">
        <f aca="false">IF(AE549="","",AE549-AD549)</f>
        <v/>
      </c>
      <c r="AG549" s="28" t="str">
        <f aca="false">IF(OR(AF549="",M549=0),"",AF549/M549)</f>
        <v/>
      </c>
      <c r="AH549" s="32" t="str">
        <f aca="false">IF(OR(AE549="",N549=0),"",AE549/(N549/1000))</f>
        <v/>
      </c>
      <c r="AI549" s="30" t="str">
        <f aca="false">IF(O549="","",M549*P549)</f>
        <v/>
      </c>
      <c r="AJ549" s="11" t="str">
        <f aca="false">IF(O549="","",IF(O549&gt;1,"Error: rend &gt; 100 %",IF(SUM(T549:Z549)=0,"Falta registrar pérdidas",IF(ABS(AG549)&gt;Parámetros!$B$7,"Revisar balance",IF(O549&lt;P549,"Bajo meta","OK")))))</f>
        <v/>
      </c>
      <c r="AK549" s="33"/>
      <c r="AL549" s="10"/>
      <c r="AM549" s="33"/>
      <c r="AN549" s="33"/>
      <c r="AO549" s="10"/>
    </row>
    <row r="550" customFormat="false" ht="15" hidden="false" customHeight="false" outlineLevel="0" collapsed="false">
      <c r="A550" s="22"/>
      <c r="B550" s="23" t="str">
        <f aca="false">IF(A550="","",YEAR(A550-WEEKDAY(A550,2)+4))</f>
        <v/>
      </c>
      <c r="C550" s="23" t="str">
        <f aca="false">IF(A550="","",WEEKNUM(A550,21))</f>
        <v/>
      </c>
      <c r="D550" s="24" t="str">
        <f aca="false">IF(A550="","",DATE(YEAR(A550),MONTH(A550),1))</f>
        <v/>
      </c>
      <c r="E550" s="10"/>
      <c r="F550" s="25"/>
      <c r="G550" s="25"/>
      <c r="H550" s="10"/>
      <c r="I550" s="10"/>
      <c r="J550" s="26"/>
      <c r="K550" s="25"/>
      <c r="L550" s="26"/>
      <c r="M550" s="27"/>
      <c r="N550" s="27"/>
      <c r="O550" s="28" t="str">
        <f aca="false">IF(OR(M550="",M550=0,N550=""),"",N550/M550)</f>
        <v/>
      </c>
      <c r="P550" s="28" t="str">
        <f aca="false">IF(M550="","",IFERROR(IF(INDEX(Parámetros!$B$14:$B$21,MATCH(I550,Parámetros!$A$14:$A$21,0))="",Parámetros!$B$5,INDEX(Parámetros!$B$14:$B$21,MATCH(I550,Parámetros!$A$14:$A$21,0))),Parámetros!$B$5))</f>
        <v/>
      </c>
      <c r="Q550" s="29" t="str">
        <f aca="false">IF(O550="","",(O550-P550)*100)</f>
        <v/>
      </c>
      <c r="R550" s="30" t="str">
        <f aca="false">IF(O550="","",MAX(0,M550*(P550-O550)))</f>
        <v/>
      </c>
      <c r="S550" s="31" t="str">
        <f aca="false">IF(OR(L550="",L550=0,N550=""),"",N550/1000/L550)</f>
        <v/>
      </c>
      <c r="T550" s="27"/>
      <c r="U550" s="27"/>
      <c r="V550" s="27"/>
      <c r="W550" s="27"/>
      <c r="X550" s="27"/>
      <c r="Y550" s="27"/>
      <c r="Z550" s="27"/>
      <c r="AA550" s="25"/>
      <c r="AB550" s="27"/>
      <c r="AC550" s="30" t="str">
        <f aca="false">IF(M550="","",IF(AB550="",M550*Parámetros!$B$6,AB550))</f>
        <v/>
      </c>
      <c r="AD550" s="30" t="str">
        <f aca="false">IF(M550="","",SUM(T550:Z550)+AC550)</f>
        <v/>
      </c>
      <c r="AE550" s="30" t="str">
        <f aca="false">IF(OR(M550="",N550=""),"",M550-N550)</f>
        <v/>
      </c>
      <c r="AF550" s="30" t="str">
        <f aca="false">IF(AE550="","",AE550-AD550)</f>
        <v/>
      </c>
      <c r="AG550" s="28" t="str">
        <f aca="false">IF(OR(AF550="",M550=0),"",AF550/M550)</f>
        <v/>
      </c>
      <c r="AH550" s="32" t="str">
        <f aca="false">IF(OR(AE550="",N550=0),"",AE550/(N550/1000))</f>
        <v/>
      </c>
      <c r="AI550" s="30" t="str">
        <f aca="false">IF(O550="","",M550*P550)</f>
        <v/>
      </c>
      <c r="AJ550" s="11" t="str">
        <f aca="false">IF(O550="","",IF(O550&gt;1,"Error: rend &gt; 100 %",IF(SUM(T550:Z550)=0,"Falta registrar pérdidas",IF(ABS(AG550)&gt;Parámetros!$B$7,"Revisar balance",IF(O550&lt;P550,"Bajo meta","OK")))))</f>
        <v/>
      </c>
      <c r="AK550" s="33"/>
      <c r="AL550" s="10"/>
      <c r="AM550" s="33"/>
      <c r="AN550" s="33"/>
      <c r="AO550" s="10"/>
    </row>
    <row r="551" customFormat="false" ht="15" hidden="false" customHeight="false" outlineLevel="0" collapsed="false">
      <c r="A551" s="22"/>
      <c r="B551" s="23" t="str">
        <f aca="false">IF(A551="","",YEAR(A551-WEEKDAY(A551,2)+4))</f>
        <v/>
      </c>
      <c r="C551" s="23" t="str">
        <f aca="false">IF(A551="","",WEEKNUM(A551,21))</f>
        <v/>
      </c>
      <c r="D551" s="24" t="str">
        <f aca="false">IF(A551="","",DATE(YEAR(A551),MONTH(A551),1))</f>
        <v/>
      </c>
      <c r="E551" s="10"/>
      <c r="F551" s="25"/>
      <c r="G551" s="25"/>
      <c r="H551" s="10"/>
      <c r="I551" s="10"/>
      <c r="J551" s="26"/>
      <c r="K551" s="25"/>
      <c r="L551" s="26"/>
      <c r="M551" s="27"/>
      <c r="N551" s="27"/>
      <c r="O551" s="28" t="str">
        <f aca="false">IF(OR(M551="",M551=0,N551=""),"",N551/M551)</f>
        <v/>
      </c>
      <c r="P551" s="28" t="str">
        <f aca="false">IF(M551="","",IFERROR(IF(INDEX(Parámetros!$B$14:$B$21,MATCH(I551,Parámetros!$A$14:$A$21,0))="",Parámetros!$B$5,INDEX(Parámetros!$B$14:$B$21,MATCH(I551,Parámetros!$A$14:$A$21,0))),Parámetros!$B$5))</f>
        <v/>
      </c>
      <c r="Q551" s="29" t="str">
        <f aca="false">IF(O551="","",(O551-P551)*100)</f>
        <v/>
      </c>
      <c r="R551" s="30" t="str">
        <f aca="false">IF(O551="","",MAX(0,M551*(P551-O551)))</f>
        <v/>
      </c>
      <c r="S551" s="31" t="str">
        <f aca="false">IF(OR(L551="",L551=0,N551=""),"",N551/1000/L551)</f>
        <v/>
      </c>
      <c r="T551" s="27"/>
      <c r="U551" s="27"/>
      <c r="V551" s="27"/>
      <c r="W551" s="27"/>
      <c r="X551" s="27"/>
      <c r="Y551" s="27"/>
      <c r="Z551" s="27"/>
      <c r="AA551" s="25"/>
      <c r="AB551" s="27"/>
      <c r="AC551" s="30" t="str">
        <f aca="false">IF(M551="","",IF(AB551="",M551*Parámetros!$B$6,AB551))</f>
        <v/>
      </c>
      <c r="AD551" s="30" t="str">
        <f aca="false">IF(M551="","",SUM(T551:Z551)+AC551)</f>
        <v/>
      </c>
      <c r="AE551" s="30" t="str">
        <f aca="false">IF(OR(M551="",N551=""),"",M551-N551)</f>
        <v/>
      </c>
      <c r="AF551" s="30" t="str">
        <f aca="false">IF(AE551="","",AE551-AD551)</f>
        <v/>
      </c>
      <c r="AG551" s="28" t="str">
        <f aca="false">IF(OR(AF551="",M551=0),"",AF551/M551)</f>
        <v/>
      </c>
      <c r="AH551" s="32" t="str">
        <f aca="false">IF(OR(AE551="",N551=0),"",AE551/(N551/1000))</f>
        <v/>
      </c>
      <c r="AI551" s="30" t="str">
        <f aca="false">IF(O551="","",M551*P551)</f>
        <v/>
      </c>
      <c r="AJ551" s="11" t="str">
        <f aca="false">IF(O551="","",IF(O551&gt;1,"Error: rend &gt; 100 %",IF(SUM(T551:Z551)=0,"Falta registrar pérdidas",IF(ABS(AG551)&gt;Parámetros!$B$7,"Revisar balance",IF(O551&lt;P551,"Bajo meta","OK")))))</f>
        <v/>
      </c>
      <c r="AK551" s="33"/>
      <c r="AL551" s="10"/>
      <c r="AM551" s="33"/>
      <c r="AN551" s="33"/>
      <c r="AO551" s="10"/>
    </row>
    <row r="552" customFormat="false" ht="15" hidden="false" customHeight="false" outlineLevel="0" collapsed="false">
      <c r="A552" s="22"/>
      <c r="B552" s="23" t="str">
        <f aca="false">IF(A552="","",YEAR(A552-WEEKDAY(A552,2)+4))</f>
        <v/>
      </c>
      <c r="C552" s="23" t="str">
        <f aca="false">IF(A552="","",WEEKNUM(A552,21))</f>
        <v/>
      </c>
      <c r="D552" s="24" t="str">
        <f aca="false">IF(A552="","",DATE(YEAR(A552),MONTH(A552),1))</f>
        <v/>
      </c>
      <c r="E552" s="10"/>
      <c r="F552" s="25"/>
      <c r="G552" s="25"/>
      <c r="H552" s="10"/>
      <c r="I552" s="10"/>
      <c r="J552" s="26"/>
      <c r="K552" s="25"/>
      <c r="L552" s="26"/>
      <c r="M552" s="27"/>
      <c r="N552" s="27"/>
      <c r="O552" s="28" t="str">
        <f aca="false">IF(OR(M552="",M552=0,N552=""),"",N552/M552)</f>
        <v/>
      </c>
      <c r="P552" s="28" t="str">
        <f aca="false">IF(M552="","",IFERROR(IF(INDEX(Parámetros!$B$14:$B$21,MATCH(I552,Parámetros!$A$14:$A$21,0))="",Parámetros!$B$5,INDEX(Parámetros!$B$14:$B$21,MATCH(I552,Parámetros!$A$14:$A$21,0))),Parámetros!$B$5))</f>
        <v/>
      </c>
      <c r="Q552" s="29" t="str">
        <f aca="false">IF(O552="","",(O552-P552)*100)</f>
        <v/>
      </c>
      <c r="R552" s="30" t="str">
        <f aca="false">IF(O552="","",MAX(0,M552*(P552-O552)))</f>
        <v/>
      </c>
      <c r="S552" s="31" t="str">
        <f aca="false">IF(OR(L552="",L552=0,N552=""),"",N552/1000/L552)</f>
        <v/>
      </c>
      <c r="T552" s="27"/>
      <c r="U552" s="27"/>
      <c r="V552" s="27"/>
      <c r="W552" s="27"/>
      <c r="X552" s="27"/>
      <c r="Y552" s="27"/>
      <c r="Z552" s="27"/>
      <c r="AA552" s="25"/>
      <c r="AB552" s="27"/>
      <c r="AC552" s="30" t="str">
        <f aca="false">IF(M552="","",IF(AB552="",M552*Parámetros!$B$6,AB552))</f>
        <v/>
      </c>
      <c r="AD552" s="30" t="str">
        <f aca="false">IF(M552="","",SUM(T552:Z552)+AC552)</f>
        <v/>
      </c>
      <c r="AE552" s="30" t="str">
        <f aca="false">IF(OR(M552="",N552=""),"",M552-N552)</f>
        <v/>
      </c>
      <c r="AF552" s="30" t="str">
        <f aca="false">IF(AE552="","",AE552-AD552)</f>
        <v/>
      </c>
      <c r="AG552" s="28" t="str">
        <f aca="false">IF(OR(AF552="",M552=0),"",AF552/M552)</f>
        <v/>
      </c>
      <c r="AH552" s="32" t="str">
        <f aca="false">IF(OR(AE552="",N552=0),"",AE552/(N552/1000))</f>
        <v/>
      </c>
      <c r="AI552" s="30" t="str">
        <f aca="false">IF(O552="","",M552*P552)</f>
        <v/>
      </c>
      <c r="AJ552" s="11" t="str">
        <f aca="false">IF(O552="","",IF(O552&gt;1,"Error: rend &gt; 100 %",IF(SUM(T552:Z552)=0,"Falta registrar pérdidas",IF(ABS(AG552)&gt;Parámetros!$B$7,"Revisar balance",IF(O552&lt;P552,"Bajo meta","OK")))))</f>
        <v/>
      </c>
      <c r="AK552" s="33"/>
      <c r="AL552" s="10"/>
      <c r="AM552" s="33"/>
      <c r="AN552" s="33"/>
      <c r="AO552" s="10"/>
    </row>
    <row r="553" customFormat="false" ht="15" hidden="false" customHeight="false" outlineLevel="0" collapsed="false">
      <c r="A553" s="22"/>
      <c r="B553" s="23" t="str">
        <f aca="false">IF(A553="","",YEAR(A553-WEEKDAY(A553,2)+4))</f>
        <v/>
      </c>
      <c r="C553" s="23" t="str">
        <f aca="false">IF(A553="","",WEEKNUM(A553,21))</f>
        <v/>
      </c>
      <c r="D553" s="24" t="str">
        <f aca="false">IF(A553="","",DATE(YEAR(A553),MONTH(A553),1))</f>
        <v/>
      </c>
      <c r="E553" s="10"/>
      <c r="F553" s="25"/>
      <c r="G553" s="25"/>
      <c r="H553" s="10"/>
      <c r="I553" s="10"/>
      <c r="J553" s="26"/>
      <c r="K553" s="25"/>
      <c r="L553" s="26"/>
      <c r="M553" s="27"/>
      <c r="N553" s="27"/>
      <c r="O553" s="28" t="str">
        <f aca="false">IF(OR(M553="",M553=0,N553=""),"",N553/M553)</f>
        <v/>
      </c>
      <c r="P553" s="28" t="str">
        <f aca="false">IF(M553="","",IFERROR(IF(INDEX(Parámetros!$B$14:$B$21,MATCH(I553,Parámetros!$A$14:$A$21,0))="",Parámetros!$B$5,INDEX(Parámetros!$B$14:$B$21,MATCH(I553,Parámetros!$A$14:$A$21,0))),Parámetros!$B$5))</f>
        <v/>
      </c>
      <c r="Q553" s="29" t="str">
        <f aca="false">IF(O553="","",(O553-P553)*100)</f>
        <v/>
      </c>
      <c r="R553" s="30" t="str">
        <f aca="false">IF(O553="","",MAX(0,M553*(P553-O553)))</f>
        <v/>
      </c>
      <c r="S553" s="31" t="str">
        <f aca="false">IF(OR(L553="",L553=0,N553=""),"",N553/1000/L553)</f>
        <v/>
      </c>
      <c r="T553" s="27"/>
      <c r="U553" s="27"/>
      <c r="V553" s="27"/>
      <c r="W553" s="27"/>
      <c r="X553" s="27"/>
      <c r="Y553" s="27"/>
      <c r="Z553" s="27"/>
      <c r="AA553" s="25"/>
      <c r="AB553" s="27"/>
      <c r="AC553" s="30" t="str">
        <f aca="false">IF(M553="","",IF(AB553="",M553*Parámetros!$B$6,AB553))</f>
        <v/>
      </c>
      <c r="AD553" s="30" t="str">
        <f aca="false">IF(M553="","",SUM(T553:Z553)+AC553)</f>
        <v/>
      </c>
      <c r="AE553" s="30" t="str">
        <f aca="false">IF(OR(M553="",N553=""),"",M553-N553)</f>
        <v/>
      </c>
      <c r="AF553" s="30" t="str">
        <f aca="false">IF(AE553="","",AE553-AD553)</f>
        <v/>
      </c>
      <c r="AG553" s="28" t="str">
        <f aca="false">IF(OR(AF553="",M553=0),"",AF553/M553)</f>
        <v/>
      </c>
      <c r="AH553" s="32" t="str">
        <f aca="false">IF(OR(AE553="",N553=0),"",AE553/(N553/1000))</f>
        <v/>
      </c>
      <c r="AI553" s="30" t="str">
        <f aca="false">IF(O553="","",M553*P553)</f>
        <v/>
      </c>
      <c r="AJ553" s="11" t="str">
        <f aca="false">IF(O553="","",IF(O553&gt;1,"Error: rend &gt; 100 %",IF(SUM(T553:Z553)=0,"Falta registrar pérdidas",IF(ABS(AG553)&gt;Parámetros!$B$7,"Revisar balance",IF(O553&lt;P553,"Bajo meta","OK")))))</f>
        <v/>
      </c>
      <c r="AK553" s="33"/>
      <c r="AL553" s="10"/>
      <c r="AM553" s="33"/>
      <c r="AN553" s="33"/>
      <c r="AO553" s="10"/>
    </row>
    <row r="554" customFormat="false" ht="15" hidden="false" customHeight="false" outlineLevel="0" collapsed="false">
      <c r="A554" s="22"/>
      <c r="B554" s="23" t="str">
        <f aca="false">IF(A554="","",YEAR(A554-WEEKDAY(A554,2)+4))</f>
        <v/>
      </c>
      <c r="C554" s="23" t="str">
        <f aca="false">IF(A554="","",WEEKNUM(A554,21))</f>
        <v/>
      </c>
      <c r="D554" s="24" t="str">
        <f aca="false">IF(A554="","",DATE(YEAR(A554),MONTH(A554),1))</f>
        <v/>
      </c>
      <c r="E554" s="10"/>
      <c r="F554" s="25"/>
      <c r="G554" s="25"/>
      <c r="H554" s="10"/>
      <c r="I554" s="10"/>
      <c r="J554" s="26"/>
      <c r="K554" s="25"/>
      <c r="L554" s="26"/>
      <c r="M554" s="27"/>
      <c r="N554" s="27"/>
      <c r="O554" s="28" t="str">
        <f aca="false">IF(OR(M554="",M554=0,N554=""),"",N554/M554)</f>
        <v/>
      </c>
      <c r="P554" s="28" t="str">
        <f aca="false">IF(M554="","",IFERROR(IF(INDEX(Parámetros!$B$14:$B$21,MATCH(I554,Parámetros!$A$14:$A$21,0))="",Parámetros!$B$5,INDEX(Parámetros!$B$14:$B$21,MATCH(I554,Parámetros!$A$14:$A$21,0))),Parámetros!$B$5))</f>
        <v/>
      </c>
      <c r="Q554" s="29" t="str">
        <f aca="false">IF(O554="","",(O554-P554)*100)</f>
        <v/>
      </c>
      <c r="R554" s="30" t="str">
        <f aca="false">IF(O554="","",MAX(0,M554*(P554-O554)))</f>
        <v/>
      </c>
      <c r="S554" s="31" t="str">
        <f aca="false">IF(OR(L554="",L554=0,N554=""),"",N554/1000/L554)</f>
        <v/>
      </c>
      <c r="T554" s="27"/>
      <c r="U554" s="27"/>
      <c r="V554" s="27"/>
      <c r="W554" s="27"/>
      <c r="X554" s="27"/>
      <c r="Y554" s="27"/>
      <c r="Z554" s="27"/>
      <c r="AA554" s="25"/>
      <c r="AB554" s="27"/>
      <c r="AC554" s="30" t="str">
        <f aca="false">IF(M554="","",IF(AB554="",M554*Parámetros!$B$6,AB554))</f>
        <v/>
      </c>
      <c r="AD554" s="30" t="str">
        <f aca="false">IF(M554="","",SUM(T554:Z554)+AC554)</f>
        <v/>
      </c>
      <c r="AE554" s="30" t="str">
        <f aca="false">IF(OR(M554="",N554=""),"",M554-N554)</f>
        <v/>
      </c>
      <c r="AF554" s="30" t="str">
        <f aca="false">IF(AE554="","",AE554-AD554)</f>
        <v/>
      </c>
      <c r="AG554" s="28" t="str">
        <f aca="false">IF(OR(AF554="",M554=0),"",AF554/M554)</f>
        <v/>
      </c>
      <c r="AH554" s="32" t="str">
        <f aca="false">IF(OR(AE554="",N554=0),"",AE554/(N554/1000))</f>
        <v/>
      </c>
      <c r="AI554" s="30" t="str">
        <f aca="false">IF(O554="","",M554*P554)</f>
        <v/>
      </c>
      <c r="AJ554" s="11" t="str">
        <f aca="false">IF(O554="","",IF(O554&gt;1,"Error: rend &gt; 100 %",IF(SUM(T554:Z554)=0,"Falta registrar pérdidas",IF(ABS(AG554)&gt;Parámetros!$B$7,"Revisar balance",IF(O554&lt;P554,"Bajo meta","OK")))))</f>
        <v/>
      </c>
      <c r="AK554" s="33"/>
      <c r="AL554" s="10"/>
      <c r="AM554" s="33"/>
      <c r="AN554" s="33"/>
      <c r="AO554" s="10"/>
    </row>
    <row r="555" customFormat="false" ht="15" hidden="false" customHeight="false" outlineLevel="0" collapsed="false">
      <c r="A555" s="22"/>
      <c r="B555" s="23" t="str">
        <f aca="false">IF(A555="","",YEAR(A555-WEEKDAY(A555,2)+4))</f>
        <v/>
      </c>
      <c r="C555" s="23" t="str">
        <f aca="false">IF(A555="","",WEEKNUM(A555,21))</f>
        <v/>
      </c>
      <c r="D555" s="24" t="str">
        <f aca="false">IF(A555="","",DATE(YEAR(A555),MONTH(A555),1))</f>
        <v/>
      </c>
      <c r="E555" s="10"/>
      <c r="F555" s="25"/>
      <c r="G555" s="25"/>
      <c r="H555" s="10"/>
      <c r="I555" s="10"/>
      <c r="J555" s="26"/>
      <c r="K555" s="25"/>
      <c r="L555" s="26"/>
      <c r="M555" s="27"/>
      <c r="N555" s="27"/>
      <c r="O555" s="28" t="str">
        <f aca="false">IF(OR(M555="",M555=0,N555=""),"",N555/M555)</f>
        <v/>
      </c>
      <c r="P555" s="28" t="str">
        <f aca="false">IF(M555="","",IFERROR(IF(INDEX(Parámetros!$B$14:$B$21,MATCH(I555,Parámetros!$A$14:$A$21,0))="",Parámetros!$B$5,INDEX(Parámetros!$B$14:$B$21,MATCH(I555,Parámetros!$A$14:$A$21,0))),Parámetros!$B$5))</f>
        <v/>
      </c>
      <c r="Q555" s="29" t="str">
        <f aca="false">IF(O555="","",(O555-P555)*100)</f>
        <v/>
      </c>
      <c r="R555" s="30" t="str">
        <f aca="false">IF(O555="","",MAX(0,M555*(P555-O555)))</f>
        <v/>
      </c>
      <c r="S555" s="31" t="str">
        <f aca="false">IF(OR(L555="",L555=0,N555=""),"",N555/1000/L555)</f>
        <v/>
      </c>
      <c r="T555" s="27"/>
      <c r="U555" s="27"/>
      <c r="V555" s="27"/>
      <c r="W555" s="27"/>
      <c r="X555" s="27"/>
      <c r="Y555" s="27"/>
      <c r="Z555" s="27"/>
      <c r="AA555" s="25"/>
      <c r="AB555" s="27"/>
      <c r="AC555" s="30" t="str">
        <f aca="false">IF(M555="","",IF(AB555="",M555*Parámetros!$B$6,AB555))</f>
        <v/>
      </c>
      <c r="AD555" s="30" t="str">
        <f aca="false">IF(M555="","",SUM(T555:Z555)+AC555)</f>
        <v/>
      </c>
      <c r="AE555" s="30" t="str">
        <f aca="false">IF(OR(M555="",N555=""),"",M555-N555)</f>
        <v/>
      </c>
      <c r="AF555" s="30" t="str">
        <f aca="false">IF(AE555="","",AE555-AD555)</f>
        <v/>
      </c>
      <c r="AG555" s="28" t="str">
        <f aca="false">IF(OR(AF555="",M555=0),"",AF555/M555)</f>
        <v/>
      </c>
      <c r="AH555" s="32" t="str">
        <f aca="false">IF(OR(AE555="",N555=0),"",AE555/(N555/1000))</f>
        <v/>
      </c>
      <c r="AI555" s="30" t="str">
        <f aca="false">IF(O555="","",M555*P555)</f>
        <v/>
      </c>
      <c r="AJ555" s="11" t="str">
        <f aca="false">IF(O555="","",IF(O555&gt;1,"Error: rend &gt; 100 %",IF(SUM(T555:Z555)=0,"Falta registrar pérdidas",IF(ABS(AG555)&gt;Parámetros!$B$7,"Revisar balance",IF(O555&lt;P555,"Bajo meta","OK")))))</f>
        <v/>
      </c>
      <c r="AK555" s="33"/>
      <c r="AL555" s="10"/>
      <c r="AM555" s="33"/>
      <c r="AN555" s="33"/>
      <c r="AO555" s="10"/>
    </row>
    <row r="556" customFormat="false" ht="15" hidden="false" customHeight="false" outlineLevel="0" collapsed="false">
      <c r="A556" s="22"/>
      <c r="B556" s="23" t="str">
        <f aca="false">IF(A556="","",YEAR(A556-WEEKDAY(A556,2)+4))</f>
        <v/>
      </c>
      <c r="C556" s="23" t="str">
        <f aca="false">IF(A556="","",WEEKNUM(A556,21))</f>
        <v/>
      </c>
      <c r="D556" s="24" t="str">
        <f aca="false">IF(A556="","",DATE(YEAR(A556),MONTH(A556),1))</f>
        <v/>
      </c>
      <c r="E556" s="10"/>
      <c r="F556" s="25"/>
      <c r="G556" s="25"/>
      <c r="H556" s="10"/>
      <c r="I556" s="10"/>
      <c r="J556" s="26"/>
      <c r="K556" s="25"/>
      <c r="L556" s="26"/>
      <c r="M556" s="27"/>
      <c r="N556" s="27"/>
      <c r="O556" s="28" t="str">
        <f aca="false">IF(OR(M556="",M556=0,N556=""),"",N556/M556)</f>
        <v/>
      </c>
      <c r="P556" s="28" t="str">
        <f aca="false">IF(M556="","",IFERROR(IF(INDEX(Parámetros!$B$14:$B$21,MATCH(I556,Parámetros!$A$14:$A$21,0))="",Parámetros!$B$5,INDEX(Parámetros!$B$14:$B$21,MATCH(I556,Parámetros!$A$14:$A$21,0))),Parámetros!$B$5))</f>
        <v/>
      </c>
      <c r="Q556" s="29" t="str">
        <f aca="false">IF(O556="","",(O556-P556)*100)</f>
        <v/>
      </c>
      <c r="R556" s="30" t="str">
        <f aca="false">IF(O556="","",MAX(0,M556*(P556-O556)))</f>
        <v/>
      </c>
      <c r="S556" s="31" t="str">
        <f aca="false">IF(OR(L556="",L556=0,N556=""),"",N556/1000/L556)</f>
        <v/>
      </c>
      <c r="T556" s="27"/>
      <c r="U556" s="27"/>
      <c r="V556" s="27"/>
      <c r="W556" s="27"/>
      <c r="X556" s="27"/>
      <c r="Y556" s="27"/>
      <c r="Z556" s="27"/>
      <c r="AA556" s="25"/>
      <c r="AB556" s="27"/>
      <c r="AC556" s="30" t="str">
        <f aca="false">IF(M556="","",IF(AB556="",M556*Parámetros!$B$6,AB556))</f>
        <v/>
      </c>
      <c r="AD556" s="30" t="str">
        <f aca="false">IF(M556="","",SUM(T556:Z556)+AC556)</f>
        <v/>
      </c>
      <c r="AE556" s="30" t="str">
        <f aca="false">IF(OR(M556="",N556=""),"",M556-N556)</f>
        <v/>
      </c>
      <c r="AF556" s="30" t="str">
        <f aca="false">IF(AE556="","",AE556-AD556)</f>
        <v/>
      </c>
      <c r="AG556" s="28" t="str">
        <f aca="false">IF(OR(AF556="",M556=0),"",AF556/M556)</f>
        <v/>
      </c>
      <c r="AH556" s="32" t="str">
        <f aca="false">IF(OR(AE556="",N556=0),"",AE556/(N556/1000))</f>
        <v/>
      </c>
      <c r="AI556" s="30" t="str">
        <f aca="false">IF(O556="","",M556*P556)</f>
        <v/>
      </c>
      <c r="AJ556" s="11" t="str">
        <f aca="false">IF(O556="","",IF(O556&gt;1,"Error: rend &gt; 100 %",IF(SUM(T556:Z556)=0,"Falta registrar pérdidas",IF(ABS(AG556)&gt;Parámetros!$B$7,"Revisar balance",IF(O556&lt;P556,"Bajo meta","OK")))))</f>
        <v/>
      </c>
      <c r="AK556" s="33"/>
      <c r="AL556" s="10"/>
      <c r="AM556" s="33"/>
      <c r="AN556" s="33"/>
      <c r="AO556" s="10"/>
    </row>
    <row r="557" customFormat="false" ht="15" hidden="false" customHeight="false" outlineLevel="0" collapsed="false">
      <c r="A557" s="22"/>
      <c r="B557" s="23" t="str">
        <f aca="false">IF(A557="","",YEAR(A557-WEEKDAY(A557,2)+4))</f>
        <v/>
      </c>
      <c r="C557" s="23" t="str">
        <f aca="false">IF(A557="","",WEEKNUM(A557,21))</f>
        <v/>
      </c>
      <c r="D557" s="24" t="str">
        <f aca="false">IF(A557="","",DATE(YEAR(A557),MONTH(A557),1))</f>
        <v/>
      </c>
      <c r="E557" s="10"/>
      <c r="F557" s="25"/>
      <c r="G557" s="25"/>
      <c r="H557" s="10"/>
      <c r="I557" s="10"/>
      <c r="J557" s="26"/>
      <c r="K557" s="25"/>
      <c r="L557" s="26"/>
      <c r="M557" s="27"/>
      <c r="N557" s="27"/>
      <c r="O557" s="28" t="str">
        <f aca="false">IF(OR(M557="",M557=0,N557=""),"",N557/M557)</f>
        <v/>
      </c>
      <c r="P557" s="28" t="str">
        <f aca="false">IF(M557="","",IFERROR(IF(INDEX(Parámetros!$B$14:$B$21,MATCH(I557,Parámetros!$A$14:$A$21,0))="",Parámetros!$B$5,INDEX(Parámetros!$B$14:$B$21,MATCH(I557,Parámetros!$A$14:$A$21,0))),Parámetros!$B$5))</f>
        <v/>
      </c>
      <c r="Q557" s="29" t="str">
        <f aca="false">IF(O557="","",(O557-P557)*100)</f>
        <v/>
      </c>
      <c r="R557" s="30" t="str">
        <f aca="false">IF(O557="","",MAX(0,M557*(P557-O557)))</f>
        <v/>
      </c>
      <c r="S557" s="31" t="str">
        <f aca="false">IF(OR(L557="",L557=0,N557=""),"",N557/1000/L557)</f>
        <v/>
      </c>
      <c r="T557" s="27"/>
      <c r="U557" s="27"/>
      <c r="V557" s="27"/>
      <c r="W557" s="27"/>
      <c r="X557" s="27"/>
      <c r="Y557" s="27"/>
      <c r="Z557" s="27"/>
      <c r="AA557" s="25"/>
      <c r="AB557" s="27"/>
      <c r="AC557" s="30" t="str">
        <f aca="false">IF(M557="","",IF(AB557="",M557*Parámetros!$B$6,AB557))</f>
        <v/>
      </c>
      <c r="AD557" s="30" t="str">
        <f aca="false">IF(M557="","",SUM(T557:Z557)+AC557)</f>
        <v/>
      </c>
      <c r="AE557" s="30" t="str">
        <f aca="false">IF(OR(M557="",N557=""),"",M557-N557)</f>
        <v/>
      </c>
      <c r="AF557" s="30" t="str">
        <f aca="false">IF(AE557="","",AE557-AD557)</f>
        <v/>
      </c>
      <c r="AG557" s="28" t="str">
        <f aca="false">IF(OR(AF557="",M557=0),"",AF557/M557)</f>
        <v/>
      </c>
      <c r="AH557" s="32" t="str">
        <f aca="false">IF(OR(AE557="",N557=0),"",AE557/(N557/1000))</f>
        <v/>
      </c>
      <c r="AI557" s="30" t="str">
        <f aca="false">IF(O557="","",M557*P557)</f>
        <v/>
      </c>
      <c r="AJ557" s="11" t="str">
        <f aca="false">IF(O557="","",IF(O557&gt;1,"Error: rend &gt; 100 %",IF(SUM(T557:Z557)=0,"Falta registrar pérdidas",IF(ABS(AG557)&gt;Parámetros!$B$7,"Revisar balance",IF(O557&lt;P557,"Bajo meta","OK")))))</f>
        <v/>
      </c>
      <c r="AK557" s="33"/>
      <c r="AL557" s="10"/>
      <c r="AM557" s="33"/>
      <c r="AN557" s="33"/>
      <c r="AO557" s="10"/>
    </row>
    <row r="558" customFormat="false" ht="15" hidden="false" customHeight="false" outlineLevel="0" collapsed="false">
      <c r="A558" s="22"/>
      <c r="B558" s="23" t="str">
        <f aca="false">IF(A558="","",YEAR(A558-WEEKDAY(A558,2)+4))</f>
        <v/>
      </c>
      <c r="C558" s="23" t="str">
        <f aca="false">IF(A558="","",WEEKNUM(A558,21))</f>
        <v/>
      </c>
      <c r="D558" s="24" t="str">
        <f aca="false">IF(A558="","",DATE(YEAR(A558),MONTH(A558),1))</f>
        <v/>
      </c>
      <c r="E558" s="10"/>
      <c r="F558" s="25"/>
      <c r="G558" s="25"/>
      <c r="H558" s="10"/>
      <c r="I558" s="10"/>
      <c r="J558" s="26"/>
      <c r="K558" s="25"/>
      <c r="L558" s="26"/>
      <c r="M558" s="27"/>
      <c r="N558" s="27"/>
      <c r="O558" s="28" t="str">
        <f aca="false">IF(OR(M558="",M558=0,N558=""),"",N558/M558)</f>
        <v/>
      </c>
      <c r="P558" s="28" t="str">
        <f aca="false">IF(M558="","",IFERROR(IF(INDEX(Parámetros!$B$14:$B$21,MATCH(I558,Parámetros!$A$14:$A$21,0))="",Parámetros!$B$5,INDEX(Parámetros!$B$14:$B$21,MATCH(I558,Parámetros!$A$14:$A$21,0))),Parámetros!$B$5))</f>
        <v/>
      </c>
      <c r="Q558" s="29" t="str">
        <f aca="false">IF(O558="","",(O558-P558)*100)</f>
        <v/>
      </c>
      <c r="R558" s="30" t="str">
        <f aca="false">IF(O558="","",MAX(0,M558*(P558-O558)))</f>
        <v/>
      </c>
      <c r="S558" s="31" t="str">
        <f aca="false">IF(OR(L558="",L558=0,N558=""),"",N558/1000/L558)</f>
        <v/>
      </c>
      <c r="T558" s="27"/>
      <c r="U558" s="27"/>
      <c r="V558" s="27"/>
      <c r="W558" s="27"/>
      <c r="X558" s="27"/>
      <c r="Y558" s="27"/>
      <c r="Z558" s="27"/>
      <c r="AA558" s="25"/>
      <c r="AB558" s="27"/>
      <c r="AC558" s="30" t="str">
        <f aca="false">IF(M558="","",IF(AB558="",M558*Parámetros!$B$6,AB558))</f>
        <v/>
      </c>
      <c r="AD558" s="30" t="str">
        <f aca="false">IF(M558="","",SUM(T558:Z558)+AC558)</f>
        <v/>
      </c>
      <c r="AE558" s="30" t="str">
        <f aca="false">IF(OR(M558="",N558=""),"",M558-N558)</f>
        <v/>
      </c>
      <c r="AF558" s="30" t="str">
        <f aca="false">IF(AE558="","",AE558-AD558)</f>
        <v/>
      </c>
      <c r="AG558" s="28" t="str">
        <f aca="false">IF(OR(AF558="",M558=0),"",AF558/M558)</f>
        <v/>
      </c>
      <c r="AH558" s="32" t="str">
        <f aca="false">IF(OR(AE558="",N558=0),"",AE558/(N558/1000))</f>
        <v/>
      </c>
      <c r="AI558" s="30" t="str">
        <f aca="false">IF(O558="","",M558*P558)</f>
        <v/>
      </c>
      <c r="AJ558" s="11" t="str">
        <f aca="false">IF(O558="","",IF(O558&gt;1,"Error: rend &gt; 100 %",IF(SUM(T558:Z558)=0,"Falta registrar pérdidas",IF(ABS(AG558)&gt;Parámetros!$B$7,"Revisar balance",IF(O558&lt;P558,"Bajo meta","OK")))))</f>
        <v/>
      </c>
      <c r="AK558" s="33"/>
      <c r="AL558" s="10"/>
      <c r="AM558" s="33"/>
      <c r="AN558" s="33"/>
      <c r="AO558" s="10"/>
    </row>
    <row r="559" customFormat="false" ht="15" hidden="false" customHeight="false" outlineLevel="0" collapsed="false">
      <c r="A559" s="22"/>
      <c r="B559" s="23" t="str">
        <f aca="false">IF(A559="","",YEAR(A559-WEEKDAY(A559,2)+4))</f>
        <v/>
      </c>
      <c r="C559" s="23" t="str">
        <f aca="false">IF(A559="","",WEEKNUM(A559,21))</f>
        <v/>
      </c>
      <c r="D559" s="24" t="str">
        <f aca="false">IF(A559="","",DATE(YEAR(A559),MONTH(A559),1))</f>
        <v/>
      </c>
      <c r="E559" s="10"/>
      <c r="F559" s="25"/>
      <c r="G559" s="25"/>
      <c r="H559" s="10"/>
      <c r="I559" s="10"/>
      <c r="J559" s="26"/>
      <c r="K559" s="25"/>
      <c r="L559" s="26"/>
      <c r="M559" s="27"/>
      <c r="N559" s="27"/>
      <c r="O559" s="28" t="str">
        <f aca="false">IF(OR(M559="",M559=0,N559=""),"",N559/M559)</f>
        <v/>
      </c>
      <c r="P559" s="28" t="str">
        <f aca="false">IF(M559="","",IFERROR(IF(INDEX(Parámetros!$B$14:$B$21,MATCH(I559,Parámetros!$A$14:$A$21,0))="",Parámetros!$B$5,INDEX(Parámetros!$B$14:$B$21,MATCH(I559,Parámetros!$A$14:$A$21,0))),Parámetros!$B$5))</f>
        <v/>
      </c>
      <c r="Q559" s="29" t="str">
        <f aca="false">IF(O559="","",(O559-P559)*100)</f>
        <v/>
      </c>
      <c r="R559" s="30" t="str">
        <f aca="false">IF(O559="","",MAX(0,M559*(P559-O559)))</f>
        <v/>
      </c>
      <c r="S559" s="31" t="str">
        <f aca="false">IF(OR(L559="",L559=0,N559=""),"",N559/1000/L559)</f>
        <v/>
      </c>
      <c r="T559" s="27"/>
      <c r="U559" s="27"/>
      <c r="V559" s="27"/>
      <c r="W559" s="27"/>
      <c r="X559" s="27"/>
      <c r="Y559" s="27"/>
      <c r="Z559" s="27"/>
      <c r="AA559" s="25"/>
      <c r="AB559" s="27"/>
      <c r="AC559" s="30" t="str">
        <f aca="false">IF(M559="","",IF(AB559="",M559*Parámetros!$B$6,AB559))</f>
        <v/>
      </c>
      <c r="AD559" s="30" t="str">
        <f aca="false">IF(M559="","",SUM(T559:Z559)+AC559)</f>
        <v/>
      </c>
      <c r="AE559" s="30" t="str">
        <f aca="false">IF(OR(M559="",N559=""),"",M559-N559)</f>
        <v/>
      </c>
      <c r="AF559" s="30" t="str">
        <f aca="false">IF(AE559="","",AE559-AD559)</f>
        <v/>
      </c>
      <c r="AG559" s="28" t="str">
        <f aca="false">IF(OR(AF559="",M559=0),"",AF559/M559)</f>
        <v/>
      </c>
      <c r="AH559" s="32" t="str">
        <f aca="false">IF(OR(AE559="",N559=0),"",AE559/(N559/1000))</f>
        <v/>
      </c>
      <c r="AI559" s="30" t="str">
        <f aca="false">IF(O559="","",M559*P559)</f>
        <v/>
      </c>
      <c r="AJ559" s="11" t="str">
        <f aca="false">IF(O559="","",IF(O559&gt;1,"Error: rend &gt; 100 %",IF(SUM(T559:Z559)=0,"Falta registrar pérdidas",IF(ABS(AG559)&gt;Parámetros!$B$7,"Revisar balance",IF(O559&lt;P559,"Bajo meta","OK")))))</f>
        <v/>
      </c>
      <c r="AK559" s="33"/>
      <c r="AL559" s="10"/>
      <c r="AM559" s="33"/>
      <c r="AN559" s="33"/>
      <c r="AO559" s="10"/>
    </row>
    <row r="560" customFormat="false" ht="15" hidden="false" customHeight="false" outlineLevel="0" collapsed="false">
      <c r="A560" s="22"/>
      <c r="B560" s="23" t="str">
        <f aca="false">IF(A560="","",YEAR(A560-WEEKDAY(A560,2)+4))</f>
        <v/>
      </c>
      <c r="C560" s="23" t="str">
        <f aca="false">IF(A560="","",WEEKNUM(A560,21))</f>
        <v/>
      </c>
      <c r="D560" s="24" t="str">
        <f aca="false">IF(A560="","",DATE(YEAR(A560),MONTH(A560),1))</f>
        <v/>
      </c>
      <c r="E560" s="10"/>
      <c r="F560" s="25"/>
      <c r="G560" s="25"/>
      <c r="H560" s="10"/>
      <c r="I560" s="10"/>
      <c r="J560" s="26"/>
      <c r="K560" s="25"/>
      <c r="L560" s="26"/>
      <c r="M560" s="27"/>
      <c r="N560" s="27"/>
      <c r="O560" s="28" t="str">
        <f aca="false">IF(OR(M560="",M560=0,N560=""),"",N560/M560)</f>
        <v/>
      </c>
      <c r="P560" s="28" t="str">
        <f aca="false">IF(M560="","",IFERROR(IF(INDEX(Parámetros!$B$14:$B$21,MATCH(I560,Parámetros!$A$14:$A$21,0))="",Parámetros!$B$5,INDEX(Parámetros!$B$14:$B$21,MATCH(I560,Parámetros!$A$14:$A$21,0))),Parámetros!$B$5))</f>
        <v/>
      </c>
      <c r="Q560" s="29" t="str">
        <f aca="false">IF(O560="","",(O560-P560)*100)</f>
        <v/>
      </c>
      <c r="R560" s="30" t="str">
        <f aca="false">IF(O560="","",MAX(0,M560*(P560-O560)))</f>
        <v/>
      </c>
      <c r="S560" s="31" t="str">
        <f aca="false">IF(OR(L560="",L560=0,N560=""),"",N560/1000/L560)</f>
        <v/>
      </c>
      <c r="T560" s="27"/>
      <c r="U560" s="27"/>
      <c r="V560" s="27"/>
      <c r="W560" s="27"/>
      <c r="X560" s="27"/>
      <c r="Y560" s="27"/>
      <c r="Z560" s="27"/>
      <c r="AA560" s="25"/>
      <c r="AB560" s="27"/>
      <c r="AC560" s="30" t="str">
        <f aca="false">IF(M560="","",IF(AB560="",M560*Parámetros!$B$6,AB560))</f>
        <v/>
      </c>
      <c r="AD560" s="30" t="str">
        <f aca="false">IF(M560="","",SUM(T560:Z560)+AC560)</f>
        <v/>
      </c>
      <c r="AE560" s="30" t="str">
        <f aca="false">IF(OR(M560="",N560=""),"",M560-N560)</f>
        <v/>
      </c>
      <c r="AF560" s="30" t="str">
        <f aca="false">IF(AE560="","",AE560-AD560)</f>
        <v/>
      </c>
      <c r="AG560" s="28" t="str">
        <f aca="false">IF(OR(AF560="",M560=0),"",AF560/M560)</f>
        <v/>
      </c>
      <c r="AH560" s="32" t="str">
        <f aca="false">IF(OR(AE560="",N560=0),"",AE560/(N560/1000))</f>
        <v/>
      </c>
      <c r="AI560" s="30" t="str">
        <f aca="false">IF(O560="","",M560*P560)</f>
        <v/>
      </c>
      <c r="AJ560" s="11" t="str">
        <f aca="false">IF(O560="","",IF(O560&gt;1,"Error: rend &gt; 100 %",IF(SUM(T560:Z560)=0,"Falta registrar pérdidas",IF(ABS(AG560)&gt;Parámetros!$B$7,"Revisar balance",IF(O560&lt;P560,"Bajo meta","OK")))))</f>
        <v/>
      </c>
      <c r="AK560" s="33"/>
      <c r="AL560" s="10"/>
      <c r="AM560" s="33"/>
      <c r="AN560" s="33"/>
      <c r="AO560" s="10"/>
    </row>
    <row r="561" customFormat="false" ht="15" hidden="false" customHeight="false" outlineLevel="0" collapsed="false">
      <c r="A561" s="22"/>
      <c r="B561" s="23" t="str">
        <f aca="false">IF(A561="","",YEAR(A561-WEEKDAY(A561,2)+4))</f>
        <v/>
      </c>
      <c r="C561" s="23" t="str">
        <f aca="false">IF(A561="","",WEEKNUM(A561,21))</f>
        <v/>
      </c>
      <c r="D561" s="24" t="str">
        <f aca="false">IF(A561="","",DATE(YEAR(A561),MONTH(A561),1))</f>
        <v/>
      </c>
      <c r="E561" s="10"/>
      <c r="F561" s="25"/>
      <c r="G561" s="25"/>
      <c r="H561" s="10"/>
      <c r="I561" s="10"/>
      <c r="J561" s="26"/>
      <c r="K561" s="25"/>
      <c r="L561" s="26"/>
      <c r="M561" s="27"/>
      <c r="N561" s="27"/>
      <c r="O561" s="28" t="str">
        <f aca="false">IF(OR(M561="",M561=0,N561=""),"",N561/M561)</f>
        <v/>
      </c>
      <c r="P561" s="28" t="str">
        <f aca="false">IF(M561="","",IFERROR(IF(INDEX(Parámetros!$B$14:$B$21,MATCH(I561,Parámetros!$A$14:$A$21,0))="",Parámetros!$B$5,INDEX(Parámetros!$B$14:$B$21,MATCH(I561,Parámetros!$A$14:$A$21,0))),Parámetros!$B$5))</f>
        <v/>
      </c>
      <c r="Q561" s="29" t="str">
        <f aca="false">IF(O561="","",(O561-P561)*100)</f>
        <v/>
      </c>
      <c r="R561" s="30" t="str">
        <f aca="false">IF(O561="","",MAX(0,M561*(P561-O561)))</f>
        <v/>
      </c>
      <c r="S561" s="31" t="str">
        <f aca="false">IF(OR(L561="",L561=0,N561=""),"",N561/1000/L561)</f>
        <v/>
      </c>
      <c r="T561" s="27"/>
      <c r="U561" s="27"/>
      <c r="V561" s="27"/>
      <c r="W561" s="27"/>
      <c r="X561" s="27"/>
      <c r="Y561" s="27"/>
      <c r="Z561" s="27"/>
      <c r="AA561" s="25"/>
      <c r="AB561" s="27"/>
      <c r="AC561" s="30" t="str">
        <f aca="false">IF(M561="","",IF(AB561="",M561*Parámetros!$B$6,AB561))</f>
        <v/>
      </c>
      <c r="AD561" s="30" t="str">
        <f aca="false">IF(M561="","",SUM(T561:Z561)+AC561)</f>
        <v/>
      </c>
      <c r="AE561" s="30" t="str">
        <f aca="false">IF(OR(M561="",N561=""),"",M561-N561)</f>
        <v/>
      </c>
      <c r="AF561" s="30" t="str">
        <f aca="false">IF(AE561="","",AE561-AD561)</f>
        <v/>
      </c>
      <c r="AG561" s="28" t="str">
        <f aca="false">IF(OR(AF561="",M561=0),"",AF561/M561)</f>
        <v/>
      </c>
      <c r="AH561" s="32" t="str">
        <f aca="false">IF(OR(AE561="",N561=0),"",AE561/(N561/1000))</f>
        <v/>
      </c>
      <c r="AI561" s="30" t="str">
        <f aca="false">IF(O561="","",M561*P561)</f>
        <v/>
      </c>
      <c r="AJ561" s="11" t="str">
        <f aca="false">IF(O561="","",IF(O561&gt;1,"Error: rend &gt; 100 %",IF(SUM(T561:Z561)=0,"Falta registrar pérdidas",IF(ABS(AG561)&gt;Parámetros!$B$7,"Revisar balance",IF(O561&lt;P561,"Bajo meta","OK")))))</f>
        <v/>
      </c>
      <c r="AK561" s="33"/>
      <c r="AL561" s="10"/>
      <c r="AM561" s="33"/>
      <c r="AN561" s="33"/>
      <c r="AO561" s="10"/>
    </row>
    <row r="562" customFormat="false" ht="15" hidden="false" customHeight="false" outlineLevel="0" collapsed="false">
      <c r="A562" s="22"/>
      <c r="B562" s="23" t="str">
        <f aca="false">IF(A562="","",YEAR(A562-WEEKDAY(A562,2)+4))</f>
        <v/>
      </c>
      <c r="C562" s="23" t="str">
        <f aca="false">IF(A562="","",WEEKNUM(A562,21))</f>
        <v/>
      </c>
      <c r="D562" s="24" t="str">
        <f aca="false">IF(A562="","",DATE(YEAR(A562),MONTH(A562),1))</f>
        <v/>
      </c>
      <c r="E562" s="10"/>
      <c r="F562" s="25"/>
      <c r="G562" s="25"/>
      <c r="H562" s="10"/>
      <c r="I562" s="10"/>
      <c r="J562" s="26"/>
      <c r="K562" s="25"/>
      <c r="L562" s="26"/>
      <c r="M562" s="27"/>
      <c r="N562" s="27"/>
      <c r="O562" s="28" t="str">
        <f aca="false">IF(OR(M562="",M562=0,N562=""),"",N562/M562)</f>
        <v/>
      </c>
      <c r="P562" s="28" t="str">
        <f aca="false">IF(M562="","",IFERROR(IF(INDEX(Parámetros!$B$14:$B$21,MATCH(I562,Parámetros!$A$14:$A$21,0))="",Parámetros!$B$5,INDEX(Parámetros!$B$14:$B$21,MATCH(I562,Parámetros!$A$14:$A$21,0))),Parámetros!$B$5))</f>
        <v/>
      </c>
      <c r="Q562" s="29" t="str">
        <f aca="false">IF(O562="","",(O562-P562)*100)</f>
        <v/>
      </c>
      <c r="R562" s="30" t="str">
        <f aca="false">IF(O562="","",MAX(0,M562*(P562-O562)))</f>
        <v/>
      </c>
      <c r="S562" s="31" t="str">
        <f aca="false">IF(OR(L562="",L562=0,N562=""),"",N562/1000/L562)</f>
        <v/>
      </c>
      <c r="T562" s="27"/>
      <c r="U562" s="27"/>
      <c r="V562" s="27"/>
      <c r="W562" s="27"/>
      <c r="X562" s="27"/>
      <c r="Y562" s="27"/>
      <c r="Z562" s="27"/>
      <c r="AA562" s="25"/>
      <c r="AB562" s="27"/>
      <c r="AC562" s="30" t="str">
        <f aca="false">IF(M562="","",IF(AB562="",M562*Parámetros!$B$6,AB562))</f>
        <v/>
      </c>
      <c r="AD562" s="30" t="str">
        <f aca="false">IF(M562="","",SUM(T562:Z562)+AC562)</f>
        <v/>
      </c>
      <c r="AE562" s="30" t="str">
        <f aca="false">IF(OR(M562="",N562=""),"",M562-N562)</f>
        <v/>
      </c>
      <c r="AF562" s="30" t="str">
        <f aca="false">IF(AE562="","",AE562-AD562)</f>
        <v/>
      </c>
      <c r="AG562" s="28" t="str">
        <f aca="false">IF(OR(AF562="",M562=0),"",AF562/M562)</f>
        <v/>
      </c>
      <c r="AH562" s="32" t="str">
        <f aca="false">IF(OR(AE562="",N562=0),"",AE562/(N562/1000))</f>
        <v/>
      </c>
      <c r="AI562" s="30" t="str">
        <f aca="false">IF(O562="","",M562*P562)</f>
        <v/>
      </c>
      <c r="AJ562" s="11" t="str">
        <f aca="false">IF(O562="","",IF(O562&gt;1,"Error: rend &gt; 100 %",IF(SUM(T562:Z562)=0,"Falta registrar pérdidas",IF(ABS(AG562)&gt;Parámetros!$B$7,"Revisar balance",IF(O562&lt;P562,"Bajo meta","OK")))))</f>
        <v/>
      </c>
      <c r="AK562" s="33"/>
      <c r="AL562" s="10"/>
      <c r="AM562" s="33"/>
      <c r="AN562" s="33"/>
      <c r="AO562" s="10"/>
    </row>
    <row r="563" customFormat="false" ht="15" hidden="false" customHeight="false" outlineLevel="0" collapsed="false">
      <c r="A563" s="22"/>
      <c r="B563" s="23" t="str">
        <f aca="false">IF(A563="","",YEAR(A563-WEEKDAY(A563,2)+4))</f>
        <v/>
      </c>
      <c r="C563" s="23" t="str">
        <f aca="false">IF(A563="","",WEEKNUM(A563,21))</f>
        <v/>
      </c>
      <c r="D563" s="24" t="str">
        <f aca="false">IF(A563="","",DATE(YEAR(A563),MONTH(A563),1))</f>
        <v/>
      </c>
      <c r="E563" s="10"/>
      <c r="F563" s="25"/>
      <c r="G563" s="25"/>
      <c r="H563" s="10"/>
      <c r="I563" s="10"/>
      <c r="J563" s="26"/>
      <c r="K563" s="25"/>
      <c r="L563" s="26"/>
      <c r="M563" s="27"/>
      <c r="N563" s="27"/>
      <c r="O563" s="28" t="str">
        <f aca="false">IF(OR(M563="",M563=0,N563=""),"",N563/M563)</f>
        <v/>
      </c>
      <c r="P563" s="28" t="str">
        <f aca="false">IF(M563="","",IFERROR(IF(INDEX(Parámetros!$B$14:$B$21,MATCH(I563,Parámetros!$A$14:$A$21,0))="",Parámetros!$B$5,INDEX(Parámetros!$B$14:$B$21,MATCH(I563,Parámetros!$A$14:$A$21,0))),Parámetros!$B$5))</f>
        <v/>
      </c>
      <c r="Q563" s="29" t="str">
        <f aca="false">IF(O563="","",(O563-P563)*100)</f>
        <v/>
      </c>
      <c r="R563" s="30" t="str">
        <f aca="false">IF(O563="","",MAX(0,M563*(P563-O563)))</f>
        <v/>
      </c>
      <c r="S563" s="31" t="str">
        <f aca="false">IF(OR(L563="",L563=0,N563=""),"",N563/1000/L563)</f>
        <v/>
      </c>
      <c r="T563" s="27"/>
      <c r="U563" s="27"/>
      <c r="V563" s="27"/>
      <c r="W563" s="27"/>
      <c r="X563" s="27"/>
      <c r="Y563" s="27"/>
      <c r="Z563" s="27"/>
      <c r="AA563" s="25"/>
      <c r="AB563" s="27"/>
      <c r="AC563" s="30" t="str">
        <f aca="false">IF(M563="","",IF(AB563="",M563*Parámetros!$B$6,AB563))</f>
        <v/>
      </c>
      <c r="AD563" s="30" t="str">
        <f aca="false">IF(M563="","",SUM(T563:Z563)+AC563)</f>
        <v/>
      </c>
      <c r="AE563" s="30" t="str">
        <f aca="false">IF(OR(M563="",N563=""),"",M563-N563)</f>
        <v/>
      </c>
      <c r="AF563" s="30" t="str">
        <f aca="false">IF(AE563="","",AE563-AD563)</f>
        <v/>
      </c>
      <c r="AG563" s="28" t="str">
        <f aca="false">IF(OR(AF563="",M563=0),"",AF563/M563)</f>
        <v/>
      </c>
      <c r="AH563" s="32" t="str">
        <f aca="false">IF(OR(AE563="",N563=0),"",AE563/(N563/1000))</f>
        <v/>
      </c>
      <c r="AI563" s="30" t="str">
        <f aca="false">IF(O563="","",M563*P563)</f>
        <v/>
      </c>
      <c r="AJ563" s="11" t="str">
        <f aca="false">IF(O563="","",IF(O563&gt;1,"Error: rend &gt; 100 %",IF(SUM(T563:Z563)=0,"Falta registrar pérdidas",IF(ABS(AG563)&gt;Parámetros!$B$7,"Revisar balance",IF(O563&lt;P563,"Bajo meta","OK")))))</f>
        <v/>
      </c>
      <c r="AK563" s="33"/>
      <c r="AL563" s="10"/>
      <c r="AM563" s="33"/>
      <c r="AN563" s="33"/>
      <c r="AO563" s="10"/>
    </row>
    <row r="564" customFormat="false" ht="15" hidden="false" customHeight="false" outlineLevel="0" collapsed="false">
      <c r="A564" s="22"/>
      <c r="B564" s="23" t="str">
        <f aca="false">IF(A564="","",YEAR(A564-WEEKDAY(A564,2)+4))</f>
        <v/>
      </c>
      <c r="C564" s="23" t="str">
        <f aca="false">IF(A564="","",WEEKNUM(A564,21))</f>
        <v/>
      </c>
      <c r="D564" s="24" t="str">
        <f aca="false">IF(A564="","",DATE(YEAR(A564),MONTH(A564),1))</f>
        <v/>
      </c>
      <c r="E564" s="10"/>
      <c r="F564" s="25"/>
      <c r="G564" s="25"/>
      <c r="H564" s="10"/>
      <c r="I564" s="10"/>
      <c r="J564" s="26"/>
      <c r="K564" s="25"/>
      <c r="L564" s="26"/>
      <c r="M564" s="27"/>
      <c r="N564" s="27"/>
      <c r="O564" s="28" t="str">
        <f aca="false">IF(OR(M564="",M564=0,N564=""),"",N564/M564)</f>
        <v/>
      </c>
      <c r="P564" s="28" t="str">
        <f aca="false">IF(M564="","",IFERROR(IF(INDEX(Parámetros!$B$14:$B$21,MATCH(I564,Parámetros!$A$14:$A$21,0))="",Parámetros!$B$5,INDEX(Parámetros!$B$14:$B$21,MATCH(I564,Parámetros!$A$14:$A$21,0))),Parámetros!$B$5))</f>
        <v/>
      </c>
      <c r="Q564" s="29" t="str">
        <f aca="false">IF(O564="","",(O564-P564)*100)</f>
        <v/>
      </c>
      <c r="R564" s="30" t="str">
        <f aca="false">IF(O564="","",MAX(0,M564*(P564-O564)))</f>
        <v/>
      </c>
      <c r="S564" s="31" t="str">
        <f aca="false">IF(OR(L564="",L564=0,N564=""),"",N564/1000/L564)</f>
        <v/>
      </c>
      <c r="T564" s="27"/>
      <c r="U564" s="27"/>
      <c r="V564" s="27"/>
      <c r="W564" s="27"/>
      <c r="X564" s="27"/>
      <c r="Y564" s="27"/>
      <c r="Z564" s="27"/>
      <c r="AA564" s="25"/>
      <c r="AB564" s="27"/>
      <c r="AC564" s="30" t="str">
        <f aca="false">IF(M564="","",IF(AB564="",M564*Parámetros!$B$6,AB564))</f>
        <v/>
      </c>
      <c r="AD564" s="30" t="str">
        <f aca="false">IF(M564="","",SUM(T564:Z564)+AC564)</f>
        <v/>
      </c>
      <c r="AE564" s="30" t="str">
        <f aca="false">IF(OR(M564="",N564=""),"",M564-N564)</f>
        <v/>
      </c>
      <c r="AF564" s="30" t="str">
        <f aca="false">IF(AE564="","",AE564-AD564)</f>
        <v/>
      </c>
      <c r="AG564" s="28" t="str">
        <f aca="false">IF(OR(AF564="",M564=0),"",AF564/M564)</f>
        <v/>
      </c>
      <c r="AH564" s="32" t="str">
        <f aca="false">IF(OR(AE564="",N564=0),"",AE564/(N564/1000))</f>
        <v/>
      </c>
      <c r="AI564" s="30" t="str">
        <f aca="false">IF(O564="","",M564*P564)</f>
        <v/>
      </c>
      <c r="AJ564" s="11" t="str">
        <f aca="false">IF(O564="","",IF(O564&gt;1,"Error: rend &gt; 100 %",IF(SUM(T564:Z564)=0,"Falta registrar pérdidas",IF(ABS(AG564)&gt;Parámetros!$B$7,"Revisar balance",IF(O564&lt;P564,"Bajo meta","OK")))))</f>
        <v/>
      </c>
      <c r="AK564" s="33"/>
      <c r="AL564" s="10"/>
      <c r="AM564" s="33"/>
      <c r="AN564" s="33"/>
      <c r="AO564" s="10"/>
    </row>
    <row r="565" customFormat="false" ht="15" hidden="false" customHeight="false" outlineLevel="0" collapsed="false">
      <c r="A565" s="22"/>
      <c r="B565" s="23" t="str">
        <f aca="false">IF(A565="","",YEAR(A565-WEEKDAY(A565,2)+4))</f>
        <v/>
      </c>
      <c r="C565" s="23" t="str">
        <f aca="false">IF(A565="","",WEEKNUM(A565,21))</f>
        <v/>
      </c>
      <c r="D565" s="24" t="str">
        <f aca="false">IF(A565="","",DATE(YEAR(A565),MONTH(A565),1))</f>
        <v/>
      </c>
      <c r="E565" s="10"/>
      <c r="F565" s="25"/>
      <c r="G565" s="25"/>
      <c r="H565" s="10"/>
      <c r="I565" s="10"/>
      <c r="J565" s="26"/>
      <c r="K565" s="25"/>
      <c r="L565" s="26"/>
      <c r="M565" s="27"/>
      <c r="N565" s="27"/>
      <c r="O565" s="28" t="str">
        <f aca="false">IF(OR(M565="",M565=0,N565=""),"",N565/M565)</f>
        <v/>
      </c>
      <c r="P565" s="28" t="str">
        <f aca="false">IF(M565="","",IFERROR(IF(INDEX(Parámetros!$B$14:$B$21,MATCH(I565,Parámetros!$A$14:$A$21,0))="",Parámetros!$B$5,INDEX(Parámetros!$B$14:$B$21,MATCH(I565,Parámetros!$A$14:$A$21,0))),Parámetros!$B$5))</f>
        <v/>
      </c>
      <c r="Q565" s="29" t="str">
        <f aca="false">IF(O565="","",(O565-P565)*100)</f>
        <v/>
      </c>
      <c r="R565" s="30" t="str">
        <f aca="false">IF(O565="","",MAX(0,M565*(P565-O565)))</f>
        <v/>
      </c>
      <c r="S565" s="31" t="str">
        <f aca="false">IF(OR(L565="",L565=0,N565=""),"",N565/1000/L565)</f>
        <v/>
      </c>
      <c r="T565" s="27"/>
      <c r="U565" s="27"/>
      <c r="V565" s="27"/>
      <c r="W565" s="27"/>
      <c r="X565" s="27"/>
      <c r="Y565" s="27"/>
      <c r="Z565" s="27"/>
      <c r="AA565" s="25"/>
      <c r="AB565" s="27"/>
      <c r="AC565" s="30" t="str">
        <f aca="false">IF(M565="","",IF(AB565="",M565*Parámetros!$B$6,AB565))</f>
        <v/>
      </c>
      <c r="AD565" s="30" t="str">
        <f aca="false">IF(M565="","",SUM(T565:Z565)+AC565)</f>
        <v/>
      </c>
      <c r="AE565" s="30" t="str">
        <f aca="false">IF(OR(M565="",N565=""),"",M565-N565)</f>
        <v/>
      </c>
      <c r="AF565" s="30" t="str">
        <f aca="false">IF(AE565="","",AE565-AD565)</f>
        <v/>
      </c>
      <c r="AG565" s="28" t="str">
        <f aca="false">IF(OR(AF565="",M565=0),"",AF565/M565)</f>
        <v/>
      </c>
      <c r="AH565" s="32" t="str">
        <f aca="false">IF(OR(AE565="",N565=0),"",AE565/(N565/1000))</f>
        <v/>
      </c>
      <c r="AI565" s="30" t="str">
        <f aca="false">IF(O565="","",M565*P565)</f>
        <v/>
      </c>
      <c r="AJ565" s="11" t="str">
        <f aca="false">IF(O565="","",IF(O565&gt;1,"Error: rend &gt; 100 %",IF(SUM(T565:Z565)=0,"Falta registrar pérdidas",IF(ABS(AG565)&gt;Parámetros!$B$7,"Revisar balance",IF(O565&lt;P565,"Bajo meta","OK")))))</f>
        <v/>
      </c>
      <c r="AK565" s="33"/>
      <c r="AL565" s="10"/>
      <c r="AM565" s="33"/>
      <c r="AN565" s="33"/>
      <c r="AO565" s="10"/>
    </row>
    <row r="566" customFormat="false" ht="15" hidden="false" customHeight="false" outlineLevel="0" collapsed="false">
      <c r="A566" s="22"/>
      <c r="B566" s="23" t="str">
        <f aca="false">IF(A566="","",YEAR(A566-WEEKDAY(A566,2)+4))</f>
        <v/>
      </c>
      <c r="C566" s="23" t="str">
        <f aca="false">IF(A566="","",WEEKNUM(A566,21))</f>
        <v/>
      </c>
      <c r="D566" s="24" t="str">
        <f aca="false">IF(A566="","",DATE(YEAR(A566),MONTH(A566),1))</f>
        <v/>
      </c>
      <c r="E566" s="10"/>
      <c r="F566" s="25"/>
      <c r="G566" s="25"/>
      <c r="H566" s="10"/>
      <c r="I566" s="10"/>
      <c r="J566" s="26"/>
      <c r="K566" s="25"/>
      <c r="L566" s="26"/>
      <c r="M566" s="27"/>
      <c r="N566" s="27"/>
      <c r="O566" s="28" t="str">
        <f aca="false">IF(OR(M566="",M566=0,N566=""),"",N566/M566)</f>
        <v/>
      </c>
      <c r="P566" s="28" t="str">
        <f aca="false">IF(M566="","",IFERROR(IF(INDEX(Parámetros!$B$14:$B$21,MATCH(I566,Parámetros!$A$14:$A$21,0))="",Parámetros!$B$5,INDEX(Parámetros!$B$14:$B$21,MATCH(I566,Parámetros!$A$14:$A$21,0))),Parámetros!$B$5))</f>
        <v/>
      </c>
      <c r="Q566" s="29" t="str">
        <f aca="false">IF(O566="","",(O566-P566)*100)</f>
        <v/>
      </c>
      <c r="R566" s="30" t="str">
        <f aca="false">IF(O566="","",MAX(0,M566*(P566-O566)))</f>
        <v/>
      </c>
      <c r="S566" s="31" t="str">
        <f aca="false">IF(OR(L566="",L566=0,N566=""),"",N566/1000/L566)</f>
        <v/>
      </c>
      <c r="T566" s="27"/>
      <c r="U566" s="27"/>
      <c r="V566" s="27"/>
      <c r="W566" s="27"/>
      <c r="X566" s="27"/>
      <c r="Y566" s="27"/>
      <c r="Z566" s="27"/>
      <c r="AA566" s="25"/>
      <c r="AB566" s="27"/>
      <c r="AC566" s="30" t="str">
        <f aca="false">IF(M566="","",IF(AB566="",M566*Parámetros!$B$6,AB566))</f>
        <v/>
      </c>
      <c r="AD566" s="30" t="str">
        <f aca="false">IF(M566="","",SUM(T566:Z566)+AC566)</f>
        <v/>
      </c>
      <c r="AE566" s="30" t="str">
        <f aca="false">IF(OR(M566="",N566=""),"",M566-N566)</f>
        <v/>
      </c>
      <c r="AF566" s="30" t="str">
        <f aca="false">IF(AE566="","",AE566-AD566)</f>
        <v/>
      </c>
      <c r="AG566" s="28" t="str">
        <f aca="false">IF(OR(AF566="",M566=0),"",AF566/M566)</f>
        <v/>
      </c>
      <c r="AH566" s="32" t="str">
        <f aca="false">IF(OR(AE566="",N566=0),"",AE566/(N566/1000))</f>
        <v/>
      </c>
      <c r="AI566" s="30" t="str">
        <f aca="false">IF(O566="","",M566*P566)</f>
        <v/>
      </c>
      <c r="AJ566" s="11" t="str">
        <f aca="false">IF(O566="","",IF(O566&gt;1,"Error: rend &gt; 100 %",IF(SUM(T566:Z566)=0,"Falta registrar pérdidas",IF(ABS(AG566)&gt;Parámetros!$B$7,"Revisar balance",IF(O566&lt;P566,"Bajo meta","OK")))))</f>
        <v/>
      </c>
      <c r="AK566" s="33"/>
      <c r="AL566" s="10"/>
      <c r="AM566" s="33"/>
      <c r="AN566" s="33"/>
      <c r="AO566" s="10"/>
    </row>
    <row r="567" customFormat="false" ht="15" hidden="false" customHeight="false" outlineLevel="0" collapsed="false">
      <c r="A567" s="22"/>
      <c r="B567" s="23" t="str">
        <f aca="false">IF(A567="","",YEAR(A567-WEEKDAY(A567,2)+4))</f>
        <v/>
      </c>
      <c r="C567" s="23" t="str">
        <f aca="false">IF(A567="","",WEEKNUM(A567,21))</f>
        <v/>
      </c>
      <c r="D567" s="24" t="str">
        <f aca="false">IF(A567="","",DATE(YEAR(A567),MONTH(A567),1))</f>
        <v/>
      </c>
      <c r="E567" s="10"/>
      <c r="F567" s="25"/>
      <c r="G567" s="25"/>
      <c r="H567" s="10"/>
      <c r="I567" s="10"/>
      <c r="J567" s="26"/>
      <c r="K567" s="25"/>
      <c r="L567" s="26"/>
      <c r="M567" s="27"/>
      <c r="N567" s="27"/>
      <c r="O567" s="28" t="str">
        <f aca="false">IF(OR(M567="",M567=0,N567=""),"",N567/M567)</f>
        <v/>
      </c>
      <c r="P567" s="28" t="str">
        <f aca="false">IF(M567="","",IFERROR(IF(INDEX(Parámetros!$B$14:$B$21,MATCH(I567,Parámetros!$A$14:$A$21,0))="",Parámetros!$B$5,INDEX(Parámetros!$B$14:$B$21,MATCH(I567,Parámetros!$A$14:$A$21,0))),Parámetros!$B$5))</f>
        <v/>
      </c>
      <c r="Q567" s="29" t="str">
        <f aca="false">IF(O567="","",(O567-P567)*100)</f>
        <v/>
      </c>
      <c r="R567" s="30" t="str">
        <f aca="false">IF(O567="","",MAX(0,M567*(P567-O567)))</f>
        <v/>
      </c>
      <c r="S567" s="31" t="str">
        <f aca="false">IF(OR(L567="",L567=0,N567=""),"",N567/1000/L567)</f>
        <v/>
      </c>
      <c r="T567" s="27"/>
      <c r="U567" s="27"/>
      <c r="V567" s="27"/>
      <c r="W567" s="27"/>
      <c r="X567" s="27"/>
      <c r="Y567" s="27"/>
      <c r="Z567" s="27"/>
      <c r="AA567" s="25"/>
      <c r="AB567" s="27"/>
      <c r="AC567" s="30" t="str">
        <f aca="false">IF(M567="","",IF(AB567="",M567*Parámetros!$B$6,AB567))</f>
        <v/>
      </c>
      <c r="AD567" s="30" t="str">
        <f aca="false">IF(M567="","",SUM(T567:Z567)+AC567)</f>
        <v/>
      </c>
      <c r="AE567" s="30" t="str">
        <f aca="false">IF(OR(M567="",N567=""),"",M567-N567)</f>
        <v/>
      </c>
      <c r="AF567" s="30" t="str">
        <f aca="false">IF(AE567="","",AE567-AD567)</f>
        <v/>
      </c>
      <c r="AG567" s="28" t="str">
        <f aca="false">IF(OR(AF567="",M567=0),"",AF567/M567)</f>
        <v/>
      </c>
      <c r="AH567" s="32" t="str">
        <f aca="false">IF(OR(AE567="",N567=0),"",AE567/(N567/1000))</f>
        <v/>
      </c>
      <c r="AI567" s="30" t="str">
        <f aca="false">IF(O567="","",M567*P567)</f>
        <v/>
      </c>
      <c r="AJ567" s="11" t="str">
        <f aca="false">IF(O567="","",IF(O567&gt;1,"Error: rend &gt; 100 %",IF(SUM(T567:Z567)=0,"Falta registrar pérdidas",IF(ABS(AG567)&gt;Parámetros!$B$7,"Revisar balance",IF(O567&lt;P567,"Bajo meta","OK")))))</f>
        <v/>
      </c>
      <c r="AK567" s="33"/>
      <c r="AL567" s="10"/>
      <c r="AM567" s="33"/>
      <c r="AN567" s="33"/>
      <c r="AO567" s="10"/>
    </row>
    <row r="568" customFormat="false" ht="15" hidden="false" customHeight="false" outlineLevel="0" collapsed="false">
      <c r="A568" s="22"/>
      <c r="B568" s="23" t="str">
        <f aca="false">IF(A568="","",YEAR(A568-WEEKDAY(A568,2)+4))</f>
        <v/>
      </c>
      <c r="C568" s="23" t="str">
        <f aca="false">IF(A568="","",WEEKNUM(A568,21))</f>
        <v/>
      </c>
      <c r="D568" s="24" t="str">
        <f aca="false">IF(A568="","",DATE(YEAR(A568),MONTH(A568),1))</f>
        <v/>
      </c>
      <c r="E568" s="10"/>
      <c r="F568" s="25"/>
      <c r="G568" s="25"/>
      <c r="H568" s="10"/>
      <c r="I568" s="10"/>
      <c r="J568" s="26"/>
      <c r="K568" s="25"/>
      <c r="L568" s="26"/>
      <c r="M568" s="27"/>
      <c r="N568" s="27"/>
      <c r="O568" s="28" t="str">
        <f aca="false">IF(OR(M568="",M568=0,N568=""),"",N568/M568)</f>
        <v/>
      </c>
      <c r="P568" s="28" t="str">
        <f aca="false">IF(M568="","",IFERROR(IF(INDEX(Parámetros!$B$14:$B$21,MATCH(I568,Parámetros!$A$14:$A$21,0))="",Parámetros!$B$5,INDEX(Parámetros!$B$14:$B$21,MATCH(I568,Parámetros!$A$14:$A$21,0))),Parámetros!$B$5))</f>
        <v/>
      </c>
      <c r="Q568" s="29" t="str">
        <f aca="false">IF(O568="","",(O568-P568)*100)</f>
        <v/>
      </c>
      <c r="R568" s="30" t="str">
        <f aca="false">IF(O568="","",MAX(0,M568*(P568-O568)))</f>
        <v/>
      </c>
      <c r="S568" s="31" t="str">
        <f aca="false">IF(OR(L568="",L568=0,N568=""),"",N568/1000/L568)</f>
        <v/>
      </c>
      <c r="T568" s="27"/>
      <c r="U568" s="27"/>
      <c r="V568" s="27"/>
      <c r="W568" s="27"/>
      <c r="X568" s="27"/>
      <c r="Y568" s="27"/>
      <c r="Z568" s="27"/>
      <c r="AA568" s="25"/>
      <c r="AB568" s="27"/>
      <c r="AC568" s="30" t="str">
        <f aca="false">IF(M568="","",IF(AB568="",M568*Parámetros!$B$6,AB568))</f>
        <v/>
      </c>
      <c r="AD568" s="30" t="str">
        <f aca="false">IF(M568="","",SUM(T568:Z568)+AC568)</f>
        <v/>
      </c>
      <c r="AE568" s="30" t="str">
        <f aca="false">IF(OR(M568="",N568=""),"",M568-N568)</f>
        <v/>
      </c>
      <c r="AF568" s="30" t="str">
        <f aca="false">IF(AE568="","",AE568-AD568)</f>
        <v/>
      </c>
      <c r="AG568" s="28" t="str">
        <f aca="false">IF(OR(AF568="",M568=0),"",AF568/M568)</f>
        <v/>
      </c>
      <c r="AH568" s="32" t="str">
        <f aca="false">IF(OR(AE568="",N568=0),"",AE568/(N568/1000))</f>
        <v/>
      </c>
      <c r="AI568" s="30" t="str">
        <f aca="false">IF(O568="","",M568*P568)</f>
        <v/>
      </c>
      <c r="AJ568" s="11" t="str">
        <f aca="false">IF(O568="","",IF(O568&gt;1,"Error: rend &gt; 100 %",IF(SUM(T568:Z568)=0,"Falta registrar pérdidas",IF(ABS(AG568)&gt;Parámetros!$B$7,"Revisar balance",IF(O568&lt;P568,"Bajo meta","OK")))))</f>
        <v/>
      </c>
      <c r="AK568" s="33"/>
      <c r="AL568" s="10"/>
      <c r="AM568" s="33"/>
      <c r="AN568" s="33"/>
      <c r="AO568" s="10"/>
    </row>
    <row r="569" customFormat="false" ht="15" hidden="false" customHeight="false" outlineLevel="0" collapsed="false">
      <c r="A569" s="22"/>
      <c r="B569" s="23" t="str">
        <f aca="false">IF(A569="","",YEAR(A569-WEEKDAY(A569,2)+4))</f>
        <v/>
      </c>
      <c r="C569" s="23" t="str">
        <f aca="false">IF(A569="","",WEEKNUM(A569,21))</f>
        <v/>
      </c>
      <c r="D569" s="24" t="str">
        <f aca="false">IF(A569="","",DATE(YEAR(A569),MONTH(A569),1))</f>
        <v/>
      </c>
      <c r="E569" s="10"/>
      <c r="F569" s="25"/>
      <c r="G569" s="25"/>
      <c r="H569" s="10"/>
      <c r="I569" s="10"/>
      <c r="J569" s="26"/>
      <c r="K569" s="25"/>
      <c r="L569" s="26"/>
      <c r="M569" s="27"/>
      <c r="N569" s="27"/>
      <c r="O569" s="28" t="str">
        <f aca="false">IF(OR(M569="",M569=0,N569=""),"",N569/M569)</f>
        <v/>
      </c>
      <c r="P569" s="28" t="str">
        <f aca="false">IF(M569="","",IFERROR(IF(INDEX(Parámetros!$B$14:$B$21,MATCH(I569,Parámetros!$A$14:$A$21,0))="",Parámetros!$B$5,INDEX(Parámetros!$B$14:$B$21,MATCH(I569,Parámetros!$A$14:$A$21,0))),Parámetros!$B$5))</f>
        <v/>
      </c>
      <c r="Q569" s="29" t="str">
        <f aca="false">IF(O569="","",(O569-P569)*100)</f>
        <v/>
      </c>
      <c r="R569" s="30" t="str">
        <f aca="false">IF(O569="","",MAX(0,M569*(P569-O569)))</f>
        <v/>
      </c>
      <c r="S569" s="31" t="str">
        <f aca="false">IF(OR(L569="",L569=0,N569=""),"",N569/1000/L569)</f>
        <v/>
      </c>
      <c r="T569" s="27"/>
      <c r="U569" s="27"/>
      <c r="V569" s="27"/>
      <c r="W569" s="27"/>
      <c r="X569" s="27"/>
      <c r="Y569" s="27"/>
      <c r="Z569" s="27"/>
      <c r="AA569" s="25"/>
      <c r="AB569" s="27"/>
      <c r="AC569" s="30" t="str">
        <f aca="false">IF(M569="","",IF(AB569="",M569*Parámetros!$B$6,AB569))</f>
        <v/>
      </c>
      <c r="AD569" s="30" t="str">
        <f aca="false">IF(M569="","",SUM(T569:Z569)+AC569)</f>
        <v/>
      </c>
      <c r="AE569" s="30" t="str">
        <f aca="false">IF(OR(M569="",N569=""),"",M569-N569)</f>
        <v/>
      </c>
      <c r="AF569" s="30" t="str">
        <f aca="false">IF(AE569="","",AE569-AD569)</f>
        <v/>
      </c>
      <c r="AG569" s="28" t="str">
        <f aca="false">IF(OR(AF569="",M569=0),"",AF569/M569)</f>
        <v/>
      </c>
      <c r="AH569" s="32" t="str">
        <f aca="false">IF(OR(AE569="",N569=0),"",AE569/(N569/1000))</f>
        <v/>
      </c>
      <c r="AI569" s="30" t="str">
        <f aca="false">IF(O569="","",M569*P569)</f>
        <v/>
      </c>
      <c r="AJ569" s="11" t="str">
        <f aca="false">IF(O569="","",IF(O569&gt;1,"Error: rend &gt; 100 %",IF(SUM(T569:Z569)=0,"Falta registrar pérdidas",IF(ABS(AG569)&gt;Parámetros!$B$7,"Revisar balance",IF(O569&lt;P569,"Bajo meta","OK")))))</f>
        <v/>
      </c>
      <c r="AK569" s="33"/>
      <c r="AL569" s="10"/>
      <c r="AM569" s="33"/>
      <c r="AN569" s="33"/>
      <c r="AO569" s="10"/>
    </row>
    <row r="570" customFormat="false" ht="15" hidden="false" customHeight="false" outlineLevel="0" collapsed="false">
      <c r="A570" s="22"/>
      <c r="B570" s="23" t="str">
        <f aca="false">IF(A570="","",YEAR(A570-WEEKDAY(A570,2)+4))</f>
        <v/>
      </c>
      <c r="C570" s="23" t="str">
        <f aca="false">IF(A570="","",WEEKNUM(A570,21))</f>
        <v/>
      </c>
      <c r="D570" s="24" t="str">
        <f aca="false">IF(A570="","",DATE(YEAR(A570),MONTH(A570),1))</f>
        <v/>
      </c>
      <c r="E570" s="10"/>
      <c r="F570" s="25"/>
      <c r="G570" s="25"/>
      <c r="H570" s="10"/>
      <c r="I570" s="10"/>
      <c r="J570" s="26"/>
      <c r="K570" s="25"/>
      <c r="L570" s="26"/>
      <c r="M570" s="27"/>
      <c r="N570" s="27"/>
      <c r="O570" s="28" t="str">
        <f aca="false">IF(OR(M570="",M570=0,N570=""),"",N570/M570)</f>
        <v/>
      </c>
      <c r="P570" s="28" t="str">
        <f aca="false">IF(M570="","",IFERROR(IF(INDEX(Parámetros!$B$14:$B$21,MATCH(I570,Parámetros!$A$14:$A$21,0))="",Parámetros!$B$5,INDEX(Parámetros!$B$14:$B$21,MATCH(I570,Parámetros!$A$14:$A$21,0))),Parámetros!$B$5))</f>
        <v/>
      </c>
      <c r="Q570" s="29" t="str">
        <f aca="false">IF(O570="","",(O570-P570)*100)</f>
        <v/>
      </c>
      <c r="R570" s="30" t="str">
        <f aca="false">IF(O570="","",MAX(0,M570*(P570-O570)))</f>
        <v/>
      </c>
      <c r="S570" s="31" t="str">
        <f aca="false">IF(OR(L570="",L570=0,N570=""),"",N570/1000/L570)</f>
        <v/>
      </c>
      <c r="T570" s="27"/>
      <c r="U570" s="27"/>
      <c r="V570" s="27"/>
      <c r="W570" s="27"/>
      <c r="X570" s="27"/>
      <c r="Y570" s="27"/>
      <c r="Z570" s="27"/>
      <c r="AA570" s="25"/>
      <c r="AB570" s="27"/>
      <c r="AC570" s="30" t="str">
        <f aca="false">IF(M570="","",IF(AB570="",M570*Parámetros!$B$6,AB570))</f>
        <v/>
      </c>
      <c r="AD570" s="30" t="str">
        <f aca="false">IF(M570="","",SUM(T570:Z570)+AC570)</f>
        <v/>
      </c>
      <c r="AE570" s="30" t="str">
        <f aca="false">IF(OR(M570="",N570=""),"",M570-N570)</f>
        <v/>
      </c>
      <c r="AF570" s="30" t="str">
        <f aca="false">IF(AE570="","",AE570-AD570)</f>
        <v/>
      </c>
      <c r="AG570" s="28" t="str">
        <f aca="false">IF(OR(AF570="",M570=0),"",AF570/M570)</f>
        <v/>
      </c>
      <c r="AH570" s="32" t="str">
        <f aca="false">IF(OR(AE570="",N570=0),"",AE570/(N570/1000))</f>
        <v/>
      </c>
      <c r="AI570" s="30" t="str">
        <f aca="false">IF(O570="","",M570*P570)</f>
        <v/>
      </c>
      <c r="AJ570" s="11" t="str">
        <f aca="false">IF(O570="","",IF(O570&gt;1,"Error: rend &gt; 100 %",IF(SUM(T570:Z570)=0,"Falta registrar pérdidas",IF(ABS(AG570)&gt;Parámetros!$B$7,"Revisar balance",IF(O570&lt;P570,"Bajo meta","OK")))))</f>
        <v/>
      </c>
      <c r="AK570" s="33"/>
      <c r="AL570" s="10"/>
      <c r="AM570" s="33"/>
      <c r="AN570" s="33"/>
      <c r="AO570" s="10"/>
    </row>
    <row r="571" customFormat="false" ht="15" hidden="false" customHeight="false" outlineLevel="0" collapsed="false">
      <c r="A571" s="22"/>
      <c r="B571" s="23" t="str">
        <f aca="false">IF(A571="","",YEAR(A571-WEEKDAY(A571,2)+4))</f>
        <v/>
      </c>
      <c r="C571" s="23" t="str">
        <f aca="false">IF(A571="","",WEEKNUM(A571,21))</f>
        <v/>
      </c>
      <c r="D571" s="24" t="str">
        <f aca="false">IF(A571="","",DATE(YEAR(A571),MONTH(A571),1))</f>
        <v/>
      </c>
      <c r="E571" s="10"/>
      <c r="F571" s="25"/>
      <c r="G571" s="25"/>
      <c r="H571" s="10"/>
      <c r="I571" s="10"/>
      <c r="J571" s="26"/>
      <c r="K571" s="25"/>
      <c r="L571" s="26"/>
      <c r="M571" s="27"/>
      <c r="N571" s="27"/>
      <c r="O571" s="28" t="str">
        <f aca="false">IF(OR(M571="",M571=0,N571=""),"",N571/M571)</f>
        <v/>
      </c>
      <c r="P571" s="28" t="str">
        <f aca="false">IF(M571="","",IFERROR(IF(INDEX(Parámetros!$B$14:$B$21,MATCH(I571,Parámetros!$A$14:$A$21,0))="",Parámetros!$B$5,INDEX(Parámetros!$B$14:$B$21,MATCH(I571,Parámetros!$A$14:$A$21,0))),Parámetros!$B$5))</f>
        <v/>
      </c>
      <c r="Q571" s="29" t="str">
        <f aca="false">IF(O571="","",(O571-P571)*100)</f>
        <v/>
      </c>
      <c r="R571" s="30" t="str">
        <f aca="false">IF(O571="","",MAX(0,M571*(P571-O571)))</f>
        <v/>
      </c>
      <c r="S571" s="31" t="str">
        <f aca="false">IF(OR(L571="",L571=0,N571=""),"",N571/1000/L571)</f>
        <v/>
      </c>
      <c r="T571" s="27"/>
      <c r="U571" s="27"/>
      <c r="V571" s="27"/>
      <c r="W571" s="27"/>
      <c r="X571" s="27"/>
      <c r="Y571" s="27"/>
      <c r="Z571" s="27"/>
      <c r="AA571" s="25"/>
      <c r="AB571" s="27"/>
      <c r="AC571" s="30" t="str">
        <f aca="false">IF(M571="","",IF(AB571="",M571*Parámetros!$B$6,AB571))</f>
        <v/>
      </c>
      <c r="AD571" s="30" t="str">
        <f aca="false">IF(M571="","",SUM(T571:Z571)+AC571)</f>
        <v/>
      </c>
      <c r="AE571" s="30" t="str">
        <f aca="false">IF(OR(M571="",N571=""),"",M571-N571)</f>
        <v/>
      </c>
      <c r="AF571" s="30" t="str">
        <f aca="false">IF(AE571="","",AE571-AD571)</f>
        <v/>
      </c>
      <c r="AG571" s="28" t="str">
        <f aca="false">IF(OR(AF571="",M571=0),"",AF571/M571)</f>
        <v/>
      </c>
      <c r="AH571" s="32" t="str">
        <f aca="false">IF(OR(AE571="",N571=0),"",AE571/(N571/1000))</f>
        <v/>
      </c>
      <c r="AI571" s="30" t="str">
        <f aca="false">IF(O571="","",M571*P571)</f>
        <v/>
      </c>
      <c r="AJ571" s="11" t="str">
        <f aca="false">IF(O571="","",IF(O571&gt;1,"Error: rend &gt; 100 %",IF(SUM(T571:Z571)=0,"Falta registrar pérdidas",IF(ABS(AG571)&gt;Parámetros!$B$7,"Revisar balance",IF(O571&lt;P571,"Bajo meta","OK")))))</f>
        <v/>
      </c>
      <c r="AK571" s="33"/>
      <c r="AL571" s="10"/>
      <c r="AM571" s="33"/>
      <c r="AN571" s="33"/>
      <c r="AO571" s="10"/>
    </row>
    <row r="572" customFormat="false" ht="15" hidden="false" customHeight="false" outlineLevel="0" collapsed="false">
      <c r="A572" s="22"/>
      <c r="B572" s="23" t="str">
        <f aca="false">IF(A572="","",YEAR(A572-WEEKDAY(A572,2)+4))</f>
        <v/>
      </c>
      <c r="C572" s="23" t="str">
        <f aca="false">IF(A572="","",WEEKNUM(A572,21))</f>
        <v/>
      </c>
      <c r="D572" s="24" t="str">
        <f aca="false">IF(A572="","",DATE(YEAR(A572),MONTH(A572),1))</f>
        <v/>
      </c>
      <c r="E572" s="10"/>
      <c r="F572" s="25"/>
      <c r="G572" s="25"/>
      <c r="H572" s="10"/>
      <c r="I572" s="10"/>
      <c r="J572" s="26"/>
      <c r="K572" s="25"/>
      <c r="L572" s="26"/>
      <c r="M572" s="27"/>
      <c r="N572" s="27"/>
      <c r="O572" s="28" t="str">
        <f aca="false">IF(OR(M572="",M572=0,N572=""),"",N572/M572)</f>
        <v/>
      </c>
      <c r="P572" s="28" t="str">
        <f aca="false">IF(M572="","",IFERROR(IF(INDEX(Parámetros!$B$14:$B$21,MATCH(I572,Parámetros!$A$14:$A$21,0))="",Parámetros!$B$5,INDEX(Parámetros!$B$14:$B$21,MATCH(I572,Parámetros!$A$14:$A$21,0))),Parámetros!$B$5))</f>
        <v/>
      </c>
      <c r="Q572" s="29" t="str">
        <f aca="false">IF(O572="","",(O572-P572)*100)</f>
        <v/>
      </c>
      <c r="R572" s="30" t="str">
        <f aca="false">IF(O572="","",MAX(0,M572*(P572-O572)))</f>
        <v/>
      </c>
      <c r="S572" s="31" t="str">
        <f aca="false">IF(OR(L572="",L572=0,N572=""),"",N572/1000/L572)</f>
        <v/>
      </c>
      <c r="T572" s="27"/>
      <c r="U572" s="27"/>
      <c r="V572" s="27"/>
      <c r="W572" s="27"/>
      <c r="X572" s="27"/>
      <c r="Y572" s="27"/>
      <c r="Z572" s="27"/>
      <c r="AA572" s="25"/>
      <c r="AB572" s="27"/>
      <c r="AC572" s="30" t="str">
        <f aca="false">IF(M572="","",IF(AB572="",M572*Parámetros!$B$6,AB572))</f>
        <v/>
      </c>
      <c r="AD572" s="30" t="str">
        <f aca="false">IF(M572="","",SUM(T572:Z572)+AC572)</f>
        <v/>
      </c>
      <c r="AE572" s="30" t="str">
        <f aca="false">IF(OR(M572="",N572=""),"",M572-N572)</f>
        <v/>
      </c>
      <c r="AF572" s="30" t="str">
        <f aca="false">IF(AE572="","",AE572-AD572)</f>
        <v/>
      </c>
      <c r="AG572" s="28" t="str">
        <f aca="false">IF(OR(AF572="",M572=0),"",AF572/M572)</f>
        <v/>
      </c>
      <c r="AH572" s="32" t="str">
        <f aca="false">IF(OR(AE572="",N572=0),"",AE572/(N572/1000))</f>
        <v/>
      </c>
      <c r="AI572" s="30" t="str">
        <f aca="false">IF(O572="","",M572*P572)</f>
        <v/>
      </c>
      <c r="AJ572" s="11" t="str">
        <f aca="false">IF(O572="","",IF(O572&gt;1,"Error: rend &gt; 100 %",IF(SUM(T572:Z572)=0,"Falta registrar pérdidas",IF(ABS(AG572)&gt;Parámetros!$B$7,"Revisar balance",IF(O572&lt;P572,"Bajo meta","OK")))))</f>
        <v/>
      </c>
      <c r="AK572" s="33"/>
      <c r="AL572" s="10"/>
      <c r="AM572" s="33"/>
      <c r="AN572" s="33"/>
      <c r="AO572" s="10"/>
    </row>
    <row r="573" customFormat="false" ht="15" hidden="false" customHeight="false" outlineLevel="0" collapsed="false">
      <c r="A573" s="22"/>
      <c r="B573" s="23" t="str">
        <f aca="false">IF(A573="","",YEAR(A573-WEEKDAY(A573,2)+4))</f>
        <v/>
      </c>
      <c r="C573" s="23" t="str">
        <f aca="false">IF(A573="","",WEEKNUM(A573,21))</f>
        <v/>
      </c>
      <c r="D573" s="24" t="str">
        <f aca="false">IF(A573="","",DATE(YEAR(A573),MONTH(A573),1))</f>
        <v/>
      </c>
      <c r="E573" s="10"/>
      <c r="F573" s="25"/>
      <c r="G573" s="25"/>
      <c r="H573" s="10"/>
      <c r="I573" s="10"/>
      <c r="J573" s="26"/>
      <c r="K573" s="25"/>
      <c r="L573" s="26"/>
      <c r="M573" s="27"/>
      <c r="N573" s="27"/>
      <c r="O573" s="28" t="str">
        <f aca="false">IF(OR(M573="",M573=0,N573=""),"",N573/M573)</f>
        <v/>
      </c>
      <c r="P573" s="28" t="str">
        <f aca="false">IF(M573="","",IFERROR(IF(INDEX(Parámetros!$B$14:$B$21,MATCH(I573,Parámetros!$A$14:$A$21,0))="",Parámetros!$B$5,INDEX(Parámetros!$B$14:$B$21,MATCH(I573,Parámetros!$A$14:$A$21,0))),Parámetros!$B$5))</f>
        <v/>
      </c>
      <c r="Q573" s="29" t="str">
        <f aca="false">IF(O573="","",(O573-P573)*100)</f>
        <v/>
      </c>
      <c r="R573" s="30" t="str">
        <f aca="false">IF(O573="","",MAX(0,M573*(P573-O573)))</f>
        <v/>
      </c>
      <c r="S573" s="31" t="str">
        <f aca="false">IF(OR(L573="",L573=0,N573=""),"",N573/1000/L573)</f>
        <v/>
      </c>
      <c r="T573" s="27"/>
      <c r="U573" s="27"/>
      <c r="V573" s="27"/>
      <c r="W573" s="27"/>
      <c r="X573" s="27"/>
      <c r="Y573" s="27"/>
      <c r="Z573" s="27"/>
      <c r="AA573" s="25"/>
      <c r="AB573" s="27"/>
      <c r="AC573" s="30" t="str">
        <f aca="false">IF(M573="","",IF(AB573="",M573*Parámetros!$B$6,AB573))</f>
        <v/>
      </c>
      <c r="AD573" s="30" t="str">
        <f aca="false">IF(M573="","",SUM(T573:Z573)+AC573)</f>
        <v/>
      </c>
      <c r="AE573" s="30" t="str">
        <f aca="false">IF(OR(M573="",N573=""),"",M573-N573)</f>
        <v/>
      </c>
      <c r="AF573" s="30" t="str">
        <f aca="false">IF(AE573="","",AE573-AD573)</f>
        <v/>
      </c>
      <c r="AG573" s="28" t="str">
        <f aca="false">IF(OR(AF573="",M573=0),"",AF573/M573)</f>
        <v/>
      </c>
      <c r="AH573" s="32" t="str">
        <f aca="false">IF(OR(AE573="",N573=0),"",AE573/(N573/1000))</f>
        <v/>
      </c>
      <c r="AI573" s="30" t="str">
        <f aca="false">IF(O573="","",M573*P573)</f>
        <v/>
      </c>
      <c r="AJ573" s="11" t="str">
        <f aca="false">IF(O573="","",IF(O573&gt;1,"Error: rend &gt; 100 %",IF(SUM(T573:Z573)=0,"Falta registrar pérdidas",IF(ABS(AG573)&gt;Parámetros!$B$7,"Revisar balance",IF(O573&lt;P573,"Bajo meta","OK")))))</f>
        <v/>
      </c>
      <c r="AK573" s="33"/>
      <c r="AL573" s="10"/>
      <c r="AM573" s="33"/>
      <c r="AN573" s="33"/>
      <c r="AO573" s="10"/>
    </row>
    <row r="574" customFormat="false" ht="15" hidden="false" customHeight="false" outlineLevel="0" collapsed="false">
      <c r="A574" s="22"/>
      <c r="B574" s="23" t="str">
        <f aca="false">IF(A574="","",YEAR(A574-WEEKDAY(A574,2)+4))</f>
        <v/>
      </c>
      <c r="C574" s="23" t="str">
        <f aca="false">IF(A574="","",WEEKNUM(A574,21))</f>
        <v/>
      </c>
      <c r="D574" s="24" t="str">
        <f aca="false">IF(A574="","",DATE(YEAR(A574),MONTH(A574),1))</f>
        <v/>
      </c>
      <c r="E574" s="10"/>
      <c r="F574" s="25"/>
      <c r="G574" s="25"/>
      <c r="H574" s="10"/>
      <c r="I574" s="10"/>
      <c r="J574" s="26"/>
      <c r="K574" s="25"/>
      <c r="L574" s="26"/>
      <c r="M574" s="27"/>
      <c r="N574" s="27"/>
      <c r="O574" s="28" t="str">
        <f aca="false">IF(OR(M574="",M574=0,N574=""),"",N574/M574)</f>
        <v/>
      </c>
      <c r="P574" s="28" t="str">
        <f aca="false">IF(M574="","",IFERROR(IF(INDEX(Parámetros!$B$14:$B$21,MATCH(I574,Parámetros!$A$14:$A$21,0))="",Parámetros!$B$5,INDEX(Parámetros!$B$14:$B$21,MATCH(I574,Parámetros!$A$14:$A$21,0))),Parámetros!$B$5))</f>
        <v/>
      </c>
      <c r="Q574" s="29" t="str">
        <f aca="false">IF(O574="","",(O574-P574)*100)</f>
        <v/>
      </c>
      <c r="R574" s="30" t="str">
        <f aca="false">IF(O574="","",MAX(0,M574*(P574-O574)))</f>
        <v/>
      </c>
      <c r="S574" s="31" t="str">
        <f aca="false">IF(OR(L574="",L574=0,N574=""),"",N574/1000/L574)</f>
        <v/>
      </c>
      <c r="T574" s="27"/>
      <c r="U574" s="27"/>
      <c r="V574" s="27"/>
      <c r="W574" s="27"/>
      <c r="X574" s="27"/>
      <c r="Y574" s="27"/>
      <c r="Z574" s="27"/>
      <c r="AA574" s="25"/>
      <c r="AB574" s="27"/>
      <c r="AC574" s="30" t="str">
        <f aca="false">IF(M574="","",IF(AB574="",M574*Parámetros!$B$6,AB574))</f>
        <v/>
      </c>
      <c r="AD574" s="30" t="str">
        <f aca="false">IF(M574="","",SUM(T574:Z574)+AC574)</f>
        <v/>
      </c>
      <c r="AE574" s="30" t="str">
        <f aca="false">IF(OR(M574="",N574=""),"",M574-N574)</f>
        <v/>
      </c>
      <c r="AF574" s="30" t="str">
        <f aca="false">IF(AE574="","",AE574-AD574)</f>
        <v/>
      </c>
      <c r="AG574" s="28" t="str">
        <f aca="false">IF(OR(AF574="",M574=0),"",AF574/M574)</f>
        <v/>
      </c>
      <c r="AH574" s="32" t="str">
        <f aca="false">IF(OR(AE574="",N574=0),"",AE574/(N574/1000))</f>
        <v/>
      </c>
      <c r="AI574" s="30" t="str">
        <f aca="false">IF(O574="","",M574*P574)</f>
        <v/>
      </c>
      <c r="AJ574" s="11" t="str">
        <f aca="false">IF(O574="","",IF(O574&gt;1,"Error: rend &gt; 100 %",IF(SUM(T574:Z574)=0,"Falta registrar pérdidas",IF(ABS(AG574)&gt;Parámetros!$B$7,"Revisar balance",IF(O574&lt;P574,"Bajo meta","OK")))))</f>
        <v/>
      </c>
      <c r="AK574" s="33"/>
      <c r="AL574" s="10"/>
      <c r="AM574" s="33"/>
      <c r="AN574" s="33"/>
      <c r="AO574" s="10"/>
    </row>
    <row r="575" customFormat="false" ht="15" hidden="false" customHeight="false" outlineLevel="0" collapsed="false">
      <c r="A575" s="22"/>
      <c r="B575" s="23" t="str">
        <f aca="false">IF(A575="","",YEAR(A575-WEEKDAY(A575,2)+4))</f>
        <v/>
      </c>
      <c r="C575" s="23" t="str">
        <f aca="false">IF(A575="","",WEEKNUM(A575,21))</f>
        <v/>
      </c>
      <c r="D575" s="24" t="str">
        <f aca="false">IF(A575="","",DATE(YEAR(A575),MONTH(A575),1))</f>
        <v/>
      </c>
      <c r="E575" s="10"/>
      <c r="F575" s="25"/>
      <c r="G575" s="25"/>
      <c r="H575" s="10"/>
      <c r="I575" s="10"/>
      <c r="J575" s="26"/>
      <c r="K575" s="25"/>
      <c r="L575" s="26"/>
      <c r="M575" s="27"/>
      <c r="N575" s="27"/>
      <c r="O575" s="28" t="str">
        <f aca="false">IF(OR(M575="",M575=0,N575=""),"",N575/M575)</f>
        <v/>
      </c>
      <c r="P575" s="28" t="str">
        <f aca="false">IF(M575="","",IFERROR(IF(INDEX(Parámetros!$B$14:$B$21,MATCH(I575,Parámetros!$A$14:$A$21,0))="",Parámetros!$B$5,INDEX(Parámetros!$B$14:$B$21,MATCH(I575,Parámetros!$A$14:$A$21,0))),Parámetros!$B$5))</f>
        <v/>
      </c>
      <c r="Q575" s="29" t="str">
        <f aca="false">IF(O575="","",(O575-P575)*100)</f>
        <v/>
      </c>
      <c r="R575" s="30" t="str">
        <f aca="false">IF(O575="","",MAX(0,M575*(P575-O575)))</f>
        <v/>
      </c>
      <c r="S575" s="31" t="str">
        <f aca="false">IF(OR(L575="",L575=0,N575=""),"",N575/1000/L575)</f>
        <v/>
      </c>
      <c r="T575" s="27"/>
      <c r="U575" s="27"/>
      <c r="V575" s="27"/>
      <c r="W575" s="27"/>
      <c r="X575" s="27"/>
      <c r="Y575" s="27"/>
      <c r="Z575" s="27"/>
      <c r="AA575" s="25"/>
      <c r="AB575" s="27"/>
      <c r="AC575" s="30" t="str">
        <f aca="false">IF(M575="","",IF(AB575="",M575*Parámetros!$B$6,AB575))</f>
        <v/>
      </c>
      <c r="AD575" s="30" t="str">
        <f aca="false">IF(M575="","",SUM(T575:Z575)+AC575)</f>
        <v/>
      </c>
      <c r="AE575" s="30" t="str">
        <f aca="false">IF(OR(M575="",N575=""),"",M575-N575)</f>
        <v/>
      </c>
      <c r="AF575" s="30" t="str">
        <f aca="false">IF(AE575="","",AE575-AD575)</f>
        <v/>
      </c>
      <c r="AG575" s="28" t="str">
        <f aca="false">IF(OR(AF575="",M575=0),"",AF575/M575)</f>
        <v/>
      </c>
      <c r="AH575" s="32" t="str">
        <f aca="false">IF(OR(AE575="",N575=0),"",AE575/(N575/1000))</f>
        <v/>
      </c>
      <c r="AI575" s="30" t="str">
        <f aca="false">IF(O575="","",M575*P575)</f>
        <v/>
      </c>
      <c r="AJ575" s="11" t="str">
        <f aca="false">IF(O575="","",IF(O575&gt;1,"Error: rend &gt; 100 %",IF(SUM(T575:Z575)=0,"Falta registrar pérdidas",IF(ABS(AG575)&gt;Parámetros!$B$7,"Revisar balance",IF(O575&lt;P575,"Bajo meta","OK")))))</f>
        <v/>
      </c>
      <c r="AK575" s="33"/>
      <c r="AL575" s="10"/>
      <c r="AM575" s="33"/>
      <c r="AN575" s="33"/>
      <c r="AO575" s="10"/>
    </row>
    <row r="576" customFormat="false" ht="15" hidden="false" customHeight="false" outlineLevel="0" collapsed="false">
      <c r="A576" s="22"/>
      <c r="B576" s="23" t="str">
        <f aca="false">IF(A576="","",YEAR(A576-WEEKDAY(A576,2)+4))</f>
        <v/>
      </c>
      <c r="C576" s="23" t="str">
        <f aca="false">IF(A576="","",WEEKNUM(A576,21))</f>
        <v/>
      </c>
      <c r="D576" s="24" t="str">
        <f aca="false">IF(A576="","",DATE(YEAR(A576),MONTH(A576),1))</f>
        <v/>
      </c>
      <c r="E576" s="10"/>
      <c r="F576" s="25"/>
      <c r="G576" s="25"/>
      <c r="H576" s="10"/>
      <c r="I576" s="10"/>
      <c r="J576" s="26"/>
      <c r="K576" s="25"/>
      <c r="L576" s="26"/>
      <c r="M576" s="27"/>
      <c r="N576" s="27"/>
      <c r="O576" s="28" t="str">
        <f aca="false">IF(OR(M576="",M576=0,N576=""),"",N576/M576)</f>
        <v/>
      </c>
      <c r="P576" s="28" t="str">
        <f aca="false">IF(M576="","",IFERROR(IF(INDEX(Parámetros!$B$14:$B$21,MATCH(I576,Parámetros!$A$14:$A$21,0))="",Parámetros!$B$5,INDEX(Parámetros!$B$14:$B$21,MATCH(I576,Parámetros!$A$14:$A$21,0))),Parámetros!$B$5))</f>
        <v/>
      </c>
      <c r="Q576" s="29" t="str">
        <f aca="false">IF(O576="","",(O576-P576)*100)</f>
        <v/>
      </c>
      <c r="R576" s="30" t="str">
        <f aca="false">IF(O576="","",MAX(0,M576*(P576-O576)))</f>
        <v/>
      </c>
      <c r="S576" s="31" t="str">
        <f aca="false">IF(OR(L576="",L576=0,N576=""),"",N576/1000/L576)</f>
        <v/>
      </c>
      <c r="T576" s="27"/>
      <c r="U576" s="27"/>
      <c r="V576" s="27"/>
      <c r="W576" s="27"/>
      <c r="X576" s="27"/>
      <c r="Y576" s="27"/>
      <c r="Z576" s="27"/>
      <c r="AA576" s="25"/>
      <c r="AB576" s="27"/>
      <c r="AC576" s="30" t="str">
        <f aca="false">IF(M576="","",IF(AB576="",M576*Parámetros!$B$6,AB576))</f>
        <v/>
      </c>
      <c r="AD576" s="30" t="str">
        <f aca="false">IF(M576="","",SUM(T576:Z576)+AC576)</f>
        <v/>
      </c>
      <c r="AE576" s="30" t="str">
        <f aca="false">IF(OR(M576="",N576=""),"",M576-N576)</f>
        <v/>
      </c>
      <c r="AF576" s="30" t="str">
        <f aca="false">IF(AE576="","",AE576-AD576)</f>
        <v/>
      </c>
      <c r="AG576" s="28" t="str">
        <f aca="false">IF(OR(AF576="",M576=0),"",AF576/M576)</f>
        <v/>
      </c>
      <c r="AH576" s="32" t="str">
        <f aca="false">IF(OR(AE576="",N576=0),"",AE576/(N576/1000))</f>
        <v/>
      </c>
      <c r="AI576" s="30" t="str">
        <f aca="false">IF(O576="","",M576*P576)</f>
        <v/>
      </c>
      <c r="AJ576" s="11" t="str">
        <f aca="false">IF(O576="","",IF(O576&gt;1,"Error: rend &gt; 100 %",IF(SUM(T576:Z576)=0,"Falta registrar pérdidas",IF(ABS(AG576)&gt;Parámetros!$B$7,"Revisar balance",IF(O576&lt;P576,"Bajo meta","OK")))))</f>
        <v/>
      </c>
      <c r="AK576" s="33"/>
      <c r="AL576" s="10"/>
      <c r="AM576" s="33"/>
      <c r="AN576" s="33"/>
      <c r="AO576" s="10"/>
    </row>
    <row r="577" customFormat="false" ht="15" hidden="false" customHeight="false" outlineLevel="0" collapsed="false">
      <c r="A577" s="22"/>
      <c r="B577" s="23" t="str">
        <f aca="false">IF(A577="","",YEAR(A577-WEEKDAY(A577,2)+4))</f>
        <v/>
      </c>
      <c r="C577" s="23" t="str">
        <f aca="false">IF(A577="","",WEEKNUM(A577,21))</f>
        <v/>
      </c>
      <c r="D577" s="24" t="str">
        <f aca="false">IF(A577="","",DATE(YEAR(A577),MONTH(A577),1))</f>
        <v/>
      </c>
      <c r="E577" s="10"/>
      <c r="F577" s="25"/>
      <c r="G577" s="25"/>
      <c r="H577" s="10"/>
      <c r="I577" s="10"/>
      <c r="J577" s="26"/>
      <c r="K577" s="25"/>
      <c r="L577" s="26"/>
      <c r="M577" s="27"/>
      <c r="N577" s="27"/>
      <c r="O577" s="28" t="str">
        <f aca="false">IF(OR(M577="",M577=0,N577=""),"",N577/M577)</f>
        <v/>
      </c>
      <c r="P577" s="28" t="str">
        <f aca="false">IF(M577="","",IFERROR(IF(INDEX(Parámetros!$B$14:$B$21,MATCH(I577,Parámetros!$A$14:$A$21,0))="",Parámetros!$B$5,INDEX(Parámetros!$B$14:$B$21,MATCH(I577,Parámetros!$A$14:$A$21,0))),Parámetros!$B$5))</f>
        <v/>
      </c>
      <c r="Q577" s="29" t="str">
        <f aca="false">IF(O577="","",(O577-P577)*100)</f>
        <v/>
      </c>
      <c r="R577" s="30" t="str">
        <f aca="false">IF(O577="","",MAX(0,M577*(P577-O577)))</f>
        <v/>
      </c>
      <c r="S577" s="31" t="str">
        <f aca="false">IF(OR(L577="",L577=0,N577=""),"",N577/1000/L577)</f>
        <v/>
      </c>
      <c r="T577" s="27"/>
      <c r="U577" s="27"/>
      <c r="V577" s="27"/>
      <c r="W577" s="27"/>
      <c r="X577" s="27"/>
      <c r="Y577" s="27"/>
      <c r="Z577" s="27"/>
      <c r="AA577" s="25"/>
      <c r="AB577" s="27"/>
      <c r="AC577" s="30" t="str">
        <f aca="false">IF(M577="","",IF(AB577="",M577*Parámetros!$B$6,AB577))</f>
        <v/>
      </c>
      <c r="AD577" s="30" t="str">
        <f aca="false">IF(M577="","",SUM(T577:Z577)+AC577)</f>
        <v/>
      </c>
      <c r="AE577" s="30" t="str">
        <f aca="false">IF(OR(M577="",N577=""),"",M577-N577)</f>
        <v/>
      </c>
      <c r="AF577" s="30" t="str">
        <f aca="false">IF(AE577="","",AE577-AD577)</f>
        <v/>
      </c>
      <c r="AG577" s="28" t="str">
        <f aca="false">IF(OR(AF577="",M577=0),"",AF577/M577)</f>
        <v/>
      </c>
      <c r="AH577" s="32" t="str">
        <f aca="false">IF(OR(AE577="",N577=0),"",AE577/(N577/1000))</f>
        <v/>
      </c>
      <c r="AI577" s="30" t="str">
        <f aca="false">IF(O577="","",M577*P577)</f>
        <v/>
      </c>
      <c r="AJ577" s="11" t="str">
        <f aca="false">IF(O577="","",IF(O577&gt;1,"Error: rend &gt; 100 %",IF(SUM(T577:Z577)=0,"Falta registrar pérdidas",IF(ABS(AG577)&gt;Parámetros!$B$7,"Revisar balance",IF(O577&lt;P577,"Bajo meta","OK")))))</f>
        <v/>
      </c>
      <c r="AK577" s="33"/>
      <c r="AL577" s="10"/>
      <c r="AM577" s="33"/>
      <c r="AN577" s="33"/>
      <c r="AO577" s="10"/>
    </row>
    <row r="578" customFormat="false" ht="15" hidden="false" customHeight="false" outlineLevel="0" collapsed="false">
      <c r="A578" s="22"/>
      <c r="B578" s="23" t="str">
        <f aca="false">IF(A578="","",YEAR(A578-WEEKDAY(A578,2)+4))</f>
        <v/>
      </c>
      <c r="C578" s="23" t="str">
        <f aca="false">IF(A578="","",WEEKNUM(A578,21))</f>
        <v/>
      </c>
      <c r="D578" s="24" t="str">
        <f aca="false">IF(A578="","",DATE(YEAR(A578),MONTH(A578),1))</f>
        <v/>
      </c>
      <c r="E578" s="10"/>
      <c r="F578" s="25"/>
      <c r="G578" s="25"/>
      <c r="H578" s="10"/>
      <c r="I578" s="10"/>
      <c r="J578" s="26"/>
      <c r="K578" s="25"/>
      <c r="L578" s="26"/>
      <c r="M578" s="27"/>
      <c r="N578" s="27"/>
      <c r="O578" s="28" t="str">
        <f aca="false">IF(OR(M578="",M578=0,N578=""),"",N578/M578)</f>
        <v/>
      </c>
      <c r="P578" s="28" t="str">
        <f aca="false">IF(M578="","",IFERROR(IF(INDEX(Parámetros!$B$14:$B$21,MATCH(I578,Parámetros!$A$14:$A$21,0))="",Parámetros!$B$5,INDEX(Parámetros!$B$14:$B$21,MATCH(I578,Parámetros!$A$14:$A$21,0))),Parámetros!$B$5))</f>
        <v/>
      </c>
      <c r="Q578" s="29" t="str">
        <f aca="false">IF(O578="","",(O578-P578)*100)</f>
        <v/>
      </c>
      <c r="R578" s="30" t="str">
        <f aca="false">IF(O578="","",MAX(0,M578*(P578-O578)))</f>
        <v/>
      </c>
      <c r="S578" s="31" t="str">
        <f aca="false">IF(OR(L578="",L578=0,N578=""),"",N578/1000/L578)</f>
        <v/>
      </c>
      <c r="T578" s="27"/>
      <c r="U578" s="27"/>
      <c r="V578" s="27"/>
      <c r="W578" s="27"/>
      <c r="X578" s="27"/>
      <c r="Y578" s="27"/>
      <c r="Z578" s="27"/>
      <c r="AA578" s="25"/>
      <c r="AB578" s="27"/>
      <c r="AC578" s="30" t="str">
        <f aca="false">IF(M578="","",IF(AB578="",M578*Parámetros!$B$6,AB578))</f>
        <v/>
      </c>
      <c r="AD578" s="30" t="str">
        <f aca="false">IF(M578="","",SUM(T578:Z578)+AC578)</f>
        <v/>
      </c>
      <c r="AE578" s="30" t="str">
        <f aca="false">IF(OR(M578="",N578=""),"",M578-N578)</f>
        <v/>
      </c>
      <c r="AF578" s="30" t="str">
        <f aca="false">IF(AE578="","",AE578-AD578)</f>
        <v/>
      </c>
      <c r="AG578" s="28" t="str">
        <f aca="false">IF(OR(AF578="",M578=0),"",AF578/M578)</f>
        <v/>
      </c>
      <c r="AH578" s="32" t="str">
        <f aca="false">IF(OR(AE578="",N578=0),"",AE578/(N578/1000))</f>
        <v/>
      </c>
      <c r="AI578" s="30" t="str">
        <f aca="false">IF(O578="","",M578*P578)</f>
        <v/>
      </c>
      <c r="AJ578" s="11" t="str">
        <f aca="false">IF(O578="","",IF(O578&gt;1,"Error: rend &gt; 100 %",IF(SUM(T578:Z578)=0,"Falta registrar pérdidas",IF(ABS(AG578)&gt;Parámetros!$B$7,"Revisar balance",IF(O578&lt;P578,"Bajo meta","OK")))))</f>
        <v/>
      </c>
      <c r="AK578" s="33"/>
      <c r="AL578" s="10"/>
      <c r="AM578" s="33"/>
      <c r="AN578" s="33"/>
      <c r="AO578" s="10"/>
    </row>
    <row r="579" customFormat="false" ht="15" hidden="false" customHeight="false" outlineLevel="0" collapsed="false">
      <c r="A579" s="22"/>
      <c r="B579" s="23" t="str">
        <f aca="false">IF(A579="","",YEAR(A579-WEEKDAY(A579,2)+4))</f>
        <v/>
      </c>
      <c r="C579" s="23" t="str">
        <f aca="false">IF(A579="","",WEEKNUM(A579,21))</f>
        <v/>
      </c>
      <c r="D579" s="24" t="str">
        <f aca="false">IF(A579="","",DATE(YEAR(A579),MONTH(A579),1))</f>
        <v/>
      </c>
      <c r="E579" s="10"/>
      <c r="F579" s="25"/>
      <c r="G579" s="25"/>
      <c r="H579" s="10"/>
      <c r="I579" s="10"/>
      <c r="J579" s="26"/>
      <c r="K579" s="25"/>
      <c r="L579" s="26"/>
      <c r="M579" s="27"/>
      <c r="N579" s="27"/>
      <c r="O579" s="28" t="str">
        <f aca="false">IF(OR(M579="",M579=0,N579=""),"",N579/M579)</f>
        <v/>
      </c>
      <c r="P579" s="28" t="str">
        <f aca="false">IF(M579="","",IFERROR(IF(INDEX(Parámetros!$B$14:$B$21,MATCH(I579,Parámetros!$A$14:$A$21,0))="",Parámetros!$B$5,INDEX(Parámetros!$B$14:$B$21,MATCH(I579,Parámetros!$A$14:$A$21,0))),Parámetros!$B$5))</f>
        <v/>
      </c>
      <c r="Q579" s="29" t="str">
        <f aca="false">IF(O579="","",(O579-P579)*100)</f>
        <v/>
      </c>
      <c r="R579" s="30" t="str">
        <f aca="false">IF(O579="","",MAX(0,M579*(P579-O579)))</f>
        <v/>
      </c>
      <c r="S579" s="31" t="str">
        <f aca="false">IF(OR(L579="",L579=0,N579=""),"",N579/1000/L579)</f>
        <v/>
      </c>
      <c r="T579" s="27"/>
      <c r="U579" s="27"/>
      <c r="V579" s="27"/>
      <c r="W579" s="27"/>
      <c r="X579" s="27"/>
      <c r="Y579" s="27"/>
      <c r="Z579" s="27"/>
      <c r="AA579" s="25"/>
      <c r="AB579" s="27"/>
      <c r="AC579" s="30" t="str">
        <f aca="false">IF(M579="","",IF(AB579="",M579*Parámetros!$B$6,AB579))</f>
        <v/>
      </c>
      <c r="AD579" s="30" t="str">
        <f aca="false">IF(M579="","",SUM(T579:Z579)+AC579)</f>
        <v/>
      </c>
      <c r="AE579" s="30" t="str">
        <f aca="false">IF(OR(M579="",N579=""),"",M579-N579)</f>
        <v/>
      </c>
      <c r="AF579" s="30" t="str">
        <f aca="false">IF(AE579="","",AE579-AD579)</f>
        <v/>
      </c>
      <c r="AG579" s="28" t="str">
        <f aca="false">IF(OR(AF579="",M579=0),"",AF579/M579)</f>
        <v/>
      </c>
      <c r="AH579" s="32" t="str">
        <f aca="false">IF(OR(AE579="",N579=0),"",AE579/(N579/1000))</f>
        <v/>
      </c>
      <c r="AI579" s="30" t="str">
        <f aca="false">IF(O579="","",M579*P579)</f>
        <v/>
      </c>
      <c r="AJ579" s="11" t="str">
        <f aca="false">IF(O579="","",IF(O579&gt;1,"Error: rend &gt; 100 %",IF(SUM(T579:Z579)=0,"Falta registrar pérdidas",IF(ABS(AG579)&gt;Parámetros!$B$7,"Revisar balance",IF(O579&lt;P579,"Bajo meta","OK")))))</f>
        <v/>
      </c>
      <c r="AK579" s="33"/>
      <c r="AL579" s="10"/>
      <c r="AM579" s="33"/>
      <c r="AN579" s="33"/>
      <c r="AO579" s="10"/>
    </row>
    <row r="580" customFormat="false" ht="15" hidden="false" customHeight="false" outlineLevel="0" collapsed="false">
      <c r="A580" s="22"/>
      <c r="B580" s="23" t="str">
        <f aca="false">IF(A580="","",YEAR(A580-WEEKDAY(A580,2)+4))</f>
        <v/>
      </c>
      <c r="C580" s="23" t="str">
        <f aca="false">IF(A580="","",WEEKNUM(A580,21))</f>
        <v/>
      </c>
      <c r="D580" s="24" t="str">
        <f aca="false">IF(A580="","",DATE(YEAR(A580),MONTH(A580),1))</f>
        <v/>
      </c>
      <c r="E580" s="10"/>
      <c r="F580" s="25"/>
      <c r="G580" s="25"/>
      <c r="H580" s="10"/>
      <c r="I580" s="10"/>
      <c r="J580" s="26"/>
      <c r="K580" s="25"/>
      <c r="L580" s="26"/>
      <c r="M580" s="27"/>
      <c r="N580" s="27"/>
      <c r="O580" s="28" t="str">
        <f aca="false">IF(OR(M580="",M580=0,N580=""),"",N580/M580)</f>
        <v/>
      </c>
      <c r="P580" s="28" t="str">
        <f aca="false">IF(M580="","",IFERROR(IF(INDEX(Parámetros!$B$14:$B$21,MATCH(I580,Parámetros!$A$14:$A$21,0))="",Parámetros!$B$5,INDEX(Parámetros!$B$14:$B$21,MATCH(I580,Parámetros!$A$14:$A$21,0))),Parámetros!$B$5))</f>
        <v/>
      </c>
      <c r="Q580" s="29" t="str">
        <f aca="false">IF(O580="","",(O580-P580)*100)</f>
        <v/>
      </c>
      <c r="R580" s="30" t="str">
        <f aca="false">IF(O580="","",MAX(0,M580*(P580-O580)))</f>
        <v/>
      </c>
      <c r="S580" s="31" t="str">
        <f aca="false">IF(OR(L580="",L580=0,N580=""),"",N580/1000/L580)</f>
        <v/>
      </c>
      <c r="T580" s="27"/>
      <c r="U580" s="27"/>
      <c r="V580" s="27"/>
      <c r="W580" s="27"/>
      <c r="X580" s="27"/>
      <c r="Y580" s="27"/>
      <c r="Z580" s="27"/>
      <c r="AA580" s="25"/>
      <c r="AB580" s="27"/>
      <c r="AC580" s="30" t="str">
        <f aca="false">IF(M580="","",IF(AB580="",M580*Parámetros!$B$6,AB580))</f>
        <v/>
      </c>
      <c r="AD580" s="30" t="str">
        <f aca="false">IF(M580="","",SUM(T580:Z580)+AC580)</f>
        <v/>
      </c>
      <c r="AE580" s="30" t="str">
        <f aca="false">IF(OR(M580="",N580=""),"",M580-N580)</f>
        <v/>
      </c>
      <c r="AF580" s="30" t="str">
        <f aca="false">IF(AE580="","",AE580-AD580)</f>
        <v/>
      </c>
      <c r="AG580" s="28" t="str">
        <f aca="false">IF(OR(AF580="",M580=0),"",AF580/M580)</f>
        <v/>
      </c>
      <c r="AH580" s="32" t="str">
        <f aca="false">IF(OR(AE580="",N580=0),"",AE580/(N580/1000))</f>
        <v/>
      </c>
      <c r="AI580" s="30" t="str">
        <f aca="false">IF(O580="","",M580*P580)</f>
        <v/>
      </c>
      <c r="AJ580" s="11" t="str">
        <f aca="false">IF(O580="","",IF(O580&gt;1,"Error: rend &gt; 100 %",IF(SUM(T580:Z580)=0,"Falta registrar pérdidas",IF(ABS(AG580)&gt;Parámetros!$B$7,"Revisar balance",IF(O580&lt;P580,"Bajo meta","OK")))))</f>
        <v/>
      </c>
      <c r="AK580" s="33"/>
      <c r="AL580" s="10"/>
      <c r="AM580" s="33"/>
      <c r="AN580" s="33"/>
      <c r="AO580" s="10"/>
    </row>
    <row r="581" customFormat="false" ht="15" hidden="false" customHeight="false" outlineLevel="0" collapsed="false">
      <c r="A581" s="22"/>
      <c r="B581" s="23" t="str">
        <f aca="false">IF(A581="","",YEAR(A581-WEEKDAY(A581,2)+4))</f>
        <v/>
      </c>
      <c r="C581" s="23" t="str">
        <f aca="false">IF(A581="","",WEEKNUM(A581,21))</f>
        <v/>
      </c>
      <c r="D581" s="24" t="str">
        <f aca="false">IF(A581="","",DATE(YEAR(A581),MONTH(A581),1))</f>
        <v/>
      </c>
      <c r="E581" s="10"/>
      <c r="F581" s="25"/>
      <c r="G581" s="25"/>
      <c r="H581" s="10"/>
      <c r="I581" s="10"/>
      <c r="J581" s="26"/>
      <c r="K581" s="25"/>
      <c r="L581" s="26"/>
      <c r="M581" s="27"/>
      <c r="N581" s="27"/>
      <c r="O581" s="28" t="str">
        <f aca="false">IF(OR(M581="",M581=0,N581=""),"",N581/M581)</f>
        <v/>
      </c>
      <c r="P581" s="28" t="str">
        <f aca="false">IF(M581="","",IFERROR(IF(INDEX(Parámetros!$B$14:$B$21,MATCH(I581,Parámetros!$A$14:$A$21,0))="",Parámetros!$B$5,INDEX(Parámetros!$B$14:$B$21,MATCH(I581,Parámetros!$A$14:$A$21,0))),Parámetros!$B$5))</f>
        <v/>
      </c>
      <c r="Q581" s="29" t="str">
        <f aca="false">IF(O581="","",(O581-P581)*100)</f>
        <v/>
      </c>
      <c r="R581" s="30" t="str">
        <f aca="false">IF(O581="","",MAX(0,M581*(P581-O581)))</f>
        <v/>
      </c>
      <c r="S581" s="31" t="str">
        <f aca="false">IF(OR(L581="",L581=0,N581=""),"",N581/1000/L581)</f>
        <v/>
      </c>
      <c r="T581" s="27"/>
      <c r="U581" s="27"/>
      <c r="V581" s="27"/>
      <c r="W581" s="27"/>
      <c r="X581" s="27"/>
      <c r="Y581" s="27"/>
      <c r="Z581" s="27"/>
      <c r="AA581" s="25"/>
      <c r="AB581" s="27"/>
      <c r="AC581" s="30" t="str">
        <f aca="false">IF(M581="","",IF(AB581="",M581*Parámetros!$B$6,AB581))</f>
        <v/>
      </c>
      <c r="AD581" s="30" t="str">
        <f aca="false">IF(M581="","",SUM(T581:Z581)+AC581)</f>
        <v/>
      </c>
      <c r="AE581" s="30" t="str">
        <f aca="false">IF(OR(M581="",N581=""),"",M581-N581)</f>
        <v/>
      </c>
      <c r="AF581" s="30" t="str">
        <f aca="false">IF(AE581="","",AE581-AD581)</f>
        <v/>
      </c>
      <c r="AG581" s="28" t="str">
        <f aca="false">IF(OR(AF581="",M581=0),"",AF581/M581)</f>
        <v/>
      </c>
      <c r="AH581" s="32" t="str">
        <f aca="false">IF(OR(AE581="",N581=0),"",AE581/(N581/1000))</f>
        <v/>
      </c>
      <c r="AI581" s="30" t="str">
        <f aca="false">IF(O581="","",M581*P581)</f>
        <v/>
      </c>
      <c r="AJ581" s="11" t="str">
        <f aca="false">IF(O581="","",IF(O581&gt;1,"Error: rend &gt; 100 %",IF(SUM(T581:Z581)=0,"Falta registrar pérdidas",IF(ABS(AG581)&gt;Parámetros!$B$7,"Revisar balance",IF(O581&lt;P581,"Bajo meta","OK")))))</f>
        <v/>
      </c>
      <c r="AK581" s="33"/>
      <c r="AL581" s="10"/>
      <c r="AM581" s="33"/>
      <c r="AN581" s="33"/>
      <c r="AO581" s="10"/>
    </row>
    <row r="582" customFormat="false" ht="15" hidden="false" customHeight="false" outlineLevel="0" collapsed="false">
      <c r="A582" s="22"/>
      <c r="B582" s="23" t="str">
        <f aca="false">IF(A582="","",YEAR(A582-WEEKDAY(A582,2)+4))</f>
        <v/>
      </c>
      <c r="C582" s="23" t="str">
        <f aca="false">IF(A582="","",WEEKNUM(A582,21))</f>
        <v/>
      </c>
      <c r="D582" s="24" t="str">
        <f aca="false">IF(A582="","",DATE(YEAR(A582),MONTH(A582),1))</f>
        <v/>
      </c>
      <c r="E582" s="10"/>
      <c r="F582" s="25"/>
      <c r="G582" s="25"/>
      <c r="H582" s="10"/>
      <c r="I582" s="10"/>
      <c r="J582" s="26"/>
      <c r="K582" s="25"/>
      <c r="L582" s="26"/>
      <c r="M582" s="27"/>
      <c r="N582" s="27"/>
      <c r="O582" s="28" t="str">
        <f aca="false">IF(OR(M582="",M582=0,N582=""),"",N582/M582)</f>
        <v/>
      </c>
      <c r="P582" s="28" t="str">
        <f aca="false">IF(M582="","",IFERROR(IF(INDEX(Parámetros!$B$14:$B$21,MATCH(I582,Parámetros!$A$14:$A$21,0))="",Parámetros!$B$5,INDEX(Parámetros!$B$14:$B$21,MATCH(I582,Parámetros!$A$14:$A$21,0))),Parámetros!$B$5))</f>
        <v/>
      </c>
      <c r="Q582" s="29" t="str">
        <f aca="false">IF(O582="","",(O582-P582)*100)</f>
        <v/>
      </c>
      <c r="R582" s="30" t="str">
        <f aca="false">IF(O582="","",MAX(0,M582*(P582-O582)))</f>
        <v/>
      </c>
      <c r="S582" s="31" t="str">
        <f aca="false">IF(OR(L582="",L582=0,N582=""),"",N582/1000/L582)</f>
        <v/>
      </c>
      <c r="T582" s="27"/>
      <c r="U582" s="27"/>
      <c r="V582" s="27"/>
      <c r="W582" s="27"/>
      <c r="X582" s="27"/>
      <c r="Y582" s="27"/>
      <c r="Z582" s="27"/>
      <c r="AA582" s="25"/>
      <c r="AB582" s="27"/>
      <c r="AC582" s="30" t="str">
        <f aca="false">IF(M582="","",IF(AB582="",M582*Parámetros!$B$6,AB582))</f>
        <v/>
      </c>
      <c r="AD582" s="30" t="str">
        <f aca="false">IF(M582="","",SUM(T582:Z582)+AC582)</f>
        <v/>
      </c>
      <c r="AE582" s="30" t="str">
        <f aca="false">IF(OR(M582="",N582=""),"",M582-N582)</f>
        <v/>
      </c>
      <c r="AF582" s="30" t="str">
        <f aca="false">IF(AE582="","",AE582-AD582)</f>
        <v/>
      </c>
      <c r="AG582" s="28" t="str">
        <f aca="false">IF(OR(AF582="",M582=0),"",AF582/M582)</f>
        <v/>
      </c>
      <c r="AH582" s="32" t="str">
        <f aca="false">IF(OR(AE582="",N582=0),"",AE582/(N582/1000))</f>
        <v/>
      </c>
      <c r="AI582" s="30" t="str">
        <f aca="false">IF(O582="","",M582*P582)</f>
        <v/>
      </c>
      <c r="AJ582" s="11" t="str">
        <f aca="false">IF(O582="","",IF(O582&gt;1,"Error: rend &gt; 100 %",IF(SUM(T582:Z582)=0,"Falta registrar pérdidas",IF(ABS(AG582)&gt;Parámetros!$B$7,"Revisar balance",IF(O582&lt;P582,"Bajo meta","OK")))))</f>
        <v/>
      </c>
      <c r="AK582" s="33"/>
      <c r="AL582" s="10"/>
      <c r="AM582" s="33"/>
      <c r="AN582" s="33"/>
      <c r="AO582" s="10"/>
    </row>
    <row r="583" customFormat="false" ht="15" hidden="false" customHeight="false" outlineLevel="0" collapsed="false">
      <c r="A583" s="22"/>
      <c r="B583" s="23" t="str">
        <f aca="false">IF(A583="","",YEAR(A583-WEEKDAY(A583,2)+4))</f>
        <v/>
      </c>
      <c r="C583" s="23" t="str">
        <f aca="false">IF(A583="","",WEEKNUM(A583,21))</f>
        <v/>
      </c>
      <c r="D583" s="24" t="str">
        <f aca="false">IF(A583="","",DATE(YEAR(A583),MONTH(A583),1))</f>
        <v/>
      </c>
      <c r="E583" s="10"/>
      <c r="F583" s="25"/>
      <c r="G583" s="25"/>
      <c r="H583" s="10"/>
      <c r="I583" s="10"/>
      <c r="J583" s="26"/>
      <c r="K583" s="25"/>
      <c r="L583" s="26"/>
      <c r="M583" s="27"/>
      <c r="N583" s="27"/>
      <c r="O583" s="28" t="str">
        <f aca="false">IF(OR(M583="",M583=0,N583=""),"",N583/M583)</f>
        <v/>
      </c>
      <c r="P583" s="28" t="str">
        <f aca="false">IF(M583="","",IFERROR(IF(INDEX(Parámetros!$B$14:$B$21,MATCH(I583,Parámetros!$A$14:$A$21,0))="",Parámetros!$B$5,INDEX(Parámetros!$B$14:$B$21,MATCH(I583,Parámetros!$A$14:$A$21,0))),Parámetros!$B$5))</f>
        <v/>
      </c>
      <c r="Q583" s="29" t="str">
        <f aca="false">IF(O583="","",(O583-P583)*100)</f>
        <v/>
      </c>
      <c r="R583" s="30" t="str">
        <f aca="false">IF(O583="","",MAX(0,M583*(P583-O583)))</f>
        <v/>
      </c>
      <c r="S583" s="31" t="str">
        <f aca="false">IF(OR(L583="",L583=0,N583=""),"",N583/1000/L583)</f>
        <v/>
      </c>
      <c r="T583" s="27"/>
      <c r="U583" s="27"/>
      <c r="V583" s="27"/>
      <c r="W583" s="27"/>
      <c r="X583" s="27"/>
      <c r="Y583" s="27"/>
      <c r="Z583" s="27"/>
      <c r="AA583" s="25"/>
      <c r="AB583" s="27"/>
      <c r="AC583" s="30" t="str">
        <f aca="false">IF(M583="","",IF(AB583="",M583*Parámetros!$B$6,AB583))</f>
        <v/>
      </c>
      <c r="AD583" s="30" t="str">
        <f aca="false">IF(M583="","",SUM(T583:Z583)+AC583)</f>
        <v/>
      </c>
      <c r="AE583" s="30" t="str">
        <f aca="false">IF(OR(M583="",N583=""),"",M583-N583)</f>
        <v/>
      </c>
      <c r="AF583" s="30" t="str">
        <f aca="false">IF(AE583="","",AE583-AD583)</f>
        <v/>
      </c>
      <c r="AG583" s="28" t="str">
        <f aca="false">IF(OR(AF583="",M583=0),"",AF583/M583)</f>
        <v/>
      </c>
      <c r="AH583" s="32" t="str">
        <f aca="false">IF(OR(AE583="",N583=0),"",AE583/(N583/1000))</f>
        <v/>
      </c>
      <c r="AI583" s="30" t="str">
        <f aca="false">IF(O583="","",M583*P583)</f>
        <v/>
      </c>
      <c r="AJ583" s="11" t="str">
        <f aca="false">IF(O583="","",IF(O583&gt;1,"Error: rend &gt; 100 %",IF(SUM(T583:Z583)=0,"Falta registrar pérdidas",IF(ABS(AG583)&gt;Parámetros!$B$7,"Revisar balance",IF(O583&lt;P583,"Bajo meta","OK")))))</f>
        <v/>
      </c>
      <c r="AK583" s="33"/>
      <c r="AL583" s="10"/>
      <c r="AM583" s="33"/>
      <c r="AN583" s="33"/>
      <c r="AO583" s="10"/>
    </row>
    <row r="584" customFormat="false" ht="15" hidden="false" customHeight="false" outlineLevel="0" collapsed="false">
      <c r="A584" s="22"/>
      <c r="B584" s="23" t="str">
        <f aca="false">IF(A584="","",YEAR(A584-WEEKDAY(A584,2)+4))</f>
        <v/>
      </c>
      <c r="C584" s="23" t="str">
        <f aca="false">IF(A584="","",WEEKNUM(A584,21))</f>
        <v/>
      </c>
      <c r="D584" s="24" t="str">
        <f aca="false">IF(A584="","",DATE(YEAR(A584),MONTH(A584),1))</f>
        <v/>
      </c>
      <c r="E584" s="10"/>
      <c r="F584" s="25"/>
      <c r="G584" s="25"/>
      <c r="H584" s="10"/>
      <c r="I584" s="10"/>
      <c r="J584" s="26"/>
      <c r="K584" s="25"/>
      <c r="L584" s="26"/>
      <c r="M584" s="27"/>
      <c r="N584" s="27"/>
      <c r="O584" s="28" t="str">
        <f aca="false">IF(OR(M584="",M584=0,N584=""),"",N584/M584)</f>
        <v/>
      </c>
      <c r="P584" s="28" t="str">
        <f aca="false">IF(M584="","",IFERROR(IF(INDEX(Parámetros!$B$14:$B$21,MATCH(I584,Parámetros!$A$14:$A$21,0))="",Parámetros!$B$5,INDEX(Parámetros!$B$14:$B$21,MATCH(I584,Parámetros!$A$14:$A$21,0))),Parámetros!$B$5))</f>
        <v/>
      </c>
      <c r="Q584" s="29" t="str">
        <f aca="false">IF(O584="","",(O584-P584)*100)</f>
        <v/>
      </c>
      <c r="R584" s="30" t="str">
        <f aca="false">IF(O584="","",MAX(0,M584*(P584-O584)))</f>
        <v/>
      </c>
      <c r="S584" s="31" t="str">
        <f aca="false">IF(OR(L584="",L584=0,N584=""),"",N584/1000/L584)</f>
        <v/>
      </c>
      <c r="T584" s="27"/>
      <c r="U584" s="27"/>
      <c r="V584" s="27"/>
      <c r="W584" s="27"/>
      <c r="X584" s="27"/>
      <c r="Y584" s="27"/>
      <c r="Z584" s="27"/>
      <c r="AA584" s="25"/>
      <c r="AB584" s="27"/>
      <c r="AC584" s="30" t="str">
        <f aca="false">IF(M584="","",IF(AB584="",M584*Parámetros!$B$6,AB584))</f>
        <v/>
      </c>
      <c r="AD584" s="30" t="str">
        <f aca="false">IF(M584="","",SUM(T584:Z584)+AC584)</f>
        <v/>
      </c>
      <c r="AE584" s="30" t="str">
        <f aca="false">IF(OR(M584="",N584=""),"",M584-N584)</f>
        <v/>
      </c>
      <c r="AF584" s="30" t="str">
        <f aca="false">IF(AE584="","",AE584-AD584)</f>
        <v/>
      </c>
      <c r="AG584" s="28" t="str">
        <f aca="false">IF(OR(AF584="",M584=0),"",AF584/M584)</f>
        <v/>
      </c>
      <c r="AH584" s="32" t="str">
        <f aca="false">IF(OR(AE584="",N584=0),"",AE584/(N584/1000))</f>
        <v/>
      </c>
      <c r="AI584" s="30" t="str">
        <f aca="false">IF(O584="","",M584*P584)</f>
        <v/>
      </c>
      <c r="AJ584" s="11" t="str">
        <f aca="false">IF(O584="","",IF(O584&gt;1,"Error: rend &gt; 100 %",IF(SUM(T584:Z584)=0,"Falta registrar pérdidas",IF(ABS(AG584)&gt;Parámetros!$B$7,"Revisar balance",IF(O584&lt;P584,"Bajo meta","OK")))))</f>
        <v/>
      </c>
      <c r="AK584" s="33"/>
      <c r="AL584" s="10"/>
      <c r="AM584" s="33"/>
      <c r="AN584" s="33"/>
      <c r="AO584" s="10"/>
    </row>
    <row r="585" customFormat="false" ht="15" hidden="false" customHeight="false" outlineLevel="0" collapsed="false">
      <c r="A585" s="22"/>
      <c r="B585" s="23" t="str">
        <f aca="false">IF(A585="","",YEAR(A585-WEEKDAY(A585,2)+4))</f>
        <v/>
      </c>
      <c r="C585" s="23" t="str">
        <f aca="false">IF(A585="","",WEEKNUM(A585,21))</f>
        <v/>
      </c>
      <c r="D585" s="24" t="str">
        <f aca="false">IF(A585="","",DATE(YEAR(A585),MONTH(A585),1))</f>
        <v/>
      </c>
      <c r="E585" s="10"/>
      <c r="F585" s="25"/>
      <c r="G585" s="25"/>
      <c r="H585" s="10"/>
      <c r="I585" s="10"/>
      <c r="J585" s="26"/>
      <c r="K585" s="25"/>
      <c r="L585" s="26"/>
      <c r="M585" s="27"/>
      <c r="N585" s="27"/>
      <c r="O585" s="28" t="str">
        <f aca="false">IF(OR(M585="",M585=0,N585=""),"",N585/M585)</f>
        <v/>
      </c>
      <c r="P585" s="28" t="str">
        <f aca="false">IF(M585="","",IFERROR(IF(INDEX(Parámetros!$B$14:$B$21,MATCH(I585,Parámetros!$A$14:$A$21,0))="",Parámetros!$B$5,INDEX(Parámetros!$B$14:$B$21,MATCH(I585,Parámetros!$A$14:$A$21,0))),Parámetros!$B$5))</f>
        <v/>
      </c>
      <c r="Q585" s="29" t="str">
        <f aca="false">IF(O585="","",(O585-P585)*100)</f>
        <v/>
      </c>
      <c r="R585" s="30" t="str">
        <f aca="false">IF(O585="","",MAX(0,M585*(P585-O585)))</f>
        <v/>
      </c>
      <c r="S585" s="31" t="str">
        <f aca="false">IF(OR(L585="",L585=0,N585=""),"",N585/1000/L585)</f>
        <v/>
      </c>
      <c r="T585" s="27"/>
      <c r="U585" s="27"/>
      <c r="V585" s="27"/>
      <c r="W585" s="27"/>
      <c r="X585" s="27"/>
      <c r="Y585" s="27"/>
      <c r="Z585" s="27"/>
      <c r="AA585" s="25"/>
      <c r="AB585" s="27"/>
      <c r="AC585" s="30" t="str">
        <f aca="false">IF(M585="","",IF(AB585="",M585*Parámetros!$B$6,AB585))</f>
        <v/>
      </c>
      <c r="AD585" s="30" t="str">
        <f aca="false">IF(M585="","",SUM(T585:Z585)+AC585)</f>
        <v/>
      </c>
      <c r="AE585" s="30" t="str">
        <f aca="false">IF(OR(M585="",N585=""),"",M585-N585)</f>
        <v/>
      </c>
      <c r="AF585" s="30" t="str">
        <f aca="false">IF(AE585="","",AE585-AD585)</f>
        <v/>
      </c>
      <c r="AG585" s="28" t="str">
        <f aca="false">IF(OR(AF585="",M585=0),"",AF585/M585)</f>
        <v/>
      </c>
      <c r="AH585" s="32" t="str">
        <f aca="false">IF(OR(AE585="",N585=0),"",AE585/(N585/1000))</f>
        <v/>
      </c>
      <c r="AI585" s="30" t="str">
        <f aca="false">IF(O585="","",M585*P585)</f>
        <v/>
      </c>
      <c r="AJ585" s="11" t="str">
        <f aca="false">IF(O585="","",IF(O585&gt;1,"Error: rend &gt; 100 %",IF(SUM(T585:Z585)=0,"Falta registrar pérdidas",IF(ABS(AG585)&gt;Parámetros!$B$7,"Revisar balance",IF(O585&lt;P585,"Bajo meta","OK")))))</f>
        <v/>
      </c>
      <c r="AK585" s="33"/>
      <c r="AL585" s="10"/>
      <c r="AM585" s="33"/>
      <c r="AN585" s="33"/>
      <c r="AO585" s="10"/>
    </row>
    <row r="586" customFormat="false" ht="15" hidden="false" customHeight="false" outlineLevel="0" collapsed="false">
      <c r="A586" s="22"/>
      <c r="B586" s="23" t="str">
        <f aca="false">IF(A586="","",YEAR(A586-WEEKDAY(A586,2)+4))</f>
        <v/>
      </c>
      <c r="C586" s="23" t="str">
        <f aca="false">IF(A586="","",WEEKNUM(A586,21))</f>
        <v/>
      </c>
      <c r="D586" s="24" t="str">
        <f aca="false">IF(A586="","",DATE(YEAR(A586),MONTH(A586),1))</f>
        <v/>
      </c>
      <c r="E586" s="10"/>
      <c r="F586" s="25"/>
      <c r="G586" s="25"/>
      <c r="H586" s="10"/>
      <c r="I586" s="10"/>
      <c r="J586" s="26"/>
      <c r="K586" s="25"/>
      <c r="L586" s="26"/>
      <c r="M586" s="27"/>
      <c r="N586" s="27"/>
      <c r="O586" s="28" t="str">
        <f aca="false">IF(OR(M586="",M586=0,N586=""),"",N586/M586)</f>
        <v/>
      </c>
      <c r="P586" s="28" t="str">
        <f aca="false">IF(M586="","",IFERROR(IF(INDEX(Parámetros!$B$14:$B$21,MATCH(I586,Parámetros!$A$14:$A$21,0))="",Parámetros!$B$5,INDEX(Parámetros!$B$14:$B$21,MATCH(I586,Parámetros!$A$14:$A$21,0))),Parámetros!$B$5))</f>
        <v/>
      </c>
      <c r="Q586" s="29" t="str">
        <f aca="false">IF(O586="","",(O586-P586)*100)</f>
        <v/>
      </c>
      <c r="R586" s="30" t="str">
        <f aca="false">IF(O586="","",MAX(0,M586*(P586-O586)))</f>
        <v/>
      </c>
      <c r="S586" s="31" t="str">
        <f aca="false">IF(OR(L586="",L586=0,N586=""),"",N586/1000/L586)</f>
        <v/>
      </c>
      <c r="T586" s="27"/>
      <c r="U586" s="27"/>
      <c r="V586" s="27"/>
      <c r="W586" s="27"/>
      <c r="X586" s="27"/>
      <c r="Y586" s="27"/>
      <c r="Z586" s="27"/>
      <c r="AA586" s="25"/>
      <c r="AB586" s="27"/>
      <c r="AC586" s="30" t="str">
        <f aca="false">IF(M586="","",IF(AB586="",M586*Parámetros!$B$6,AB586))</f>
        <v/>
      </c>
      <c r="AD586" s="30" t="str">
        <f aca="false">IF(M586="","",SUM(T586:Z586)+AC586)</f>
        <v/>
      </c>
      <c r="AE586" s="30" t="str">
        <f aca="false">IF(OR(M586="",N586=""),"",M586-N586)</f>
        <v/>
      </c>
      <c r="AF586" s="30" t="str">
        <f aca="false">IF(AE586="","",AE586-AD586)</f>
        <v/>
      </c>
      <c r="AG586" s="28" t="str">
        <f aca="false">IF(OR(AF586="",M586=0),"",AF586/M586)</f>
        <v/>
      </c>
      <c r="AH586" s="32" t="str">
        <f aca="false">IF(OR(AE586="",N586=0),"",AE586/(N586/1000))</f>
        <v/>
      </c>
      <c r="AI586" s="30" t="str">
        <f aca="false">IF(O586="","",M586*P586)</f>
        <v/>
      </c>
      <c r="AJ586" s="11" t="str">
        <f aca="false">IF(O586="","",IF(O586&gt;1,"Error: rend &gt; 100 %",IF(SUM(T586:Z586)=0,"Falta registrar pérdidas",IF(ABS(AG586)&gt;Parámetros!$B$7,"Revisar balance",IF(O586&lt;P586,"Bajo meta","OK")))))</f>
        <v/>
      </c>
      <c r="AK586" s="33"/>
      <c r="AL586" s="10"/>
      <c r="AM586" s="33"/>
      <c r="AN586" s="33"/>
      <c r="AO586" s="10"/>
    </row>
    <row r="587" customFormat="false" ht="15" hidden="false" customHeight="false" outlineLevel="0" collapsed="false">
      <c r="A587" s="22"/>
      <c r="B587" s="23" t="str">
        <f aca="false">IF(A587="","",YEAR(A587-WEEKDAY(A587,2)+4))</f>
        <v/>
      </c>
      <c r="C587" s="23" t="str">
        <f aca="false">IF(A587="","",WEEKNUM(A587,21))</f>
        <v/>
      </c>
      <c r="D587" s="24" t="str">
        <f aca="false">IF(A587="","",DATE(YEAR(A587),MONTH(A587),1))</f>
        <v/>
      </c>
      <c r="E587" s="10"/>
      <c r="F587" s="25"/>
      <c r="G587" s="25"/>
      <c r="H587" s="10"/>
      <c r="I587" s="10"/>
      <c r="J587" s="26"/>
      <c r="K587" s="25"/>
      <c r="L587" s="26"/>
      <c r="M587" s="27"/>
      <c r="N587" s="27"/>
      <c r="O587" s="28" t="str">
        <f aca="false">IF(OR(M587="",M587=0,N587=""),"",N587/M587)</f>
        <v/>
      </c>
      <c r="P587" s="28" t="str">
        <f aca="false">IF(M587="","",IFERROR(IF(INDEX(Parámetros!$B$14:$B$21,MATCH(I587,Parámetros!$A$14:$A$21,0))="",Parámetros!$B$5,INDEX(Parámetros!$B$14:$B$21,MATCH(I587,Parámetros!$A$14:$A$21,0))),Parámetros!$B$5))</f>
        <v/>
      </c>
      <c r="Q587" s="29" t="str">
        <f aca="false">IF(O587="","",(O587-P587)*100)</f>
        <v/>
      </c>
      <c r="R587" s="30" t="str">
        <f aca="false">IF(O587="","",MAX(0,M587*(P587-O587)))</f>
        <v/>
      </c>
      <c r="S587" s="31" t="str">
        <f aca="false">IF(OR(L587="",L587=0,N587=""),"",N587/1000/L587)</f>
        <v/>
      </c>
      <c r="T587" s="27"/>
      <c r="U587" s="27"/>
      <c r="V587" s="27"/>
      <c r="W587" s="27"/>
      <c r="X587" s="27"/>
      <c r="Y587" s="27"/>
      <c r="Z587" s="27"/>
      <c r="AA587" s="25"/>
      <c r="AB587" s="27"/>
      <c r="AC587" s="30" t="str">
        <f aca="false">IF(M587="","",IF(AB587="",M587*Parámetros!$B$6,AB587))</f>
        <v/>
      </c>
      <c r="AD587" s="30" t="str">
        <f aca="false">IF(M587="","",SUM(T587:Z587)+AC587)</f>
        <v/>
      </c>
      <c r="AE587" s="30" t="str">
        <f aca="false">IF(OR(M587="",N587=""),"",M587-N587)</f>
        <v/>
      </c>
      <c r="AF587" s="30" t="str">
        <f aca="false">IF(AE587="","",AE587-AD587)</f>
        <v/>
      </c>
      <c r="AG587" s="28" t="str">
        <f aca="false">IF(OR(AF587="",M587=0),"",AF587/M587)</f>
        <v/>
      </c>
      <c r="AH587" s="32" t="str">
        <f aca="false">IF(OR(AE587="",N587=0),"",AE587/(N587/1000))</f>
        <v/>
      </c>
      <c r="AI587" s="30" t="str">
        <f aca="false">IF(O587="","",M587*P587)</f>
        <v/>
      </c>
      <c r="AJ587" s="11" t="str">
        <f aca="false">IF(O587="","",IF(O587&gt;1,"Error: rend &gt; 100 %",IF(SUM(T587:Z587)=0,"Falta registrar pérdidas",IF(ABS(AG587)&gt;Parámetros!$B$7,"Revisar balance",IF(O587&lt;P587,"Bajo meta","OK")))))</f>
        <v/>
      </c>
      <c r="AK587" s="33"/>
      <c r="AL587" s="10"/>
      <c r="AM587" s="33"/>
      <c r="AN587" s="33"/>
      <c r="AO587" s="10"/>
    </row>
    <row r="588" customFormat="false" ht="15" hidden="false" customHeight="false" outlineLevel="0" collapsed="false">
      <c r="A588" s="22"/>
      <c r="B588" s="23" t="str">
        <f aca="false">IF(A588="","",YEAR(A588-WEEKDAY(A588,2)+4))</f>
        <v/>
      </c>
      <c r="C588" s="23" t="str">
        <f aca="false">IF(A588="","",WEEKNUM(A588,21))</f>
        <v/>
      </c>
      <c r="D588" s="24" t="str">
        <f aca="false">IF(A588="","",DATE(YEAR(A588),MONTH(A588),1))</f>
        <v/>
      </c>
      <c r="E588" s="10"/>
      <c r="F588" s="25"/>
      <c r="G588" s="25"/>
      <c r="H588" s="10"/>
      <c r="I588" s="10"/>
      <c r="J588" s="26"/>
      <c r="K588" s="25"/>
      <c r="L588" s="26"/>
      <c r="M588" s="27"/>
      <c r="N588" s="27"/>
      <c r="O588" s="28" t="str">
        <f aca="false">IF(OR(M588="",M588=0,N588=""),"",N588/M588)</f>
        <v/>
      </c>
      <c r="P588" s="28" t="str">
        <f aca="false">IF(M588="","",IFERROR(IF(INDEX(Parámetros!$B$14:$B$21,MATCH(I588,Parámetros!$A$14:$A$21,0))="",Parámetros!$B$5,INDEX(Parámetros!$B$14:$B$21,MATCH(I588,Parámetros!$A$14:$A$21,0))),Parámetros!$B$5))</f>
        <v/>
      </c>
      <c r="Q588" s="29" t="str">
        <f aca="false">IF(O588="","",(O588-P588)*100)</f>
        <v/>
      </c>
      <c r="R588" s="30" t="str">
        <f aca="false">IF(O588="","",MAX(0,M588*(P588-O588)))</f>
        <v/>
      </c>
      <c r="S588" s="31" t="str">
        <f aca="false">IF(OR(L588="",L588=0,N588=""),"",N588/1000/L588)</f>
        <v/>
      </c>
      <c r="T588" s="27"/>
      <c r="U588" s="27"/>
      <c r="V588" s="27"/>
      <c r="W588" s="27"/>
      <c r="X588" s="27"/>
      <c r="Y588" s="27"/>
      <c r="Z588" s="27"/>
      <c r="AA588" s="25"/>
      <c r="AB588" s="27"/>
      <c r="AC588" s="30" t="str">
        <f aca="false">IF(M588="","",IF(AB588="",M588*Parámetros!$B$6,AB588))</f>
        <v/>
      </c>
      <c r="AD588" s="30" t="str">
        <f aca="false">IF(M588="","",SUM(T588:Z588)+AC588)</f>
        <v/>
      </c>
      <c r="AE588" s="30" t="str">
        <f aca="false">IF(OR(M588="",N588=""),"",M588-N588)</f>
        <v/>
      </c>
      <c r="AF588" s="30" t="str">
        <f aca="false">IF(AE588="","",AE588-AD588)</f>
        <v/>
      </c>
      <c r="AG588" s="28" t="str">
        <f aca="false">IF(OR(AF588="",M588=0),"",AF588/M588)</f>
        <v/>
      </c>
      <c r="AH588" s="32" t="str">
        <f aca="false">IF(OR(AE588="",N588=0),"",AE588/(N588/1000))</f>
        <v/>
      </c>
      <c r="AI588" s="30" t="str">
        <f aca="false">IF(O588="","",M588*P588)</f>
        <v/>
      </c>
      <c r="AJ588" s="11" t="str">
        <f aca="false">IF(O588="","",IF(O588&gt;1,"Error: rend &gt; 100 %",IF(SUM(T588:Z588)=0,"Falta registrar pérdidas",IF(ABS(AG588)&gt;Parámetros!$B$7,"Revisar balance",IF(O588&lt;P588,"Bajo meta","OK")))))</f>
        <v/>
      </c>
      <c r="AK588" s="33"/>
      <c r="AL588" s="10"/>
      <c r="AM588" s="33"/>
      <c r="AN588" s="33"/>
      <c r="AO588" s="10"/>
    </row>
    <row r="589" customFormat="false" ht="15" hidden="false" customHeight="false" outlineLevel="0" collapsed="false">
      <c r="A589" s="22"/>
      <c r="B589" s="23" t="str">
        <f aca="false">IF(A589="","",YEAR(A589-WEEKDAY(A589,2)+4))</f>
        <v/>
      </c>
      <c r="C589" s="23" t="str">
        <f aca="false">IF(A589="","",WEEKNUM(A589,21))</f>
        <v/>
      </c>
      <c r="D589" s="24" t="str">
        <f aca="false">IF(A589="","",DATE(YEAR(A589),MONTH(A589),1))</f>
        <v/>
      </c>
      <c r="E589" s="10"/>
      <c r="F589" s="25"/>
      <c r="G589" s="25"/>
      <c r="H589" s="10"/>
      <c r="I589" s="10"/>
      <c r="J589" s="26"/>
      <c r="K589" s="25"/>
      <c r="L589" s="26"/>
      <c r="M589" s="27"/>
      <c r="N589" s="27"/>
      <c r="O589" s="28" t="str">
        <f aca="false">IF(OR(M589="",M589=0,N589=""),"",N589/M589)</f>
        <v/>
      </c>
      <c r="P589" s="28" t="str">
        <f aca="false">IF(M589="","",IFERROR(IF(INDEX(Parámetros!$B$14:$B$21,MATCH(I589,Parámetros!$A$14:$A$21,0))="",Parámetros!$B$5,INDEX(Parámetros!$B$14:$B$21,MATCH(I589,Parámetros!$A$14:$A$21,0))),Parámetros!$B$5))</f>
        <v/>
      </c>
      <c r="Q589" s="29" t="str">
        <f aca="false">IF(O589="","",(O589-P589)*100)</f>
        <v/>
      </c>
      <c r="R589" s="30" t="str">
        <f aca="false">IF(O589="","",MAX(0,M589*(P589-O589)))</f>
        <v/>
      </c>
      <c r="S589" s="31" t="str">
        <f aca="false">IF(OR(L589="",L589=0,N589=""),"",N589/1000/L589)</f>
        <v/>
      </c>
      <c r="T589" s="27"/>
      <c r="U589" s="27"/>
      <c r="V589" s="27"/>
      <c r="W589" s="27"/>
      <c r="X589" s="27"/>
      <c r="Y589" s="27"/>
      <c r="Z589" s="27"/>
      <c r="AA589" s="25"/>
      <c r="AB589" s="27"/>
      <c r="AC589" s="30" t="str">
        <f aca="false">IF(M589="","",IF(AB589="",M589*Parámetros!$B$6,AB589))</f>
        <v/>
      </c>
      <c r="AD589" s="30" t="str">
        <f aca="false">IF(M589="","",SUM(T589:Z589)+AC589)</f>
        <v/>
      </c>
      <c r="AE589" s="30" t="str">
        <f aca="false">IF(OR(M589="",N589=""),"",M589-N589)</f>
        <v/>
      </c>
      <c r="AF589" s="30" t="str">
        <f aca="false">IF(AE589="","",AE589-AD589)</f>
        <v/>
      </c>
      <c r="AG589" s="28" t="str">
        <f aca="false">IF(OR(AF589="",M589=0),"",AF589/M589)</f>
        <v/>
      </c>
      <c r="AH589" s="32" t="str">
        <f aca="false">IF(OR(AE589="",N589=0),"",AE589/(N589/1000))</f>
        <v/>
      </c>
      <c r="AI589" s="30" t="str">
        <f aca="false">IF(O589="","",M589*P589)</f>
        <v/>
      </c>
      <c r="AJ589" s="11" t="str">
        <f aca="false">IF(O589="","",IF(O589&gt;1,"Error: rend &gt; 100 %",IF(SUM(T589:Z589)=0,"Falta registrar pérdidas",IF(ABS(AG589)&gt;Parámetros!$B$7,"Revisar balance",IF(O589&lt;P589,"Bajo meta","OK")))))</f>
        <v/>
      </c>
      <c r="AK589" s="33"/>
      <c r="AL589" s="10"/>
      <c r="AM589" s="33"/>
      <c r="AN589" s="33"/>
      <c r="AO589" s="10"/>
    </row>
    <row r="590" customFormat="false" ht="15" hidden="false" customHeight="false" outlineLevel="0" collapsed="false">
      <c r="A590" s="22"/>
      <c r="B590" s="23" t="str">
        <f aca="false">IF(A590="","",YEAR(A590-WEEKDAY(A590,2)+4))</f>
        <v/>
      </c>
      <c r="C590" s="23" t="str">
        <f aca="false">IF(A590="","",WEEKNUM(A590,21))</f>
        <v/>
      </c>
      <c r="D590" s="24" t="str">
        <f aca="false">IF(A590="","",DATE(YEAR(A590),MONTH(A590),1))</f>
        <v/>
      </c>
      <c r="E590" s="10"/>
      <c r="F590" s="25"/>
      <c r="G590" s="25"/>
      <c r="H590" s="10"/>
      <c r="I590" s="10"/>
      <c r="J590" s="26"/>
      <c r="K590" s="25"/>
      <c r="L590" s="26"/>
      <c r="M590" s="27"/>
      <c r="N590" s="27"/>
      <c r="O590" s="28" t="str">
        <f aca="false">IF(OR(M590="",M590=0,N590=""),"",N590/M590)</f>
        <v/>
      </c>
      <c r="P590" s="28" t="str">
        <f aca="false">IF(M590="","",IFERROR(IF(INDEX(Parámetros!$B$14:$B$21,MATCH(I590,Parámetros!$A$14:$A$21,0))="",Parámetros!$B$5,INDEX(Parámetros!$B$14:$B$21,MATCH(I590,Parámetros!$A$14:$A$21,0))),Parámetros!$B$5))</f>
        <v/>
      </c>
      <c r="Q590" s="29" t="str">
        <f aca="false">IF(O590="","",(O590-P590)*100)</f>
        <v/>
      </c>
      <c r="R590" s="30" t="str">
        <f aca="false">IF(O590="","",MAX(0,M590*(P590-O590)))</f>
        <v/>
      </c>
      <c r="S590" s="31" t="str">
        <f aca="false">IF(OR(L590="",L590=0,N590=""),"",N590/1000/L590)</f>
        <v/>
      </c>
      <c r="T590" s="27"/>
      <c r="U590" s="27"/>
      <c r="V590" s="27"/>
      <c r="W590" s="27"/>
      <c r="X590" s="27"/>
      <c r="Y590" s="27"/>
      <c r="Z590" s="27"/>
      <c r="AA590" s="25"/>
      <c r="AB590" s="27"/>
      <c r="AC590" s="30" t="str">
        <f aca="false">IF(M590="","",IF(AB590="",M590*Parámetros!$B$6,AB590))</f>
        <v/>
      </c>
      <c r="AD590" s="30" t="str">
        <f aca="false">IF(M590="","",SUM(T590:Z590)+AC590)</f>
        <v/>
      </c>
      <c r="AE590" s="30" t="str">
        <f aca="false">IF(OR(M590="",N590=""),"",M590-N590)</f>
        <v/>
      </c>
      <c r="AF590" s="30" t="str">
        <f aca="false">IF(AE590="","",AE590-AD590)</f>
        <v/>
      </c>
      <c r="AG590" s="28" t="str">
        <f aca="false">IF(OR(AF590="",M590=0),"",AF590/M590)</f>
        <v/>
      </c>
      <c r="AH590" s="32" t="str">
        <f aca="false">IF(OR(AE590="",N590=0),"",AE590/(N590/1000))</f>
        <v/>
      </c>
      <c r="AI590" s="30" t="str">
        <f aca="false">IF(O590="","",M590*P590)</f>
        <v/>
      </c>
      <c r="AJ590" s="11" t="str">
        <f aca="false">IF(O590="","",IF(O590&gt;1,"Error: rend &gt; 100 %",IF(SUM(T590:Z590)=0,"Falta registrar pérdidas",IF(ABS(AG590)&gt;Parámetros!$B$7,"Revisar balance",IF(O590&lt;P590,"Bajo meta","OK")))))</f>
        <v/>
      </c>
      <c r="AK590" s="33"/>
      <c r="AL590" s="10"/>
      <c r="AM590" s="33"/>
      <c r="AN590" s="33"/>
      <c r="AO590" s="10"/>
    </row>
    <row r="591" customFormat="false" ht="15" hidden="false" customHeight="false" outlineLevel="0" collapsed="false">
      <c r="A591" s="22"/>
      <c r="B591" s="23" t="str">
        <f aca="false">IF(A591="","",YEAR(A591-WEEKDAY(A591,2)+4))</f>
        <v/>
      </c>
      <c r="C591" s="23" t="str">
        <f aca="false">IF(A591="","",WEEKNUM(A591,21))</f>
        <v/>
      </c>
      <c r="D591" s="24" t="str">
        <f aca="false">IF(A591="","",DATE(YEAR(A591),MONTH(A591),1))</f>
        <v/>
      </c>
      <c r="E591" s="10"/>
      <c r="F591" s="25"/>
      <c r="G591" s="25"/>
      <c r="H591" s="10"/>
      <c r="I591" s="10"/>
      <c r="J591" s="26"/>
      <c r="K591" s="25"/>
      <c r="L591" s="26"/>
      <c r="M591" s="27"/>
      <c r="N591" s="27"/>
      <c r="O591" s="28" t="str">
        <f aca="false">IF(OR(M591="",M591=0,N591=""),"",N591/M591)</f>
        <v/>
      </c>
      <c r="P591" s="28" t="str">
        <f aca="false">IF(M591="","",IFERROR(IF(INDEX(Parámetros!$B$14:$B$21,MATCH(I591,Parámetros!$A$14:$A$21,0))="",Parámetros!$B$5,INDEX(Parámetros!$B$14:$B$21,MATCH(I591,Parámetros!$A$14:$A$21,0))),Parámetros!$B$5))</f>
        <v/>
      </c>
      <c r="Q591" s="29" t="str">
        <f aca="false">IF(O591="","",(O591-P591)*100)</f>
        <v/>
      </c>
      <c r="R591" s="30" t="str">
        <f aca="false">IF(O591="","",MAX(0,M591*(P591-O591)))</f>
        <v/>
      </c>
      <c r="S591" s="31" t="str">
        <f aca="false">IF(OR(L591="",L591=0,N591=""),"",N591/1000/L591)</f>
        <v/>
      </c>
      <c r="T591" s="27"/>
      <c r="U591" s="27"/>
      <c r="V591" s="27"/>
      <c r="W591" s="27"/>
      <c r="X591" s="27"/>
      <c r="Y591" s="27"/>
      <c r="Z591" s="27"/>
      <c r="AA591" s="25"/>
      <c r="AB591" s="27"/>
      <c r="AC591" s="30" t="str">
        <f aca="false">IF(M591="","",IF(AB591="",M591*Parámetros!$B$6,AB591))</f>
        <v/>
      </c>
      <c r="AD591" s="30" t="str">
        <f aca="false">IF(M591="","",SUM(T591:Z591)+AC591)</f>
        <v/>
      </c>
      <c r="AE591" s="30" t="str">
        <f aca="false">IF(OR(M591="",N591=""),"",M591-N591)</f>
        <v/>
      </c>
      <c r="AF591" s="30" t="str">
        <f aca="false">IF(AE591="","",AE591-AD591)</f>
        <v/>
      </c>
      <c r="AG591" s="28" t="str">
        <f aca="false">IF(OR(AF591="",M591=0),"",AF591/M591)</f>
        <v/>
      </c>
      <c r="AH591" s="32" t="str">
        <f aca="false">IF(OR(AE591="",N591=0),"",AE591/(N591/1000))</f>
        <v/>
      </c>
      <c r="AI591" s="30" t="str">
        <f aca="false">IF(O591="","",M591*P591)</f>
        <v/>
      </c>
      <c r="AJ591" s="11" t="str">
        <f aca="false">IF(O591="","",IF(O591&gt;1,"Error: rend &gt; 100 %",IF(SUM(T591:Z591)=0,"Falta registrar pérdidas",IF(ABS(AG591)&gt;Parámetros!$B$7,"Revisar balance",IF(O591&lt;P591,"Bajo meta","OK")))))</f>
        <v/>
      </c>
      <c r="AK591" s="33"/>
      <c r="AL591" s="10"/>
      <c r="AM591" s="33"/>
      <c r="AN591" s="33"/>
      <c r="AO591" s="10"/>
    </row>
    <row r="592" customFormat="false" ht="15" hidden="false" customHeight="false" outlineLevel="0" collapsed="false">
      <c r="A592" s="22"/>
      <c r="B592" s="23" t="str">
        <f aca="false">IF(A592="","",YEAR(A592-WEEKDAY(A592,2)+4))</f>
        <v/>
      </c>
      <c r="C592" s="23" t="str">
        <f aca="false">IF(A592="","",WEEKNUM(A592,21))</f>
        <v/>
      </c>
      <c r="D592" s="24" t="str">
        <f aca="false">IF(A592="","",DATE(YEAR(A592),MONTH(A592),1))</f>
        <v/>
      </c>
      <c r="E592" s="10"/>
      <c r="F592" s="25"/>
      <c r="G592" s="25"/>
      <c r="H592" s="10"/>
      <c r="I592" s="10"/>
      <c r="J592" s="26"/>
      <c r="K592" s="25"/>
      <c r="L592" s="26"/>
      <c r="M592" s="27"/>
      <c r="N592" s="27"/>
      <c r="O592" s="28" t="str">
        <f aca="false">IF(OR(M592="",M592=0,N592=""),"",N592/M592)</f>
        <v/>
      </c>
      <c r="P592" s="28" t="str">
        <f aca="false">IF(M592="","",IFERROR(IF(INDEX(Parámetros!$B$14:$B$21,MATCH(I592,Parámetros!$A$14:$A$21,0))="",Parámetros!$B$5,INDEX(Parámetros!$B$14:$B$21,MATCH(I592,Parámetros!$A$14:$A$21,0))),Parámetros!$B$5))</f>
        <v/>
      </c>
      <c r="Q592" s="29" t="str">
        <f aca="false">IF(O592="","",(O592-P592)*100)</f>
        <v/>
      </c>
      <c r="R592" s="30" t="str">
        <f aca="false">IF(O592="","",MAX(0,M592*(P592-O592)))</f>
        <v/>
      </c>
      <c r="S592" s="31" t="str">
        <f aca="false">IF(OR(L592="",L592=0,N592=""),"",N592/1000/L592)</f>
        <v/>
      </c>
      <c r="T592" s="27"/>
      <c r="U592" s="27"/>
      <c r="V592" s="27"/>
      <c r="W592" s="27"/>
      <c r="X592" s="27"/>
      <c r="Y592" s="27"/>
      <c r="Z592" s="27"/>
      <c r="AA592" s="25"/>
      <c r="AB592" s="27"/>
      <c r="AC592" s="30" t="str">
        <f aca="false">IF(M592="","",IF(AB592="",M592*Parámetros!$B$6,AB592))</f>
        <v/>
      </c>
      <c r="AD592" s="30" t="str">
        <f aca="false">IF(M592="","",SUM(T592:Z592)+AC592)</f>
        <v/>
      </c>
      <c r="AE592" s="30" t="str">
        <f aca="false">IF(OR(M592="",N592=""),"",M592-N592)</f>
        <v/>
      </c>
      <c r="AF592" s="30" t="str">
        <f aca="false">IF(AE592="","",AE592-AD592)</f>
        <v/>
      </c>
      <c r="AG592" s="28" t="str">
        <f aca="false">IF(OR(AF592="",M592=0),"",AF592/M592)</f>
        <v/>
      </c>
      <c r="AH592" s="32" t="str">
        <f aca="false">IF(OR(AE592="",N592=0),"",AE592/(N592/1000))</f>
        <v/>
      </c>
      <c r="AI592" s="30" t="str">
        <f aca="false">IF(O592="","",M592*P592)</f>
        <v/>
      </c>
      <c r="AJ592" s="11" t="str">
        <f aca="false">IF(O592="","",IF(O592&gt;1,"Error: rend &gt; 100 %",IF(SUM(T592:Z592)=0,"Falta registrar pérdidas",IF(ABS(AG592)&gt;Parámetros!$B$7,"Revisar balance",IF(O592&lt;P592,"Bajo meta","OK")))))</f>
        <v/>
      </c>
      <c r="AK592" s="33"/>
      <c r="AL592" s="10"/>
      <c r="AM592" s="33"/>
      <c r="AN592" s="33"/>
      <c r="AO592" s="10"/>
    </row>
    <row r="593" customFormat="false" ht="15" hidden="false" customHeight="false" outlineLevel="0" collapsed="false">
      <c r="A593" s="22"/>
      <c r="B593" s="23" t="str">
        <f aca="false">IF(A593="","",YEAR(A593-WEEKDAY(A593,2)+4))</f>
        <v/>
      </c>
      <c r="C593" s="23" t="str">
        <f aca="false">IF(A593="","",WEEKNUM(A593,21))</f>
        <v/>
      </c>
      <c r="D593" s="24" t="str">
        <f aca="false">IF(A593="","",DATE(YEAR(A593),MONTH(A593),1))</f>
        <v/>
      </c>
      <c r="E593" s="10"/>
      <c r="F593" s="25"/>
      <c r="G593" s="25"/>
      <c r="H593" s="10"/>
      <c r="I593" s="10"/>
      <c r="J593" s="26"/>
      <c r="K593" s="25"/>
      <c r="L593" s="26"/>
      <c r="M593" s="27"/>
      <c r="N593" s="27"/>
      <c r="O593" s="28" t="str">
        <f aca="false">IF(OR(M593="",M593=0,N593=""),"",N593/M593)</f>
        <v/>
      </c>
      <c r="P593" s="28" t="str">
        <f aca="false">IF(M593="","",IFERROR(IF(INDEX(Parámetros!$B$14:$B$21,MATCH(I593,Parámetros!$A$14:$A$21,0))="",Parámetros!$B$5,INDEX(Parámetros!$B$14:$B$21,MATCH(I593,Parámetros!$A$14:$A$21,0))),Parámetros!$B$5))</f>
        <v/>
      </c>
      <c r="Q593" s="29" t="str">
        <f aca="false">IF(O593="","",(O593-P593)*100)</f>
        <v/>
      </c>
      <c r="R593" s="30" t="str">
        <f aca="false">IF(O593="","",MAX(0,M593*(P593-O593)))</f>
        <v/>
      </c>
      <c r="S593" s="31" t="str">
        <f aca="false">IF(OR(L593="",L593=0,N593=""),"",N593/1000/L593)</f>
        <v/>
      </c>
      <c r="T593" s="27"/>
      <c r="U593" s="27"/>
      <c r="V593" s="27"/>
      <c r="W593" s="27"/>
      <c r="X593" s="27"/>
      <c r="Y593" s="27"/>
      <c r="Z593" s="27"/>
      <c r="AA593" s="25"/>
      <c r="AB593" s="27"/>
      <c r="AC593" s="30" t="str">
        <f aca="false">IF(M593="","",IF(AB593="",M593*Parámetros!$B$6,AB593))</f>
        <v/>
      </c>
      <c r="AD593" s="30" t="str">
        <f aca="false">IF(M593="","",SUM(T593:Z593)+AC593)</f>
        <v/>
      </c>
      <c r="AE593" s="30" t="str">
        <f aca="false">IF(OR(M593="",N593=""),"",M593-N593)</f>
        <v/>
      </c>
      <c r="AF593" s="30" t="str">
        <f aca="false">IF(AE593="","",AE593-AD593)</f>
        <v/>
      </c>
      <c r="AG593" s="28" t="str">
        <f aca="false">IF(OR(AF593="",M593=0),"",AF593/M593)</f>
        <v/>
      </c>
      <c r="AH593" s="32" t="str">
        <f aca="false">IF(OR(AE593="",N593=0),"",AE593/(N593/1000))</f>
        <v/>
      </c>
      <c r="AI593" s="30" t="str">
        <f aca="false">IF(O593="","",M593*P593)</f>
        <v/>
      </c>
      <c r="AJ593" s="11" t="str">
        <f aca="false">IF(O593="","",IF(O593&gt;1,"Error: rend &gt; 100 %",IF(SUM(T593:Z593)=0,"Falta registrar pérdidas",IF(ABS(AG593)&gt;Parámetros!$B$7,"Revisar balance",IF(O593&lt;P593,"Bajo meta","OK")))))</f>
        <v/>
      </c>
      <c r="AK593" s="33"/>
      <c r="AL593" s="10"/>
      <c r="AM593" s="33"/>
      <c r="AN593" s="33"/>
      <c r="AO593" s="10"/>
    </row>
    <row r="594" customFormat="false" ht="15" hidden="false" customHeight="false" outlineLevel="0" collapsed="false">
      <c r="A594" s="22"/>
      <c r="B594" s="23" t="str">
        <f aca="false">IF(A594="","",YEAR(A594-WEEKDAY(A594,2)+4))</f>
        <v/>
      </c>
      <c r="C594" s="23" t="str">
        <f aca="false">IF(A594="","",WEEKNUM(A594,21))</f>
        <v/>
      </c>
      <c r="D594" s="24" t="str">
        <f aca="false">IF(A594="","",DATE(YEAR(A594),MONTH(A594),1))</f>
        <v/>
      </c>
      <c r="E594" s="10"/>
      <c r="F594" s="25"/>
      <c r="G594" s="25"/>
      <c r="H594" s="10"/>
      <c r="I594" s="10"/>
      <c r="J594" s="26"/>
      <c r="K594" s="25"/>
      <c r="L594" s="26"/>
      <c r="M594" s="27"/>
      <c r="N594" s="27"/>
      <c r="O594" s="28" t="str">
        <f aca="false">IF(OR(M594="",M594=0,N594=""),"",N594/M594)</f>
        <v/>
      </c>
      <c r="P594" s="28" t="str">
        <f aca="false">IF(M594="","",IFERROR(IF(INDEX(Parámetros!$B$14:$B$21,MATCH(I594,Parámetros!$A$14:$A$21,0))="",Parámetros!$B$5,INDEX(Parámetros!$B$14:$B$21,MATCH(I594,Parámetros!$A$14:$A$21,0))),Parámetros!$B$5))</f>
        <v/>
      </c>
      <c r="Q594" s="29" t="str">
        <f aca="false">IF(O594="","",(O594-P594)*100)</f>
        <v/>
      </c>
      <c r="R594" s="30" t="str">
        <f aca="false">IF(O594="","",MAX(0,M594*(P594-O594)))</f>
        <v/>
      </c>
      <c r="S594" s="31" t="str">
        <f aca="false">IF(OR(L594="",L594=0,N594=""),"",N594/1000/L594)</f>
        <v/>
      </c>
      <c r="T594" s="27"/>
      <c r="U594" s="27"/>
      <c r="V594" s="27"/>
      <c r="W594" s="27"/>
      <c r="X594" s="27"/>
      <c r="Y594" s="27"/>
      <c r="Z594" s="27"/>
      <c r="AA594" s="25"/>
      <c r="AB594" s="27"/>
      <c r="AC594" s="30" t="str">
        <f aca="false">IF(M594="","",IF(AB594="",M594*Parámetros!$B$6,AB594))</f>
        <v/>
      </c>
      <c r="AD594" s="30" t="str">
        <f aca="false">IF(M594="","",SUM(T594:Z594)+AC594)</f>
        <v/>
      </c>
      <c r="AE594" s="30" t="str">
        <f aca="false">IF(OR(M594="",N594=""),"",M594-N594)</f>
        <v/>
      </c>
      <c r="AF594" s="30" t="str">
        <f aca="false">IF(AE594="","",AE594-AD594)</f>
        <v/>
      </c>
      <c r="AG594" s="28" t="str">
        <f aca="false">IF(OR(AF594="",M594=0),"",AF594/M594)</f>
        <v/>
      </c>
      <c r="AH594" s="32" t="str">
        <f aca="false">IF(OR(AE594="",N594=0),"",AE594/(N594/1000))</f>
        <v/>
      </c>
      <c r="AI594" s="30" t="str">
        <f aca="false">IF(O594="","",M594*P594)</f>
        <v/>
      </c>
      <c r="AJ594" s="11" t="str">
        <f aca="false">IF(O594="","",IF(O594&gt;1,"Error: rend &gt; 100 %",IF(SUM(T594:Z594)=0,"Falta registrar pérdidas",IF(ABS(AG594)&gt;Parámetros!$B$7,"Revisar balance",IF(O594&lt;P594,"Bajo meta","OK")))))</f>
        <v/>
      </c>
      <c r="AK594" s="33"/>
      <c r="AL594" s="10"/>
      <c r="AM594" s="33"/>
      <c r="AN594" s="33"/>
      <c r="AO594" s="10"/>
    </row>
    <row r="595" customFormat="false" ht="15" hidden="false" customHeight="false" outlineLevel="0" collapsed="false">
      <c r="A595" s="22"/>
      <c r="B595" s="23" t="str">
        <f aca="false">IF(A595="","",YEAR(A595-WEEKDAY(A595,2)+4))</f>
        <v/>
      </c>
      <c r="C595" s="23" t="str">
        <f aca="false">IF(A595="","",WEEKNUM(A595,21))</f>
        <v/>
      </c>
      <c r="D595" s="24" t="str">
        <f aca="false">IF(A595="","",DATE(YEAR(A595),MONTH(A595),1))</f>
        <v/>
      </c>
      <c r="E595" s="10"/>
      <c r="F595" s="25"/>
      <c r="G595" s="25"/>
      <c r="H595" s="10"/>
      <c r="I595" s="10"/>
      <c r="J595" s="26"/>
      <c r="K595" s="25"/>
      <c r="L595" s="26"/>
      <c r="M595" s="27"/>
      <c r="N595" s="27"/>
      <c r="O595" s="28" t="str">
        <f aca="false">IF(OR(M595="",M595=0,N595=""),"",N595/M595)</f>
        <v/>
      </c>
      <c r="P595" s="28" t="str">
        <f aca="false">IF(M595="","",IFERROR(IF(INDEX(Parámetros!$B$14:$B$21,MATCH(I595,Parámetros!$A$14:$A$21,0))="",Parámetros!$B$5,INDEX(Parámetros!$B$14:$B$21,MATCH(I595,Parámetros!$A$14:$A$21,0))),Parámetros!$B$5))</f>
        <v/>
      </c>
      <c r="Q595" s="29" t="str">
        <f aca="false">IF(O595="","",(O595-P595)*100)</f>
        <v/>
      </c>
      <c r="R595" s="30" t="str">
        <f aca="false">IF(O595="","",MAX(0,M595*(P595-O595)))</f>
        <v/>
      </c>
      <c r="S595" s="31" t="str">
        <f aca="false">IF(OR(L595="",L595=0,N595=""),"",N595/1000/L595)</f>
        <v/>
      </c>
      <c r="T595" s="27"/>
      <c r="U595" s="27"/>
      <c r="V595" s="27"/>
      <c r="W595" s="27"/>
      <c r="X595" s="27"/>
      <c r="Y595" s="27"/>
      <c r="Z595" s="27"/>
      <c r="AA595" s="25"/>
      <c r="AB595" s="27"/>
      <c r="AC595" s="30" t="str">
        <f aca="false">IF(M595="","",IF(AB595="",M595*Parámetros!$B$6,AB595))</f>
        <v/>
      </c>
      <c r="AD595" s="30" t="str">
        <f aca="false">IF(M595="","",SUM(T595:Z595)+AC595)</f>
        <v/>
      </c>
      <c r="AE595" s="30" t="str">
        <f aca="false">IF(OR(M595="",N595=""),"",M595-N595)</f>
        <v/>
      </c>
      <c r="AF595" s="30" t="str">
        <f aca="false">IF(AE595="","",AE595-AD595)</f>
        <v/>
      </c>
      <c r="AG595" s="28" t="str">
        <f aca="false">IF(OR(AF595="",M595=0),"",AF595/M595)</f>
        <v/>
      </c>
      <c r="AH595" s="32" t="str">
        <f aca="false">IF(OR(AE595="",N595=0),"",AE595/(N595/1000))</f>
        <v/>
      </c>
      <c r="AI595" s="30" t="str">
        <f aca="false">IF(O595="","",M595*P595)</f>
        <v/>
      </c>
      <c r="AJ595" s="11" t="str">
        <f aca="false">IF(O595="","",IF(O595&gt;1,"Error: rend &gt; 100 %",IF(SUM(T595:Z595)=0,"Falta registrar pérdidas",IF(ABS(AG595)&gt;Parámetros!$B$7,"Revisar balance",IF(O595&lt;P595,"Bajo meta","OK")))))</f>
        <v/>
      </c>
      <c r="AK595" s="33"/>
      <c r="AL595" s="10"/>
      <c r="AM595" s="33"/>
      <c r="AN595" s="33"/>
      <c r="AO595" s="10"/>
    </row>
    <row r="596" customFormat="false" ht="15" hidden="false" customHeight="false" outlineLevel="0" collapsed="false">
      <c r="A596" s="22"/>
      <c r="B596" s="23" t="str">
        <f aca="false">IF(A596="","",YEAR(A596-WEEKDAY(A596,2)+4))</f>
        <v/>
      </c>
      <c r="C596" s="23" t="str">
        <f aca="false">IF(A596="","",WEEKNUM(A596,21))</f>
        <v/>
      </c>
      <c r="D596" s="24" t="str">
        <f aca="false">IF(A596="","",DATE(YEAR(A596),MONTH(A596),1))</f>
        <v/>
      </c>
      <c r="E596" s="10"/>
      <c r="F596" s="25"/>
      <c r="G596" s="25"/>
      <c r="H596" s="10"/>
      <c r="I596" s="10"/>
      <c r="J596" s="26"/>
      <c r="K596" s="25"/>
      <c r="L596" s="26"/>
      <c r="M596" s="27"/>
      <c r="N596" s="27"/>
      <c r="O596" s="28" t="str">
        <f aca="false">IF(OR(M596="",M596=0,N596=""),"",N596/M596)</f>
        <v/>
      </c>
      <c r="P596" s="28" t="str">
        <f aca="false">IF(M596="","",IFERROR(IF(INDEX(Parámetros!$B$14:$B$21,MATCH(I596,Parámetros!$A$14:$A$21,0))="",Parámetros!$B$5,INDEX(Parámetros!$B$14:$B$21,MATCH(I596,Parámetros!$A$14:$A$21,0))),Parámetros!$B$5))</f>
        <v/>
      </c>
      <c r="Q596" s="29" t="str">
        <f aca="false">IF(O596="","",(O596-P596)*100)</f>
        <v/>
      </c>
      <c r="R596" s="30" t="str">
        <f aca="false">IF(O596="","",MAX(0,M596*(P596-O596)))</f>
        <v/>
      </c>
      <c r="S596" s="31" t="str">
        <f aca="false">IF(OR(L596="",L596=0,N596=""),"",N596/1000/L596)</f>
        <v/>
      </c>
      <c r="T596" s="27"/>
      <c r="U596" s="27"/>
      <c r="V596" s="27"/>
      <c r="W596" s="27"/>
      <c r="X596" s="27"/>
      <c r="Y596" s="27"/>
      <c r="Z596" s="27"/>
      <c r="AA596" s="25"/>
      <c r="AB596" s="27"/>
      <c r="AC596" s="30" t="str">
        <f aca="false">IF(M596="","",IF(AB596="",M596*Parámetros!$B$6,AB596))</f>
        <v/>
      </c>
      <c r="AD596" s="30" t="str">
        <f aca="false">IF(M596="","",SUM(T596:Z596)+AC596)</f>
        <v/>
      </c>
      <c r="AE596" s="30" t="str">
        <f aca="false">IF(OR(M596="",N596=""),"",M596-N596)</f>
        <v/>
      </c>
      <c r="AF596" s="30" t="str">
        <f aca="false">IF(AE596="","",AE596-AD596)</f>
        <v/>
      </c>
      <c r="AG596" s="28" t="str">
        <f aca="false">IF(OR(AF596="",M596=0),"",AF596/M596)</f>
        <v/>
      </c>
      <c r="AH596" s="32" t="str">
        <f aca="false">IF(OR(AE596="",N596=0),"",AE596/(N596/1000))</f>
        <v/>
      </c>
      <c r="AI596" s="30" t="str">
        <f aca="false">IF(O596="","",M596*P596)</f>
        <v/>
      </c>
      <c r="AJ596" s="11" t="str">
        <f aca="false">IF(O596="","",IF(O596&gt;1,"Error: rend &gt; 100 %",IF(SUM(T596:Z596)=0,"Falta registrar pérdidas",IF(ABS(AG596)&gt;Parámetros!$B$7,"Revisar balance",IF(O596&lt;P596,"Bajo meta","OK")))))</f>
        <v/>
      </c>
      <c r="AK596" s="33"/>
      <c r="AL596" s="10"/>
      <c r="AM596" s="33"/>
      <c r="AN596" s="33"/>
      <c r="AO596" s="10"/>
    </row>
    <row r="597" customFormat="false" ht="15" hidden="false" customHeight="false" outlineLevel="0" collapsed="false">
      <c r="A597" s="22"/>
      <c r="B597" s="23" t="str">
        <f aca="false">IF(A597="","",YEAR(A597-WEEKDAY(A597,2)+4))</f>
        <v/>
      </c>
      <c r="C597" s="23" t="str">
        <f aca="false">IF(A597="","",WEEKNUM(A597,21))</f>
        <v/>
      </c>
      <c r="D597" s="24" t="str">
        <f aca="false">IF(A597="","",DATE(YEAR(A597),MONTH(A597),1))</f>
        <v/>
      </c>
      <c r="E597" s="10"/>
      <c r="F597" s="25"/>
      <c r="G597" s="25"/>
      <c r="H597" s="10"/>
      <c r="I597" s="10"/>
      <c r="J597" s="26"/>
      <c r="K597" s="25"/>
      <c r="L597" s="26"/>
      <c r="M597" s="27"/>
      <c r="N597" s="27"/>
      <c r="O597" s="28" t="str">
        <f aca="false">IF(OR(M597="",M597=0,N597=""),"",N597/M597)</f>
        <v/>
      </c>
      <c r="P597" s="28" t="str">
        <f aca="false">IF(M597="","",IFERROR(IF(INDEX(Parámetros!$B$14:$B$21,MATCH(I597,Parámetros!$A$14:$A$21,0))="",Parámetros!$B$5,INDEX(Parámetros!$B$14:$B$21,MATCH(I597,Parámetros!$A$14:$A$21,0))),Parámetros!$B$5))</f>
        <v/>
      </c>
      <c r="Q597" s="29" t="str">
        <f aca="false">IF(O597="","",(O597-P597)*100)</f>
        <v/>
      </c>
      <c r="R597" s="30" t="str">
        <f aca="false">IF(O597="","",MAX(0,M597*(P597-O597)))</f>
        <v/>
      </c>
      <c r="S597" s="31" t="str">
        <f aca="false">IF(OR(L597="",L597=0,N597=""),"",N597/1000/L597)</f>
        <v/>
      </c>
      <c r="T597" s="27"/>
      <c r="U597" s="27"/>
      <c r="V597" s="27"/>
      <c r="W597" s="27"/>
      <c r="X597" s="27"/>
      <c r="Y597" s="27"/>
      <c r="Z597" s="27"/>
      <c r="AA597" s="25"/>
      <c r="AB597" s="27"/>
      <c r="AC597" s="30" t="str">
        <f aca="false">IF(M597="","",IF(AB597="",M597*Parámetros!$B$6,AB597))</f>
        <v/>
      </c>
      <c r="AD597" s="30" t="str">
        <f aca="false">IF(M597="","",SUM(T597:Z597)+AC597)</f>
        <v/>
      </c>
      <c r="AE597" s="30" t="str">
        <f aca="false">IF(OR(M597="",N597=""),"",M597-N597)</f>
        <v/>
      </c>
      <c r="AF597" s="30" t="str">
        <f aca="false">IF(AE597="","",AE597-AD597)</f>
        <v/>
      </c>
      <c r="AG597" s="28" t="str">
        <f aca="false">IF(OR(AF597="",M597=0),"",AF597/M597)</f>
        <v/>
      </c>
      <c r="AH597" s="32" t="str">
        <f aca="false">IF(OR(AE597="",N597=0),"",AE597/(N597/1000))</f>
        <v/>
      </c>
      <c r="AI597" s="30" t="str">
        <f aca="false">IF(O597="","",M597*P597)</f>
        <v/>
      </c>
      <c r="AJ597" s="11" t="str">
        <f aca="false">IF(O597="","",IF(O597&gt;1,"Error: rend &gt; 100 %",IF(SUM(T597:Z597)=0,"Falta registrar pérdidas",IF(ABS(AG597)&gt;Parámetros!$B$7,"Revisar balance",IF(O597&lt;P597,"Bajo meta","OK")))))</f>
        <v/>
      </c>
      <c r="AK597" s="33"/>
      <c r="AL597" s="10"/>
      <c r="AM597" s="33"/>
      <c r="AN597" s="33"/>
      <c r="AO597" s="10"/>
    </row>
    <row r="598" customFormat="false" ht="15" hidden="false" customHeight="false" outlineLevel="0" collapsed="false">
      <c r="A598" s="22"/>
      <c r="B598" s="23" t="str">
        <f aca="false">IF(A598="","",YEAR(A598-WEEKDAY(A598,2)+4))</f>
        <v/>
      </c>
      <c r="C598" s="23" t="str">
        <f aca="false">IF(A598="","",WEEKNUM(A598,21))</f>
        <v/>
      </c>
      <c r="D598" s="24" t="str">
        <f aca="false">IF(A598="","",DATE(YEAR(A598),MONTH(A598),1))</f>
        <v/>
      </c>
      <c r="E598" s="10"/>
      <c r="F598" s="25"/>
      <c r="G598" s="25"/>
      <c r="H598" s="10"/>
      <c r="I598" s="10"/>
      <c r="J598" s="26"/>
      <c r="K598" s="25"/>
      <c r="L598" s="26"/>
      <c r="M598" s="27"/>
      <c r="N598" s="27"/>
      <c r="O598" s="28" t="str">
        <f aca="false">IF(OR(M598="",M598=0,N598=""),"",N598/M598)</f>
        <v/>
      </c>
      <c r="P598" s="28" t="str">
        <f aca="false">IF(M598="","",IFERROR(IF(INDEX(Parámetros!$B$14:$B$21,MATCH(I598,Parámetros!$A$14:$A$21,0))="",Parámetros!$B$5,INDEX(Parámetros!$B$14:$B$21,MATCH(I598,Parámetros!$A$14:$A$21,0))),Parámetros!$B$5))</f>
        <v/>
      </c>
      <c r="Q598" s="29" t="str">
        <f aca="false">IF(O598="","",(O598-P598)*100)</f>
        <v/>
      </c>
      <c r="R598" s="30" t="str">
        <f aca="false">IF(O598="","",MAX(0,M598*(P598-O598)))</f>
        <v/>
      </c>
      <c r="S598" s="31" t="str">
        <f aca="false">IF(OR(L598="",L598=0,N598=""),"",N598/1000/L598)</f>
        <v/>
      </c>
      <c r="T598" s="27"/>
      <c r="U598" s="27"/>
      <c r="V598" s="27"/>
      <c r="W598" s="27"/>
      <c r="X598" s="27"/>
      <c r="Y598" s="27"/>
      <c r="Z598" s="27"/>
      <c r="AA598" s="25"/>
      <c r="AB598" s="27"/>
      <c r="AC598" s="30" t="str">
        <f aca="false">IF(M598="","",IF(AB598="",M598*Parámetros!$B$6,AB598))</f>
        <v/>
      </c>
      <c r="AD598" s="30" t="str">
        <f aca="false">IF(M598="","",SUM(T598:Z598)+AC598)</f>
        <v/>
      </c>
      <c r="AE598" s="30" t="str">
        <f aca="false">IF(OR(M598="",N598=""),"",M598-N598)</f>
        <v/>
      </c>
      <c r="AF598" s="30" t="str">
        <f aca="false">IF(AE598="","",AE598-AD598)</f>
        <v/>
      </c>
      <c r="AG598" s="28" t="str">
        <f aca="false">IF(OR(AF598="",M598=0),"",AF598/M598)</f>
        <v/>
      </c>
      <c r="AH598" s="32" t="str">
        <f aca="false">IF(OR(AE598="",N598=0),"",AE598/(N598/1000))</f>
        <v/>
      </c>
      <c r="AI598" s="30" t="str">
        <f aca="false">IF(O598="","",M598*P598)</f>
        <v/>
      </c>
      <c r="AJ598" s="11" t="str">
        <f aca="false">IF(O598="","",IF(O598&gt;1,"Error: rend &gt; 100 %",IF(SUM(T598:Z598)=0,"Falta registrar pérdidas",IF(ABS(AG598)&gt;Parámetros!$B$7,"Revisar balance",IF(O598&lt;P598,"Bajo meta","OK")))))</f>
        <v/>
      </c>
      <c r="AK598" s="33"/>
      <c r="AL598" s="10"/>
      <c r="AM598" s="33"/>
      <c r="AN598" s="33"/>
      <c r="AO598" s="10"/>
    </row>
    <row r="599" customFormat="false" ht="15" hidden="false" customHeight="false" outlineLevel="0" collapsed="false">
      <c r="A599" s="22"/>
      <c r="B599" s="23" t="str">
        <f aca="false">IF(A599="","",YEAR(A599-WEEKDAY(A599,2)+4))</f>
        <v/>
      </c>
      <c r="C599" s="23" t="str">
        <f aca="false">IF(A599="","",WEEKNUM(A599,21))</f>
        <v/>
      </c>
      <c r="D599" s="24" t="str">
        <f aca="false">IF(A599="","",DATE(YEAR(A599),MONTH(A599),1))</f>
        <v/>
      </c>
      <c r="E599" s="10"/>
      <c r="F599" s="25"/>
      <c r="G599" s="25"/>
      <c r="H599" s="10"/>
      <c r="I599" s="10"/>
      <c r="J599" s="26"/>
      <c r="K599" s="25"/>
      <c r="L599" s="26"/>
      <c r="M599" s="27"/>
      <c r="N599" s="27"/>
      <c r="O599" s="28" t="str">
        <f aca="false">IF(OR(M599="",M599=0,N599=""),"",N599/M599)</f>
        <v/>
      </c>
      <c r="P599" s="28" t="str">
        <f aca="false">IF(M599="","",IFERROR(IF(INDEX(Parámetros!$B$14:$B$21,MATCH(I599,Parámetros!$A$14:$A$21,0))="",Parámetros!$B$5,INDEX(Parámetros!$B$14:$B$21,MATCH(I599,Parámetros!$A$14:$A$21,0))),Parámetros!$B$5))</f>
        <v/>
      </c>
      <c r="Q599" s="29" t="str">
        <f aca="false">IF(O599="","",(O599-P599)*100)</f>
        <v/>
      </c>
      <c r="R599" s="30" t="str">
        <f aca="false">IF(O599="","",MAX(0,M599*(P599-O599)))</f>
        <v/>
      </c>
      <c r="S599" s="31" t="str">
        <f aca="false">IF(OR(L599="",L599=0,N599=""),"",N599/1000/L599)</f>
        <v/>
      </c>
      <c r="T599" s="27"/>
      <c r="U599" s="27"/>
      <c r="V599" s="27"/>
      <c r="W599" s="27"/>
      <c r="X599" s="27"/>
      <c r="Y599" s="27"/>
      <c r="Z599" s="27"/>
      <c r="AA599" s="25"/>
      <c r="AB599" s="27"/>
      <c r="AC599" s="30" t="str">
        <f aca="false">IF(M599="","",IF(AB599="",M599*Parámetros!$B$6,AB599))</f>
        <v/>
      </c>
      <c r="AD599" s="30" t="str">
        <f aca="false">IF(M599="","",SUM(T599:Z599)+AC599)</f>
        <v/>
      </c>
      <c r="AE599" s="30" t="str">
        <f aca="false">IF(OR(M599="",N599=""),"",M599-N599)</f>
        <v/>
      </c>
      <c r="AF599" s="30" t="str">
        <f aca="false">IF(AE599="","",AE599-AD599)</f>
        <v/>
      </c>
      <c r="AG599" s="28" t="str">
        <f aca="false">IF(OR(AF599="",M599=0),"",AF599/M599)</f>
        <v/>
      </c>
      <c r="AH599" s="32" t="str">
        <f aca="false">IF(OR(AE599="",N599=0),"",AE599/(N599/1000))</f>
        <v/>
      </c>
      <c r="AI599" s="30" t="str">
        <f aca="false">IF(O599="","",M599*P599)</f>
        <v/>
      </c>
      <c r="AJ599" s="11" t="str">
        <f aca="false">IF(O599="","",IF(O599&gt;1,"Error: rend &gt; 100 %",IF(SUM(T599:Z599)=0,"Falta registrar pérdidas",IF(ABS(AG599)&gt;Parámetros!$B$7,"Revisar balance",IF(O599&lt;P599,"Bajo meta","OK")))))</f>
        <v/>
      </c>
      <c r="AK599" s="33"/>
      <c r="AL599" s="10"/>
      <c r="AM599" s="33"/>
      <c r="AN599" s="33"/>
      <c r="AO599" s="10"/>
    </row>
    <row r="600" customFormat="false" ht="15" hidden="false" customHeight="false" outlineLevel="0" collapsed="false">
      <c r="A600" s="22"/>
      <c r="B600" s="23" t="str">
        <f aca="false">IF(A600="","",YEAR(A600-WEEKDAY(A600,2)+4))</f>
        <v/>
      </c>
      <c r="C600" s="23" t="str">
        <f aca="false">IF(A600="","",WEEKNUM(A600,21))</f>
        <v/>
      </c>
      <c r="D600" s="24" t="str">
        <f aca="false">IF(A600="","",DATE(YEAR(A600),MONTH(A600),1))</f>
        <v/>
      </c>
      <c r="E600" s="10"/>
      <c r="F600" s="25"/>
      <c r="G600" s="25"/>
      <c r="H600" s="10"/>
      <c r="I600" s="10"/>
      <c r="J600" s="26"/>
      <c r="K600" s="25"/>
      <c r="L600" s="26"/>
      <c r="M600" s="27"/>
      <c r="N600" s="27"/>
      <c r="O600" s="28" t="str">
        <f aca="false">IF(OR(M600="",M600=0,N600=""),"",N600/M600)</f>
        <v/>
      </c>
      <c r="P600" s="28" t="str">
        <f aca="false">IF(M600="","",IFERROR(IF(INDEX(Parámetros!$B$14:$B$21,MATCH(I600,Parámetros!$A$14:$A$21,0))="",Parámetros!$B$5,INDEX(Parámetros!$B$14:$B$21,MATCH(I600,Parámetros!$A$14:$A$21,0))),Parámetros!$B$5))</f>
        <v/>
      </c>
      <c r="Q600" s="29" t="str">
        <f aca="false">IF(O600="","",(O600-P600)*100)</f>
        <v/>
      </c>
      <c r="R600" s="30" t="str">
        <f aca="false">IF(O600="","",MAX(0,M600*(P600-O600)))</f>
        <v/>
      </c>
      <c r="S600" s="31" t="str">
        <f aca="false">IF(OR(L600="",L600=0,N600=""),"",N600/1000/L600)</f>
        <v/>
      </c>
      <c r="T600" s="27"/>
      <c r="U600" s="27"/>
      <c r="V600" s="27"/>
      <c r="W600" s="27"/>
      <c r="X600" s="27"/>
      <c r="Y600" s="27"/>
      <c r="Z600" s="27"/>
      <c r="AA600" s="25"/>
      <c r="AB600" s="27"/>
      <c r="AC600" s="30" t="str">
        <f aca="false">IF(M600="","",IF(AB600="",M600*Parámetros!$B$6,AB600))</f>
        <v/>
      </c>
      <c r="AD600" s="30" t="str">
        <f aca="false">IF(M600="","",SUM(T600:Z600)+AC600)</f>
        <v/>
      </c>
      <c r="AE600" s="30" t="str">
        <f aca="false">IF(OR(M600="",N600=""),"",M600-N600)</f>
        <v/>
      </c>
      <c r="AF600" s="30" t="str">
        <f aca="false">IF(AE600="","",AE600-AD600)</f>
        <v/>
      </c>
      <c r="AG600" s="28" t="str">
        <f aca="false">IF(OR(AF600="",M600=0),"",AF600/M600)</f>
        <v/>
      </c>
      <c r="AH600" s="32" t="str">
        <f aca="false">IF(OR(AE600="",N600=0),"",AE600/(N600/1000))</f>
        <v/>
      </c>
      <c r="AI600" s="30" t="str">
        <f aca="false">IF(O600="","",M600*P600)</f>
        <v/>
      </c>
      <c r="AJ600" s="11" t="str">
        <f aca="false">IF(O600="","",IF(O600&gt;1,"Error: rend &gt; 100 %",IF(SUM(T600:Z600)=0,"Falta registrar pérdidas",IF(ABS(AG600)&gt;Parámetros!$B$7,"Revisar balance",IF(O600&lt;P600,"Bajo meta","OK")))))</f>
        <v/>
      </c>
      <c r="AK600" s="33"/>
      <c r="AL600" s="10"/>
      <c r="AM600" s="33"/>
      <c r="AN600" s="33"/>
      <c r="AO600" s="10"/>
    </row>
    <row r="601" customFormat="false" ht="15" hidden="false" customHeight="false" outlineLevel="0" collapsed="false">
      <c r="A601" s="22"/>
      <c r="B601" s="23" t="str">
        <f aca="false">IF(A601="","",YEAR(A601-WEEKDAY(A601,2)+4))</f>
        <v/>
      </c>
      <c r="C601" s="23" t="str">
        <f aca="false">IF(A601="","",WEEKNUM(A601,21))</f>
        <v/>
      </c>
      <c r="D601" s="24" t="str">
        <f aca="false">IF(A601="","",DATE(YEAR(A601),MONTH(A601),1))</f>
        <v/>
      </c>
      <c r="E601" s="10"/>
      <c r="F601" s="25"/>
      <c r="G601" s="25"/>
      <c r="H601" s="10"/>
      <c r="I601" s="10"/>
      <c r="J601" s="26"/>
      <c r="K601" s="25"/>
      <c r="L601" s="26"/>
      <c r="M601" s="27"/>
      <c r="N601" s="27"/>
      <c r="O601" s="28" t="str">
        <f aca="false">IF(OR(M601="",M601=0,N601=""),"",N601/M601)</f>
        <v/>
      </c>
      <c r="P601" s="28" t="str">
        <f aca="false">IF(M601="","",IFERROR(IF(INDEX(Parámetros!$B$14:$B$21,MATCH(I601,Parámetros!$A$14:$A$21,0))="",Parámetros!$B$5,INDEX(Parámetros!$B$14:$B$21,MATCH(I601,Parámetros!$A$14:$A$21,0))),Parámetros!$B$5))</f>
        <v/>
      </c>
      <c r="Q601" s="29" t="str">
        <f aca="false">IF(O601="","",(O601-P601)*100)</f>
        <v/>
      </c>
      <c r="R601" s="30" t="str">
        <f aca="false">IF(O601="","",MAX(0,M601*(P601-O601)))</f>
        <v/>
      </c>
      <c r="S601" s="31" t="str">
        <f aca="false">IF(OR(L601="",L601=0,N601=""),"",N601/1000/L601)</f>
        <v/>
      </c>
      <c r="T601" s="27"/>
      <c r="U601" s="27"/>
      <c r="V601" s="27"/>
      <c r="W601" s="27"/>
      <c r="X601" s="27"/>
      <c r="Y601" s="27"/>
      <c r="Z601" s="27"/>
      <c r="AA601" s="25"/>
      <c r="AB601" s="27"/>
      <c r="AC601" s="30" t="str">
        <f aca="false">IF(M601="","",IF(AB601="",M601*Parámetros!$B$6,AB601))</f>
        <v/>
      </c>
      <c r="AD601" s="30" t="str">
        <f aca="false">IF(M601="","",SUM(T601:Z601)+AC601)</f>
        <v/>
      </c>
      <c r="AE601" s="30" t="str">
        <f aca="false">IF(OR(M601="",N601=""),"",M601-N601)</f>
        <v/>
      </c>
      <c r="AF601" s="30" t="str">
        <f aca="false">IF(AE601="","",AE601-AD601)</f>
        <v/>
      </c>
      <c r="AG601" s="28" t="str">
        <f aca="false">IF(OR(AF601="",M601=0),"",AF601/M601)</f>
        <v/>
      </c>
      <c r="AH601" s="32" t="str">
        <f aca="false">IF(OR(AE601="",N601=0),"",AE601/(N601/1000))</f>
        <v/>
      </c>
      <c r="AI601" s="30" t="str">
        <f aca="false">IF(O601="","",M601*P601)</f>
        <v/>
      </c>
      <c r="AJ601" s="11" t="str">
        <f aca="false">IF(O601="","",IF(O601&gt;1,"Error: rend &gt; 100 %",IF(SUM(T601:Z601)=0,"Falta registrar pérdidas",IF(ABS(AG601)&gt;Parámetros!$B$7,"Revisar balance",IF(O601&lt;P601,"Bajo meta","OK")))))</f>
        <v/>
      </c>
      <c r="AK601" s="33"/>
      <c r="AL601" s="10"/>
      <c r="AM601" s="33"/>
      <c r="AN601" s="33"/>
      <c r="AO601" s="10"/>
    </row>
    <row r="602" customFormat="false" ht="15" hidden="false" customHeight="false" outlineLevel="0" collapsed="false">
      <c r="A602" s="22"/>
      <c r="B602" s="23" t="str">
        <f aca="false">IF(A602="","",YEAR(A602-WEEKDAY(A602,2)+4))</f>
        <v/>
      </c>
      <c r="C602" s="23" t="str">
        <f aca="false">IF(A602="","",WEEKNUM(A602,21))</f>
        <v/>
      </c>
      <c r="D602" s="24" t="str">
        <f aca="false">IF(A602="","",DATE(YEAR(A602),MONTH(A602),1))</f>
        <v/>
      </c>
      <c r="E602" s="10"/>
      <c r="F602" s="25"/>
      <c r="G602" s="25"/>
      <c r="H602" s="10"/>
      <c r="I602" s="10"/>
      <c r="J602" s="26"/>
      <c r="K602" s="25"/>
      <c r="L602" s="26"/>
      <c r="M602" s="27"/>
      <c r="N602" s="27"/>
      <c r="O602" s="28" t="str">
        <f aca="false">IF(OR(M602="",M602=0,N602=""),"",N602/M602)</f>
        <v/>
      </c>
      <c r="P602" s="28" t="str">
        <f aca="false">IF(M602="","",IFERROR(IF(INDEX(Parámetros!$B$14:$B$21,MATCH(I602,Parámetros!$A$14:$A$21,0))="",Parámetros!$B$5,INDEX(Parámetros!$B$14:$B$21,MATCH(I602,Parámetros!$A$14:$A$21,0))),Parámetros!$B$5))</f>
        <v/>
      </c>
      <c r="Q602" s="29" t="str">
        <f aca="false">IF(O602="","",(O602-P602)*100)</f>
        <v/>
      </c>
      <c r="R602" s="30" t="str">
        <f aca="false">IF(O602="","",MAX(0,M602*(P602-O602)))</f>
        <v/>
      </c>
      <c r="S602" s="31" t="str">
        <f aca="false">IF(OR(L602="",L602=0,N602=""),"",N602/1000/L602)</f>
        <v/>
      </c>
      <c r="T602" s="27"/>
      <c r="U602" s="27"/>
      <c r="V602" s="27"/>
      <c r="W602" s="27"/>
      <c r="X602" s="27"/>
      <c r="Y602" s="27"/>
      <c r="Z602" s="27"/>
      <c r="AA602" s="25"/>
      <c r="AB602" s="27"/>
      <c r="AC602" s="30" t="str">
        <f aca="false">IF(M602="","",IF(AB602="",M602*Parámetros!$B$6,AB602))</f>
        <v/>
      </c>
      <c r="AD602" s="30" t="str">
        <f aca="false">IF(M602="","",SUM(T602:Z602)+AC602)</f>
        <v/>
      </c>
      <c r="AE602" s="30" t="str">
        <f aca="false">IF(OR(M602="",N602=""),"",M602-N602)</f>
        <v/>
      </c>
      <c r="AF602" s="30" t="str">
        <f aca="false">IF(AE602="","",AE602-AD602)</f>
        <v/>
      </c>
      <c r="AG602" s="28" t="str">
        <f aca="false">IF(OR(AF602="",M602=0),"",AF602/M602)</f>
        <v/>
      </c>
      <c r="AH602" s="32" t="str">
        <f aca="false">IF(OR(AE602="",N602=0),"",AE602/(N602/1000))</f>
        <v/>
      </c>
      <c r="AI602" s="30" t="str">
        <f aca="false">IF(O602="","",M602*P602)</f>
        <v/>
      </c>
      <c r="AJ602" s="11" t="str">
        <f aca="false">IF(O602="","",IF(O602&gt;1,"Error: rend &gt; 100 %",IF(SUM(T602:Z602)=0,"Falta registrar pérdidas",IF(ABS(AG602)&gt;Parámetros!$B$7,"Revisar balance",IF(O602&lt;P602,"Bajo meta","OK")))))</f>
        <v/>
      </c>
      <c r="AK602" s="33"/>
      <c r="AL602" s="10"/>
      <c r="AM602" s="33"/>
      <c r="AN602" s="33"/>
      <c r="AO602" s="10"/>
    </row>
    <row r="603" customFormat="false" ht="15" hidden="false" customHeight="false" outlineLevel="0" collapsed="false">
      <c r="A603" s="22"/>
      <c r="B603" s="23" t="str">
        <f aca="false">IF(A603="","",YEAR(A603-WEEKDAY(A603,2)+4))</f>
        <v/>
      </c>
      <c r="C603" s="23" t="str">
        <f aca="false">IF(A603="","",WEEKNUM(A603,21))</f>
        <v/>
      </c>
      <c r="D603" s="24" t="str">
        <f aca="false">IF(A603="","",DATE(YEAR(A603),MONTH(A603),1))</f>
        <v/>
      </c>
      <c r="E603" s="10"/>
      <c r="F603" s="25"/>
      <c r="G603" s="25"/>
      <c r="H603" s="10"/>
      <c r="I603" s="10"/>
      <c r="J603" s="26"/>
      <c r="K603" s="25"/>
      <c r="L603" s="26"/>
      <c r="M603" s="27"/>
      <c r="N603" s="27"/>
      <c r="O603" s="28" t="str">
        <f aca="false">IF(OR(M603="",M603=0,N603=""),"",N603/M603)</f>
        <v/>
      </c>
      <c r="P603" s="28" t="str">
        <f aca="false">IF(M603="","",IFERROR(IF(INDEX(Parámetros!$B$14:$B$21,MATCH(I603,Parámetros!$A$14:$A$21,0))="",Parámetros!$B$5,INDEX(Parámetros!$B$14:$B$21,MATCH(I603,Parámetros!$A$14:$A$21,0))),Parámetros!$B$5))</f>
        <v/>
      </c>
      <c r="Q603" s="29" t="str">
        <f aca="false">IF(O603="","",(O603-P603)*100)</f>
        <v/>
      </c>
      <c r="R603" s="30" t="str">
        <f aca="false">IF(O603="","",MAX(0,M603*(P603-O603)))</f>
        <v/>
      </c>
      <c r="S603" s="31" t="str">
        <f aca="false">IF(OR(L603="",L603=0,N603=""),"",N603/1000/L603)</f>
        <v/>
      </c>
      <c r="T603" s="27"/>
      <c r="U603" s="27"/>
      <c r="V603" s="27"/>
      <c r="W603" s="27"/>
      <c r="X603" s="27"/>
      <c r="Y603" s="27"/>
      <c r="Z603" s="27"/>
      <c r="AA603" s="25"/>
      <c r="AB603" s="27"/>
      <c r="AC603" s="30" t="str">
        <f aca="false">IF(M603="","",IF(AB603="",M603*Parámetros!$B$6,AB603))</f>
        <v/>
      </c>
      <c r="AD603" s="30" t="str">
        <f aca="false">IF(M603="","",SUM(T603:Z603)+AC603)</f>
        <v/>
      </c>
      <c r="AE603" s="30" t="str">
        <f aca="false">IF(OR(M603="",N603=""),"",M603-N603)</f>
        <v/>
      </c>
      <c r="AF603" s="30" t="str">
        <f aca="false">IF(AE603="","",AE603-AD603)</f>
        <v/>
      </c>
      <c r="AG603" s="28" t="str">
        <f aca="false">IF(OR(AF603="",M603=0),"",AF603/M603)</f>
        <v/>
      </c>
      <c r="AH603" s="32" t="str">
        <f aca="false">IF(OR(AE603="",N603=0),"",AE603/(N603/1000))</f>
        <v/>
      </c>
      <c r="AI603" s="30" t="str">
        <f aca="false">IF(O603="","",M603*P603)</f>
        <v/>
      </c>
      <c r="AJ603" s="11" t="str">
        <f aca="false">IF(O603="","",IF(O603&gt;1,"Error: rend &gt; 100 %",IF(SUM(T603:Z603)=0,"Falta registrar pérdidas",IF(ABS(AG603)&gt;Parámetros!$B$7,"Revisar balance",IF(O603&lt;P603,"Bajo meta","OK")))))</f>
        <v/>
      </c>
      <c r="AK603" s="33"/>
      <c r="AL603" s="10"/>
      <c r="AM603" s="33"/>
      <c r="AN603" s="33"/>
      <c r="AO603" s="10"/>
    </row>
    <row r="604" customFormat="false" ht="15" hidden="false" customHeight="false" outlineLevel="0" collapsed="false">
      <c r="A604" s="22"/>
      <c r="B604" s="23" t="str">
        <f aca="false">IF(A604="","",YEAR(A604-WEEKDAY(A604,2)+4))</f>
        <v/>
      </c>
      <c r="C604" s="23" t="str">
        <f aca="false">IF(A604="","",WEEKNUM(A604,21))</f>
        <v/>
      </c>
      <c r="D604" s="24" t="str">
        <f aca="false">IF(A604="","",DATE(YEAR(A604),MONTH(A604),1))</f>
        <v/>
      </c>
      <c r="E604" s="10"/>
      <c r="F604" s="25"/>
      <c r="G604" s="25"/>
      <c r="H604" s="10"/>
      <c r="I604" s="10"/>
      <c r="J604" s="26"/>
      <c r="K604" s="25"/>
      <c r="L604" s="26"/>
      <c r="M604" s="27"/>
      <c r="N604" s="27"/>
      <c r="O604" s="28" t="str">
        <f aca="false">IF(OR(M604="",M604=0,N604=""),"",N604/M604)</f>
        <v/>
      </c>
      <c r="P604" s="28" t="str">
        <f aca="false">IF(M604="","",IFERROR(IF(INDEX(Parámetros!$B$14:$B$21,MATCH(I604,Parámetros!$A$14:$A$21,0))="",Parámetros!$B$5,INDEX(Parámetros!$B$14:$B$21,MATCH(I604,Parámetros!$A$14:$A$21,0))),Parámetros!$B$5))</f>
        <v/>
      </c>
      <c r="Q604" s="29" t="str">
        <f aca="false">IF(O604="","",(O604-P604)*100)</f>
        <v/>
      </c>
      <c r="R604" s="30" t="str">
        <f aca="false">IF(O604="","",MAX(0,M604*(P604-O604)))</f>
        <v/>
      </c>
      <c r="S604" s="31" t="str">
        <f aca="false">IF(OR(L604="",L604=0,N604=""),"",N604/1000/L604)</f>
        <v/>
      </c>
      <c r="T604" s="27"/>
      <c r="U604" s="27"/>
      <c r="V604" s="27"/>
      <c r="W604" s="27"/>
      <c r="X604" s="27"/>
      <c r="Y604" s="27"/>
      <c r="Z604" s="27"/>
      <c r="AA604" s="25"/>
      <c r="AB604" s="27"/>
      <c r="AC604" s="30" t="str">
        <f aca="false">IF(M604="","",IF(AB604="",M604*Parámetros!$B$6,AB604))</f>
        <v/>
      </c>
      <c r="AD604" s="30" t="str">
        <f aca="false">IF(M604="","",SUM(T604:Z604)+AC604)</f>
        <v/>
      </c>
      <c r="AE604" s="30" t="str">
        <f aca="false">IF(OR(M604="",N604=""),"",M604-N604)</f>
        <v/>
      </c>
      <c r="AF604" s="30" t="str">
        <f aca="false">IF(AE604="","",AE604-AD604)</f>
        <v/>
      </c>
      <c r="AG604" s="28" t="str">
        <f aca="false">IF(OR(AF604="",M604=0),"",AF604/M604)</f>
        <v/>
      </c>
      <c r="AH604" s="32" t="str">
        <f aca="false">IF(OR(AE604="",N604=0),"",AE604/(N604/1000))</f>
        <v/>
      </c>
      <c r="AI604" s="30" t="str">
        <f aca="false">IF(O604="","",M604*P604)</f>
        <v/>
      </c>
      <c r="AJ604" s="11" t="str">
        <f aca="false">IF(O604="","",IF(O604&gt;1,"Error: rend &gt; 100 %",IF(SUM(T604:Z604)=0,"Falta registrar pérdidas",IF(ABS(AG604)&gt;Parámetros!$B$7,"Revisar balance",IF(O604&lt;P604,"Bajo meta","OK")))))</f>
        <v/>
      </c>
      <c r="AK604" s="33"/>
      <c r="AL604" s="10"/>
      <c r="AM604" s="33"/>
      <c r="AN604" s="33"/>
      <c r="AO604" s="10"/>
    </row>
    <row r="605" customFormat="false" ht="15" hidden="false" customHeight="false" outlineLevel="0" collapsed="false">
      <c r="A605" s="22"/>
      <c r="B605" s="23" t="str">
        <f aca="false">IF(A605="","",YEAR(A605-WEEKDAY(A605,2)+4))</f>
        <v/>
      </c>
      <c r="C605" s="23" t="str">
        <f aca="false">IF(A605="","",WEEKNUM(A605,21))</f>
        <v/>
      </c>
      <c r="D605" s="24" t="str">
        <f aca="false">IF(A605="","",DATE(YEAR(A605),MONTH(A605),1))</f>
        <v/>
      </c>
      <c r="E605" s="10"/>
      <c r="F605" s="25"/>
      <c r="G605" s="25"/>
      <c r="H605" s="10"/>
      <c r="I605" s="10"/>
      <c r="J605" s="26"/>
      <c r="K605" s="25"/>
      <c r="L605" s="26"/>
      <c r="M605" s="27"/>
      <c r="N605" s="27"/>
      <c r="O605" s="28" t="str">
        <f aca="false">IF(OR(M605="",M605=0,N605=""),"",N605/M605)</f>
        <v/>
      </c>
      <c r="P605" s="28" t="str">
        <f aca="false">IF(M605="","",IFERROR(IF(INDEX(Parámetros!$B$14:$B$21,MATCH(I605,Parámetros!$A$14:$A$21,0))="",Parámetros!$B$5,INDEX(Parámetros!$B$14:$B$21,MATCH(I605,Parámetros!$A$14:$A$21,0))),Parámetros!$B$5))</f>
        <v/>
      </c>
      <c r="Q605" s="29" t="str">
        <f aca="false">IF(O605="","",(O605-P605)*100)</f>
        <v/>
      </c>
      <c r="R605" s="30" t="str">
        <f aca="false">IF(O605="","",MAX(0,M605*(P605-O605)))</f>
        <v/>
      </c>
      <c r="S605" s="31" t="str">
        <f aca="false">IF(OR(L605="",L605=0,N605=""),"",N605/1000/L605)</f>
        <v/>
      </c>
      <c r="T605" s="27"/>
      <c r="U605" s="27"/>
      <c r="V605" s="27"/>
      <c r="W605" s="27"/>
      <c r="X605" s="27"/>
      <c r="Y605" s="27"/>
      <c r="Z605" s="27"/>
      <c r="AA605" s="25"/>
      <c r="AB605" s="27"/>
      <c r="AC605" s="30" t="str">
        <f aca="false">IF(M605="","",IF(AB605="",M605*Parámetros!$B$6,AB605))</f>
        <v/>
      </c>
      <c r="AD605" s="30" t="str">
        <f aca="false">IF(M605="","",SUM(T605:Z605)+AC605)</f>
        <v/>
      </c>
      <c r="AE605" s="30" t="str">
        <f aca="false">IF(OR(M605="",N605=""),"",M605-N605)</f>
        <v/>
      </c>
      <c r="AF605" s="30" t="str">
        <f aca="false">IF(AE605="","",AE605-AD605)</f>
        <v/>
      </c>
      <c r="AG605" s="28" t="str">
        <f aca="false">IF(OR(AF605="",M605=0),"",AF605/M605)</f>
        <v/>
      </c>
      <c r="AH605" s="32" t="str">
        <f aca="false">IF(OR(AE605="",N605=0),"",AE605/(N605/1000))</f>
        <v/>
      </c>
      <c r="AI605" s="30" t="str">
        <f aca="false">IF(O605="","",M605*P605)</f>
        <v/>
      </c>
      <c r="AJ605" s="11" t="str">
        <f aca="false">IF(O605="","",IF(O605&gt;1,"Error: rend &gt; 100 %",IF(SUM(T605:Z605)=0,"Falta registrar pérdidas",IF(ABS(AG605)&gt;Parámetros!$B$7,"Revisar balance",IF(O605&lt;P605,"Bajo meta","OK")))))</f>
        <v/>
      </c>
      <c r="AK605" s="33"/>
      <c r="AL605" s="10"/>
      <c r="AM605" s="33"/>
      <c r="AN605" s="33"/>
      <c r="AO605" s="10"/>
    </row>
    <row r="606" customFormat="false" ht="15" hidden="false" customHeight="false" outlineLevel="0" collapsed="false">
      <c r="A606" s="22"/>
      <c r="B606" s="23" t="str">
        <f aca="false">IF(A606="","",YEAR(A606-WEEKDAY(A606,2)+4))</f>
        <v/>
      </c>
      <c r="C606" s="23" t="str">
        <f aca="false">IF(A606="","",WEEKNUM(A606,21))</f>
        <v/>
      </c>
      <c r="D606" s="24" t="str">
        <f aca="false">IF(A606="","",DATE(YEAR(A606),MONTH(A606),1))</f>
        <v/>
      </c>
      <c r="E606" s="10"/>
      <c r="F606" s="25"/>
      <c r="G606" s="25"/>
      <c r="H606" s="10"/>
      <c r="I606" s="10"/>
      <c r="J606" s="26"/>
      <c r="K606" s="25"/>
      <c r="L606" s="26"/>
      <c r="M606" s="27"/>
      <c r="N606" s="27"/>
      <c r="O606" s="28" t="str">
        <f aca="false">IF(OR(M606="",M606=0,N606=""),"",N606/M606)</f>
        <v/>
      </c>
      <c r="P606" s="28" t="str">
        <f aca="false">IF(M606="","",IFERROR(IF(INDEX(Parámetros!$B$14:$B$21,MATCH(I606,Parámetros!$A$14:$A$21,0))="",Parámetros!$B$5,INDEX(Parámetros!$B$14:$B$21,MATCH(I606,Parámetros!$A$14:$A$21,0))),Parámetros!$B$5))</f>
        <v/>
      </c>
      <c r="Q606" s="29" t="str">
        <f aca="false">IF(O606="","",(O606-P606)*100)</f>
        <v/>
      </c>
      <c r="R606" s="30" t="str">
        <f aca="false">IF(O606="","",MAX(0,M606*(P606-O606)))</f>
        <v/>
      </c>
      <c r="S606" s="31" t="str">
        <f aca="false">IF(OR(L606="",L606=0,N606=""),"",N606/1000/L606)</f>
        <v/>
      </c>
      <c r="T606" s="27"/>
      <c r="U606" s="27"/>
      <c r="V606" s="27"/>
      <c r="W606" s="27"/>
      <c r="X606" s="27"/>
      <c r="Y606" s="27"/>
      <c r="Z606" s="27"/>
      <c r="AA606" s="25"/>
      <c r="AB606" s="27"/>
      <c r="AC606" s="30" t="str">
        <f aca="false">IF(M606="","",IF(AB606="",M606*Parámetros!$B$6,AB606))</f>
        <v/>
      </c>
      <c r="AD606" s="30" t="str">
        <f aca="false">IF(M606="","",SUM(T606:Z606)+AC606)</f>
        <v/>
      </c>
      <c r="AE606" s="30" t="str">
        <f aca="false">IF(OR(M606="",N606=""),"",M606-N606)</f>
        <v/>
      </c>
      <c r="AF606" s="30" t="str">
        <f aca="false">IF(AE606="","",AE606-AD606)</f>
        <v/>
      </c>
      <c r="AG606" s="28" t="str">
        <f aca="false">IF(OR(AF606="",M606=0),"",AF606/M606)</f>
        <v/>
      </c>
      <c r="AH606" s="32" t="str">
        <f aca="false">IF(OR(AE606="",N606=0),"",AE606/(N606/1000))</f>
        <v/>
      </c>
      <c r="AI606" s="30" t="str">
        <f aca="false">IF(O606="","",M606*P606)</f>
        <v/>
      </c>
      <c r="AJ606" s="11" t="str">
        <f aca="false">IF(O606="","",IF(O606&gt;1,"Error: rend &gt; 100 %",IF(SUM(T606:Z606)=0,"Falta registrar pérdidas",IF(ABS(AG606)&gt;Parámetros!$B$7,"Revisar balance",IF(O606&lt;P606,"Bajo meta","OK")))))</f>
        <v/>
      </c>
      <c r="AK606" s="33"/>
      <c r="AL606" s="10"/>
      <c r="AM606" s="33"/>
      <c r="AN606" s="33"/>
      <c r="AO606" s="10"/>
    </row>
    <row r="607" customFormat="false" ht="15" hidden="false" customHeight="false" outlineLevel="0" collapsed="false">
      <c r="A607" s="22"/>
      <c r="B607" s="23" t="str">
        <f aca="false">IF(A607="","",YEAR(A607-WEEKDAY(A607,2)+4))</f>
        <v/>
      </c>
      <c r="C607" s="23" t="str">
        <f aca="false">IF(A607="","",WEEKNUM(A607,21))</f>
        <v/>
      </c>
      <c r="D607" s="24" t="str">
        <f aca="false">IF(A607="","",DATE(YEAR(A607),MONTH(A607),1))</f>
        <v/>
      </c>
      <c r="E607" s="10"/>
      <c r="F607" s="25"/>
      <c r="G607" s="25"/>
      <c r="H607" s="10"/>
      <c r="I607" s="10"/>
      <c r="J607" s="26"/>
      <c r="K607" s="25"/>
      <c r="L607" s="26"/>
      <c r="M607" s="27"/>
      <c r="N607" s="27"/>
      <c r="O607" s="28" t="str">
        <f aca="false">IF(OR(M607="",M607=0,N607=""),"",N607/M607)</f>
        <v/>
      </c>
      <c r="P607" s="28" t="str">
        <f aca="false">IF(M607="","",IFERROR(IF(INDEX(Parámetros!$B$14:$B$21,MATCH(I607,Parámetros!$A$14:$A$21,0))="",Parámetros!$B$5,INDEX(Parámetros!$B$14:$B$21,MATCH(I607,Parámetros!$A$14:$A$21,0))),Parámetros!$B$5))</f>
        <v/>
      </c>
      <c r="Q607" s="29" t="str">
        <f aca="false">IF(O607="","",(O607-P607)*100)</f>
        <v/>
      </c>
      <c r="R607" s="30" t="str">
        <f aca="false">IF(O607="","",MAX(0,M607*(P607-O607)))</f>
        <v/>
      </c>
      <c r="S607" s="31" t="str">
        <f aca="false">IF(OR(L607="",L607=0,N607=""),"",N607/1000/L607)</f>
        <v/>
      </c>
      <c r="T607" s="27"/>
      <c r="U607" s="27"/>
      <c r="V607" s="27"/>
      <c r="W607" s="27"/>
      <c r="X607" s="27"/>
      <c r="Y607" s="27"/>
      <c r="Z607" s="27"/>
      <c r="AA607" s="25"/>
      <c r="AB607" s="27"/>
      <c r="AC607" s="30" t="str">
        <f aca="false">IF(M607="","",IF(AB607="",M607*Parámetros!$B$6,AB607))</f>
        <v/>
      </c>
      <c r="AD607" s="30" t="str">
        <f aca="false">IF(M607="","",SUM(T607:Z607)+AC607)</f>
        <v/>
      </c>
      <c r="AE607" s="30" t="str">
        <f aca="false">IF(OR(M607="",N607=""),"",M607-N607)</f>
        <v/>
      </c>
      <c r="AF607" s="30" t="str">
        <f aca="false">IF(AE607="","",AE607-AD607)</f>
        <v/>
      </c>
      <c r="AG607" s="28" t="str">
        <f aca="false">IF(OR(AF607="",M607=0),"",AF607/M607)</f>
        <v/>
      </c>
      <c r="AH607" s="32" t="str">
        <f aca="false">IF(OR(AE607="",N607=0),"",AE607/(N607/1000))</f>
        <v/>
      </c>
      <c r="AI607" s="30" t="str">
        <f aca="false">IF(O607="","",M607*P607)</f>
        <v/>
      </c>
      <c r="AJ607" s="11" t="str">
        <f aca="false">IF(O607="","",IF(O607&gt;1,"Error: rend &gt; 100 %",IF(SUM(T607:Z607)=0,"Falta registrar pérdidas",IF(ABS(AG607)&gt;Parámetros!$B$7,"Revisar balance",IF(O607&lt;P607,"Bajo meta","OK")))))</f>
        <v/>
      </c>
      <c r="AK607" s="33"/>
      <c r="AL607" s="10"/>
      <c r="AM607" s="33"/>
      <c r="AN607" s="33"/>
      <c r="AO607" s="10"/>
    </row>
    <row r="608" customFormat="false" ht="15" hidden="false" customHeight="false" outlineLevel="0" collapsed="false">
      <c r="A608" s="22"/>
      <c r="B608" s="23" t="str">
        <f aca="false">IF(A608="","",YEAR(A608-WEEKDAY(A608,2)+4))</f>
        <v/>
      </c>
      <c r="C608" s="23" t="str">
        <f aca="false">IF(A608="","",WEEKNUM(A608,21))</f>
        <v/>
      </c>
      <c r="D608" s="24" t="str">
        <f aca="false">IF(A608="","",DATE(YEAR(A608),MONTH(A608),1))</f>
        <v/>
      </c>
      <c r="E608" s="10"/>
      <c r="F608" s="25"/>
      <c r="G608" s="25"/>
      <c r="H608" s="10"/>
      <c r="I608" s="10"/>
      <c r="J608" s="26"/>
      <c r="K608" s="25"/>
      <c r="L608" s="26"/>
      <c r="M608" s="27"/>
      <c r="N608" s="27"/>
      <c r="O608" s="28" t="str">
        <f aca="false">IF(OR(M608="",M608=0,N608=""),"",N608/M608)</f>
        <v/>
      </c>
      <c r="P608" s="28" t="str">
        <f aca="false">IF(M608="","",IFERROR(IF(INDEX(Parámetros!$B$14:$B$21,MATCH(I608,Parámetros!$A$14:$A$21,0))="",Parámetros!$B$5,INDEX(Parámetros!$B$14:$B$21,MATCH(I608,Parámetros!$A$14:$A$21,0))),Parámetros!$B$5))</f>
        <v/>
      </c>
      <c r="Q608" s="29" t="str">
        <f aca="false">IF(O608="","",(O608-P608)*100)</f>
        <v/>
      </c>
      <c r="R608" s="30" t="str">
        <f aca="false">IF(O608="","",MAX(0,M608*(P608-O608)))</f>
        <v/>
      </c>
      <c r="S608" s="31" t="str">
        <f aca="false">IF(OR(L608="",L608=0,N608=""),"",N608/1000/L608)</f>
        <v/>
      </c>
      <c r="T608" s="27"/>
      <c r="U608" s="27"/>
      <c r="V608" s="27"/>
      <c r="W608" s="27"/>
      <c r="X608" s="27"/>
      <c r="Y608" s="27"/>
      <c r="Z608" s="27"/>
      <c r="AA608" s="25"/>
      <c r="AB608" s="27"/>
      <c r="AC608" s="30" t="str">
        <f aca="false">IF(M608="","",IF(AB608="",M608*Parámetros!$B$6,AB608))</f>
        <v/>
      </c>
      <c r="AD608" s="30" t="str">
        <f aca="false">IF(M608="","",SUM(T608:Z608)+AC608)</f>
        <v/>
      </c>
      <c r="AE608" s="30" t="str">
        <f aca="false">IF(OR(M608="",N608=""),"",M608-N608)</f>
        <v/>
      </c>
      <c r="AF608" s="30" t="str">
        <f aca="false">IF(AE608="","",AE608-AD608)</f>
        <v/>
      </c>
      <c r="AG608" s="28" t="str">
        <f aca="false">IF(OR(AF608="",M608=0),"",AF608/M608)</f>
        <v/>
      </c>
      <c r="AH608" s="32" t="str">
        <f aca="false">IF(OR(AE608="",N608=0),"",AE608/(N608/1000))</f>
        <v/>
      </c>
      <c r="AI608" s="30" t="str">
        <f aca="false">IF(O608="","",M608*P608)</f>
        <v/>
      </c>
      <c r="AJ608" s="11" t="str">
        <f aca="false">IF(O608="","",IF(O608&gt;1,"Error: rend &gt; 100 %",IF(SUM(T608:Z608)=0,"Falta registrar pérdidas",IF(ABS(AG608)&gt;Parámetros!$B$7,"Revisar balance",IF(O608&lt;P608,"Bajo meta","OK")))))</f>
        <v/>
      </c>
      <c r="AK608" s="33"/>
      <c r="AL608" s="10"/>
      <c r="AM608" s="33"/>
      <c r="AN608" s="33"/>
      <c r="AO608" s="10"/>
    </row>
    <row r="609" customFormat="false" ht="15" hidden="false" customHeight="false" outlineLevel="0" collapsed="false">
      <c r="A609" s="22"/>
      <c r="B609" s="23" t="str">
        <f aca="false">IF(A609="","",YEAR(A609-WEEKDAY(A609,2)+4))</f>
        <v/>
      </c>
      <c r="C609" s="23" t="str">
        <f aca="false">IF(A609="","",WEEKNUM(A609,21))</f>
        <v/>
      </c>
      <c r="D609" s="24" t="str">
        <f aca="false">IF(A609="","",DATE(YEAR(A609),MONTH(A609),1))</f>
        <v/>
      </c>
      <c r="E609" s="10"/>
      <c r="F609" s="25"/>
      <c r="G609" s="25"/>
      <c r="H609" s="10"/>
      <c r="I609" s="10"/>
      <c r="J609" s="26"/>
      <c r="K609" s="25"/>
      <c r="L609" s="26"/>
      <c r="M609" s="27"/>
      <c r="N609" s="27"/>
      <c r="O609" s="28" t="str">
        <f aca="false">IF(OR(M609="",M609=0,N609=""),"",N609/M609)</f>
        <v/>
      </c>
      <c r="P609" s="28" t="str">
        <f aca="false">IF(M609="","",IFERROR(IF(INDEX(Parámetros!$B$14:$B$21,MATCH(I609,Parámetros!$A$14:$A$21,0))="",Parámetros!$B$5,INDEX(Parámetros!$B$14:$B$21,MATCH(I609,Parámetros!$A$14:$A$21,0))),Parámetros!$B$5))</f>
        <v/>
      </c>
      <c r="Q609" s="29" t="str">
        <f aca="false">IF(O609="","",(O609-P609)*100)</f>
        <v/>
      </c>
      <c r="R609" s="30" t="str">
        <f aca="false">IF(O609="","",MAX(0,M609*(P609-O609)))</f>
        <v/>
      </c>
      <c r="S609" s="31" t="str">
        <f aca="false">IF(OR(L609="",L609=0,N609=""),"",N609/1000/L609)</f>
        <v/>
      </c>
      <c r="T609" s="27"/>
      <c r="U609" s="27"/>
      <c r="V609" s="27"/>
      <c r="W609" s="27"/>
      <c r="X609" s="27"/>
      <c r="Y609" s="27"/>
      <c r="Z609" s="27"/>
      <c r="AA609" s="25"/>
      <c r="AB609" s="27"/>
      <c r="AC609" s="30" t="str">
        <f aca="false">IF(M609="","",IF(AB609="",M609*Parámetros!$B$6,AB609))</f>
        <v/>
      </c>
      <c r="AD609" s="30" t="str">
        <f aca="false">IF(M609="","",SUM(T609:Z609)+AC609)</f>
        <v/>
      </c>
      <c r="AE609" s="30" t="str">
        <f aca="false">IF(OR(M609="",N609=""),"",M609-N609)</f>
        <v/>
      </c>
      <c r="AF609" s="30" t="str">
        <f aca="false">IF(AE609="","",AE609-AD609)</f>
        <v/>
      </c>
      <c r="AG609" s="28" t="str">
        <f aca="false">IF(OR(AF609="",M609=0),"",AF609/M609)</f>
        <v/>
      </c>
      <c r="AH609" s="32" t="str">
        <f aca="false">IF(OR(AE609="",N609=0),"",AE609/(N609/1000))</f>
        <v/>
      </c>
      <c r="AI609" s="30" t="str">
        <f aca="false">IF(O609="","",M609*P609)</f>
        <v/>
      </c>
      <c r="AJ609" s="11" t="str">
        <f aca="false">IF(O609="","",IF(O609&gt;1,"Error: rend &gt; 100 %",IF(SUM(T609:Z609)=0,"Falta registrar pérdidas",IF(ABS(AG609)&gt;Parámetros!$B$7,"Revisar balance",IF(O609&lt;P609,"Bajo meta","OK")))))</f>
        <v/>
      </c>
      <c r="AK609" s="33"/>
      <c r="AL609" s="10"/>
      <c r="AM609" s="33"/>
      <c r="AN609" s="33"/>
      <c r="AO609" s="10"/>
    </row>
    <row r="610" customFormat="false" ht="15" hidden="false" customHeight="false" outlineLevel="0" collapsed="false">
      <c r="A610" s="22"/>
      <c r="B610" s="23" t="str">
        <f aca="false">IF(A610="","",YEAR(A610-WEEKDAY(A610,2)+4))</f>
        <v/>
      </c>
      <c r="C610" s="23" t="str">
        <f aca="false">IF(A610="","",WEEKNUM(A610,21))</f>
        <v/>
      </c>
      <c r="D610" s="24" t="str">
        <f aca="false">IF(A610="","",DATE(YEAR(A610),MONTH(A610),1))</f>
        <v/>
      </c>
      <c r="E610" s="10"/>
      <c r="F610" s="25"/>
      <c r="G610" s="25"/>
      <c r="H610" s="10"/>
      <c r="I610" s="10"/>
      <c r="J610" s="26"/>
      <c r="K610" s="25"/>
      <c r="L610" s="26"/>
      <c r="M610" s="27"/>
      <c r="N610" s="27"/>
      <c r="O610" s="28" t="str">
        <f aca="false">IF(OR(M610="",M610=0,N610=""),"",N610/M610)</f>
        <v/>
      </c>
      <c r="P610" s="28" t="str">
        <f aca="false">IF(M610="","",IFERROR(IF(INDEX(Parámetros!$B$14:$B$21,MATCH(I610,Parámetros!$A$14:$A$21,0))="",Parámetros!$B$5,INDEX(Parámetros!$B$14:$B$21,MATCH(I610,Parámetros!$A$14:$A$21,0))),Parámetros!$B$5))</f>
        <v/>
      </c>
      <c r="Q610" s="29" t="str">
        <f aca="false">IF(O610="","",(O610-P610)*100)</f>
        <v/>
      </c>
      <c r="R610" s="30" t="str">
        <f aca="false">IF(O610="","",MAX(0,M610*(P610-O610)))</f>
        <v/>
      </c>
      <c r="S610" s="31" t="str">
        <f aca="false">IF(OR(L610="",L610=0,N610=""),"",N610/1000/L610)</f>
        <v/>
      </c>
      <c r="T610" s="27"/>
      <c r="U610" s="27"/>
      <c r="V610" s="27"/>
      <c r="W610" s="27"/>
      <c r="X610" s="27"/>
      <c r="Y610" s="27"/>
      <c r="Z610" s="27"/>
      <c r="AA610" s="25"/>
      <c r="AB610" s="27"/>
      <c r="AC610" s="30" t="str">
        <f aca="false">IF(M610="","",IF(AB610="",M610*Parámetros!$B$6,AB610))</f>
        <v/>
      </c>
      <c r="AD610" s="30" t="str">
        <f aca="false">IF(M610="","",SUM(T610:Z610)+AC610)</f>
        <v/>
      </c>
      <c r="AE610" s="30" t="str">
        <f aca="false">IF(OR(M610="",N610=""),"",M610-N610)</f>
        <v/>
      </c>
      <c r="AF610" s="30" t="str">
        <f aca="false">IF(AE610="","",AE610-AD610)</f>
        <v/>
      </c>
      <c r="AG610" s="28" t="str">
        <f aca="false">IF(OR(AF610="",M610=0),"",AF610/M610)</f>
        <v/>
      </c>
      <c r="AH610" s="32" t="str">
        <f aca="false">IF(OR(AE610="",N610=0),"",AE610/(N610/1000))</f>
        <v/>
      </c>
      <c r="AI610" s="30" t="str">
        <f aca="false">IF(O610="","",M610*P610)</f>
        <v/>
      </c>
      <c r="AJ610" s="11" t="str">
        <f aca="false">IF(O610="","",IF(O610&gt;1,"Error: rend &gt; 100 %",IF(SUM(T610:Z610)=0,"Falta registrar pérdidas",IF(ABS(AG610)&gt;Parámetros!$B$7,"Revisar balance",IF(O610&lt;P610,"Bajo meta","OK")))))</f>
        <v/>
      </c>
      <c r="AK610" s="33"/>
      <c r="AL610" s="10"/>
      <c r="AM610" s="33"/>
      <c r="AN610" s="33"/>
      <c r="AO610" s="10"/>
    </row>
    <row r="611" customFormat="false" ht="15" hidden="false" customHeight="false" outlineLevel="0" collapsed="false">
      <c r="A611" s="22"/>
      <c r="B611" s="23" t="str">
        <f aca="false">IF(A611="","",YEAR(A611-WEEKDAY(A611,2)+4))</f>
        <v/>
      </c>
      <c r="C611" s="23" t="str">
        <f aca="false">IF(A611="","",WEEKNUM(A611,21))</f>
        <v/>
      </c>
      <c r="D611" s="24" t="str">
        <f aca="false">IF(A611="","",DATE(YEAR(A611),MONTH(A611),1))</f>
        <v/>
      </c>
      <c r="E611" s="10"/>
      <c r="F611" s="25"/>
      <c r="G611" s="25"/>
      <c r="H611" s="10"/>
      <c r="I611" s="10"/>
      <c r="J611" s="26"/>
      <c r="K611" s="25"/>
      <c r="L611" s="26"/>
      <c r="M611" s="27"/>
      <c r="N611" s="27"/>
      <c r="O611" s="28" t="str">
        <f aca="false">IF(OR(M611="",M611=0,N611=""),"",N611/M611)</f>
        <v/>
      </c>
      <c r="P611" s="28" t="str">
        <f aca="false">IF(M611="","",IFERROR(IF(INDEX(Parámetros!$B$14:$B$21,MATCH(I611,Parámetros!$A$14:$A$21,0))="",Parámetros!$B$5,INDEX(Parámetros!$B$14:$B$21,MATCH(I611,Parámetros!$A$14:$A$21,0))),Parámetros!$B$5))</f>
        <v/>
      </c>
      <c r="Q611" s="29" t="str">
        <f aca="false">IF(O611="","",(O611-P611)*100)</f>
        <v/>
      </c>
      <c r="R611" s="30" t="str">
        <f aca="false">IF(O611="","",MAX(0,M611*(P611-O611)))</f>
        <v/>
      </c>
      <c r="S611" s="31" t="str">
        <f aca="false">IF(OR(L611="",L611=0,N611=""),"",N611/1000/L611)</f>
        <v/>
      </c>
      <c r="T611" s="27"/>
      <c r="U611" s="27"/>
      <c r="V611" s="27"/>
      <c r="W611" s="27"/>
      <c r="X611" s="27"/>
      <c r="Y611" s="27"/>
      <c r="Z611" s="27"/>
      <c r="AA611" s="25"/>
      <c r="AB611" s="27"/>
      <c r="AC611" s="30" t="str">
        <f aca="false">IF(M611="","",IF(AB611="",M611*Parámetros!$B$6,AB611))</f>
        <v/>
      </c>
      <c r="AD611" s="30" t="str">
        <f aca="false">IF(M611="","",SUM(T611:Z611)+AC611)</f>
        <v/>
      </c>
      <c r="AE611" s="30" t="str">
        <f aca="false">IF(OR(M611="",N611=""),"",M611-N611)</f>
        <v/>
      </c>
      <c r="AF611" s="30" t="str">
        <f aca="false">IF(AE611="","",AE611-AD611)</f>
        <v/>
      </c>
      <c r="AG611" s="28" t="str">
        <f aca="false">IF(OR(AF611="",M611=0),"",AF611/M611)</f>
        <v/>
      </c>
      <c r="AH611" s="32" t="str">
        <f aca="false">IF(OR(AE611="",N611=0),"",AE611/(N611/1000))</f>
        <v/>
      </c>
      <c r="AI611" s="30" t="str">
        <f aca="false">IF(O611="","",M611*P611)</f>
        <v/>
      </c>
      <c r="AJ611" s="11" t="str">
        <f aca="false">IF(O611="","",IF(O611&gt;1,"Error: rend &gt; 100 %",IF(SUM(T611:Z611)=0,"Falta registrar pérdidas",IF(ABS(AG611)&gt;Parámetros!$B$7,"Revisar balance",IF(O611&lt;P611,"Bajo meta","OK")))))</f>
        <v/>
      </c>
      <c r="AK611" s="33"/>
      <c r="AL611" s="10"/>
      <c r="AM611" s="33"/>
      <c r="AN611" s="33"/>
      <c r="AO611" s="10"/>
    </row>
    <row r="612" customFormat="false" ht="15" hidden="false" customHeight="false" outlineLevel="0" collapsed="false">
      <c r="A612" s="22"/>
      <c r="B612" s="23" t="str">
        <f aca="false">IF(A612="","",YEAR(A612-WEEKDAY(A612,2)+4))</f>
        <v/>
      </c>
      <c r="C612" s="23" t="str">
        <f aca="false">IF(A612="","",WEEKNUM(A612,21))</f>
        <v/>
      </c>
      <c r="D612" s="24" t="str">
        <f aca="false">IF(A612="","",DATE(YEAR(A612),MONTH(A612),1))</f>
        <v/>
      </c>
      <c r="E612" s="10"/>
      <c r="F612" s="25"/>
      <c r="G612" s="25"/>
      <c r="H612" s="10"/>
      <c r="I612" s="10"/>
      <c r="J612" s="26"/>
      <c r="K612" s="25"/>
      <c r="L612" s="26"/>
      <c r="M612" s="27"/>
      <c r="N612" s="27"/>
      <c r="O612" s="28" t="str">
        <f aca="false">IF(OR(M612="",M612=0,N612=""),"",N612/M612)</f>
        <v/>
      </c>
      <c r="P612" s="28" t="str">
        <f aca="false">IF(M612="","",IFERROR(IF(INDEX(Parámetros!$B$14:$B$21,MATCH(I612,Parámetros!$A$14:$A$21,0))="",Parámetros!$B$5,INDEX(Parámetros!$B$14:$B$21,MATCH(I612,Parámetros!$A$14:$A$21,0))),Parámetros!$B$5))</f>
        <v/>
      </c>
      <c r="Q612" s="29" t="str">
        <f aca="false">IF(O612="","",(O612-P612)*100)</f>
        <v/>
      </c>
      <c r="R612" s="30" t="str">
        <f aca="false">IF(O612="","",MAX(0,M612*(P612-O612)))</f>
        <v/>
      </c>
      <c r="S612" s="31" t="str">
        <f aca="false">IF(OR(L612="",L612=0,N612=""),"",N612/1000/L612)</f>
        <v/>
      </c>
      <c r="T612" s="27"/>
      <c r="U612" s="27"/>
      <c r="V612" s="27"/>
      <c r="W612" s="27"/>
      <c r="X612" s="27"/>
      <c r="Y612" s="27"/>
      <c r="Z612" s="27"/>
      <c r="AA612" s="25"/>
      <c r="AB612" s="27"/>
      <c r="AC612" s="30" t="str">
        <f aca="false">IF(M612="","",IF(AB612="",M612*Parámetros!$B$6,AB612))</f>
        <v/>
      </c>
      <c r="AD612" s="30" t="str">
        <f aca="false">IF(M612="","",SUM(T612:Z612)+AC612)</f>
        <v/>
      </c>
      <c r="AE612" s="30" t="str">
        <f aca="false">IF(OR(M612="",N612=""),"",M612-N612)</f>
        <v/>
      </c>
      <c r="AF612" s="30" t="str">
        <f aca="false">IF(AE612="","",AE612-AD612)</f>
        <v/>
      </c>
      <c r="AG612" s="28" t="str">
        <f aca="false">IF(OR(AF612="",M612=0),"",AF612/M612)</f>
        <v/>
      </c>
      <c r="AH612" s="32" t="str">
        <f aca="false">IF(OR(AE612="",N612=0),"",AE612/(N612/1000))</f>
        <v/>
      </c>
      <c r="AI612" s="30" t="str">
        <f aca="false">IF(O612="","",M612*P612)</f>
        <v/>
      </c>
      <c r="AJ612" s="11" t="str">
        <f aca="false">IF(O612="","",IF(O612&gt;1,"Error: rend &gt; 100 %",IF(SUM(T612:Z612)=0,"Falta registrar pérdidas",IF(ABS(AG612)&gt;Parámetros!$B$7,"Revisar balance",IF(O612&lt;P612,"Bajo meta","OK")))))</f>
        <v/>
      </c>
      <c r="AK612" s="33"/>
      <c r="AL612" s="10"/>
      <c r="AM612" s="33"/>
      <c r="AN612" s="33"/>
      <c r="AO612" s="10"/>
    </row>
    <row r="613" customFormat="false" ht="15" hidden="false" customHeight="false" outlineLevel="0" collapsed="false">
      <c r="A613" s="22"/>
      <c r="B613" s="23" t="str">
        <f aca="false">IF(A613="","",YEAR(A613-WEEKDAY(A613,2)+4))</f>
        <v/>
      </c>
      <c r="C613" s="23" t="str">
        <f aca="false">IF(A613="","",WEEKNUM(A613,21))</f>
        <v/>
      </c>
      <c r="D613" s="24" t="str">
        <f aca="false">IF(A613="","",DATE(YEAR(A613),MONTH(A613),1))</f>
        <v/>
      </c>
      <c r="E613" s="10"/>
      <c r="F613" s="25"/>
      <c r="G613" s="25"/>
      <c r="H613" s="10"/>
      <c r="I613" s="10"/>
      <c r="J613" s="26"/>
      <c r="K613" s="25"/>
      <c r="L613" s="26"/>
      <c r="M613" s="27"/>
      <c r="N613" s="27"/>
      <c r="O613" s="28" t="str">
        <f aca="false">IF(OR(M613="",M613=0,N613=""),"",N613/M613)</f>
        <v/>
      </c>
      <c r="P613" s="28" t="str">
        <f aca="false">IF(M613="","",IFERROR(IF(INDEX(Parámetros!$B$14:$B$21,MATCH(I613,Parámetros!$A$14:$A$21,0))="",Parámetros!$B$5,INDEX(Parámetros!$B$14:$B$21,MATCH(I613,Parámetros!$A$14:$A$21,0))),Parámetros!$B$5))</f>
        <v/>
      </c>
      <c r="Q613" s="29" t="str">
        <f aca="false">IF(O613="","",(O613-P613)*100)</f>
        <v/>
      </c>
      <c r="R613" s="30" t="str">
        <f aca="false">IF(O613="","",MAX(0,M613*(P613-O613)))</f>
        <v/>
      </c>
      <c r="S613" s="31" t="str">
        <f aca="false">IF(OR(L613="",L613=0,N613=""),"",N613/1000/L613)</f>
        <v/>
      </c>
      <c r="T613" s="27"/>
      <c r="U613" s="27"/>
      <c r="V613" s="27"/>
      <c r="W613" s="27"/>
      <c r="X613" s="27"/>
      <c r="Y613" s="27"/>
      <c r="Z613" s="27"/>
      <c r="AA613" s="25"/>
      <c r="AB613" s="27"/>
      <c r="AC613" s="30" t="str">
        <f aca="false">IF(M613="","",IF(AB613="",M613*Parámetros!$B$6,AB613))</f>
        <v/>
      </c>
      <c r="AD613" s="30" t="str">
        <f aca="false">IF(M613="","",SUM(T613:Z613)+AC613)</f>
        <v/>
      </c>
      <c r="AE613" s="30" t="str">
        <f aca="false">IF(OR(M613="",N613=""),"",M613-N613)</f>
        <v/>
      </c>
      <c r="AF613" s="30" t="str">
        <f aca="false">IF(AE613="","",AE613-AD613)</f>
        <v/>
      </c>
      <c r="AG613" s="28" t="str">
        <f aca="false">IF(OR(AF613="",M613=0),"",AF613/M613)</f>
        <v/>
      </c>
      <c r="AH613" s="32" t="str">
        <f aca="false">IF(OR(AE613="",N613=0),"",AE613/(N613/1000))</f>
        <v/>
      </c>
      <c r="AI613" s="30" t="str">
        <f aca="false">IF(O613="","",M613*P613)</f>
        <v/>
      </c>
      <c r="AJ613" s="11" t="str">
        <f aca="false">IF(O613="","",IF(O613&gt;1,"Error: rend &gt; 100 %",IF(SUM(T613:Z613)=0,"Falta registrar pérdidas",IF(ABS(AG613)&gt;Parámetros!$B$7,"Revisar balance",IF(O613&lt;P613,"Bajo meta","OK")))))</f>
        <v/>
      </c>
      <c r="AK613" s="33"/>
      <c r="AL613" s="10"/>
      <c r="AM613" s="33"/>
      <c r="AN613" s="33"/>
      <c r="AO613" s="10"/>
    </row>
    <row r="614" customFormat="false" ht="15" hidden="false" customHeight="false" outlineLevel="0" collapsed="false">
      <c r="A614" s="22"/>
      <c r="B614" s="23" t="str">
        <f aca="false">IF(A614="","",YEAR(A614-WEEKDAY(A614,2)+4))</f>
        <v/>
      </c>
      <c r="C614" s="23" t="str">
        <f aca="false">IF(A614="","",WEEKNUM(A614,21))</f>
        <v/>
      </c>
      <c r="D614" s="24" t="str">
        <f aca="false">IF(A614="","",DATE(YEAR(A614),MONTH(A614),1))</f>
        <v/>
      </c>
      <c r="E614" s="10"/>
      <c r="F614" s="25"/>
      <c r="G614" s="25"/>
      <c r="H614" s="10"/>
      <c r="I614" s="10"/>
      <c r="J614" s="26"/>
      <c r="K614" s="25"/>
      <c r="L614" s="26"/>
      <c r="M614" s="27"/>
      <c r="N614" s="27"/>
      <c r="O614" s="28" t="str">
        <f aca="false">IF(OR(M614="",M614=0,N614=""),"",N614/M614)</f>
        <v/>
      </c>
      <c r="P614" s="28" t="str">
        <f aca="false">IF(M614="","",IFERROR(IF(INDEX(Parámetros!$B$14:$B$21,MATCH(I614,Parámetros!$A$14:$A$21,0))="",Parámetros!$B$5,INDEX(Parámetros!$B$14:$B$21,MATCH(I614,Parámetros!$A$14:$A$21,0))),Parámetros!$B$5))</f>
        <v/>
      </c>
      <c r="Q614" s="29" t="str">
        <f aca="false">IF(O614="","",(O614-P614)*100)</f>
        <v/>
      </c>
      <c r="R614" s="30" t="str">
        <f aca="false">IF(O614="","",MAX(0,M614*(P614-O614)))</f>
        <v/>
      </c>
      <c r="S614" s="31" t="str">
        <f aca="false">IF(OR(L614="",L614=0,N614=""),"",N614/1000/L614)</f>
        <v/>
      </c>
      <c r="T614" s="27"/>
      <c r="U614" s="27"/>
      <c r="V614" s="27"/>
      <c r="W614" s="27"/>
      <c r="X614" s="27"/>
      <c r="Y614" s="27"/>
      <c r="Z614" s="27"/>
      <c r="AA614" s="25"/>
      <c r="AB614" s="27"/>
      <c r="AC614" s="30" t="str">
        <f aca="false">IF(M614="","",IF(AB614="",M614*Parámetros!$B$6,AB614))</f>
        <v/>
      </c>
      <c r="AD614" s="30" t="str">
        <f aca="false">IF(M614="","",SUM(T614:Z614)+AC614)</f>
        <v/>
      </c>
      <c r="AE614" s="30" t="str">
        <f aca="false">IF(OR(M614="",N614=""),"",M614-N614)</f>
        <v/>
      </c>
      <c r="AF614" s="30" t="str">
        <f aca="false">IF(AE614="","",AE614-AD614)</f>
        <v/>
      </c>
      <c r="AG614" s="28" t="str">
        <f aca="false">IF(OR(AF614="",M614=0),"",AF614/M614)</f>
        <v/>
      </c>
      <c r="AH614" s="32" t="str">
        <f aca="false">IF(OR(AE614="",N614=0),"",AE614/(N614/1000))</f>
        <v/>
      </c>
      <c r="AI614" s="30" t="str">
        <f aca="false">IF(O614="","",M614*P614)</f>
        <v/>
      </c>
      <c r="AJ614" s="11" t="str">
        <f aca="false">IF(O614="","",IF(O614&gt;1,"Error: rend &gt; 100 %",IF(SUM(T614:Z614)=0,"Falta registrar pérdidas",IF(ABS(AG614)&gt;Parámetros!$B$7,"Revisar balance",IF(O614&lt;P614,"Bajo meta","OK")))))</f>
        <v/>
      </c>
      <c r="AK614" s="33"/>
      <c r="AL614" s="10"/>
      <c r="AM614" s="33"/>
      <c r="AN614" s="33"/>
      <c r="AO614" s="10"/>
    </row>
    <row r="615" customFormat="false" ht="15" hidden="false" customHeight="false" outlineLevel="0" collapsed="false">
      <c r="A615" s="22"/>
      <c r="B615" s="23" t="str">
        <f aca="false">IF(A615="","",YEAR(A615-WEEKDAY(A615,2)+4))</f>
        <v/>
      </c>
      <c r="C615" s="23" t="str">
        <f aca="false">IF(A615="","",WEEKNUM(A615,21))</f>
        <v/>
      </c>
      <c r="D615" s="24" t="str">
        <f aca="false">IF(A615="","",DATE(YEAR(A615),MONTH(A615),1))</f>
        <v/>
      </c>
      <c r="E615" s="10"/>
      <c r="F615" s="25"/>
      <c r="G615" s="25"/>
      <c r="H615" s="10"/>
      <c r="I615" s="10"/>
      <c r="J615" s="26"/>
      <c r="K615" s="25"/>
      <c r="L615" s="26"/>
      <c r="M615" s="27"/>
      <c r="N615" s="27"/>
      <c r="O615" s="28" t="str">
        <f aca="false">IF(OR(M615="",M615=0,N615=""),"",N615/M615)</f>
        <v/>
      </c>
      <c r="P615" s="28" t="str">
        <f aca="false">IF(M615="","",IFERROR(IF(INDEX(Parámetros!$B$14:$B$21,MATCH(I615,Parámetros!$A$14:$A$21,0))="",Parámetros!$B$5,INDEX(Parámetros!$B$14:$B$21,MATCH(I615,Parámetros!$A$14:$A$21,0))),Parámetros!$B$5))</f>
        <v/>
      </c>
      <c r="Q615" s="29" t="str">
        <f aca="false">IF(O615="","",(O615-P615)*100)</f>
        <v/>
      </c>
      <c r="R615" s="30" t="str">
        <f aca="false">IF(O615="","",MAX(0,M615*(P615-O615)))</f>
        <v/>
      </c>
      <c r="S615" s="31" t="str">
        <f aca="false">IF(OR(L615="",L615=0,N615=""),"",N615/1000/L615)</f>
        <v/>
      </c>
      <c r="T615" s="27"/>
      <c r="U615" s="27"/>
      <c r="V615" s="27"/>
      <c r="W615" s="27"/>
      <c r="X615" s="27"/>
      <c r="Y615" s="27"/>
      <c r="Z615" s="27"/>
      <c r="AA615" s="25"/>
      <c r="AB615" s="27"/>
      <c r="AC615" s="30" t="str">
        <f aca="false">IF(M615="","",IF(AB615="",M615*Parámetros!$B$6,AB615))</f>
        <v/>
      </c>
      <c r="AD615" s="30" t="str">
        <f aca="false">IF(M615="","",SUM(T615:Z615)+AC615)</f>
        <v/>
      </c>
      <c r="AE615" s="30" t="str">
        <f aca="false">IF(OR(M615="",N615=""),"",M615-N615)</f>
        <v/>
      </c>
      <c r="AF615" s="30" t="str">
        <f aca="false">IF(AE615="","",AE615-AD615)</f>
        <v/>
      </c>
      <c r="AG615" s="28" t="str">
        <f aca="false">IF(OR(AF615="",M615=0),"",AF615/M615)</f>
        <v/>
      </c>
      <c r="AH615" s="32" t="str">
        <f aca="false">IF(OR(AE615="",N615=0),"",AE615/(N615/1000))</f>
        <v/>
      </c>
      <c r="AI615" s="30" t="str">
        <f aca="false">IF(O615="","",M615*P615)</f>
        <v/>
      </c>
      <c r="AJ615" s="11" t="str">
        <f aca="false">IF(O615="","",IF(O615&gt;1,"Error: rend &gt; 100 %",IF(SUM(T615:Z615)=0,"Falta registrar pérdidas",IF(ABS(AG615)&gt;Parámetros!$B$7,"Revisar balance",IF(O615&lt;P615,"Bajo meta","OK")))))</f>
        <v/>
      </c>
      <c r="AK615" s="33"/>
      <c r="AL615" s="10"/>
      <c r="AM615" s="33"/>
      <c r="AN615" s="33"/>
      <c r="AO615" s="10"/>
    </row>
    <row r="616" customFormat="false" ht="15" hidden="false" customHeight="false" outlineLevel="0" collapsed="false">
      <c r="A616" s="22"/>
      <c r="B616" s="23" t="str">
        <f aca="false">IF(A616="","",YEAR(A616-WEEKDAY(A616,2)+4))</f>
        <v/>
      </c>
      <c r="C616" s="23" t="str">
        <f aca="false">IF(A616="","",WEEKNUM(A616,21))</f>
        <v/>
      </c>
      <c r="D616" s="24" t="str">
        <f aca="false">IF(A616="","",DATE(YEAR(A616),MONTH(A616),1))</f>
        <v/>
      </c>
      <c r="E616" s="10"/>
      <c r="F616" s="25"/>
      <c r="G616" s="25"/>
      <c r="H616" s="10"/>
      <c r="I616" s="10"/>
      <c r="J616" s="26"/>
      <c r="K616" s="25"/>
      <c r="L616" s="26"/>
      <c r="M616" s="27"/>
      <c r="N616" s="27"/>
      <c r="O616" s="28" t="str">
        <f aca="false">IF(OR(M616="",M616=0,N616=""),"",N616/M616)</f>
        <v/>
      </c>
      <c r="P616" s="28" t="str">
        <f aca="false">IF(M616="","",IFERROR(IF(INDEX(Parámetros!$B$14:$B$21,MATCH(I616,Parámetros!$A$14:$A$21,0))="",Parámetros!$B$5,INDEX(Parámetros!$B$14:$B$21,MATCH(I616,Parámetros!$A$14:$A$21,0))),Parámetros!$B$5))</f>
        <v/>
      </c>
      <c r="Q616" s="29" t="str">
        <f aca="false">IF(O616="","",(O616-P616)*100)</f>
        <v/>
      </c>
      <c r="R616" s="30" t="str">
        <f aca="false">IF(O616="","",MAX(0,M616*(P616-O616)))</f>
        <v/>
      </c>
      <c r="S616" s="31" t="str">
        <f aca="false">IF(OR(L616="",L616=0,N616=""),"",N616/1000/L616)</f>
        <v/>
      </c>
      <c r="T616" s="27"/>
      <c r="U616" s="27"/>
      <c r="V616" s="27"/>
      <c r="W616" s="27"/>
      <c r="X616" s="27"/>
      <c r="Y616" s="27"/>
      <c r="Z616" s="27"/>
      <c r="AA616" s="25"/>
      <c r="AB616" s="27"/>
      <c r="AC616" s="30" t="str">
        <f aca="false">IF(M616="","",IF(AB616="",M616*Parámetros!$B$6,AB616))</f>
        <v/>
      </c>
      <c r="AD616" s="30" t="str">
        <f aca="false">IF(M616="","",SUM(T616:Z616)+AC616)</f>
        <v/>
      </c>
      <c r="AE616" s="30" t="str">
        <f aca="false">IF(OR(M616="",N616=""),"",M616-N616)</f>
        <v/>
      </c>
      <c r="AF616" s="30" t="str">
        <f aca="false">IF(AE616="","",AE616-AD616)</f>
        <v/>
      </c>
      <c r="AG616" s="28" t="str">
        <f aca="false">IF(OR(AF616="",M616=0),"",AF616/M616)</f>
        <v/>
      </c>
      <c r="AH616" s="32" t="str">
        <f aca="false">IF(OR(AE616="",N616=0),"",AE616/(N616/1000))</f>
        <v/>
      </c>
      <c r="AI616" s="30" t="str">
        <f aca="false">IF(O616="","",M616*P616)</f>
        <v/>
      </c>
      <c r="AJ616" s="11" t="str">
        <f aca="false">IF(O616="","",IF(O616&gt;1,"Error: rend &gt; 100 %",IF(SUM(T616:Z616)=0,"Falta registrar pérdidas",IF(ABS(AG616)&gt;Parámetros!$B$7,"Revisar balance",IF(O616&lt;P616,"Bajo meta","OK")))))</f>
        <v/>
      </c>
      <c r="AK616" s="33"/>
      <c r="AL616" s="10"/>
      <c r="AM616" s="33"/>
      <c r="AN616" s="33"/>
      <c r="AO616" s="10"/>
    </row>
    <row r="617" customFormat="false" ht="15" hidden="false" customHeight="false" outlineLevel="0" collapsed="false">
      <c r="A617" s="22"/>
      <c r="B617" s="23" t="str">
        <f aca="false">IF(A617="","",YEAR(A617-WEEKDAY(A617,2)+4))</f>
        <v/>
      </c>
      <c r="C617" s="23" t="str">
        <f aca="false">IF(A617="","",WEEKNUM(A617,21))</f>
        <v/>
      </c>
      <c r="D617" s="24" t="str">
        <f aca="false">IF(A617="","",DATE(YEAR(A617),MONTH(A617),1))</f>
        <v/>
      </c>
      <c r="E617" s="10"/>
      <c r="F617" s="25"/>
      <c r="G617" s="25"/>
      <c r="H617" s="10"/>
      <c r="I617" s="10"/>
      <c r="J617" s="26"/>
      <c r="K617" s="25"/>
      <c r="L617" s="26"/>
      <c r="M617" s="27"/>
      <c r="N617" s="27"/>
      <c r="O617" s="28" t="str">
        <f aca="false">IF(OR(M617="",M617=0,N617=""),"",N617/M617)</f>
        <v/>
      </c>
      <c r="P617" s="28" t="str">
        <f aca="false">IF(M617="","",IFERROR(IF(INDEX(Parámetros!$B$14:$B$21,MATCH(I617,Parámetros!$A$14:$A$21,0))="",Parámetros!$B$5,INDEX(Parámetros!$B$14:$B$21,MATCH(I617,Parámetros!$A$14:$A$21,0))),Parámetros!$B$5))</f>
        <v/>
      </c>
      <c r="Q617" s="29" t="str">
        <f aca="false">IF(O617="","",(O617-P617)*100)</f>
        <v/>
      </c>
      <c r="R617" s="30" t="str">
        <f aca="false">IF(O617="","",MAX(0,M617*(P617-O617)))</f>
        <v/>
      </c>
      <c r="S617" s="31" t="str">
        <f aca="false">IF(OR(L617="",L617=0,N617=""),"",N617/1000/L617)</f>
        <v/>
      </c>
      <c r="T617" s="27"/>
      <c r="U617" s="27"/>
      <c r="V617" s="27"/>
      <c r="W617" s="27"/>
      <c r="X617" s="27"/>
      <c r="Y617" s="27"/>
      <c r="Z617" s="27"/>
      <c r="AA617" s="25"/>
      <c r="AB617" s="27"/>
      <c r="AC617" s="30" t="str">
        <f aca="false">IF(M617="","",IF(AB617="",M617*Parámetros!$B$6,AB617))</f>
        <v/>
      </c>
      <c r="AD617" s="30" t="str">
        <f aca="false">IF(M617="","",SUM(T617:Z617)+AC617)</f>
        <v/>
      </c>
      <c r="AE617" s="30" t="str">
        <f aca="false">IF(OR(M617="",N617=""),"",M617-N617)</f>
        <v/>
      </c>
      <c r="AF617" s="30" t="str">
        <f aca="false">IF(AE617="","",AE617-AD617)</f>
        <v/>
      </c>
      <c r="AG617" s="28" t="str">
        <f aca="false">IF(OR(AF617="",M617=0),"",AF617/M617)</f>
        <v/>
      </c>
      <c r="AH617" s="32" t="str">
        <f aca="false">IF(OR(AE617="",N617=0),"",AE617/(N617/1000))</f>
        <v/>
      </c>
      <c r="AI617" s="30" t="str">
        <f aca="false">IF(O617="","",M617*P617)</f>
        <v/>
      </c>
      <c r="AJ617" s="11" t="str">
        <f aca="false">IF(O617="","",IF(O617&gt;1,"Error: rend &gt; 100 %",IF(SUM(T617:Z617)=0,"Falta registrar pérdidas",IF(ABS(AG617)&gt;Parámetros!$B$7,"Revisar balance",IF(O617&lt;P617,"Bajo meta","OK")))))</f>
        <v/>
      </c>
      <c r="AK617" s="33"/>
      <c r="AL617" s="10"/>
      <c r="AM617" s="33"/>
      <c r="AN617" s="33"/>
      <c r="AO617" s="10"/>
    </row>
    <row r="618" customFormat="false" ht="15" hidden="false" customHeight="false" outlineLevel="0" collapsed="false">
      <c r="A618" s="22"/>
      <c r="B618" s="23" t="str">
        <f aca="false">IF(A618="","",YEAR(A618-WEEKDAY(A618,2)+4))</f>
        <v/>
      </c>
      <c r="C618" s="23" t="str">
        <f aca="false">IF(A618="","",WEEKNUM(A618,21))</f>
        <v/>
      </c>
      <c r="D618" s="24" t="str">
        <f aca="false">IF(A618="","",DATE(YEAR(A618),MONTH(A618),1))</f>
        <v/>
      </c>
      <c r="E618" s="10"/>
      <c r="F618" s="25"/>
      <c r="G618" s="25"/>
      <c r="H618" s="10"/>
      <c r="I618" s="10"/>
      <c r="J618" s="26"/>
      <c r="K618" s="25"/>
      <c r="L618" s="26"/>
      <c r="M618" s="27"/>
      <c r="N618" s="27"/>
      <c r="O618" s="28" t="str">
        <f aca="false">IF(OR(M618="",M618=0,N618=""),"",N618/M618)</f>
        <v/>
      </c>
      <c r="P618" s="28" t="str">
        <f aca="false">IF(M618="","",IFERROR(IF(INDEX(Parámetros!$B$14:$B$21,MATCH(I618,Parámetros!$A$14:$A$21,0))="",Parámetros!$B$5,INDEX(Parámetros!$B$14:$B$21,MATCH(I618,Parámetros!$A$14:$A$21,0))),Parámetros!$B$5))</f>
        <v/>
      </c>
      <c r="Q618" s="29" t="str">
        <f aca="false">IF(O618="","",(O618-P618)*100)</f>
        <v/>
      </c>
      <c r="R618" s="30" t="str">
        <f aca="false">IF(O618="","",MAX(0,M618*(P618-O618)))</f>
        <v/>
      </c>
      <c r="S618" s="31" t="str">
        <f aca="false">IF(OR(L618="",L618=0,N618=""),"",N618/1000/L618)</f>
        <v/>
      </c>
      <c r="T618" s="27"/>
      <c r="U618" s="27"/>
      <c r="V618" s="27"/>
      <c r="W618" s="27"/>
      <c r="X618" s="27"/>
      <c r="Y618" s="27"/>
      <c r="Z618" s="27"/>
      <c r="AA618" s="25"/>
      <c r="AB618" s="27"/>
      <c r="AC618" s="30" t="str">
        <f aca="false">IF(M618="","",IF(AB618="",M618*Parámetros!$B$6,AB618))</f>
        <v/>
      </c>
      <c r="AD618" s="30" t="str">
        <f aca="false">IF(M618="","",SUM(T618:Z618)+AC618)</f>
        <v/>
      </c>
      <c r="AE618" s="30" t="str">
        <f aca="false">IF(OR(M618="",N618=""),"",M618-N618)</f>
        <v/>
      </c>
      <c r="AF618" s="30" t="str">
        <f aca="false">IF(AE618="","",AE618-AD618)</f>
        <v/>
      </c>
      <c r="AG618" s="28" t="str">
        <f aca="false">IF(OR(AF618="",M618=0),"",AF618/M618)</f>
        <v/>
      </c>
      <c r="AH618" s="32" t="str">
        <f aca="false">IF(OR(AE618="",N618=0),"",AE618/(N618/1000))</f>
        <v/>
      </c>
      <c r="AI618" s="30" t="str">
        <f aca="false">IF(O618="","",M618*P618)</f>
        <v/>
      </c>
      <c r="AJ618" s="11" t="str">
        <f aca="false">IF(O618="","",IF(O618&gt;1,"Error: rend &gt; 100 %",IF(SUM(T618:Z618)=0,"Falta registrar pérdidas",IF(ABS(AG618)&gt;Parámetros!$B$7,"Revisar balance",IF(O618&lt;P618,"Bajo meta","OK")))))</f>
        <v/>
      </c>
      <c r="AK618" s="33"/>
      <c r="AL618" s="10"/>
      <c r="AM618" s="33"/>
      <c r="AN618" s="33"/>
      <c r="AO618" s="10"/>
    </row>
    <row r="619" customFormat="false" ht="15" hidden="false" customHeight="false" outlineLevel="0" collapsed="false">
      <c r="A619" s="22"/>
      <c r="B619" s="23" t="str">
        <f aca="false">IF(A619="","",YEAR(A619-WEEKDAY(A619,2)+4))</f>
        <v/>
      </c>
      <c r="C619" s="23" t="str">
        <f aca="false">IF(A619="","",WEEKNUM(A619,21))</f>
        <v/>
      </c>
      <c r="D619" s="24" t="str">
        <f aca="false">IF(A619="","",DATE(YEAR(A619),MONTH(A619),1))</f>
        <v/>
      </c>
      <c r="E619" s="10"/>
      <c r="F619" s="25"/>
      <c r="G619" s="25"/>
      <c r="H619" s="10"/>
      <c r="I619" s="10"/>
      <c r="J619" s="26"/>
      <c r="K619" s="25"/>
      <c r="L619" s="26"/>
      <c r="M619" s="27"/>
      <c r="N619" s="27"/>
      <c r="O619" s="28" t="str">
        <f aca="false">IF(OR(M619="",M619=0,N619=""),"",N619/M619)</f>
        <v/>
      </c>
      <c r="P619" s="28" t="str">
        <f aca="false">IF(M619="","",IFERROR(IF(INDEX(Parámetros!$B$14:$B$21,MATCH(I619,Parámetros!$A$14:$A$21,0))="",Parámetros!$B$5,INDEX(Parámetros!$B$14:$B$21,MATCH(I619,Parámetros!$A$14:$A$21,0))),Parámetros!$B$5))</f>
        <v/>
      </c>
      <c r="Q619" s="29" t="str">
        <f aca="false">IF(O619="","",(O619-P619)*100)</f>
        <v/>
      </c>
      <c r="R619" s="30" t="str">
        <f aca="false">IF(O619="","",MAX(0,M619*(P619-O619)))</f>
        <v/>
      </c>
      <c r="S619" s="31" t="str">
        <f aca="false">IF(OR(L619="",L619=0,N619=""),"",N619/1000/L619)</f>
        <v/>
      </c>
      <c r="T619" s="27"/>
      <c r="U619" s="27"/>
      <c r="V619" s="27"/>
      <c r="W619" s="27"/>
      <c r="X619" s="27"/>
      <c r="Y619" s="27"/>
      <c r="Z619" s="27"/>
      <c r="AA619" s="25"/>
      <c r="AB619" s="27"/>
      <c r="AC619" s="30" t="str">
        <f aca="false">IF(M619="","",IF(AB619="",M619*Parámetros!$B$6,AB619))</f>
        <v/>
      </c>
      <c r="AD619" s="30" t="str">
        <f aca="false">IF(M619="","",SUM(T619:Z619)+AC619)</f>
        <v/>
      </c>
      <c r="AE619" s="30" t="str">
        <f aca="false">IF(OR(M619="",N619=""),"",M619-N619)</f>
        <v/>
      </c>
      <c r="AF619" s="30" t="str">
        <f aca="false">IF(AE619="","",AE619-AD619)</f>
        <v/>
      </c>
      <c r="AG619" s="28" t="str">
        <f aca="false">IF(OR(AF619="",M619=0),"",AF619/M619)</f>
        <v/>
      </c>
      <c r="AH619" s="32" t="str">
        <f aca="false">IF(OR(AE619="",N619=0),"",AE619/(N619/1000))</f>
        <v/>
      </c>
      <c r="AI619" s="30" t="str">
        <f aca="false">IF(O619="","",M619*P619)</f>
        <v/>
      </c>
      <c r="AJ619" s="11" t="str">
        <f aca="false">IF(O619="","",IF(O619&gt;1,"Error: rend &gt; 100 %",IF(SUM(T619:Z619)=0,"Falta registrar pérdidas",IF(ABS(AG619)&gt;Parámetros!$B$7,"Revisar balance",IF(O619&lt;P619,"Bajo meta","OK")))))</f>
        <v/>
      </c>
      <c r="AK619" s="33"/>
      <c r="AL619" s="10"/>
      <c r="AM619" s="33"/>
      <c r="AN619" s="33"/>
      <c r="AO619" s="10"/>
    </row>
    <row r="620" customFormat="false" ht="15" hidden="false" customHeight="false" outlineLevel="0" collapsed="false">
      <c r="A620" s="22"/>
      <c r="B620" s="23" t="str">
        <f aca="false">IF(A620="","",YEAR(A620-WEEKDAY(A620,2)+4))</f>
        <v/>
      </c>
      <c r="C620" s="23" t="str">
        <f aca="false">IF(A620="","",WEEKNUM(A620,21))</f>
        <v/>
      </c>
      <c r="D620" s="24" t="str">
        <f aca="false">IF(A620="","",DATE(YEAR(A620),MONTH(A620),1))</f>
        <v/>
      </c>
      <c r="E620" s="10"/>
      <c r="F620" s="25"/>
      <c r="G620" s="25"/>
      <c r="H620" s="10"/>
      <c r="I620" s="10"/>
      <c r="J620" s="26"/>
      <c r="K620" s="25"/>
      <c r="L620" s="26"/>
      <c r="M620" s="27"/>
      <c r="N620" s="27"/>
      <c r="O620" s="28" t="str">
        <f aca="false">IF(OR(M620="",M620=0,N620=""),"",N620/M620)</f>
        <v/>
      </c>
      <c r="P620" s="28" t="str">
        <f aca="false">IF(M620="","",IFERROR(IF(INDEX(Parámetros!$B$14:$B$21,MATCH(I620,Parámetros!$A$14:$A$21,0))="",Parámetros!$B$5,INDEX(Parámetros!$B$14:$B$21,MATCH(I620,Parámetros!$A$14:$A$21,0))),Parámetros!$B$5))</f>
        <v/>
      </c>
      <c r="Q620" s="29" t="str">
        <f aca="false">IF(O620="","",(O620-P620)*100)</f>
        <v/>
      </c>
      <c r="R620" s="30" t="str">
        <f aca="false">IF(O620="","",MAX(0,M620*(P620-O620)))</f>
        <v/>
      </c>
      <c r="S620" s="31" t="str">
        <f aca="false">IF(OR(L620="",L620=0,N620=""),"",N620/1000/L620)</f>
        <v/>
      </c>
      <c r="T620" s="27"/>
      <c r="U620" s="27"/>
      <c r="V620" s="27"/>
      <c r="W620" s="27"/>
      <c r="X620" s="27"/>
      <c r="Y620" s="27"/>
      <c r="Z620" s="27"/>
      <c r="AA620" s="25"/>
      <c r="AB620" s="27"/>
      <c r="AC620" s="30" t="str">
        <f aca="false">IF(M620="","",IF(AB620="",M620*Parámetros!$B$6,AB620))</f>
        <v/>
      </c>
      <c r="AD620" s="30" t="str">
        <f aca="false">IF(M620="","",SUM(T620:Z620)+AC620)</f>
        <v/>
      </c>
      <c r="AE620" s="30" t="str">
        <f aca="false">IF(OR(M620="",N620=""),"",M620-N620)</f>
        <v/>
      </c>
      <c r="AF620" s="30" t="str">
        <f aca="false">IF(AE620="","",AE620-AD620)</f>
        <v/>
      </c>
      <c r="AG620" s="28" t="str">
        <f aca="false">IF(OR(AF620="",M620=0),"",AF620/M620)</f>
        <v/>
      </c>
      <c r="AH620" s="32" t="str">
        <f aca="false">IF(OR(AE620="",N620=0),"",AE620/(N620/1000))</f>
        <v/>
      </c>
      <c r="AI620" s="30" t="str">
        <f aca="false">IF(O620="","",M620*P620)</f>
        <v/>
      </c>
      <c r="AJ620" s="11" t="str">
        <f aca="false">IF(O620="","",IF(O620&gt;1,"Error: rend &gt; 100 %",IF(SUM(T620:Z620)=0,"Falta registrar pérdidas",IF(ABS(AG620)&gt;Parámetros!$B$7,"Revisar balance",IF(O620&lt;P620,"Bajo meta","OK")))))</f>
        <v/>
      </c>
      <c r="AK620" s="33"/>
      <c r="AL620" s="10"/>
      <c r="AM620" s="33"/>
      <c r="AN620" s="33"/>
      <c r="AO620" s="10"/>
    </row>
    <row r="621" customFormat="false" ht="15" hidden="false" customHeight="false" outlineLevel="0" collapsed="false">
      <c r="A621" s="22"/>
      <c r="B621" s="23" t="str">
        <f aca="false">IF(A621="","",YEAR(A621-WEEKDAY(A621,2)+4))</f>
        <v/>
      </c>
      <c r="C621" s="23" t="str">
        <f aca="false">IF(A621="","",WEEKNUM(A621,21))</f>
        <v/>
      </c>
      <c r="D621" s="24" t="str">
        <f aca="false">IF(A621="","",DATE(YEAR(A621),MONTH(A621),1))</f>
        <v/>
      </c>
      <c r="E621" s="10"/>
      <c r="F621" s="25"/>
      <c r="G621" s="25"/>
      <c r="H621" s="10"/>
      <c r="I621" s="10"/>
      <c r="J621" s="26"/>
      <c r="K621" s="25"/>
      <c r="L621" s="26"/>
      <c r="M621" s="27"/>
      <c r="N621" s="27"/>
      <c r="O621" s="28" t="str">
        <f aca="false">IF(OR(M621="",M621=0,N621=""),"",N621/M621)</f>
        <v/>
      </c>
      <c r="P621" s="28" t="str">
        <f aca="false">IF(M621="","",IFERROR(IF(INDEX(Parámetros!$B$14:$B$21,MATCH(I621,Parámetros!$A$14:$A$21,0))="",Parámetros!$B$5,INDEX(Parámetros!$B$14:$B$21,MATCH(I621,Parámetros!$A$14:$A$21,0))),Parámetros!$B$5))</f>
        <v/>
      </c>
      <c r="Q621" s="29" t="str">
        <f aca="false">IF(O621="","",(O621-P621)*100)</f>
        <v/>
      </c>
      <c r="R621" s="30" t="str">
        <f aca="false">IF(O621="","",MAX(0,M621*(P621-O621)))</f>
        <v/>
      </c>
      <c r="S621" s="31" t="str">
        <f aca="false">IF(OR(L621="",L621=0,N621=""),"",N621/1000/L621)</f>
        <v/>
      </c>
      <c r="T621" s="27"/>
      <c r="U621" s="27"/>
      <c r="V621" s="27"/>
      <c r="W621" s="27"/>
      <c r="X621" s="27"/>
      <c r="Y621" s="27"/>
      <c r="Z621" s="27"/>
      <c r="AA621" s="25"/>
      <c r="AB621" s="27"/>
      <c r="AC621" s="30" t="str">
        <f aca="false">IF(M621="","",IF(AB621="",M621*Parámetros!$B$6,AB621))</f>
        <v/>
      </c>
      <c r="AD621" s="30" t="str">
        <f aca="false">IF(M621="","",SUM(T621:Z621)+AC621)</f>
        <v/>
      </c>
      <c r="AE621" s="30" t="str">
        <f aca="false">IF(OR(M621="",N621=""),"",M621-N621)</f>
        <v/>
      </c>
      <c r="AF621" s="30" t="str">
        <f aca="false">IF(AE621="","",AE621-AD621)</f>
        <v/>
      </c>
      <c r="AG621" s="28" t="str">
        <f aca="false">IF(OR(AF621="",M621=0),"",AF621/M621)</f>
        <v/>
      </c>
      <c r="AH621" s="32" t="str">
        <f aca="false">IF(OR(AE621="",N621=0),"",AE621/(N621/1000))</f>
        <v/>
      </c>
      <c r="AI621" s="30" t="str">
        <f aca="false">IF(O621="","",M621*P621)</f>
        <v/>
      </c>
      <c r="AJ621" s="11" t="str">
        <f aca="false">IF(O621="","",IF(O621&gt;1,"Error: rend &gt; 100 %",IF(SUM(T621:Z621)=0,"Falta registrar pérdidas",IF(ABS(AG621)&gt;Parámetros!$B$7,"Revisar balance",IF(O621&lt;P621,"Bajo meta","OK")))))</f>
        <v/>
      </c>
      <c r="AK621" s="33"/>
      <c r="AL621" s="10"/>
      <c r="AM621" s="33"/>
      <c r="AN621" s="33"/>
      <c r="AO621" s="10"/>
    </row>
    <row r="622" customFormat="false" ht="15" hidden="false" customHeight="false" outlineLevel="0" collapsed="false">
      <c r="A622" s="22"/>
      <c r="B622" s="23" t="str">
        <f aca="false">IF(A622="","",YEAR(A622-WEEKDAY(A622,2)+4))</f>
        <v/>
      </c>
      <c r="C622" s="23" t="str">
        <f aca="false">IF(A622="","",WEEKNUM(A622,21))</f>
        <v/>
      </c>
      <c r="D622" s="24" t="str">
        <f aca="false">IF(A622="","",DATE(YEAR(A622),MONTH(A622),1))</f>
        <v/>
      </c>
      <c r="E622" s="10"/>
      <c r="F622" s="25"/>
      <c r="G622" s="25"/>
      <c r="H622" s="10"/>
      <c r="I622" s="10"/>
      <c r="J622" s="26"/>
      <c r="K622" s="25"/>
      <c r="L622" s="26"/>
      <c r="M622" s="27"/>
      <c r="N622" s="27"/>
      <c r="O622" s="28" t="str">
        <f aca="false">IF(OR(M622="",M622=0,N622=""),"",N622/M622)</f>
        <v/>
      </c>
      <c r="P622" s="28" t="str">
        <f aca="false">IF(M622="","",IFERROR(IF(INDEX(Parámetros!$B$14:$B$21,MATCH(I622,Parámetros!$A$14:$A$21,0))="",Parámetros!$B$5,INDEX(Parámetros!$B$14:$B$21,MATCH(I622,Parámetros!$A$14:$A$21,0))),Parámetros!$B$5))</f>
        <v/>
      </c>
      <c r="Q622" s="29" t="str">
        <f aca="false">IF(O622="","",(O622-P622)*100)</f>
        <v/>
      </c>
      <c r="R622" s="30" t="str">
        <f aca="false">IF(O622="","",MAX(0,M622*(P622-O622)))</f>
        <v/>
      </c>
      <c r="S622" s="31" t="str">
        <f aca="false">IF(OR(L622="",L622=0,N622=""),"",N622/1000/L622)</f>
        <v/>
      </c>
      <c r="T622" s="27"/>
      <c r="U622" s="27"/>
      <c r="V622" s="27"/>
      <c r="W622" s="27"/>
      <c r="X622" s="27"/>
      <c r="Y622" s="27"/>
      <c r="Z622" s="27"/>
      <c r="AA622" s="25"/>
      <c r="AB622" s="27"/>
      <c r="AC622" s="30" t="str">
        <f aca="false">IF(M622="","",IF(AB622="",M622*Parámetros!$B$6,AB622))</f>
        <v/>
      </c>
      <c r="AD622" s="30" t="str">
        <f aca="false">IF(M622="","",SUM(T622:Z622)+AC622)</f>
        <v/>
      </c>
      <c r="AE622" s="30" t="str">
        <f aca="false">IF(OR(M622="",N622=""),"",M622-N622)</f>
        <v/>
      </c>
      <c r="AF622" s="30" t="str">
        <f aca="false">IF(AE622="","",AE622-AD622)</f>
        <v/>
      </c>
      <c r="AG622" s="28" t="str">
        <f aca="false">IF(OR(AF622="",M622=0),"",AF622/M622)</f>
        <v/>
      </c>
      <c r="AH622" s="32" t="str">
        <f aca="false">IF(OR(AE622="",N622=0),"",AE622/(N622/1000))</f>
        <v/>
      </c>
      <c r="AI622" s="30" t="str">
        <f aca="false">IF(O622="","",M622*P622)</f>
        <v/>
      </c>
      <c r="AJ622" s="11" t="str">
        <f aca="false">IF(O622="","",IF(O622&gt;1,"Error: rend &gt; 100 %",IF(SUM(T622:Z622)=0,"Falta registrar pérdidas",IF(ABS(AG622)&gt;Parámetros!$B$7,"Revisar balance",IF(O622&lt;P622,"Bajo meta","OK")))))</f>
        <v/>
      </c>
      <c r="AK622" s="33"/>
      <c r="AL622" s="10"/>
      <c r="AM622" s="33"/>
      <c r="AN622" s="33"/>
      <c r="AO622" s="10"/>
    </row>
    <row r="623" customFormat="false" ht="15" hidden="false" customHeight="false" outlineLevel="0" collapsed="false">
      <c r="A623" s="22"/>
      <c r="B623" s="23" t="str">
        <f aca="false">IF(A623="","",YEAR(A623-WEEKDAY(A623,2)+4))</f>
        <v/>
      </c>
      <c r="C623" s="23" t="str">
        <f aca="false">IF(A623="","",WEEKNUM(A623,21))</f>
        <v/>
      </c>
      <c r="D623" s="24" t="str">
        <f aca="false">IF(A623="","",DATE(YEAR(A623),MONTH(A623),1))</f>
        <v/>
      </c>
      <c r="E623" s="10"/>
      <c r="F623" s="25"/>
      <c r="G623" s="25"/>
      <c r="H623" s="10"/>
      <c r="I623" s="10"/>
      <c r="J623" s="26"/>
      <c r="K623" s="25"/>
      <c r="L623" s="26"/>
      <c r="M623" s="27"/>
      <c r="N623" s="27"/>
      <c r="O623" s="28" t="str">
        <f aca="false">IF(OR(M623="",M623=0,N623=""),"",N623/M623)</f>
        <v/>
      </c>
      <c r="P623" s="28" t="str">
        <f aca="false">IF(M623="","",IFERROR(IF(INDEX(Parámetros!$B$14:$B$21,MATCH(I623,Parámetros!$A$14:$A$21,0))="",Parámetros!$B$5,INDEX(Parámetros!$B$14:$B$21,MATCH(I623,Parámetros!$A$14:$A$21,0))),Parámetros!$B$5))</f>
        <v/>
      </c>
      <c r="Q623" s="29" t="str">
        <f aca="false">IF(O623="","",(O623-P623)*100)</f>
        <v/>
      </c>
      <c r="R623" s="30" t="str">
        <f aca="false">IF(O623="","",MAX(0,M623*(P623-O623)))</f>
        <v/>
      </c>
      <c r="S623" s="31" t="str">
        <f aca="false">IF(OR(L623="",L623=0,N623=""),"",N623/1000/L623)</f>
        <v/>
      </c>
      <c r="T623" s="27"/>
      <c r="U623" s="27"/>
      <c r="V623" s="27"/>
      <c r="W623" s="27"/>
      <c r="X623" s="27"/>
      <c r="Y623" s="27"/>
      <c r="Z623" s="27"/>
      <c r="AA623" s="25"/>
      <c r="AB623" s="27"/>
      <c r="AC623" s="30" t="str">
        <f aca="false">IF(M623="","",IF(AB623="",M623*Parámetros!$B$6,AB623))</f>
        <v/>
      </c>
      <c r="AD623" s="30" t="str">
        <f aca="false">IF(M623="","",SUM(T623:Z623)+AC623)</f>
        <v/>
      </c>
      <c r="AE623" s="30" t="str">
        <f aca="false">IF(OR(M623="",N623=""),"",M623-N623)</f>
        <v/>
      </c>
      <c r="AF623" s="30" t="str">
        <f aca="false">IF(AE623="","",AE623-AD623)</f>
        <v/>
      </c>
      <c r="AG623" s="28" t="str">
        <f aca="false">IF(OR(AF623="",M623=0),"",AF623/M623)</f>
        <v/>
      </c>
      <c r="AH623" s="32" t="str">
        <f aca="false">IF(OR(AE623="",N623=0),"",AE623/(N623/1000))</f>
        <v/>
      </c>
      <c r="AI623" s="30" t="str">
        <f aca="false">IF(O623="","",M623*P623)</f>
        <v/>
      </c>
      <c r="AJ623" s="11" t="str">
        <f aca="false">IF(O623="","",IF(O623&gt;1,"Error: rend &gt; 100 %",IF(SUM(T623:Z623)=0,"Falta registrar pérdidas",IF(ABS(AG623)&gt;Parámetros!$B$7,"Revisar balance",IF(O623&lt;P623,"Bajo meta","OK")))))</f>
        <v/>
      </c>
      <c r="AK623" s="33"/>
      <c r="AL623" s="10"/>
      <c r="AM623" s="33"/>
      <c r="AN623" s="33"/>
      <c r="AO623" s="10"/>
    </row>
    <row r="624" customFormat="false" ht="15" hidden="false" customHeight="false" outlineLevel="0" collapsed="false">
      <c r="A624" s="22"/>
      <c r="B624" s="23" t="str">
        <f aca="false">IF(A624="","",YEAR(A624-WEEKDAY(A624,2)+4))</f>
        <v/>
      </c>
      <c r="C624" s="23" t="str">
        <f aca="false">IF(A624="","",WEEKNUM(A624,21))</f>
        <v/>
      </c>
      <c r="D624" s="24" t="str">
        <f aca="false">IF(A624="","",DATE(YEAR(A624),MONTH(A624),1))</f>
        <v/>
      </c>
      <c r="E624" s="10"/>
      <c r="F624" s="25"/>
      <c r="G624" s="25"/>
      <c r="H624" s="10"/>
      <c r="I624" s="10"/>
      <c r="J624" s="26"/>
      <c r="K624" s="25"/>
      <c r="L624" s="26"/>
      <c r="M624" s="27"/>
      <c r="N624" s="27"/>
      <c r="O624" s="28" t="str">
        <f aca="false">IF(OR(M624="",M624=0,N624=""),"",N624/M624)</f>
        <v/>
      </c>
      <c r="P624" s="28" t="str">
        <f aca="false">IF(M624="","",IFERROR(IF(INDEX(Parámetros!$B$14:$B$21,MATCH(I624,Parámetros!$A$14:$A$21,0))="",Parámetros!$B$5,INDEX(Parámetros!$B$14:$B$21,MATCH(I624,Parámetros!$A$14:$A$21,0))),Parámetros!$B$5))</f>
        <v/>
      </c>
      <c r="Q624" s="29" t="str">
        <f aca="false">IF(O624="","",(O624-P624)*100)</f>
        <v/>
      </c>
      <c r="R624" s="30" t="str">
        <f aca="false">IF(O624="","",MAX(0,M624*(P624-O624)))</f>
        <v/>
      </c>
      <c r="S624" s="31" t="str">
        <f aca="false">IF(OR(L624="",L624=0,N624=""),"",N624/1000/L624)</f>
        <v/>
      </c>
      <c r="T624" s="27"/>
      <c r="U624" s="27"/>
      <c r="V624" s="27"/>
      <c r="W624" s="27"/>
      <c r="X624" s="27"/>
      <c r="Y624" s="27"/>
      <c r="Z624" s="27"/>
      <c r="AA624" s="25"/>
      <c r="AB624" s="27"/>
      <c r="AC624" s="30" t="str">
        <f aca="false">IF(M624="","",IF(AB624="",M624*Parámetros!$B$6,AB624))</f>
        <v/>
      </c>
      <c r="AD624" s="30" t="str">
        <f aca="false">IF(M624="","",SUM(T624:Z624)+AC624)</f>
        <v/>
      </c>
      <c r="AE624" s="30" t="str">
        <f aca="false">IF(OR(M624="",N624=""),"",M624-N624)</f>
        <v/>
      </c>
      <c r="AF624" s="30" t="str">
        <f aca="false">IF(AE624="","",AE624-AD624)</f>
        <v/>
      </c>
      <c r="AG624" s="28" t="str">
        <f aca="false">IF(OR(AF624="",M624=0),"",AF624/M624)</f>
        <v/>
      </c>
      <c r="AH624" s="32" t="str">
        <f aca="false">IF(OR(AE624="",N624=0),"",AE624/(N624/1000))</f>
        <v/>
      </c>
      <c r="AI624" s="30" t="str">
        <f aca="false">IF(O624="","",M624*P624)</f>
        <v/>
      </c>
      <c r="AJ624" s="11" t="str">
        <f aca="false">IF(O624="","",IF(O624&gt;1,"Error: rend &gt; 100 %",IF(SUM(T624:Z624)=0,"Falta registrar pérdidas",IF(ABS(AG624)&gt;Parámetros!$B$7,"Revisar balance",IF(O624&lt;P624,"Bajo meta","OK")))))</f>
        <v/>
      </c>
      <c r="AK624" s="33"/>
      <c r="AL624" s="10"/>
      <c r="AM624" s="33"/>
      <c r="AN624" s="33"/>
      <c r="AO624" s="10"/>
    </row>
    <row r="625" customFormat="false" ht="15" hidden="false" customHeight="false" outlineLevel="0" collapsed="false">
      <c r="A625" s="22"/>
      <c r="B625" s="23" t="str">
        <f aca="false">IF(A625="","",YEAR(A625-WEEKDAY(A625,2)+4))</f>
        <v/>
      </c>
      <c r="C625" s="23" t="str">
        <f aca="false">IF(A625="","",WEEKNUM(A625,21))</f>
        <v/>
      </c>
      <c r="D625" s="24" t="str">
        <f aca="false">IF(A625="","",DATE(YEAR(A625),MONTH(A625),1))</f>
        <v/>
      </c>
      <c r="E625" s="10"/>
      <c r="F625" s="25"/>
      <c r="G625" s="25"/>
      <c r="H625" s="10"/>
      <c r="I625" s="10"/>
      <c r="J625" s="26"/>
      <c r="K625" s="25"/>
      <c r="L625" s="26"/>
      <c r="M625" s="27"/>
      <c r="N625" s="27"/>
      <c r="O625" s="28" t="str">
        <f aca="false">IF(OR(M625="",M625=0,N625=""),"",N625/M625)</f>
        <v/>
      </c>
      <c r="P625" s="28" t="str">
        <f aca="false">IF(M625="","",IFERROR(IF(INDEX(Parámetros!$B$14:$B$21,MATCH(I625,Parámetros!$A$14:$A$21,0))="",Parámetros!$B$5,INDEX(Parámetros!$B$14:$B$21,MATCH(I625,Parámetros!$A$14:$A$21,0))),Parámetros!$B$5))</f>
        <v/>
      </c>
      <c r="Q625" s="29" t="str">
        <f aca="false">IF(O625="","",(O625-P625)*100)</f>
        <v/>
      </c>
      <c r="R625" s="30" t="str">
        <f aca="false">IF(O625="","",MAX(0,M625*(P625-O625)))</f>
        <v/>
      </c>
      <c r="S625" s="31" t="str">
        <f aca="false">IF(OR(L625="",L625=0,N625=""),"",N625/1000/L625)</f>
        <v/>
      </c>
      <c r="T625" s="27"/>
      <c r="U625" s="27"/>
      <c r="V625" s="27"/>
      <c r="W625" s="27"/>
      <c r="X625" s="27"/>
      <c r="Y625" s="27"/>
      <c r="Z625" s="27"/>
      <c r="AA625" s="25"/>
      <c r="AB625" s="27"/>
      <c r="AC625" s="30" t="str">
        <f aca="false">IF(M625="","",IF(AB625="",M625*Parámetros!$B$6,AB625))</f>
        <v/>
      </c>
      <c r="AD625" s="30" t="str">
        <f aca="false">IF(M625="","",SUM(T625:Z625)+AC625)</f>
        <v/>
      </c>
      <c r="AE625" s="30" t="str">
        <f aca="false">IF(OR(M625="",N625=""),"",M625-N625)</f>
        <v/>
      </c>
      <c r="AF625" s="30" t="str">
        <f aca="false">IF(AE625="","",AE625-AD625)</f>
        <v/>
      </c>
      <c r="AG625" s="28" t="str">
        <f aca="false">IF(OR(AF625="",M625=0),"",AF625/M625)</f>
        <v/>
      </c>
      <c r="AH625" s="32" t="str">
        <f aca="false">IF(OR(AE625="",N625=0),"",AE625/(N625/1000))</f>
        <v/>
      </c>
      <c r="AI625" s="30" t="str">
        <f aca="false">IF(O625="","",M625*P625)</f>
        <v/>
      </c>
      <c r="AJ625" s="11" t="str">
        <f aca="false">IF(O625="","",IF(O625&gt;1,"Error: rend &gt; 100 %",IF(SUM(T625:Z625)=0,"Falta registrar pérdidas",IF(ABS(AG625)&gt;Parámetros!$B$7,"Revisar balance",IF(O625&lt;P625,"Bajo meta","OK")))))</f>
        <v/>
      </c>
      <c r="AK625" s="33"/>
      <c r="AL625" s="10"/>
      <c r="AM625" s="33"/>
      <c r="AN625" s="33"/>
      <c r="AO625" s="10"/>
    </row>
    <row r="626" customFormat="false" ht="15" hidden="false" customHeight="false" outlineLevel="0" collapsed="false">
      <c r="A626" s="22"/>
      <c r="B626" s="23" t="str">
        <f aca="false">IF(A626="","",YEAR(A626-WEEKDAY(A626,2)+4))</f>
        <v/>
      </c>
      <c r="C626" s="23" t="str">
        <f aca="false">IF(A626="","",WEEKNUM(A626,21))</f>
        <v/>
      </c>
      <c r="D626" s="24" t="str">
        <f aca="false">IF(A626="","",DATE(YEAR(A626),MONTH(A626),1))</f>
        <v/>
      </c>
      <c r="E626" s="10"/>
      <c r="F626" s="25"/>
      <c r="G626" s="25"/>
      <c r="H626" s="10"/>
      <c r="I626" s="10"/>
      <c r="J626" s="26"/>
      <c r="K626" s="25"/>
      <c r="L626" s="26"/>
      <c r="M626" s="27"/>
      <c r="N626" s="27"/>
      <c r="O626" s="28" t="str">
        <f aca="false">IF(OR(M626="",M626=0,N626=""),"",N626/M626)</f>
        <v/>
      </c>
      <c r="P626" s="28" t="str">
        <f aca="false">IF(M626="","",IFERROR(IF(INDEX(Parámetros!$B$14:$B$21,MATCH(I626,Parámetros!$A$14:$A$21,0))="",Parámetros!$B$5,INDEX(Parámetros!$B$14:$B$21,MATCH(I626,Parámetros!$A$14:$A$21,0))),Parámetros!$B$5))</f>
        <v/>
      </c>
      <c r="Q626" s="29" t="str">
        <f aca="false">IF(O626="","",(O626-P626)*100)</f>
        <v/>
      </c>
      <c r="R626" s="30" t="str">
        <f aca="false">IF(O626="","",MAX(0,M626*(P626-O626)))</f>
        <v/>
      </c>
      <c r="S626" s="31" t="str">
        <f aca="false">IF(OR(L626="",L626=0,N626=""),"",N626/1000/L626)</f>
        <v/>
      </c>
      <c r="T626" s="27"/>
      <c r="U626" s="27"/>
      <c r="V626" s="27"/>
      <c r="W626" s="27"/>
      <c r="X626" s="27"/>
      <c r="Y626" s="27"/>
      <c r="Z626" s="27"/>
      <c r="AA626" s="25"/>
      <c r="AB626" s="27"/>
      <c r="AC626" s="30" t="str">
        <f aca="false">IF(M626="","",IF(AB626="",M626*Parámetros!$B$6,AB626))</f>
        <v/>
      </c>
      <c r="AD626" s="30" t="str">
        <f aca="false">IF(M626="","",SUM(T626:Z626)+AC626)</f>
        <v/>
      </c>
      <c r="AE626" s="30" t="str">
        <f aca="false">IF(OR(M626="",N626=""),"",M626-N626)</f>
        <v/>
      </c>
      <c r="AF626" s="30" t="str">
        <f aca="false">IF(AE626="","",AE626-AD626)</f>
        <v/>
      </c>
      <c r="AG626" s="28" t="str">
        <f aca="false">IF(OR(AF626="",M626=0),"",AF626/M626)</f>
        <v/>
      </c>
      <c r="AH626" s="32" t="str">
        <f aca="false">IF(OR(AE626="",N626=0),"",AE626/(N626/1000))</f>
        <v/>
      </c>
      <c r="AI626" s="30" t="str">
        <f aca="false">IF(O626="","",M626*P626)</f>
        <v/>
      </c>
      <c r="AJ626" s="11" t="str">
        <f aca="false">IF(O626="","",IF(O626&gt;1,"Error: rend &gt; 100 %",IF(SUM(T626:Z626)=0,"Falta registrar pérdidas",IF(ABS(AG626)&gt;Parámetros!$B$7,"Revisar balance",IF(O626&lt;P626,"Bajo meta","OK")))))</f>
        <v/>
      </c>
      <c r="AK626" s="33"/>
      <c r="AL626" s="10"/>
      <c r="AM626" s="33"/>
      <c r="AN626" s="33"/>
      <c r="AO626" s="10"/>
    </row>
    <row r="627" customFormat="false" ht="15" hidden="false" customHeight="false" outlineLevel="0" collapsed="false">
      <c r="A627" s="22"/>
      <c r="B627" s="23" t="str">
        <f aca="false">IF(A627="","",YEAR(A627-WEEKDAY(A627,2)+4))</f>
        <v/>
      </c>
      <c r="C627" s="23" t="str">
        <f aca="false">IF(A627="","",WEEKNUM(A627,21))</f>
        <v/>
      </c>
      <c r="D627" s="24" t="str">
        <f aca="false">IF(A627="","",DATE(YEAR(A627),MONTH(A627),1))</f>
        <v/>
      </c>
      <c r="E627" s="10"/>
      <c r="F627" s="25"/>
      <c r="G627" s="25"/>
      <c r="H627" s="10"/>
      <c r="I627" s="10"/>
      <c r="J627" s="26"/>
      <c r="K627" s="25"/>
      <c r="L627" s="26"/>
      <c r="M627" s="27"/>
      <c r="N627" s="27"/>
      <c r="O627" s="28" t="str">
        <f aca="false">IF(OR(M627="",M627=0,N627=""),"",N627/M627)</f>
        <v/>
      </c>
      <c r="P627" s="28" t="str">
        <f aca="false">IF(M627="","",IFERROR(IF(INDEX(Parámetros!$B$14:$B$21,MATCH(I627,Parámetros!$A$14:$A$21,0))="",Parámetros!$B$5,INDEX(Parámetros!$B$14:$B$21,MATCH(I627,Parámetros!$A$14:$A$21,0))),Parámetros!$B$5))</f>
        <v/>
      </c>
      <c r="Q627" s="29" t="str">
        <f aca="false">IF(O627="","",(O627-P627)*100)</f>
        <v/>
      </c>
      <c r="R627" s="30" t="str">
        <f aca="false">IF(O627="","",MAX(0,M627*(P627-O627)))</f>
        <v/>
      </c>
      <c r="S627" s="31" t="str">
        <f aca="false">IF(OR(L627="",L627=0,N627=""),"",N627/1000/L627)</f>
        <v/>
      </c>
      <c r="T627" s="27"/>
      <c r="U627" s="27"/>
      <c r="V627" s="27"/>
      <c r="W627" s="27"/>
      <c r="X627" s="27"/>
      <c r="Y627" s="27"/>
      <c r="Z627" s="27"/>
      <c r="AA627" s="25"/>
      <c r="AB627" s="27"/>
      <c r="AC627" s="30" t="str">
        <f aca="false">IF(M627="","",IF(AB627="",M627*Parámetros!$B$6,AB627))</f>
        <v/>
      </c>
      <c r="AD627" s="30" t="str">
        <f aca="false">IF(M627="","",SUM(T627:Z627)+AC627)</f>
        <v/>
      </c>
      <c r="AE627" s="30" t="str">
        <f aca="false">IF(OR(M627="",N627=""),"",M627-N627)</f>
        <v/>
      </c>
      <c r="AF627" s="30" t="str">
        <f aca="false">IF(AE627="","",AE627-AD627)</f>
        <v/>
      </c>
      <c r="AG627" s="28" t="str">
        <f aca="false">IF(OR(AF627="",M627=0),"",AF627/M627)</f>
        <v/>
      </c>
      <c r="AH627" s="32" t="str">
        <f aca="false">IF(OR(AE627="",N627=0),"",AE627/(N627/1000))</f>
        <v/>
      </c>
      <c r="AI627" s="30" t="str">
        <f aca="false">IF(O627="","",M627*P627)</f>
        <v/>
      </c>
      <c r="AJ627" s="11" t="str">
        <f aca="false">IF(O627="","",IF(O627&gt;1,"Error: rend &gt; 100 %",IF(SUM(T627:Z627)=0,"Falta registrar pérdidas",IF(ABS(AG627)&gt;Parámetros!$B$7,"Revisar balance",IF(O627&lt;P627,"Bajo meta","OK")))))</f>
        <v/>
      </c>
      <c r="AK627" s="33"/>
      <c r="AL627" s="10"/>
      <c r="AM627" s="33"/>
      <c r="AN627" s="33"/>
      <c r="AO627" s="10"/>
    </row>
    <row r="628" customFormat="false" ht="15" hidden="false" customHeight="false" outlineLevel="0" collapsed="false">
      <c r="A628" s="22"/>
      <c r="B628" s="23" t="str">
        <f aca="false">IF(A628="","",YEAR(A628-WEEKDAY(A628,2)+4))</f>
        <v/>
      </c>
      <c r="C628" s="23" t="str">
        <f aca="false">IF(A628="","",WEEKNUM(A628,21))</f>
        <v/>
      </c>
      <c r="D628" s="24" t="str">
        <f aca="false">IF(A628="","",DATE(YEAR(A628),MONTH(A628),1))</f>
        <v/>
      </c>
      <c r="E628" s="10"/>
      <c r="F628" s="25"/>
      <c r="G628" s="25"/>
      <c r="H628" s="10"/>
      <c r="I628" s="10"/>
      <c r="J628" s="26"/>
      <c r="K628" s="25"/>
      <c r="L628" s="26"/>
      <c r="M628" s="27"/>
      <c r="N628" s="27"/>
      <c r="O628" s="28" t="str">
        <f aca="false">IF(OR(M628="",M628=0,N628=""),"",N628/M628)</f>
        <v/>
      </c>
      <c r="P628" s="28" t="str">
        <f aca="false">IF(M628="","",IFERROR(IF(INDEX(Parámetros!$B$14:$B$21,MATCH(I628,Parámetros!$A$14:$A$21,0))="",Parámetros!$B$5,INDEX(Parámetros!$B$14:$B$21,MATCH(I628,Parámetros!$A$14:$A$21,0))),Parámetros!$B$5))</f>
        <v/>
      </c>
      <c r="Q628" s="29" t="str">
        <f aca="false">IF(O628="","",(O628-P628)*100)</f>
        <v/>
      </c>
      <c r="R628" s="30" t="str">
        <f aca="false">IF(O628="","",MAX(0,M628*(P628-O628)))</f>
        <v/>
      </c>
      <c r="S628" s="31" t="str">
        <f aca="false">IF(OR(L628="",L628=0,N628=""),"",N628/1000/L628)</f>
        <v/>
      </c>
      <c r="T628" s="27"/>
      <c r="U628" s="27"/>
      <c r="V628" s="27"/>
      <c r="W628" s="27"/>
      <c r="X628" s="27"/>
      <c r="Y628" s="27"/>
      <c r="Z628" s="27"/>
      <c r="AA628" s="25"/>
      <c r="AB628" s="27"/>
      <c r="AC628" s="30" t="str">
        <f aca="false">IF(M628="","",IF(AB628="",M628*Parámetros!$B$6,AB628))</f>
        <v/>
      </c>
      <c r="AD628" s="30" t="str">
        <f aca="false">IF(M628="","",SUM(T628:Z628)+AC628)</f>
        <v/>
      </c>
      <c r="AE628" s="30" t="str">
        <f aca="false">IF(OR(M628="",N628=""),"",M628-N628)</f>
        <v/>
      </c>
      <c r="AF628" s="30" t="str">
        <f aca="false">IF(AE628="","",AE628-AD628)</f>
        <v/>
      </c>
      <c r="AG628" s="28" t="str">
        <f aca="false">IF(OR(AF628="",M628=0),"",AF628/M628)</f>
        <v/>
      </c>
      <c r="AH628" s="32" t="str">
        <f aca="false">IF(OR(AE628="",N628=0),"",AE628/(N628/1000))</f>
        <v/>
      </c>
      <c r="AI628" s="30" t="str">
        <f aca="false">IF(O628="","",M628*P628)</f>
        <v/>
      </c>
      <c r="AJ628" s="11" t="str">
        <f aca="false">IF(O628="","",IF(O628&gt;1,"Error: rend &gt; 100 %",IF(SUM(T628:Z628)=0,"Falta registrar pérdidas",IF(ABS(AG628)&gt;Parámetros!$B$7,"Revisar balance",IF(O628&lt;P628,"Bajo meta","OK")))))</f>
        <v/>
      </c>
      <c r="AK628" s="33"/>
      <c r="AL628" s="10"/>
      <c r="AM628" s="33"/>
      <c r="AN628" s="33"/>
      <c r="AO628" s="10"/>
    </row>
    <row r="629" customFormat="false" ht="15" hidden="false" customHeight="false" outlineLevel="0" collapsed="false">
      <c r="A629" s="22"/>
      <c r="B629" s="23" t="str">
        <f aca="false">IF(A629="","",YEAR(A629-WEEKDAY(A629,2)+4))</f>
        <v/>
      </c>
      <c r="C629" s="23" t="str">
        <f aca="false">IF(A629="","",WEEKNUM(A629,21))</f>
        <v/>
      </c>
      <c r="D629" s="24" t="str">
        <f aca="false">IF(A629="","",DATE(YEAR(A629),MONTH(A629),1))</f>
        <v/>
      </c>
      <c r="E629" s="10"/>
      <c r="F629" s="25"/>
      <c r="G629" s="25"/>
      <c r="H629" s="10"/>
      <c r="I629" s="10"/>
      <c r="J629" s="26"/>
      <c r="K629" s="25"/>
      <c r="L629" s="26"/>
      <c r="M629" s="27"/>
      <c r="N629" s="27"/>
      <c r="O629" s="28" t="str">
        <f aca="false">IF(OR(M629="",M629=0,N629=""),"",N629/M629)</f>
        <v/>
      </c>
      <c r="P629" s="28" t="str">
        <f aca="false">IF(M629="","",IFERROR(IF(INDEX(Parámetros!$B$14:$B$21,MATCH(I629,Parámetros!$A$14:$A$21,0))="",Parámetros!$B$5,INDEX(Parámetros!$B$14:$B$21,MATCH(I629,Parámetros!$A$14:$A$21,0))),Parámetros!$B$5))</f>
        <v/>
      </c>
      <c r="Q629" s="29" t="str">
        <f aca="false">IF(O629="","",(O629-P629)*100)</f>
        <v/>
      </c>
      <c r="R629" s="30" t="str">
        <f aca="false">IF(O629="","",MAX(0,M629*(P629-O629)))</f>
        <v/>
      </c>
      <c r="S629" s="31" t="str">
        <f aca="false">IF(OR(L629="",L629=0,N629=""),"",N629/1000/L629)</f>
        <v/>
      </c>
      <c r="T629" s="27"/>
      <c r="U629" s="27"/>
      <c r="V629" s="27"/>
      <c r="W629" s="27"/>
      <c r="X629" s="27"/>
      <c r="Y629" s="27"/>
      <c r="Z629" s="27"/>
      <c r="AA629" s="25"/>
      <c r="AB629" s="27"/>
      <c r="AC629" s="30" t="str">
        <f aca="false">IF(M629="","",IF(AB629="",M629*Parámetros!$B$6,AB629))</f>
        <v/>
      </c>
      <c r="AD629" s="30" t="str">
        <f aca="false">IF(M629="","",SUM(T629:Z629)+AC629)</f>
        <v/>
      </c>
      <c r="AE629" s="30" t="str">
        <f aca="false">IF(OR(M629="",N629=""),"",M629-N629)</f>
        <v/>
      </c>
      <c r="AF629" s="30" t="str">
        <f aca="false">IF(AE629="","",AE629-AD629)</f>
        <v/>
      </c>
      <c r="AG629" s="28" t="str">
        <f aca="false">IF(OR(AF629="",M629=0),"",AF629/M629)</f>
        <v/>
      </c>
      <c r="AH629" s="32" t="str">
        <f aca="false">IF(OR(AE629="",N629=0),"",AE629/(N629/1000))</f>
        <v/>
      </c>
      <c r="AI629" s="30" t="str">
        <f aca="false">IF(O629="","",M629*P629)</f>
        <v/>
      </c>
      <c r="AJ629" s="11" t="str">
        <f aca="false">IF(O629="","",IF(O629&gt;1,"Error: rend &gt; 100 %",IF(SUM(T629:Z629)=0,"Falta registrar pérdidas",IF(ABS(AG629)&gt;Parámetros!$B$7,"Revisar balance",IF(O629&lt;P629,"Bajo meta","OK")))))</f>
        <v/>
      </c>
      <c r="AK629" s="33"/>
      <c r="AL629" s="10"/>
      <c r="AM629" s="33"/>
      <c r="AN629" s="33"/>
      <c r="AO629" s="10"/>
    </row>
    <row r="630" customFormat="false" ht="15" hidden="false" customHeight="false" outlineLevel="0" collapsed="false">
      <c r="A630" s="22"/>
      <c r="B630" s="23" t="str">
        <f aca="false">IF(A630="","",YEAR(A630-WEEKDAY(A630,2)+4))</f>
        <v/>
      </c>
      <c r="C630" s="23" t="str">
        <f aca="false">IF(A630="","",WEEKNUM(A630,21))</f>
        <v/>
      </c>
      <c r="D630" s="24" t="str">
        <f aca="false">IF(A630="","",DATE(YEAR(A630),MONTH(A630),1))</f>
        <v/>
      </c>
      <c r="E630" s="10"/>
      <c r="F630" s="25"/>
      <c r="G630" s="25"/>
      <c r="H630" s="10"/>
      <c r="I630" s="10"/>
      <c r="J630" s="26"/>
      <c r="K630" s="25"/>
      <c r="L630" s="26"/>
      <c r="M630" s="27"/>
      <c r="N630" s="27"/>
      <c r="O630" s="28" t="str">
        <f aca="false">IF(OR(M630="",M630=0,N630=""),"",N630/M630)</f>
        <v/>
      </c>
      <c r="P630" s="28" t="str">
        <f aca="false">IF(M630="","",IFERROR(IF(INDEX(Parámetros!$B$14:$B$21,MATCH(I630,Parámetros!$A$14:$A$21,0))="",Parámetros!$B$5,INDEX(Parámetros!$B$14:$B$21,MATCH(I630,Parámetros!$A$14:$A$21,0))),Parámetros!$B$5))</f>
        <v/>
      </c>
      <c r="Q630" s="29" t="str">
        <f aca="false">IF(O630="","",(O630-P630)*100)</f>
        <v/>
      </c>
      <c r="R630" s="30" t="str">
        <f aca="false">IF(O630="","",MAX(0,M630*(P630-O630)))</f>
        <v/>
      </c>
      <c r="S630" s="31" t="str">
        <f aca="false">IF(OR(L630="",L630=0,N630=""),"",N630/1000/L630)</f>
        <v/>
      </c>
      <c r="T630" s="27"/>
      <c r="U630" s="27"/>
      <c r="V630" s="27"/>
      <c r="W630" s="27"/>
      <c r="X630" s="27"/>
      <c r="Y630" s="27"/>
      <c r="Z630" s="27"/>
      <c r="AA630" s="25"/>
      <c r="AB630" s="27"/>
      <c r="AC630" s="30" t="str">
        <f aca="false">IF(M630="","",IF(AB630="",M630*Parámetros!$B$6,AB630))</f>
        <v/>
      </c>
      <c r="AD630" s="30" t="str">
        <f aca="false">IF(M630="","",SUM(T630:Z630)+AC630)</f>
        <v/>
      </c>
      <c r="AE630" s="30" t="str">
        <f aca="false">IF(OR(M630="",N630=""),"",M630-N630)</f>
        <v/>
      </c>
      <c r="AF630" s="30" t="str">
        <f aca="false">IF(AE630="","",AE630-AD630)</f>
        <v/>
      </c>
      <c r="AG630" s="28" t="str">
        <f aca="false">IF(OR(AF630="",M630=0),"",AF630/M630)</f>
        <v/>
      </c>
      <c r="AH630" s="32" t="str">
        <f aca="false">IF(OR(AE630="",N630=0),"",AE630/(N630/1000))</f>
        <v/>
      </c>
      <c r="AI630" s="30" t="str">
        <f aca="false">IF(O630="","",M630*P630)</f>
        <v/>
      </c>
      <c r="AJ630" s="11" t="str">
        <f aca="false">IF(O630="","",IF(O630&gt;1,"Error: rend &gt; 100 %",IF(SUM(T630:Z630)=0,"Falta registrar pérdidas",IF(ABS(AG630)&gt;Parámetros!$B$7,"Revisar balance",IF(O630&lt;P630,"Bajo meta","OK")))))</f>
        <v/>
      </c>
      <c r="AK630" s="33"/>
      <c r="AL630" s="10"/>
      <c r="AM630" s="33"/>
      <c r="AN630" s="33"/>
      <c r="AO630" s="10"/>
    </row>
    <row r="631" customFormat="false" ht="15" hidden="false" customHeight="false" outlineLevel="0" collapsed="false">
      <c r="A631" s="22"/>
      <c r="B631" s="23" t="str">
        <f aca="false">IF(A631="","",YEAR(A631-WEEKDAY(A631,2)+4))</f>
        <v/>
      </c>
      <c r="C631" s="23" t="str">
        <f aca="false">IF(A631="","",WEEKNUM(A631,21))</f>
        <v/>
      </c>
      <c r="D631" s="24" t="str">
        <f aca="false">IF(A631="","",DATE(YEAR(A631),MONTH(A631),1))</f>
        <v/>
      </c>
      <c r="E631" s="10"/>
      <c r="F631" s="25"/>
      <c r="G631" s="25"/>
      <c r="H631" s="10"/>
      <c r="I631" s="10"/>
      <c r="J631" s="26"/>
      <c r="K631" s="25"/>
      <c r="L631" s="26"/>
      <c r="M631" s="27"/>
      <c r="N631" s="27"/>
      <c r="O631" s="28" t="str">
        <f aca="false">IF(OR(M631="",M631=0,N631=""),"",N631/M631)</f>
        <v/>
      </c>
      <c r="P631" s="28" t="str">
        <f aca="false">IF(M631="","",IFERROR(IF(INDEX(Parámetros!$B$14:$B$21,MATCH(I631,Parámetros!$A$14:$A$21,0))="",Parámetros!$B$5,INDEX(Parámetros!$B$14:$B$21,MATCH(I631,Parámetros!$A$14:$A$21,0))),Parámetros!$B$5))</f>
        <v/>
      </c>
      <c r="Q631" s="29" t="str">
        <f aca="false">IF(O631="","",(O631-P631)*100)</f>
        <v/>
      </c>
      <c r="R631" s="30" t="str">
        <f aca="false">IF(O631="","",MAX(0,M631*(P631-O631)))</f>
        <v/>
      </c>
      <c r="S631" s="31" t="str">
        <f aca="false">IF(OR(L631="",L631=0,N631=""),"",N631/1000/L631)</f>
        <v/>
      </c>
      <c r="T631" s="27"/>
      <c r="U631" s="27"/>
      <c r="V631" s="27"/>
      <c r="W631" s="27"/>
      <c r="X631" s="27"/>
      <c r="Y631" s="27"/>
      <c r="Z631" s="27"/>
      <c r="AA631" s="25"/>
      <c r="AB631" s="27"/>
      <c r="AC631" s="30" t="str">
        <f aca="false">IF(M631="","",IF(AB631="",M631*Parámetros!$B$6,AB631))</f>
        <v/>
      </c>
      <c r="AD631" s="30" t="str">
        <f aca="false">IF(M631="","",SUM(T631:Z631)+AC631)</f>
        <v/>
      </c>
      <c r="AE631" s="30" t="str">
        <f aca="false">IF(OR(M631="",N631=""),"",M631-N631)</f>
        <v/>
      </c>
      <c r="AF631" s="30" t="str">
        <f aca="false">IF(AE631="","",AE631-AD631)</f>
        <v/>
      </c>
      <c r="AG631" s="28" t="str">
        <f aca="false">IF(OR(AF631="",M631=0),"",AF631/M631)</f>
        <v/>
      </c>
      <c r="AH631" s="32" t="str">
        <f aca="false">IF(OR(AE631="",N631=0),"",AE631/(N631/1000))</f>
        <v/>
      </c>
      <c r="AI631" s="30" t="str">
        <f aca="false">IF(O631="","",M631*P631)</f>
        <v/>
      </c>
      <c r="AJ631" s="11" t="str">
        <f aca="false">IF(O631="","",IF(O631&gt;1,"Error: rend &gt; 100 %",IF(SUM(T631:Z631)=0,"Falta registrar pérdidas",IF(ABS(AG631)&gt;Parámetros!$B$7,"Revisar balance",IF(O631&lt;P631,"Bajo meta","OK")))))</f>
        <v/>
      </c>
      <c r="AK631" s="33"/>
      <c r="AL631" s="10"/>
      <c r="AM631" s="33"/>
      <c r="AN631" s="33"/>
      <c r="AO631" s="10"/>
    </row>
    <row r="632" customFormat="false" ht="15" hidden="false" customHeight="false" outlineLevel="0" collapsed="false">
      <c r="A632" s="22"/>
      <c r="B632" s="23" t="str">
        <f aca="false">IF(A632="","",YEAR(A632-WEEKDAY(A632,2)+4))</f>
        <v/>
      </c>
      <c r="C632" s="23" t="str">
        <f aca="false">IF(A632="","",WEEKNUM(A632,21))</f>
        <v/>
      </c>
      <c r="D632" s="24" t="str">
        <f aca="false">IF(A632="","",DATE(YEAR(A632),MONTH(A632),1))</f>
        <v/>
      </c>
      <c r="E632" s="10"/>
      <c r="F632" s="25"/>
      <c r="G632" s="25"/>
      <c r="H632" s="10"/>
      <c r="I632" s="10"/>
      <c r="J632" s="26"/>
      <c r="K632" s="25"/>
      <c r="L632" s="26"/>
      <c r="M632" s="27"/>
      <c r="N632" s="27"/>
      <c r="O632" s="28" t="str">
        <f aca="false">IF(OR(M632="",M632=0,N632=""),"",N632/M632)</f>
        <v/>
      </c>
      <c r="P632" s="28" t="str">
        <f aca="false">IF(M632="","",IFERROR(IF(INDEX(Parámetros!$B$14:$B$21,MATCH(I632,Parámetros!$A$14:$A$21,0))="",Parámetros!$B$5,INDEX(Parámetros!$B$14:$B$21,MATCH(I632,Parámetros!$A$14:$A$21,0))),Parámetros!$B$5))</f>
        <v/>
      </c>
      <c r="Q632" s="29" t="str">
        <f aca="false">IF(O632="","",(O632-P632)*100)</f>
        <v/>
      </c>
      <c r="R632" s="30" t="str">
        <f aca="false">IF(O632="","",MAX(0,M632*(P632-O632)))</f>
        <v/>
      </c>
      <c r="S632" s="31" t="str">
        <f aca="false">IF(OR(L632="",L632=0,N632=""),"",N632/1000/L632)</f>
        <v/>
      </c>
      <c r="T632" s="27"/>
      <c r="U632" s="27"/>
      <c r="V632" s="27"/>
      <c r="W632" s="27"/>
      <c r="X632" s="27"/>
      <c r="Y632" s="27"/>
      <c r="Z632" s="27"/>
      <c r="AA632" s="25"/>
      <c r="AB632" s="27"/>
      <c r="AC632" s="30" t="str">
        <f aca="false">IF(M632="","",IF(AB632="",M632*Parámetros!$B$6,AB632))</f>
        <v/>
      </c>
      <c r="AD632" s="30" t="str">
        <f aca="false">IF(M632="","",SUM(T632:Z632)+AC632)</f>
        <v/>
      </c>
      <c r="AE632" s="30" t="str">
        <f aca="false">IF(OR(M632="",N632=""),"",M632-N632)</f>
        <v/>
      </c>
      <c r="AF632" s="30" t="str">
        <f aca="false">IF(AE632="","",AE632-AD632)</f>
        <v/>
      </c>
      <c r="AG632" s="28" t="str">
        <f aca="false">IF(OR(AF632="",M632=0),"",AF632/M632)</f>
        <v/>
      </c>
      <c r="AH632" s="32" t="str">
        <f aca="false">IF(OR(AE632="",N632=0),"",AE632/(N632/1000))</f>
        <v/>
      </c>
      <c r="AI632" s="30" t="str">
        <f aca="false">IF(O632="","",M632*P632)</f>
        <v/>
      </c>
      <c r="AJ632" s="11" t="str">
        <f aca="false">IF(O632="","",IF(O632&gt;1,"Error: rend &gt; 100 %",IF(SUM(T632:Z632)=0,"Falta registrar pérdidas",IF(ABS(AG632)&gt;Parámetros!$B$7,"Revisar balance",IF(O632&lt;P632,"Bajo meta","OK")))))</f>
        <v/>
      </c>
      <c r="AK632" s="33"/>
      <c r="AL632" s="10"/>
      <c r="AM632" s="33"/>
      <c r="AN632" s="33"/>
      <c r="AO632" s="10"/>
    </row>
    <row r="633" customFormat="false" ht="15" hidden="false" customHeight="false" outlineLevel="0" collapsed="false">
      <c r="A633" s="22"/>
      <c r="B633" s="23" t="str">
        <f aca="false">IF(A633="","",YEAR(A633-WEEKDAY(A633,2)+4))</f>
        <v/>
      </c>
      <c r="C633" s="23" t="str">
        <f aca="false">IF(A633="","",WEEKNUM(A633,21))</f>
        <v/>
      </c>
      <c r="D633" s="24" t="str">
        <f aca="false">IF(A633="","",DATE(YEAR(A633),MONTH(A633),1))</f>
        <v/>
      </c>
      <c r="E633" s="10"/>
      <c r="F633" s="25"/>
      <c r="G633" s="25"/>
      <c r="H633" s="10"/>
      <c r="I633" s="10"/>
      <c r="J633" s="26"/>
      <c r="K633" s="25"/>
      <c r="L633" s="26"/>
      <c r="M633" s="27"/>
      <c r="N633" s="27"/>
      <c r="O633" s="28" t="str">
        <f aca="false">IF(OR(M633="",M633=0,N633=""),"",N633/M633)</f>
        <v/>
      </c>
      <c r="P633" s="28" t="str">
        <f aca="false">IF(M633="","",IFERROR(IF(INDEX(Parámetros!$B$14:$B$21,MATCH(I633,Parámetros!$A$14:$A$21,0))="",Parámetros!$B$5,INDEX(Parámetros!$B$14:$B$21,MATCH(I633,Parámetros!$A$14:$A$21,0))),Parámetros!$B$5))</f>
        <v/>
      </c>
      <c r="Q633" s="29" t="str">
        <f aca="false">IF(O633="","",(O633-P633)*100)</f>
        <v/>
      </c>
      <c r="R633" s="30" t="str">
        <f aca="false">IF(O633="","",MAX(0,M633*(P633-O633)))</f>
        <v/>
      </c>
      <c r="S633" s="31" t="str">
        <f aca="false">IF(OR(L633="",L633=0,N633=""),"",N633/1000/L633)</f>
        <v/>
      </c>
      <c r="T633" s="27"/>
      <c r="U633" s="27"/>
      <c r="V633" s="27"/>
      <c r="W633" s="27"/>
      <c r="X633" s="27"/>
      <c r="Y633" s="27"/>
      <c r="Z633" s="27"/>
      <c r="AA633" s="25"/>
      <c r="AB633" s="27"/>
      <c r="AC633" s="30" t="str">
        <f aca="false">IF(M633="","",IF(AB633="",M633*Parámetros!$B$6,AB633))</f>
        <v/>
      </c>
      <c r="AD633" s="30" t="str">
        <f aca="false">IF(M633="","",SUM(T633:Z633)+AC633)</f>
        <v/>
      </c>
      <c r="AE633" s="30" t="str">
        <f aca="false">IF(OR(M633="",N633=""),"",M633-N633)</f>
        <v/>
      </c>
      <c r="AF633" s="30" t="str">
        <f aca="false">IF(AE633="","",AE633-AD633)</f>
        <v/>
      </c>
      <c r="AG633" s="28" t="str">
        <f aca="false">IF(OR(AF633="",M633=0),"",AF633/M633)</f>
        <v/>
      </c>
      <c r="AH633" s="32" t="str">
        <f aca="false">IF(OR(AE633="",N633=0),"",AE633/(N633/1000))</f>
        <v/>
      </c>
      <c r="AI633" s="30" t="str">
        <f aca="false">IF(O633="","",M633*P633)</f>
        <v/>
      </c>
      <c r="AJ633" s="11" t="str">
        <f aca="false">IF(O633="","",IF(O633&gt;1,"Error: rend &gt; 100 %",IF(SUM(T633:Z633)=0,"Falta registrar pérdidas",IF(ABS(AG633)&gt;Parámetros!$B$7,"Revisar balance",IF(O633&lt;P633,"Bajo meta","OK")))))</f>
        <v/>
      </c>
      <c r="AK633" s="33"/>
      <c r="AL633" s="10"/>
      <c r="AM633" s="33"/>
      <c r="AN633" s="33"/>
      <c r="AO633" s="10"/>
    </row>
    <row r="634" customFormat="false" ht="15" hidden="false" customHeight="false" outlineLevel="0" collapsed="false">
      <c r="A634" s="22"/>
      <c r="B634" s="23" t="str">
        <f aca="false">IF(A634="","",YEAR(A634-WEEKDAY(A634,2)+4))</f>
        <v/>
      </c>
      <c r="C634" s="23" t="str">
        <f aca="false">IF(A634="","",WEEKNUM(A634,21))</f>
        <v/>
      </c>
      <c r="D634" s="24" t="str">
        <f aca="false">IF(A634="","",DATE(YEAR(A634),MONTH(A634),1))</f>
        <v/>
      </c>
      <c r="E634" s="10"/>
      <c r="F634" s="25"/>
      <c r="G634" s="25"/>
      <c r="H634" s="10"/>
      <c r="I634" s="10"/>
      <c r="J634" s="26"/>
      <c r="K634" s="25"/>
      <c r="L634" s="26"/>
      <c r="M634" s="27"/>
      <c r="N634" s="27"/>
      <c r="O634" s="28" t="str">
        <f aca="false">IF(OR(M634="",M634=0,N634=""),"",N634/M634)</f>
        <v/>
      </c>
      <c r="P634" s="28" t="str">
        <f aca="false">IF(M634="","",IFERROR(IF(INDEX(Parámetros!$B$14:$B$21,MATCH(I634,Parámetros!$A$14:$A$21,0))="",Parámetros!$B$5,INDEX(Parámetros!$B$14:$B$21,MATCH(I634,Parámetros!$A$14:$A$21,0))),Parámetros!$B$5))</f>
        <v/>
      </c>
      <c r="Q634" s="29" t="str">
        <f aca="false">IF(O634="","",(O634-P634)*100)</f>
        <v/>
      </c>
      <c r="R634" s="30" t="str">
        <f aca="false">IF(O634="","",MAX(0,M634*(P634-O634)))</f>
        <v/>
      </c>
      <c r="S634" s="31" t="str">
        <f aca="false">IF(OR(L634="",L634=0,N634=""),"",N634/1000/L634)</f>
        <v/>
      </c>
      <c r="T634" s="27"/>
      <c r="U634" s="27"/>
      <c r="V634" s="27"/>
      <c r="W634" s="27"/>
      <c r="X634" s="27"/>
      <c r="Y634" s="27"/>
      <c r="Z634" s="27"/>
      <c r="AA634" s="25"/>
      <c r="AB634" s="27"/>
      <c r="AC634" s="30" t="str">
        <f aca="false">IF(M634="","",IF(AB634="",M634*Parámetros!$B$6,AB634))</f>
        <v/>
      </c>
      <c r="AD634" s="30" t="str">
        <f aca="false">IF(M634="","",SUM(T634:Z634)+AC634)</f>
        <v/>
      </c>
      <c r="AE634" s="30" t="str">
        <f aca="false">IF(OR(M634="",N634=""),"",M634-N634)</f>
        <v/>
      </c>
      <c r="AF634" s="30" t="str">
        <f aca="false">IF(AE634="","",AE634-AD634)</f>
        <v/>
      </c>
      <c r="AG634" s="28" t="str">
        <f aca="false">IF(OR(AF634="",M634=0),"",AF634/M634)</f>
        <v/>
      </c>
      <c r="AH634" s="32" t="str">
        <f aca="false">IF(OR(AE634="",N634=0),"",AE634/(N634/1000))</f>
        <v/>
      </c>
      <c r="AI634" s="30" t="str">
        <f aca="false">IF(O634="","",M634*P634)</f>
        <v/>
      </c>
      <c r="AJ634" s="11" t="str">
        <f aca="false">IF(O634="","",IF(O634&gt;1,"Error: rend &gt; 100 %",IF(SUM(T634:Z634)=0,"Falta registrar pérdidas",IF(ABS(AG634)&gt;Parámetros!$B$7,"Revisar balance",IF(O634&lt;P634,"Bajo meta","OK")))))</f>
        <v/>
      </c>
      <c r="AK634" s="33"/>
      <c r="AL634" s="10"/>
      <c r="AM634" s="33"/>
      <c r="AN634" s="33"/>
      <c r="AO634" s="10"/>
    </row>
    <row r="635" customFormat="false" ht="15" hidden="false" customHeight="false" outlineLevel="0" collapsed="false">
      <c r="A635" s="22"/>
      <c r="B635" s="23" t="str">
        <f aca="false">IF(A635="","",YEAR(A635-WEEKDAY(A635,2)+4))</f>
        <v/>
      </c>
      <c r="C635" s="23" t="str">
        <f aca="false">IF(A635="","",WEEKNUM(A635,21))</f>
        <v/>
      </c>
      <c r="D635" s="24" t="str">
        <f aca="false">IF(A635="","",DATE(YEAR(A635),MONTH(A635),1))</f>
        <v/>
      </c>
      <c r="E635" s="10"/>
      <c r="F635" s="25"/>
      <c r="G635" s="25"/>
      <c r="H635" s="10"/>
      <c r="I635" s="10"/>
      <c r="J635" s="26"/>
      <c r="K635" s="25"/>
      <c r="L635" s="26"/>
      <c r="M635" s="27"/>
      <c r="N635" s="27"/>
      <c r="O635" s="28" t="str">
        <f aca="false">IF(OR(M635="",M635=0,N635=""),"",N635/M635)</f>
        <v/>
      </c>
      <c r="P635" s="28" t="str">
        <f aca="false">IF(M635="","",IFERROR(IF(INDEX(Parámetros!$B$14:$B$21,MATCH(I635,Parámetros!$A$14:$A$21,0))="",Parámetros!$B$5,INDEX(Parámetros!$B$14:$B$21,MATCH(I635,Parámetros!$A$14:$A$21,0))),Parámetros!$B$5))</f>
        <v/>
      </c>
      <c r="Q635" s="29" t="str">
        <f aca="false">IF(O635="","",(O635-P635)*100)</f>
        <v/>
      </c>
      <c r="R635" s="30" t="str">
        <f aca="false">IF(O635="","",MAX(0,M635*(P635-O635)))</f>
        <v/>
      </c>
      <c r="S635" s="31" t="str">
        <f aca="false">IF(OR(L635="",L635=0,N635=""),"",N635/1000/L635)</f>
        <v/>
      </c>
      <c r="T635" s="27"/>
      <c r="U635" s="27"/>
      <c r="V635" s="27"/>
      <c r="W635" s="27"/>
      <c r="X635" s="27"/>
      <c r="Y635" s="27"/>
      <c r="Z635" s="27"/>
      <c r="AA635" s="25"/>
      <c r="AB635" s="27"/>
      <c r="AC635" s="30" t="str">
        <f aca="false">IF(M635="","",IF(AB635="",M635*Parámetros!$B$6,AB635))</f>
        <v/>
      </c>
      <c r="AD635" s="30" t="str">
        <f aca="false">IF(M635="","",SUM(T635:Z635)+AC635)</f>
        <v/>
      </c>
      <c r="AE635" s="30" t="str">
        <f aca="false">IF(OR(M635="",N635=""),"",M635-N635)</f>
        <v/>
      </c>
      <c r="AF635" s="30" t="str">
        <f aca="false">IF(AE635="","",AE635-AD635)</f>
        <v/>
      </c>
      <c r="AG635" s="28" t="str">
        <f aca="false">IF(OR(AF635="",M635=0),"",AF635/M635)</f>
        <v/>
      </c>
      <c r="AH635" s="32" t="str">
        <f aca="false">IF(OR(AE635="",N635=0),"",AE635/(N635/1000))</f>
        <v/>
      </c>
      <c r="AI635" s="30" t="str">
        <f aca="false">IF(O635="","",M635*P635)</f>
        <v/>
      </c>
      <c r="AJ635" s="11" t="str">
        <f aca="false">IF(O635="","",IF(O635&gt;1,"Error: rend &gt; 100 %",IF(SUM(T635:Z635)=0,"Falta registrar pérdidas",IF(ABS(AG635)&gt;Parámetros!$B$7,"Revisar balance",IF(O635&lt;P635,"Bajo meta","OK")))))</f>
        <v/>
      </c>
      <c r="AK635" s="33"/>
      <c r="AL635" s="10"/>
      <c r="AM635" s="33"/>
      <c r="AN635" s="33"/>
      <c r="AO635" s="10"/>
    </row>
    <row r="636" customFormat="false" ht="15" hidden="false" customHeight="false" outlineLevel="0" collapsed="false">
      <c r="A636" s="22"/>
      <c r="B636" s="23" t="str">
        <f aca="false">IF(A636="","",YEAR(A636-WEEKDAY(A636,2)+4))</f>
        <v/>
      </c>
      <c r="C636" s="23" t="str">
        <f aca="false">IF(A636="","",WEEKNUM(A636,21))</f>
        <v/>
      </c>
      <c r="D636" s="24" t="str">
        <f aca="false">IF(A636="","",DATE(YEAR(A636),MONTH(A636),1))</f>
        <v/>
      </c>
      <c r="E636" s="10"/>
      <c r="F636" s="25"/>
      <c r="G636" s="25"/>
      <c r="H636" s="10"/>
      <c r="I636" s="10"/>
      <c r="J636" s="26"/>
      <c r="K636" s="25"/>
      <c r="L636" s="26"/>
      <c r="M636" s="27"/>
      <c r="N636" s="27"/>
      <c r="O636" s="28" t="str">
        <f aca="false">IF(OR(M636="",M636=0,N636=""),"",N636/M636)</f>
        <v/>
      </c>
      <c r="P636" s="28" t="str">
        <f aca="false">IF(M636="","",IFERROR(IF(INDEX(Parámetros!$B$14:$B$21,MATCH(I636,Parámetros!$A$14:$A$21,0))="",Parámetros!$B$5,INDEX(Parámetros!$B$14:$B$21,MATCH(I636,Parámetros!$A$14:$A$21,0))),Parámetros!$B$5))</f>
        <v/>
      </c>
      <c r="Q636" s="29" t="str">
        <f aca="false">IF(O636="","",(O636-P636)*100)</f>
        <v/>
      </c>
      <c r="R636" s="30" t="str">
        <f aca="false">IF(O636="","",MAX(0,M636*(P636-O636)))</f>
        <v/>
      </c>
      <c r="S636" s="31" t="str">
        <f aca="false">IF(OR(L636="",L636=0,N636=""),"",N636/1000/L636)</f>
        <v/>
      </c>
      <c r="T636" s="27"/>
      <c r="U636" s="27"/>
      <c r="V636" s="27"/>
      <c r="W636" s="27"/>
      <c r="X636" s="27"/>
      <c r="Y636" s="27"/>
      <c r="Z636" s="27"/>
      <c r="AA636" s="25"/>
      <c r="AB636" s="27"/>
      <c r="AC636" s="30" t="str">
        <f aca="false">IF(M636="","",IF(AB636="",M636*Parámetros!$B$6,AB636))</f>
        <v/>
      </c>
      <c r="AD636" s="30" t="str">
        <f aca="false">IF(M636="","",SUM(T636:Z636)+AC636)</f>
        <v/>
      </c>
      <c r="AE636" s="30" t="str">
        <f aca="false">IF(OR(M636="",N636=""),"",M636-N636)</f>
        <v/>
      </c>
      <c r="AF636" s="30" t="str">
        <f aca="false">IF(AE636="","",AE636-AD636)</f>
        <v/>
      </c>
      <c r="AG636" s="28" t="str">
        <f aca="false">IF(OR(AF636="",M636=0),"",AF636/M636)</f>
        <v/>
      </c>
      <c r="AH636" s="32" t="str">
        <f aca="false">IF(OR(AE636="",N636=0),"",AE636/(N636/1000))</f>
        <v/>
      </c>
      <c r="AI636" s="30" t="str">
        <f aca="false">IF(O636="","",M636*P636)</f>
        <v/>
      </c>
      <c r="AJ636" s="11" t="str">
        <f aca="false">IF(O636="","",IF(O636&gt;1,"Error: rend &gt; 100 %",IF(SUM(T636:Z636)=0,"Falta registrar pérdidas",IF(ABS(AG636)&gt;Parámetros!$B$7,"Revisar balance",IF(O636&lt;P636,"Bajo meta","OK")))))</f>
        <v/>
      </c>
      <c r="AK636" s="33"/>
      <c r="AL636" s="10"/>
      <c r="AM636" s="33"/>
      <c r="AN636" s="33"/>
      <c r="AO636" s="10"/>
    </row>
    <row r="637" customFormat="false" ht="15" hidden="false" customHeight="false" outlineLevel="0" collapsed="false">
      <c r="A637" s="22"/>
      <c r="B637" s="23" t="str">
        <f aca="false">IF(A637="","",YEAR(A637-WEEKDAY(A637,2)+4))</f>
        <v/>
      </c>
      <c r="C637" s="23" t="str">
        <f aca="false">IF(A637="","",WEEKNUM(A637,21))</f>
        <v/>
      </c>
      <c r="D637" s="24" t="str">
        <f aca="false">IF(A637="","",DATE(YEAR(A637),MONTH(A637),1))</f>
        <v/>
      </c>
      <c r="E637" s="10"/>
      <c r="F637" s="25"/>
      <c r="G637" s="25"/>
      <c r="H637" s="10"/>
      <c r="I637" s="10"/>
      <c r="J637" s="26"/>
      <c r="K637" s="25"/>
      <c r="L637" s="26"/>
      <c r="M637" s="27"/>
      <c r="N637" s="27"/>
      <c r="O637" s="28" t="str">
        <f aca="false">IF(OR(M637="",M637=0,N637=""),"",N637/M637)</f>
        <v/>
      </c>
      <c r="P637" s="28" t="str">
        <f aca="false">IF(M637="","",IFERROR(IF(INDEX(Parámetros!$B$14:$B$21,MATCH(I637,Parámetros!$A$14:$A$21,0))="",Parámetros!$B$5,INDEX(Parámetros!$B$14:$B$21,MATCH(I637,Parámetros!$A$14:$A$21,0))),Parámetros!$B$5))</f>
        <v/>
      </c>
      <c r="Q637" s="29" t="str">
        <f aca="false">IF(O637="","",(O637-P637)*100)</f>
        <v/>
      </c>
      <c r="R637" s="30" t="str">
        <f aca="false">IF(O637="","",MAX(0,M637*(P637-O637)))</f>
        <v/>
      </c>
      <c r="S637" s="31" t="str">
        <f aca="false">IF(OR(L637="",L637=0,N637=""),"",N637/1000/L637)</f>
        <v/>
      </c>
      <c r="T637" s="27"/>
      <c r="U637" s="27"/>
      <c r="V637" s="27"/>
      <c r="W637" s="27"/>
      <c r="X637" s="27"/>
      <c r="Y637" s="27"/>
      <c r="Z637" s="27"/>
      <c r="AA637" s="25"/>
      <c r="AB637" s="27"/>
      <c r="AC637" s="30" t="str">
        <f aca="false">IF(M637="","",IF(AB637="",M637*Parámetros!$B$6,AB637))</f>
        <v/>
      </c>
      <c r="AD637" s="30" t="str">
        <f aca="false">IF(M637="","",SUM(T637:Z637)+AC637)</f>
        <v/>
      </c>
      <c r="AE637" s="30" t="str">
        <f aca="false">IF(OR(M637="",N637=""),"",M637-N637)</f>
        <v/>
      </c>
      <c r="AF637" s="30" t="str">
        <f aca="false">IF(AE637="","",AE637-AD637)</f>
        <v/>
      </c>
      <c r="AG637" s="28" t="str">
        <f aca="false">IF(OR(AF637="",M637=0),"",AF637/M637)</f>
        <v/>
      </c>
      <c r="AH637" s="32" t="str">
        <f aca="false">IF(OR(AE637="",N637=0),"",AE637/(N637/1000))</f>
        <v/>
      </c>
      <c r="AI637" s="30" t="str">
        <f aca="false">IF(O637="","",M637*P637)</f>
        <v/>
      </c>
      <c r="AJ637" s="11" t="str">
        <f aca="false">IF(O637="","",IF(O637&gt;1,"Error: rend &gt; 100 %",IF(SUM(T637:Z637)=0,"Falta registrar pérdidas",IF(ABS(AG637)&gt;Parámetros!$B$7,"Revisar balance",IF(O637&lt;P637,"Bajo meta","OK")))))</f>
        <v/>
      </c>
      <c r="AK637" s="33"/>
      <c r="AL637" s="10"/>
      <c r="AM637" s="33"/>
      <c r="AN637" s="33"/>
      <c r="AO637" s="10"/>
    </row>
    <row r="638" customFormat="false" ht="15" hidden="false" customHeight="false" outlineLevel="0" collapsed="false">
      <c r="A638" s="22"/>
      <c r="B638" s="23" t="str">
        <f aca="false">IF(A638="","",YEAR(A638-WEEKDAY(A638,2)+4))</f>
        <v/>
      </c>
      <c r="C638" s="23" t="str">
        <f aca="false">IF(A638="","",WEEKNUM(A638,21))</f>
        <v/>
      </c>
      <c r="D638" s="24" t="str">
        <f aca="false">IF(A638="","",DATE(YEAR(A638),MONTH(A638),1))</f>
        <v/>
      </c>
      <c r="E638" s="10"/>
      <c r="F638" s="25"/>
      <c r="G638" s="25"/>
      <c r="H638" s="10"/>
      <c r="I638" s="10"/>
      <c r="J638" s="26"/>
      <c r="K638" s="25"/>
      <c r="L638" s="26"/>
      <c r="M638" s="27"/>
      <c r="N638" s="27"/>
      <c r="O638" s="28" t="str">
        <f aca="false">IF(OR(M638="",M638=0,N638=""),"",N638/M638)</f>
        <v/>
      </c>
      <c r="P638" s="28" t="str">
        <f aca="false">IF(M638="","",IFERROR(IF(INDEX(Parámetros!$B$14:$B$21,MATCH(I638,Parámetros!$A$14:$A$21,0))="",Parámetros!$B$5,INDEX(Parámetros!$B$14:$B$21,MATCH(I638,Parámetros!$A$14:$A$21,0))),Parámetros!$B$5))</f>
        <v/>
      </c>
      <c r="Q638" s="29" t="str">
        <f aca="false">IF(O638="","",(O638-P638)*100)</f>
        <v/>
      </c>
      <c r="R638" s="30" t="str">
        <f aca="false">IF(O638="","",MAX(0,M638*(P638-O638)))</f>
        <v/>
      </c>
      <c r="S638" s="31" t="str">
        <f aca="false">IF(OR(L638="",L638=0,N638=""),"",N638/1000/L638)</f>
        <v/>
      </c>
      <c r="T638" s="27"/>
      <c r="U638" s="27"/>
      <c r="V638" s="27"/>
      <c r="W638" s="27"/>
      <c r="X638" s="27"/>
      <c r="Y638" s="27"/>
      <c r="Z638" s="27"/>
      <c r="AA638" s="25"/>
      <c r="AB638" s="27"/>
      <c r="AC638" s="30" t="str">
        <f aca="false">IF(M638="","",IF(AB638="",M638*Parámetros!$B$6,AB638))</f>
        <v/>
      </c>
      <c r="AD638" s="30" t="str">
        <f aca="false">IF(M638="","",SUM(T638:Z638)+AC638)</f>
        <v/>
      </c>
      <c r="AE638" s="30" t="str">
        <f aca="false">IF(OR(M638="",N638=""),"",M638-N638)</f>
        <v/>
      </c>
      <c r="AF638" s="30" t="str">
        <f aca="false">IF(AE638="","",AE638-AD638)</f>
        <v/>
      </c>
      <c r="AG638" s="28" t="str">
        <f aca="false">IF(OR(AF638="",M638=0),"",AF638/M638)</f>
        <v/>
      </c>
      <c r="AH638" s="32" t="str">
        <f aca="false">IF(OR(AE638="",N638=0),"",AE638/(N638/1000))</f>
        <v/>
      </c>
      <c r="AI638" s="30" t="str">
        <f aca="false">IF(O638="","",M638*P638)</f>
        <v/>
      </c>
      <c r="AJ638" s="11" t="str">
        <f aca="false">IF(O638="","",IF(O638&gt;1,"Error: rend &gt; 100 %",IF(SUM(T638:Z638)=0,"Falta registrar pérdidas",IF(ABS(AG638)&gt;Parámetros!$B$7,"Revisar balance",IF(O638&lt;P638,"Bajo meta","OK")))))</f>
        <v/>
      </c>
      <c r="AK638" s="33"/>
      <c r="AL638" s="10"/>
      <c r="AM638" s="33"/>
      <c r="AN638" s="33"/>
      <c r="AO638" s="10"/>
    </row>
    <row r="639" customFormat="false" ht="15" hidden="false" customHeight="false" outlineLevel="0" collapsed="false">
      <c r="A639" s="22"/>
      <c r="B639" s="23" t="str">
        <f aca="false">IF(A639="","",YEAR(A639-WEEKDAY(A639,2)+4))</f>
        <v/>
      </c>
      <c r="C639" s="23" t="str">
        <f aca="false">IF(A639="","",WEEKNUM(A639,21))</f>
        <v/>
      </c>
      <c r="D639" s="24" t="str">
        <f aca="false">IF(A639="","",DATE(YEAR(A639),MONTH(A639),1))</f>
        <v/>
      </c>
      <c r="E639" s="10"/>
      <c r="F639" s="25"/>
      <c r="G639" s="25"/>
      <c r="H639" s="10"/>
      <c r="I639" s="10"/>
      <c r="J639" s="26"/>
      <c r="K639" s="25"/>
      <c r="L639" s="26"/>
      <c r="M639" s="27"/>
      <c r="N639" s="27"/>
      <c r="O639" s="28" t="str">
        <f aca="false">IF(OR(M639="",M639=0,N639=""),"",N639/M639)</f>
        <v/>
      </c>
      <c r="P639" s="28" t="str">
        <f aca="false">IF(M639="","",IFERROR(IF(INDEX(Parámetros!$B$14:$B$21,MATCH(I639,Parámetros!$A$14:$A$21,0))="",Parámetros!$B$5,INDEX(Parámetros!$B$14:$B$21,MATCH(I639,Parámetros!$A$14:$A$21,0))),Parámetros!$B$5))</f>
        <v/>
      </c>
      <c r="Q639" s="29" t="str">
        <f aca="false">IF(O639="","",(O639-P639)*100)</f>
        <v/>
      </c>
      <c r="R639" s="30" t="str">
        <f aca="false">IF(O639="","",MAX(0,M639*(P639-O639)))</f>
        <v/>
      </c>
      <c r="S639" s="31" t="str">
        <f aca="false">IF(OR(L639="",L639=0,N639=""),"",N639/1000/L639)</f>
        <v/>
      </c>
      <c r="T639" s="27"/>
      <c r="U639" s="27"/>
      <c r="V639" s="27"/>
      <c r="W639" s="27"/>
      <c r="X639" s="27"/>
      <c r="Y639" s="27"/>
      <c r="Z639" s="27"/>
      <c r="AA639" s="25"/>
      <c r="AB639" s="27"/>
      <c r="AC639" s="30" t="str">
        <f aca="false">IF(M639="","",IF(AB639="",M639*Parámetros!$B$6,AB639))</f>
        <v/>
      </c>
      <c r="AD639" s="30" t="str">
        <f aca="false">IF(M639="","",SUM(T639:Z639)+AC639)</f>
        <v/>
      </c>
      <c r="AE639" s="30" t="str">
        <f aca="false">IF(OR(M639="",N639=""),"",M639-N639)</f>
        <v/>
      </c>
      <c r="AF639" s="30" t="str">
        <f aca="false">IF(AE639="","",AE639-AD639)</f>
        <v/>
      </c>
      <c r="AG639" s="28" t="str">
        <f aca="false">IF(OR(AF639="",M639=0),"",AF639/M639)</f>
        <v/>
      </c>
      <c r="AH639" s="32" t="str">
        <f aca="false">IF(OR(AE639="",N639=0),"",AE639/(N639/1000))</f>
        <v/>
      </c>
      <c r="AI639" s="30" t="str">
        <f aca="false">IF(O639="","",M639*P639)</f>
        <v/>
      </c>
      <c r="AJ639" s="11" t="str">
        <f aca="false">IF(O639="","",IF(O639&gt;1,"Error: rend &gt; 100 %",IF(SUM(T639:Z639)=0,"Falta registrar pérdidas",IF(ABS(AG639)&gt;Parámetros!$B$7,"Revisar balance",IF(O639&lt;P639,"Bajo meta","OK")))))</f>
        <v/>
      </c>
      <c r="AK639" s="33"/>
      <c r="AL639" s="10"/>
      <c r="AM639" s="33"/>
      <c r="AN639" s="33"/>
      <c r="AO639" s="10"/>
    </row>
    <row r="640" customFormat="false" ht="15" hidden="false" customHeight="false" outlineLevel="0" collapsed="false">
      <c r="A640" s="22"/>
      <c r="B640" s="23" t="str">
        <f aca="false">IF(A640="","",YEAR(A640-WEEKDAY(A640,2)+4))</f>
        <v/>
      </c>
      <c r="C640" s="23" t="str">
        <f aca="false">IF(A640="","",WEEKNUM(A640,21))</f>
        <v/>
      </c>
      <c r="D640" s="24" t="str">
        <f aca="false">IF(A640="","",DATE(YEAR(A640),MONTH(A640),1))</f>
        <v/>
      </c>
      <c r="E640" s="10"/>
      <c r="F640" s="25"/>
      <c r="G640" s="25"/>
      <c r="H640" s="10"/>
      <c r="I640" s="10"/>
      <c r="J640" s="26"/>
      <c r="K640" s="25"/>
      <c r="L640" s="26"/>
      <c r="M640" s="27"/>
      <c r="N640" s="27"/>
      <c r="O640" s="28" t="str">
        <f aca="false">IF(OR(M640="",M640=0,N640=""),"",N640/M640)</f>
        <v/>
      </c>
      <c r="P640" s="28" t="str">
        <f aca="false">IF(M640="","",IFERROR(IF(INDEX(Parámetros!$B$14:$B$21,MATCH(I640,Parámetros!$A$14:$A$21,0))="",Parámetros!$B$5,INDEX(Parámetros!$B$14:$B$21,MATCH(I640,Parámetros!$A$14:$A$21,0))),Parámetros!$B$5))</f>
        <v/>
      </c>
      <c r="Q640" s="29" t="str">
        <f aca="false">IF(O640="","",(O640-P640)*100)</f>
        <v/>
      </c>
      <c r="R640" s="30" t="str">
        <f aca="false">IF(O640="","",MAX(0,M640*(P640-O640)))</f>
        <v/>
      </c>
      <c r="S640" s="31" t="str">
        <f aca="false">IF(OR(L640="",L640=0,N640=""),"",N640/1000/L640)</f>
        <v/>
      </c>
      <c r="T640" s="27"/>
      <c r="U640" s="27"/>
      <c r="V640" s="27"/>
      <c r="W640" s="27"/>
      <c r="X640" s="27"/>
      <c r="Y640" s="27"/>
      <c r="Z640" s="27"/>
      <c r="AA640" s="25"/>
      <c r="AB640" s="27"/>
      <c r="AC640" s="30" t="str">
        <f aca="false">IF(M640="","",IF(AB640="",M640*Parámetros!$B$6,AB640))</f>
        <v/>
      </c>
      <c r="AD640" s="30" t="str">
        <f aca="false">IF(M640="","",SUM(T640:Z640)+AC640)</f>
        <v/>
      </c>
      <c r="AE640" s="30" t="str">
        <f aca="false">IF(OR(M640="",N640=""),"",M640-N640)</f>
        <v/>
      </c>
      <c r="AF640" s="30" t="str">
        <f aca="false">IF(AE640="","",AE640-AD640)</f>
        <v/>
      </c>
      <c r="AG640" s="28" t="str">
        <f aca="false">IF(OR(AF640="",M640=0),"",AF640/M640)</f>
        <v/>
      </c>
      <c r="AH640" s="32" t="str">
        <f aca="false">IF(OR(AE640="",N640=0),"",AE640/(N640/1000))</f>
        <v/>
      </c>
      <c r="AI640" s="30" t="str">
        <f aca="false">IF(O640="","",M640*P640)</f>
        <v/>
      </c>
      <c r="AJ640" s="11" t="str">
        <f aca="false">IF(O640="","",IF(O640&gt;1,"Error: rend &gt; 100 %",IF(SUM(T640:Z640)=0,"Falta registrar pérdidas",IF(ABS(AG640)&gt;Parámetros!$B$7,"Revisar balance",IF(O640&lt;P640,"Bajo meta","OK")))))</f>
        <v/>
      </c>
      <c r="AK640" s="33"/>
      <c r="AL640" s="10"/>
      <c r="AM640" s="33"/>
      <c r="AN640" s="33"/>
      <c r="AO640" s="10"/>
    </row>
    <row r="641" customFormat="false" ht="15" hidden="false" customHeight="false" outlineLevel="0" collapsed="false">
      <c r="A641" s="22"/>
      <c r="B641" s="23" t="str">
        <f aca="false">IF(A641="","",YEAR(A641-WEEKDAY(A641,2)+4))</f>
        <v/>
      </c>
      <c r="C641" s="23" t="str">
        <f aca="false">IF(A641="","",WEEKNUM(A641,21))</f>
        <v/>
      </c>
      <c r="D641" s="24" t="str">
        <f aca="false">IF(A641="","",DATE(YEAR(A641),MONTH(A641),1))</f>
        <v/>
      </c>
      <c r="E641" s="10"/>
      <c r="F641" s="25"/>
      <c r="G641" s="25"/>
      <c r="H641" s="10"/>
      <c r="I641" s="10"/>
      <c r="J641" s="26"/>
      <c r="K641" s="25"/>
      <c r="L641" s="26"/>
      <c r="M641" s="27"/>
      <c r="N641" s="27"/>
      <c r="O641" s="28" t="str">
        <f aca="false">IF(OR(M641="",M641=0,N641=""),"",N641/M641)</f>
        <v/>
      </c>
      <c r="P641" s="28" t="str">
        <f aca="false">IF(M641="","",IFERROR(IF(INDEX(Parámetros!$B$14:$B$21,MATCH(I641,Parámetros!$A$14:$A$21,0))="",Parámetros!$B$5,INDEX(Parámetros!$B$14:$B$21,MATCH(I641,Parámetros!$A$14:$A$21,0))),Parámetros!$B$5))</f>
        <v/>
      </c>
      <c r="Q641" s="29" t="str">
        <f aca="false">IF(O641="","",(O641-P641)*100)</f>
        <v/>
      </c>
      <c r="R641" s="30" t="str">
        <f aca="false">IF(O641="","",MAX(0,M641*(P641-O641)))</f>
        <v/>
      </c>
      <c r="S641" s="31" t="str">
        <f aca="false">IF(OR(L641="",L641=0,N641=""),"",N641/1000/L641)</f>
        <v/>
      </c>
      <c r="T641" s="27"/>
      <c r="U641" s="27"/>
      <c r="V641" s="27"/>
      <c r="W641" s="27"/>
      <c r="X641" s="27"/>
      <c r="Y641" s="27"/>
      <c r="Z641" s="27"/>
      <c r="AA641" s="25"/>
      <c r="AB641" s="27"/>
      <c r="AC641" s="30" t="str">
        <f aca="false">IF(M641="","",IF(AB641="",M641*Parámetros!$B$6,AB641))</f>
        <v/>
      </c>
      <c r="AD641" s="30" t="str">
        <f aca="false">IF(M641="","",SUM(T641:Z641)+AC641)</f>
        <v/>
      </c>
      <c r="AE641" s="30" t="str">
        <f aca="false">IF(OR(M641="",N641=""),"",M641-N641)</f>
        <v/>
      </c>
      <c r="AF641" s="30" t="str">
        <f aca="false">IF(AE641="","",AE641-AD641)</f>
        <v/>
      </c>
      <c r="AG641" s="28" t="str">
        <f aca="false">IF(OR(AF641="",M641=0),"",AF641/M641)</f>
        <v/>
      </c>
      <c r="AH641" s="32" t="str">
        <f aca="false">IF(OR(AE641="",N641=0),"",AE641/(N641/1000))</f>
        <v/>
      </c>
      <c r="AI641" s="30" t="str">
        <f aca="false">IF(O641="","",M641*P641)</f>
        <v/>
      </c>
      <c r="AJ641" s="11" t="str">
        <f aca="false">IF(O641="","",IF(O641&gt;1,"Error: rend &gt; 100 %",IF(SUM(T641:Z641)=0,"Falta registrar pérdidas",IF(ABS(AG641)&gt;Parámetros!$B$7,"Revisar balance",IF(O641&lt;P641,"Bajo meta","OK")))))</f>
        <v/>
      </c>
      <c r="AK641" s="33"/>
      <c r="AL641" s="10"/>
      <c r="AM641" s="33"/>
      <c r="AN641" s="33"/>
      <c r="AO641" s="10"/>
    </row>
    <row r="642" customFormat="false" ht="15" hidden="false" customHeight="false" outlineLevel="0" collapsed="false">
      <c r="A642" s="22"/>
      <c r="B642" s="23" t="str">
        <f aca="false">IF(A642="","",YEAR(A642-WEEKDAY(A642,2)+4))</f>
        <v/>
      </c>
      <c r="C642" s="23" t="str">
        <f aca="false">IF(A642="","",WEEKNUM(A642,21))</f>
        <v/>
      </c>
      <c r="D642" s="24" t="str">
        <f aca="false">IF(A642="","",DATE(YEAR(A642),MONTH(A642),1))</f>
        <v/>
      </c>
      <c r="E642" s="10"/>
      <c r="F642" s="25"/>
      <c r="G642" s="25"/>
      <c r="H642" s="10"/>
      <c r="I642" s="10"/>
      <c r="J642" s="26"/>
      <c r="K642" s="25"/>
      <c r="L642" s="26"/>
      <c r="M642" s="27"/>
      <c r="N642" s="27"/>
      <c r="O642" s="28" t="str">
        <f aca="false">IF(OR(M642="",M642=0,N642=""),"",N642/M642)</f>
        <v/>
      </c>
      <c r="P642" s="28" t="str">
        <f aca="false">IF(M642="","",IFERROR(IF(INDEX(Parámetros!$B$14:$B$21,MATCH(I642,Parámetros!$A$14:$A$21,0))="",Parámetros!$B$5,INDEX(Parámetros!$B$14:$B$21,MATCH(I642,Parámetros!$A$14:$A$21,0))),Parámetros!$B$5))</f>
        <v/>
      </c>
      <c r="Q642" s="29" t="str">
        <f aca="false">IF(O642="","",(O642-P642)*100)</f>
        <v/>
      </c>
      <c r="R642" s="30" t="str">
        <f aca="false">IF(O642="","",MAX(0,M642*(P642-O642)))</f>
        <v/>
      </c>
      <c r="S642" s="31" t="str">
        <f aca="false">IF(OR(L642="",L642=0,N642=""),"",N642/1000/L642)</f>
        <v/>
      </c>
      <c r="T642" s="27"/>
      <c r="U642" s="27"/>
      <c r="V642" s="27"/>
      <c r="W642" s="27"/>
      <c r="X642" s="27"/>
      <c r="Y642" s="27"/>
      <c r="Z642" s="27"/>
      <c r="AA642" s="25"/>
      <c r="AB642" s="27"/>
      <c r="AC642" s="30" t="str">
        <f aca="false">IF(M642="","",IF(AB642="",M642*Parámetros!$B$6,AB642))</f>
        <v/>
      </c>
      <c r="AD642" s="30" t="str">
        <f aca="false">IF(M642="","",SUM(T642:Z642)+AC642)</f>
        <v/>
      </c>
      <c r="AE642" s="30" t="str">
        <f aca="false">IF(OR(M642="",N642=""),"",M642-N642)</f>
        <v/>
      </c>
      <c r="AF642" s="30" t="str">
        <f aca="false">IF(AE642="","",AE642-AD642)</f>
        <v/>
      </c>
      <c r="AG642" s="28" t="str">
        <f aca="false">IF(OR(AF642="",M642=0),"",AF642/M642)</f>
        <v/>
      </c>
      <c r="AH642" s="32" t="str">
        <f aca="false">IF(OR(AE642="",N642=0),"",AE642/(N642/1000))</f>
        <v/>
      </c>
      <c r="AI642" s="30" t="str">
        <f aca="false">IF(O642="","",M642*P642)</f>
        <v/>
      </c>
      <c r="AJ642" s="11" t="str">
        <f aca="false">IF(O642="","",IF(O642&gt;1,"Error: rend &gt; 100 %",IF(SUM(T642:Z642)=0,"Falta registrar pérdidas",IF(ABS(AG642)&gt;Parámetros!$B$7,"Revisar balance",IF(O642&lt;P642,"Bajo meta","OK")))))</f>
        <v/>
      </c>
      <c r="AK642" s="33"/>
      <c r="AL642" s="10"/>
      <c r="AM642" s="33"/>
      <c r="AN642" s="33"/>
      <c r="AO642" s="10"/>
    </row>
    <row r="643" customFormat="false" ht="15" hidden="false" customHeight="false" outlineLevel="0" collapsed="false">
      <c r="A643" s="22"/>
      <c r="B643" s="23" t="str">
        <f aca="false">IF(A643="","",YEAR(A643-WEEKDAY(A643,2)+4))</f>
        <v/>
      </c>
      <c r="C643" s="23" t="str">
        <f aca="false">IF(A643="","",WEEKNUM(A643,21))</f>
        <v/>
      </c>
      <c r="D643" s="24" t="str">
        <f aca="false">IF(A643="","",DATE(YEAR(A643),MONTH(A643),1))</f>
        <v/>
      </c>
      <c r="E643" s="10"/>
      <c r="F643" s="25"/>
      <c r="G643" s="25"/>
      <c r="H643" s="10"/>
      <c r="I643" s="10"/>
      <c r="J643" s="26"/>
      <c r="K643" s="25"/>
      <c r="L643" s="26"/>
      <c r="M643" s="27"/>
      <c r="N643" s="27"/>
      <c r="O643" s="28" t="str">
        <f aca="false">IF(OR(M643="",M643=0,N643=""),"",N643/M643)</f>
        <v/>
      </c>
      <c r="P643" s="28" t="str">
        <f aca="false">IF(M643="","",IFERROR(IF(INDEX(Parámetros!$B$14:$B$21,MATCH(I643,Parámetros!$A$14:$A$21,0))="",Parámetros!$B$5,INDEX(Parámetros!$B$14:$B$21,MATCH(I643,Parámetros!$A$14:$A$21,0))),Parámetros!$B$5))</f>
        <v/>
      </c>
      <c r="Q643" s="29" t="str">
        <f aca="false">IF(O643="","",(O643-P643)*100)</f>
        <v/>
      </c>
      <c r="R643" s="30" t="str">
        <f aca="false">IF(O643="","",MAX(0,M643*(P643-O643)))</f>
        <v/>
      </c>
      <c r="S643" s="31" t="str">
        <f aca="false">IF(OR(L643="",L643=0,N643=""),"",N643/1000/L643)</f>
        <v/>
      </c>
      <c r="T643" s="27"/>
      <c r="U643" s="27"/>
      <c r="V643" s="27"/>
      <c r="W643" s="27"/>
      <c r="X643" s="27"/>
      <c r="Y643" s="27"/>
      <c r="Z643" s="27"/>
      <c r="AA643" s="25"/>
      <c r="AB643" s="27"/>
      <c r="AC643" s="30" t="str">
        <f aca="false">IF(M643="","",IF(AB643="",M643*Parámetros!$B$6,AB643))</f>
        <v/>
      </c>
      <c r="AD643" s="30" t="str">
        <f aca="false">IF(M643="","",SUM(T643:Z643)+AC643)</f>
        <v/>
      </c>
      <c r="AE643" s="30" t="str">
        <f aca="false">IF(OR(M643="",N643=""),"",M643-N643)</f>
        <v/>
      </c>
      <c r="AF643" s="30" t="str">
        <f aca="false">IF(AE643="","",AE643-AD643)</f>
        <v/>
      </c>
      <c r="AG643" s="28" t="str">
        <f aca="false">IF(OR(AF643="",M643=0),"",AF643/M643)</f>
        <v/>
      </c>
      <c r="AH643" s="32" t="str">
        <f aca="false">IF(OR(AE643="",N643=0),"",AE643/(N643/1000))</f>
        <v/>
      </c>
      <c r="AI643" s="30" t="str">
        <f aca="false">IF(O643="","",M643*P643)</f>
        <v/>
      </c>
      <c r="AJ643" s="11" t="str">
        <f aca="false">IF(O643="","",IF(O643&gt;1,"Error: rend &gt; 100 %",IF(SUM(T643:Z643)=0,"Falta registrar pérdidas",IF(ABS(AG643)&gt;Parámetros!$B$7,"Revisar balance",IF(O643&lt;P643,"Bajo meta","OK")))))</f>
        <v/>
      </c>
      <c r="AK643" s="33"/>
      <c r="AL643" s="10"/>
      <c r="AM643" s="33"/>
      <c r="AN643" s="33"/>
      <c r="AO643" s="10"/>
    </row>
    <row r="644" customFormat="false" ht="15" hidden="false" customHeight="false" outlineLevel="0" collapsed="false">
      <c r="A644" s="22"/>
      <c r="B644" s="23" t="str">
        <f aca="false">IF(A644="","",YEAR(A644-WEEKDAY(A644,2)+4))</f>
        <v/>
      </c>
      <c r="C644" s="23" t="str">
        <f aca="false">IF(A644="","",WEEKNUM(A644,21))</f>
        <v/>
      </c>
      <c r="D644" s="24" t="str">
        <f aca="false">IF(A644="","",DATE(YEAR(A644),MONTH(A644),1))</f>
        <v/>
      </c>
      <c r="E644" s="10"/>
      <c r="F644" s="25"/>
      <c r="G644" s="25"/>
      <c r="H644" s="10"/>
      <c r="I644" s="10"/>
      <c r="J644" s="26"/>
      <c r="K644" s="25"/>
      <c r="L644" s="26"/>
      <c r="M644" s="27"/>
      <c r="N644" s="27"/>
      <c r="O644" s="28" t="str">
        <f aca="false">IF(OR(M644="",M644=0,N644=""),"",N644/M644)</f>
        <v/>
      </c>
      <c r="P644" s="28" t="str">
        <f aca="false">IF(M644="","",IFERROR(IF(INDEX(Parámetros!$B$14:$B$21,MATCH(I644,Parámetros!$A$14:$A$21,0))="",Parámetros!$B$5,INDEX(Parámetros!$B$14:$B$21,MATCH(I644,Parámetros!$A$14:$A$21,0))),Parámetros!$B$5))</f>
        <v/>
      </c>
      <c r="Q644" s="29" t="str">
        <f aca="false">IF(O644="","",(O644-P644)*100)</f>
        <v/>
      </c>
      <c r="R644" s="30" t="str">
        <f aca="false">IF(O644="","",MAX(0,M644*(P644-O644)))</f>
        <v/>
      </c>
      <c r="S644" s="31" t="str">
        <f aca="false">IF(OR(L644="",L644=0,N644=""),"",N644/1000/L644)</f>
        <v/>
      </c>
      <c r="T644" s="27"/>
      <c r="U644" s="27"/>
      <c r="V644" s="27"/>
      <c r="W644" s="27"/>
      <c r="X644" s="27"/>
      <c r="Y644" s="27"/>
      <c r="Z644" s="27"/>
      <c r="AA644" s="25"/>
      <c r="AB644" s="27"/>
      <c r="AC644" s="30" t="str">
        <f aca="false">IF(M644="","",IF(AB644="",M644*Parámetros!$B$6,AB644))</f>
        <v/>
      </c>
      <c r="AD644" s="30" t="str">
        <f aca="false">IF(M644="","",SUM(T644:Z644)+AC644)</f>
        <v/>
      </c>
      <c r="AE644" s="30" t="str">
        <f aca="false">IF(OR(M644="",N644=""),"",M644-N644)</f>
        <v/>
      </c>
      <c r="AF644" s="30" t="str">
        <f aca="false">IF(AE644="","",AE644-AD644)</f>
        <v/>
      </c>
      <c r="AG644" s="28" t="str">
        <f aca="false">IF(OR(AF644="",M644=0),"",AF644/M644)</f>
        <v/>
      </c>
      <c r="AH644" s="32" t="str">
        <f aca="false">IF(OR(AE644="",N644=0),"",AE644/(N644/1000))</f>
        <v/>
      </c>
      <c r="AI644" s="30" t="str">
        <f aca="false">IF(O644="","",M644*P644)</f>
        <v/>
      </c>
      <c r="AJ644" s="11" t="str">
        <f aca="false">IF(O644="","",IF(O644&gt;1,"Error: rend &gt; 100 %",IF(SUM(T644:Z644)=0,"Falta registrar pérdidas",IF(ABS(AG644)&gt;Parámetros!$B$7,"Revisar balance",IF(O644&lt;P644,"Bajo meta","OK")))))</f>
        <v/>
      </c>
      <c r="AK644" s="33"/>
      <c r="AL644" s="10"/>
      <c r="AM644" s="33"/>
      <c r="AN644" s="33"/>
      <c r="AO644" s="10"/>
    </row>
    <row r="645" customFormat="false" ht="15" hidden="false" customHeight="false" outlineLevel="0" collapsed="false">
      <c r="A645" s="22"/>
      <c r="B645" s="23" t="str">
        <f aca="false">IF(A645="","",YEAR(A645-WEEKDAY(A645,2)+4))</f>
        <v/>
      </c>
      <c r="C645" s="23" t="str">
        <f aca="false">IF(A645="","",WEEKNUM(A645,21))</f>
        <v/>
      </c>
      <c r="D645" s="24" t="str">
        <f aca="false">IF(A645="","",DATE(YEAR(A645),MONTH(A645),1))</f>
        <v/>
      </c>
      <c r="E645" s="10"/>
      <c r="F645" s="25"/>
      <c r="G645" s="25"/>
      <c r="H645" s="10"/>
      <c r="I645" s="10"/>
      <c r="J645" s="26"/>
      <c r="K645" s="25"/>
      <c r="L645" s="26"/>
      <c r="M645" s="27"/>
      <c r="N645" s="27"/>
      <c r="O645" s="28" t="str">
        <f aca="false">IF(OR(M645="",M645=0,N645=""),"",N645/M645)</f>
        <v/>
      </c>
      <c r="P645" s="28" t="str">
        <f aca="false">IF(M645="","",IFERROR(IF(INDEX(Parámetros!$B$14:$B$21,MATCH(I645,Parámetros!$A$14:$A$21,0))="",Parámetros!$B$5,INDEX(Parámetros!$B$14:$B$21,MATCH(I645,Parámetros!$A$14:$A$21,0))),Parámetros!$B$5))</f>
        <v/>
      </c>
      <c r="Q645" s="29" t="str">
        <f aca="false">IF(O645="","",(O645-P645)*100)</f>
        <v/>
      </c>
      <c r="R645" s="30" t="str">
        <f aca="false">IF(O645="","",MAX(0,M645*(P645-O645)))</f>
        <v/>
      </c>
      <c r="S645" s="31" t="str">
        <f aca="false">IF(OR(L645="",L645=0,N645=""),"",N645/1000/L645)</f>
        <v/>
      </c>
      <c r="T645" s="27"/>
      <c r="U645" s="27"/>
      <c r="V645" s="27"/>
      <c r="W645" s="27"/>
      <c r="X645" s="27"/>
      <c r="Y645" s="27"/>
      <c r="Z645" s="27"/>
      <c r="AA645" s="25"/>
      <c r="AB645" s="27"/>
      <c r="AC645" s="30" t="str">
        <f aca="false">IF(M645="","",IF(AB645="",M645*Parámetros!$B$6,AB645))</f>
        <v/>
      </c>
      <c r="AD645" s="30" t="str">
        <f aca="false">IF(M645="","",SUM(T645:Z645)+AC645)</f>
        <v/>
      </c>
      <c r="AE645" s="30" t="str">
        <f aca="false">IF(OR(M645="",N645=""),"",M645-N645)</f>
        <v/>
      </c>
      <c r="AF645" s="30" t="str">
        <f aca="false">IF(AE645="","",AE645-AD645)</f>
        <v/>
      </c>
      <c r="AG645" s="28" t="str">
        <f aca="false">IF(OR(AF645="",M645=0),"",AF645/M645)</f>
        <v/>
      </c>
      <c r="AH645" s="32" t="str">
        <f aca="false">IF(OR(AE645="",N645=0),"",AE645/(N645/1000))</f>
        <v/>
      </c>
      <c r="AI645" s="30" t="str">
        <f aca="false">IF(O645="","",M645*P645)</f>
        <v/>
      </c>
      <c r="AJ645" s="11" t="str">
        <f aca="false">IF(O645="","",IF(O645&gt;1,"Error: rend &gt; 100 %",IF(SUM(T645:Z645)=0,"Falta registrar pérdidas",IF(ABS(AG645)&gt;Parámetros!$B$7,"Revisar balance",IF(O645&lt;P645,"Bajo meta","OK")))))</f>
        <v/>
      </c>
      <c r="AK645" s="33"/>
      <c r="AL645" s="10"/>
      <c r="AM645" s="33"/>
      <c r="AN645" s="33"/>
      <c r="AO645" s="10"/>
    </row>
    <row r="646" customFormat="false" ht="15" hidden="false" customHeight="false" outlineLevel="0" collapsed="false">
      <c r="A646" s="22"/>
      <c r="B646" s="23" t="str">
        <f aca="false">IF(A646="","",YEAR(A646-WEEKDAY(A646,2)+4))</f>
        <v/>
      </c>
      <c r="C646" s="23" t="str">
        <f aca="false">IF(A646="","",WEEKNUM(A646,21))</f>
        <v/>
      </c>
      <c r="D646" s="24" t="str">
        <f aca="false">IF(A646="","",DATE(YEAR(A646),MONTH(A646),1))</f>
        <v/>
      </c>
      <c r="E646" s="10"/>
      <c r="F646" s="25"/>
      <c r="G646" s="25"/>
      <c r="H646" s="10"/>
      <c r="I646" s="10"/>
      <c r="J646" s="26"/>
      <c r="K646" s="25"/>
      <c r="L646" s="26"/>
      <c r="M646" s="27"/>
      <c r="N646" s="27"/>
      <c r="O646" s="28" t="str">
        <f aca="false">IF(OR(M646="",M646=0,N646=""),"",N646/M646)</f>
        <v/>
      </c>
      <c r="P646" s="28" t="str">
        <f aca="false">IF(M646="","",IFERROR(IF(INDEX(Parámetros!$B$14:$B$21,MATCH(I646,Parámetros!$A$14:$A$21,0))="",Parámetros!$B$5,INDEX(Parámetros!$B$14:$B$21,MATCH(I646,Parámetros!$A$14:$A$21,0))),Parámetros!$B$5))</f>
        <v/>
      </c>
      <c r="Q646" s="29" t="str">
        <f aca="false">IF(O646="","",(O646-P646)*100)</f>
        <v/>
      </c>
      <c r="R646" s="30" t="str">
        <f aca="false">IF(O646="","",MAX(0,M646*(P646-O646)))</f>
        <v/>
      </c>
      <c r="S646" s="31" t="str">
        <f aca="false">IF(OR(L646="",L646=0,N646=""),"",N646/1000/L646)</f>
        <v/>
      </c>
      <c r="T646" s="27"/>
      <c r="U646" s="27"/>
      <c r="V646" s="27"/>
      <c r="W646" s="27"/>
      <c r="X646" s="27"/>
      <c r="Y646" s="27"/>
      <c r="Z646" s="27"/>
      <c r="AA646" s="25"/>
      <c r="AB646" s="27"/>
      <c r="AC646" s="30" t="str">
        <f aca="false">IF(M646="","",IF(AB646="",M646*Parámetros!$B$6,AB646))</f>
        <v/>
      </c>
      <c r="AD646" s="30" t="str">
        <f aca="false">IF(M646="","",SUM(T646:Z646)+AC646)</f>
        <v/>
      </c>
      <c r="AE646" s="30" t="str">
        <f aca="false">IF(OR(M646="",N646=""),"",M646-N646)</f>
        <v/>
      </c>
      <c r="AF646" s="30" t="str">
        <f aca="false">IF(AE646="","",AE646-AD646)</f>
        <v/>
      </c>
      <c r="AG646" s="28" t="str">
        <f aca="false">IF(OR(AF646="",M646=0),"",AF646/M646)</f>
        <v/>
      </c>
      <c r="AH646" s="32" t="str">
        <f aca="false">IF(OR(AE646="",N646=0),"",AE646/(N646/1000))</f>
        <v/>
      </c>
      <c r="AI646" s="30" t="str">
        <f aca="false">IF(O646="","",M646*P646)</f>
        <v/>
      </c>
      <c r="AJ646" s="11" t="str">
        <f aca="false">IF(O646="","",IF(O646&gt;1,"Error: rend &gt; 100 %",IF(SUM(T646:Z646)=0,"Falta registrar pérdidas",IF(ABS(AG646)&gt;Parámetros!$B$7,"Revisar balance",IF(O646&lt;P646,"Bajo meta","OK")))))</f>
        <v/>
      </c>
      <c r="AK646" s="33"/>
      <c r="AL646" s="10"/>
      <c r="AM646" s="33"/>
      <c r="AN646" s="33"/>
      <c r="AO646" s="10"/>
    </row>
    <row r="647" customFormat="false" ht="15" hidden="false" customHeight="false" outlineLevel="0" collapsed="false">
      <c r="A647" s="22"/>
      <c r="B647" s="23" t="str">
        <f aca="false">IF(A647="","",YEAR(A647-WEEKDAY(A647,2)+4))</f>
        <v/>
      </c>
      <c r="C647" s="23" t="str">
        <f aca="false">IF(A647="","",WEEKNUM(A647,21))</f>
        <v/>
      </c>
      <c r="D647" s="24" t="str">
        <f aca="false">IF(A647="","",DATE(YEAR(A647),MONTH(A647),1))</f>
        <v/>
      </c>
      <c r="E647" s="10"/>
      <c r="F647" s="25"/>
      <c r="G647" s="25"/>
      <c r="H647" s="10"/>
      <c r="I647" s="10"/>
      <c r="J647" s="26"/>
      <c r="K647" s="25"/>
      <c r="L647" s="26"/>
      <c r="M647" s="27"/>
      <c r="N647" s="27"/>
      <c r="O647" s="28" t="str">
        <f aca="false">IF(OR(M647="",M647=0,N647=""),"",N647/M647)</f>
        <v/>
      </c>
      <c r="P647" s="28" t="str">
        <f aca="false">IF(M647="","",IFERROR(IF(INDEX(Parámetros!$B$14:$B$21,MATCH(I647,Parámetros!$A$14:$A$21,0))="",Parámetros!$B$5,INDEX(Parámetros!$B$14:$B$21,MATCH(I647,Parámetros!$A$14:$A$21,0))),Parámetros!$B$5))</f>
        <v/>
      </c>
      <c r="Q647" s="29" t="str">
        <f aca="false">IF(O647="","",(O647-P647)*100)</f>
        <v/>
      </c>
      <c r="R647" s="30" t="str">
        <f aca="false">IF(O647="","",MAX(0,M647*(P647-O647)))</f>
        <v/>
      </c>
      <c r="S647" s="31" t="str">
        <f aca="false">IF(OR(L647="",L647=0,N647=""),"",N647/1000/L647)</f>
        <v/>
      </c>
      <c r="T647" s="27"/>
      <c r="U647" s="27"/>
      <c r="V647" s="27"/>
      <c r="W647" s="27"/>
      <c r="X647" s="27"/>
      <c r="Y647" s="27"/>
      <c r="Z647" s="27"/>
      <c r="AA647" s="25"/>
      <c r="AB647" s="27"/>
      <c r="AC647" s="30" t="str">
        <f aca="false">IF(M647="","",IF(AB647="",M647*Parámetros!$B$6,AB647))</f>
        <v/>
      </c>
      <c r="AD647" s="30" t="str">
        <f aca="false">IF(M647="","",SUM(T647:Z647)+AC647)</f>
        <v/>
      </c>
      <c r="AE647" s="30" t="str">
        <f aca="false">IF(OR(M647="",N647=""),"",M647-N647)</f>
        <v/>
      </c>
      <c r="AF647" s="30" t="str">
        <f aca="false">IF(AE647="","",AE647-AD647)</f>
        <v/>
      </c>
      <c r="AG647" s="28" t="str">
        <f aca="false">IF(OR(AF647="",M647=0),"",AF647/M647)</f>
        <v/>
      </c>
      <c r="AH647" s="32" t="str">
        <f aca="false">IF(OR(AE647="",N647=0),"",AE647/(N647/1000))</f>
        <v/>
      </c>
      <c r="AI647" s="30" t="str">
        <f aca="false">IF(O647="","",M647*P647)</f>
        <v/>
      </c>
      <c r="AJ647" s="11" t="str">
        <f aca="false">IF(O647="","",IF(O647&gt;1,"Error: rend &gt; 100 %",IF(SUM(T647:Z647)=0,"Falta registrar pérdidas",IF(ABS(AG647)&gt;Parámetros!$B$7,"Revisar balance",IF(O647&lt;P647,"Bajo meta","OK")))))</f>
        <v/>
      </c>
      <c r="AK647" s="33"/>
      <c r="AL647" s="10"/>
      <c r="AM647" s="33"/>
      <c r="AN647" s="33"/>
      <c r="AO647" s="10"/>
    </row>
    <row r="648" customFormat="false" ht="15" hidden="false" customHeight="false" outlineLevel="0" collapsed="false">
      <c r="A648" s="22"/>
      <c r="B648" s="23" t="str">
        <f aca="false">IF(A648="","",YEAR(A648-WEEKDAY(A648,2)+4))</f>
        <v/>
      </c>
      <c r="C648" s="23" t="str">
        <f aca="false">IF(A648="","",WEEKNUM(A648,21))</f>
        <v/>
      </c>
      <c r="D648" s="24" t="str">
        <f aca="false">IF(A648="","",DATE(YEAR(A648),MONTH(A648),1))</f>
        <v/>
      </c>
      <c r="E648" s="10"/>
      <c r="F648" s="25"/>
      <c r="G648" s="25"/>
      <c r="H648" s="10"/>
      <c r="I648" s="10"/>
      <c r="J648" s="26"/>
      <c r="K648" s="25"/>
      <c r="L648" s="26"/>
      <c r="M648" s="27"/>
      <c r="N648" s="27"/>
      <c r="O648" s="28" t="str">
        <f aca="false">IF(OR(M648="",M648=0,N648=""),"",N648/M648)</f>
        <v/>
      </c>
      <c r="P648" s="28" t="str">
        <f aca="false">IF(M648="","",IFERROR(IF(INDEX(Parámetros!$B$14:$B$21,MATCH(I648,Parámetros!$A$14:$A$21,0))="",Parámetros!$B$5,INDEX(Parámetros!$B$14:$B$21,MATCH(I648,Parámetros!$A$14:$A$21,0))),Parámetros!$B$5))</f>
        <v/>
      </c>
      <c r="Q648" s="29" t="str">
        <f aca="false">IF(O648="","",(O648-P648)*100)</f>
        <v/>
      </c>
      <c r="R648" s="30" t="str">
        <f aca="false">IF(O648="","",MAX(0,M648*(P648-O648)))</f>
        <v/>
      </c>
      <c r="S648" s="31" t="str">
        <f aca="false">IF(OR(L648="",L648=0,N648=""),"",N648/1000/L648)</f>
        <v/>
      </c>
      <c r="T648" s="27"/>
      <c r="U648" s="27"/>
      <c r="V648" s="27"/>
      <c r="W648" s="27"/>
      <c r="X648" s="27"/>
      <c r="Y648" s="27"/>
      <c r="Z648" s="27"/>
      <c r="AA648" s="25"/>
      <c r="AB648" s="27"/>
      <c r="AC648" s="30" t="str">
        <f aca="false">IF(M648="","",IF(AB648="",M648*Parámetros!$B$6,AB648))</f>
        <v/>
      </c>
      <c r="AD648" s="30" t="str">
        <f aca="false">IF(M648="","",SUM(T648:Z648)+AC648)</f>
        <v/>
      </c>
      <c r="AE648" s="30" t="str">
        <f aca="false">IF(OR(M648="",N648=""),"",M648-N648)</f>
        <v/>
      </c>
      <c r="AF648" s="30" t="str">
        <f aca="false">IF(AE648="","",AE648-AD648)</f>
        <v/>
      </c>
      <c r="AG648" s="28" t="str">
        <f aca="false">IF(OR(AF648="",M648=0),"",AF648/M648)</f>
        <v/>
      </c>
      <c r="AH648" s="32" t="str">
        <f aca="false">IF(OR(AE648="",N648=0),"",AE648/(N648/1000))</f>
        <v/>
      </c>
      <c r="AI648" s="30" t="str">
        <f aca="false">IF(O648="","",M648*P648)</f>
        <v/>
      </c>
      <c r="AJ648" s="11" t="str">
        <f aca="false">IF(O648="","",IF(O648&gt;1,"Error: rend &gt; 100 %",IF(SUM(T648:Z648)=0,"Falta registrar pérdidas",IF(ABS(AG648)&gt;Parámetros!$B$7,"Revisar balance",IF(O648&lt;P648,"Bajo meta","OK")))))</f>
        <v/>
      </c>
      <c r="AK648" s="33"/>
      <c r="AL648" s="10"/>
      <c r="AM648" s="33"/>
      <c r="AN648" s="33"/>
      <c r="AO648" s="10"/>
    </row>
    <row r="649" customFormat="false" ht="15" hidden="false" customHeight="false" outlineLevel="0" collapsed="false">
      <c r="A649" s="22"/>
      <c r="B649" s="23" t="str">
        <f aca="false">IF(A649="","",YEAR(A649-WEEKDAY(A649,2)+4))</f>
        <v/>
      </c>
      <c r="C649" s="23" t="str">
        <f aca="false">IF(A649="","",WEEKNUM(A649,21))</f>
        <v/>
      </c>
      <c r="D649" s="24" t="str">
        <f aca="false">IF(A649="","",DATE(YEAR(A649),MONTH(A649),1))</f>
        <v/>
      </c>
      <c r="E649" s="10"/>
      <c r="F649" s="25"/>
      <c r="G649" s="25"/>
      <c r="H649" s="10"/>
      <c r="I649" s="10"/>
      <c r="J649" s="26"/>
      <c r="K649" s="25"/>
      <c r="L649" s="26"/>
      <c r="M649" s="27"/>
      <c r="N649" s="27"/>
      <c r="O649" s="28" t="str">
        <f aca="false">IF(OR(M649="",M649=0,N649=""),"",N649/M649)</f>
        <v/>
      </c>
      <c r="P649" s="28" t="str">
        <f aca="false">IF(M649="","",IFERROR(IF(INDEX(Parámetros!$B$14:$B$21,MATCH(I649,Parámetros!$A$14:$A$21,0))="",Parámetros!$B$5,INDEX(Parámetros!$B$14:$B$21,MATCH(I649,Parámetros!$A$14:$A$21,0))),Parámetros!$B$5))</f>
        <v/>
      </c>
      <c r="Q649" s="29" t="str">
        <f aca="false">IF(O649="","",(O649-P649)*100)</f>
        <v/>
      </c>
      <c r="R649" s="30" t="str">
        <f aca="false">IF(O649="","",MAX(0,M649*(P649-O649)))</f>
        <v/>
      </c>
      <c r="S649" s="31" t="str">
        <f aca="false">IF(OR(L649="",L649=0,N649=""),"",N649/1000/L649)</f>
        <v/>
      </c>
      <c r="T649" s="27"/>
      <c r="U649" s="27"/>
      <c r="V649" s="27"/>
      <c r="W649" s="27"/>
      <c r="X649" s="27"/>
      <c r="Y649" s="27"/>
      <c r="Z649" s="27"/>
      <c r="AA649" s="25"/>
      <c r="AB649" s="27"/>
      <c r="AC649" s="30" t="str">
        <f aca="false">IF(M649="","",IF(AB649="",M649*Parámetros!$B$6,AB649))</f>
        <v/>
      </c>
      <c r="AD649" s="30" t="str">
        <f aca="false">IF(M649="","",SUM(T649:Z649)+AC649)</f>
        <v/>
      </c>
      <c r="AE649" s="30" t="str">
        <f aca="false">IF(OR(M649="",N649=""),"",M649-N649)</f>
        <v/>
      </c>
      <c r="AF649" s="30" t="str">
        <f aca="false">IF(AE649="","",AE649-AD649)</f>
        <v/>
      </c>
      <c r="AG649" s="28" t="str">
        <f aca="false">IF(OR(AF649="",M649=0),"",AF649/M649)</f>
        <v/>
      </c>
      <c r="AH649" s="32" t="str">
        <f aca="false">IF(OR(AE649="",N649=0),"",AE649/(N649/1000))</f>
        <v/>
      </c>
      <c r="AI649" s="30" t="str">
        <f aca="false">IF(O649="","",M649*P649)</f>
        <v/>
      </c>
      <c r="AJ649" s="11" t="str">
        <f aca="false">IF(O649="","",IF(O649&gt;1,"Error: rend &gt; 100 %",IF(SUM(T649:Z649)=0,"Falta registrar pérdidas",IF(ABS(AG649)&gt;Parámetros!$B$7,"Revisar balance",IF(O649&lt;P649,"Bajo meta","OK")))))</f>
        <v/>
      </c>
      <c r="AK649" s="33"/>
      <c r="AL649" s="10"/>
      <c r="AM649" s="33"/>
      <c r="AN649" s="33"/>
      <c r="AO649" s="10"/>
    </row>
    <row r="650" customFormat="false" ht="15" hidden="false" customHeight="false" outlineLevel="0" collapsed="false">
      <c r="A650" s="22"/>
      <c r="B650" s="23" t="str">
        <f aca="false">IF(A650="","",YEAR(A650-WEEKDAY(A650,2)+4))</f>
        <v/>
      </c>
      <c r="C650" s="23" t="str">
        <f aca="false">IF(A650="","",WEEKNUM(A650,21))</f>
        <v/>
      </c>
      <c r="D650" s="24" t="str">
        <f aca="false">IF(A650="","",DATE(YEAR(A650),MONTH(A650),1))</f>
        <v/>
      </c>
      <c r="E650" s="10"/>
      <c r="F650" s="25"/>
      <c r="G650" s="25"/>
      <c r="H650" s="10"/>
      <c r="I650" s="10"/>
      <c r="J650" s="26"/>
      <c r="K650" s="25"/>
      <c r="L650" s="26"/>
      <c r="M650" s="27"/>
      <c r="N650" s="27"/>
      <c r="O650" s="28" t="str">
        <f aca="false">IF(OR(M650="",M650=0,N650=""),"",N650/M650)</f>
        <v/>
      </c>
      <c r="P650" s="28" t="str">
        <f aca="false">IF(M650="","",IFERROR(IF(INDEX(Parámetros!$B$14:$B$21,MATCH(I650,Parámetros!$A$14:$A$21,0))="",Parámetros!$B$5,INDEX(Parámetros!$B$14:$B$21,MATCH(I650,Parámetros!$A$14:$A$21,0))),Parámetros!$B$5))</f>
        <v/>
      </c>
      <c r="Q650" s="29" t="str">
        <f aca="false">IF(O650="","",(O650-P650)*100)</f>
        <v/>
      </c>
      <c r="R650" s="30" t="str">
        <f aca="false">IF(O650="","",MAX(0,M650*(P650-O650)))</f>
        <v/>
      </c>
      <c r="S650" s="31" t="str">
        <f aca="false">IF(OR(L650="",L650=0,N650=""),"",N650/1000/L650)</f>
        <v/>
      </c>
      <c r="T650" s="27"/>
      <c r="U650" s="27"/>
      <c r="V650" s="27"/>
      <c r="W650" s="27"/>
      <c r="X650" s="27"/>
      <c r="Y650" s="27"/>
      <c r="Z650" s="27"/>
      <c r="AA650" s="25"/>
      <c r="AB650" s="27"/>
      <c r="AC650" s="30" t="str">
        <f aca="false">IF(M650="","",IF(AB650="",M650*Parámetros!$B$6,AB650))</f>
        <v/>
      </c>
      <c r="AD650" s="30" t="str">
        <f aca="false">IF(M650="","",SUM(T650:Z650)+AC650)</f>
        <v/>
      </c>
      <c r="AE650" s="30" t="str">
        <f aca="false">IF(OR(M650="",N650=""),"",M650-N650)</f>
        <v/>
      </c>
      <c r="AF650" s="30" t="str">
        <f aca="false">IF(AE650="","",AE650-AD650)</f>
        <v/>
      </c>
      <c r="AG650" s="28" t="str">
        <f aca="false">IF(OR(AF650="",M650=0),"",AF650/M650)</f>
        <v/>
      </c>
      <c r="AH650" s="32" t="str">
        <f aca="false">IF(OR(AE650="",N650=0),"",AE650/(N650/1000))</f>
        <v/>
      </c>
      <c r="AI650" s="30" t="str">
        <f aca="false">IF(O650="","",M650*P650)</f>
        <v/>
      </c>
      <c r="AJ650" s="11" t="str">
        <f aca="false">IF(O650="","",IF(O650&gt;1,"Error: rend &gt; 100 %",IF(SUM(T650:Z650)=0,"Falta registrar pérdidas",IF(ABS(AG650)&gt;Parámetros!$B$7,"Revisar balance",IF(O650&lt;P650,"Bajo meta","OK")))))</f>
        <v/>
      </c>
      <c r="AK650" s="33"/>
      <c r="AL650" s="10"/>
      <c r="AM650" s="33"/>
      <c r="AN650" s="33"/>
      <c r="AO650" s="10"/>
    </row>
    <row r="651" customFormat="false" ht="15" hidden="false" customHeight="false" outlineLevel="0" collapsed="false">
      <c r="A651" s="22"/>
      <c r="B651" s="23" t="str">
        <f aca="false">IF(A651="","",YEAR(A651-WEEKDAY(A651,2)+4))</f>
        <v/>
      </c>
      <c r="C651" s="23" t="str">
        <f aca="false">IF(A651="","",WEEKNUM(A651,21))</f>
        <v/>
      </c>
      <c r="D651" s="24" t="str">
        <f aca="false">IF(A651="","",DATE(YEAR(A651),MONTH(A651),1))</f>
        <v/>
      </c>
      <c r="E651" s="10"/>
      <c r="F651" s="25"/>
      <c r="G651" s="25"/>
      <c r="H651" s="10"/>
      <c r="I651" s="10"/>
      <c r="J651" s="26"/>
      <c r="K651" s="25"/>
      <c r="L651" s="26"/>
      <c r="M651" s="27"/>
      <c r="N651" s="27"/>
      <c r="O651" s="28" t="str">
        <f aca="false">IF(OR(M651="",M651=0,N651=""),"",N651/M651)</f>
        <v/>
      </c>
      <c r="P651" s="28" t="str">
        <f aca="false">IF(M651="","",IFERROR(IF(INDEX(Parámetros!$B$14:$B$21,MATCH(I651,Parámetros!$A$14:$A$21,0))="",Parámetros!$B$5,INDEX(Parámetros!$B$14:$B$21,MATCH(I651,Parámetros!$A$14:$A$21,0))),Parámetros!$B$5))</f>
        <v/>
      </c>
      <c r="Q651" s="29" t="str">
        <f aca="false">IF(O651="","",(O651-P651)*100)</f>
        <v/>
      </c>
      <c r="R651" s="30" t="str">
        <f aca="false">IF(O651="","",MAX(0,M651*(P651-O651)))</f>
        <v/>
      </c>
      <c r="S651" s="31" t="str">
        <f aca="false">IF(OR(L651="",L651=0,N651=""),"",N651/1000/L651)</f>
        <v/>
      </c>
      <c r="T651" s="27"/>
      <c r="U651" s="27"/>
      <c r="V651" s="27"/>
      <c r="W651" s="27"/>
      <c r="X651" s="27"/>
      <c r="Y651" s="27"/>
      <c r="Z651" s="27"/>
      <c r="AA651" s="25"/>
      <c r="AB651" s="27"/>
      <c r="AC651" s="30" t="str">
        <f aca="false">IF(M651="","",IF(AB651="",M651*Parámetros!$B$6,AB651))</f>
        <v/>
      </c>
      <c r="AD651" s="30" t="str">
        <f aca="false">IF(M651="","",SUM(T651:Z651)+AC651)</f>
        <v/>
      </c>
      <c r="AE651" s="30" t="str">
        <f aca="false">IF(OR(M651="",N651=""),"",M651-N651)</f>
        <v/>
      </c>
      <c r="AF651" s="30" t="str">
        <f aca="false">IF(AE651="","",AE651-AD651)</f>
        <v/>
      </c>
      <c r="AG651" s="28" t="str">
        <f aca="false">IF(OR(AF651="",M651=0),"",AF651/M651)</f>
        <v/>
      </c>
      <c r="AH651" s="32" t="str">
        <f aca="false">IF(OR(AE651="",N651=0),"",AE651/(N651/1000))</f>
        <v/>
      </c>
      <c r="AI651" s="30" t="str">
        <f aca="false">IF(O651="","",M651*P651)</f>
        <v/>
      </c>
      <c r="AJ651" s="11" t="str">
        <f aca="false">IF(O651="","",IF(O651&gt;1,"Error: rend &gt; 100 %",IF(SUM(T651:Z651)=0,"Falta registrar pérdidas",IF(ABS(AG651)&gt;Parámetros!$B$7,"Revisar balance",IF(O651&lt;P651,"Bajo meta","OK")))))</f>
        <v/>
      </c>
      <c r="AK651" s="33"/>
      <c r="AL651" s="10"/>
      <c r="AM651" s="33"/>
      <c r="AN651" s="33"/>
      <c r="AO651" s="10"/>
    </row>
    <row r="652" customFormat="false" ht="15" hidden="false" customHeight="false" outlineLevel="0" collapsed="false">
      <c r="A652" s="22"/>
      <c r="B652" s="23" t="str">
        <f aca="false">IF(A652="","",YEAR(A652-WEEKDAY(A652,2)+4))</f>
        <v/>
      </c>
      <c r="C652" s="23" t="str">
        <f aca="false">IF(A652="","",WEEKNUM(A652,21))</f>
        <v/>
      </c>
      <c r="D652" s="24" t="str">
        <f aca="false">IF(A652="","",DATE(YEAR(A652),MONTH(A652),1))</f>
        <v/>
      </c>
      <c r="E652" s="10"/>
      <c r="F652" s="25"/>
      <c r="G652" s="25"/>
      <c r="H652" s="10"/>
      <c r="I652" s="10"/>
      <c r="J652" s="26"/>
      <c r="K652" s="25"/>
      <c r="L652" s="26"/>
      <c r="M652" s="27"/>
      <c r="N652" s="27"/>
      <c r="O652" s="28" t="str">
        <f aca="false">IF(OR(M652="",M652=0,N652=""),"",N652/M652)</f>
        <v/>
      </c>
      <c r="P652" s="28" t="str">
        <f aca="false">IF(M652="","",IFERROR(IF(INDEX(Parámetros!$B$14:$B$21,MATCH(I652,Parámetros!$A$14:$A$21,0))="",Parámetros!$B$5,INDEX(Parámetros!$B$14:$B$21,MATCH(I652,Parámetros!$A$14:$A$21,0))),Parámetros!$B$5))</f>
        <v/>
      </c>
      <c r="Q652" s="29" t="str">
        <f aca="false">IF(O652="","",(O652-P652)*100)</f>
        <v/>
      </c>
      <c r="R652" s="30" t="str">
        <f aca="false">IF(O652="","",MAX(0,M652*(P652-O652)))</f>
        <v/>
      </c>
      <c r="S652" s="31" t="str">
        <f aca="false">IF(OR(L652="",L652=0,N652=""),"",N652/1000/L652)</f>
        <v/>
      </c>
      <c r="T652" s="27"/>
      <c r="U652" s="27"/>
      <c r="V652" s="27"/>
      <c r="W652" s="27"/>
      <c r="X652" s="27"/>
      <c r="Y652" s="27"/>
      <c r="Z652" s="27"/>
      <c r="AA652" s="25"/>
      <c r="AB652" s="27"/>
      <c r="AC652" s="30" t="str">
        <f aca="false">IF(M652="","",IF(AB652="",M652*Parámetros!$B$6,AB652))</f>
        <v/>
      </c>
      <c r="AD652" s="30" t="str">
        <f aca="false">IF(M652="","",SUM(T652:Z652)+AC652)</f>
        <v/>
      </c>
      <c r="AE652" s="30" t="str">
        <f aca="false">IF(OR(M652="",N652=""),"",M652-N652)</f>
        <v/>
      </c>
      <c r="AF652" s="30" t="str">
        <f aca="false">IF(AE652="","",AE652-AD652)</f>
        <v/>
      </c>
      <c r="AG652" s="28" t="str">
        <f aca="false">IF(OR(AF652="",M652=0),"",AF652/M652)</f>
        <v/>
      </c>
      <c r="AH652" s="32" t="str">
        <f aca="false">IF(OR(AE652="",N652=0),"",AE652/(N652/1000))</f>
        <v/>
      </c>
      <c r="AI652" s="30" t="str">
        <f aca="false">IF(O652="","",M652*P652)</f>
        <v/>
      </c>
      <c r="AJ652" s="11" t="str">
        <f aca="false">IF(O652="","",IF(O652&gt;1,"Error: rend &gt; 100 %",IF(SUM(T652:Z652)=0,"Falta registrar pérdidas",IF(ABS(AG652)&gt;Parámetros!$B$7,"Revisar balance",IF(O652&lt;P652,"Bajo meta","OK")))))</f>
        <v/>
      </c>
      <c r="AK652" s="33"/>
      <c r="AL652" s="10"/>
      <c r="AM652" s="33"/>
      <c r="AN652" s="33"/>
      <c r="AO652" s="10"/>
    </row>
    <row r="653" customFormat="false" ht="15" hidden="false" customHeight="false" outlineLevel="0" collapsed="false">
      <c r="A653" s="22"/>
      <c r="B653" s="23" t="str">
        <f aca="false">IF(A653="","",YEAR(A653-WEEKDAY(A653,2)+4))</f>
        <v/>
      </c>
      <c r="C653" s="23" t="str">
        <f aca="false">IF(A653="","",WEEKNUM(A653,21))</f>
        <v/>
      </c>
      <c r="D653" s="24" t="str">
        <f aca="false">IF(A653="","",DATE(YEAR(A653),MONTH(A653),1))</f>
        <v/>
      </c>
      <c r="E653" s="10"/>
      <c r="F653" s="25"/>
      <c r="G653" s="25"/>
      <c r="H653" s="10"/>
      <c r="I653" s="10"/>
      <c r="J653" s="26"/>
      <c r="K653" s="25"/>
      <c r="L653" s="26"/>
      <c r="M653" s="27"/>
      <c r="N653" s="27"/>
      <c r="O653" s="28" t="str">
        <f aca="false">IF(OR(M653="",M653=0,N653=""),"",N653/M653)</f>
        <v/>
      </c>
      <c r="P653" s="28" t="str">
        <f aca="false">IF(M653="","",IFERROR(IF(INDEX(Parámetros!$B$14:$B$21,MATCH(I653,Parámetros!$A$14:$A$21,0))="",Parámetros!$B$5,INDEX(Parámetros!$B$14:$B$21,MATCH(I653,Parámetros!$A$14:$A$21,0))),Parámetros!$B$5))</f>
        <v/>
      </c>
      <c r="Q653" s="29" t="str">
        <f aca="false">IF(O653="","",(O653-P653)*100)</f>
        <v/>
      </c>
      <c r="R653" s="30" t="str">
        <f aca="false">IF(O653="","",MAX(0,M653*(P653-O653)))</f>
        <v/>
      </c>
      <c r="S653" s="31" t="str">
        <f aca="false">IF(OR(L653="",L653=0,N653=""),"",N653/1000/L653)</f>
        <v/>
      </c>
      <c r="T653" s="27"/>
      <c r="U653" s="27"/>
      <c r="V653" s="27"/>
      <c r="W653" s="27"/>
      <c r="X653" s="27"/>
      <c r="Y653" s="27"/>
      <c r="Z653" s="27"/>
      <c r="AA653" s="25"/>
      <c r="AB653" s="27"/>
      <c r="AC653" s="30" t="str">
        <f aca="false">IF(M653="","",IF(AB653="",M653*Parámetros!$B$6,AB653))</f>
        <v/>
      </c>
      <c r="AD653" s="30" t="str">
        <f aca="false">IF(M653="","",SUM(T653:Z653)+AC653)</f>
        <v/>
      </c>
      <c r="AE653" s="30" t="str">
        <f aca="false">IF(OR(M653="",N653=""),"",M653-N653)</f>
        <v/>
      </c>
      <c r="AF653" s="30" t="str">
        <f aca="false">IF(AE653="","",AE653-AD653)</f>
        <v/>
      </c>
      <c r="AG653" s="28" t="str">
        <f aca="false">IF(OR(AF653="",M653=0),"",AF653/M653)</f>
        <v/>
      </c>
      <c r="AH653" s="32" t="str">
        <f aca="false">IF(OR(AE653="",N653=0),"",AE653/(N653/1000))</f>
        <v/>
      </c>
      <c r="AI653" s="30" t="str">
        <f aca="false">IF(O653="","",M653*P653)</f>
        <v/>
      </c>
      <c r="AJ653" s="11" t="str">
        <f aca="false">IF(O653="","",IF(O653&gt;1,"Error: rend &gt; 100 %",IF(SUM(T653:Z653)=0,"Falta registrar pérdidas",IF(ABS(AG653)&gt;Parámetros!$B$7,"Revisar balance",IF(O653&lt;P653,"Bajo meta","OK")))))</f>
        <v/>
      </c>
      <c r="AK653" s="33"/>
      <c r="AL653" s="10"/>
      <c r="AM653" s="33"/>
      <c r="AN653" s="33"/>
      <c r="AO653" s="10"/>
    </row>
    <row r="654" customFormat="false" ht="15" hidden="false" customHeight="false" outlineLevel="0" collapsed="false">
      <c r="A654" s="22"/>
      <c r="B654" s="23" t="str">
        <f aca="false">IF(A654="","",YEAR(A654-WEEKDAY(A654,2)+4))</f>
        <v/>
      </c>
      <c r="C654" s="23" t="str">
        <f aca="false">IF(A654="","",WEEKNUM(A654,21))</f>
        <v/>
      </c>
      <c r="D654" s="24" t="str">
        <f aca="false">IF(A654="","",DATE(YEAR(A654),MONTH(A654),1))</f>
        <v/>
      </c>
      <c r="E654" s="10"/>
      <c r="F654" s="25"/>
      <c r="G654" s="25"/>
      <c r="H654" s="10"/>
      <c r="I654" s="10"/>
      <c r="J654" s="26"/>
      <c r="K654" s="25"/>
      <c r="L654" s="26"/>
      <c r="M654" s="27"/>
      <c r="N654" s="27"/>
      <c r="O654" s="28" t="str">
        <f aca="false">IF(OR(M654="",M654=0,N654=""),"",N654/M654)</f>
        <v/>
      </c>
      <c r="P654" s="28" t="str">
        <f aca="false">IF(M654="","",IFERROR(IF(INDEX(Parámetros!$B$14:$B$21,MATCH(I654,Parámetros!$A$14:$A$21,0))="",Parámetros!$B$5,INDEX(Parámetros!$B$14:$B$21,MATCH(I654,Parámetros!$A$14:$A$21,0))),Parámetros!$B$5))</f>
        <v/>
      </c>
      <c r="Q654" s="29" t="str">
        <f aca="false">IF(O654="","",(O654-P654)*100)</f>
        <v/>
      </c>
      <c r="R654" s="30" t="str">
        <f aca="false">IF(O654="","",MAX(0,M654*(P654-O654)))</f>
        <v/>
      </c>
      <c r="S654" s="31" t="str">
        <f aca="false">IF(OR(L654="",L654=0,N654=""),"",N654/1000/L654)</f>
        <v/>
      </c>
      <c r="T654" s="27"/>
      <c r="U654" s="27"/>
      <c r="V654" s="27"/>
      <c r="W654" s="27"/>
      <c r="X654" s="27"/>
      <c r="Y654" s="27"/>
      <c r="Z654" s="27"/>
      <c r="AA654" s="25"/>
      <c r="AB654" s="27"/>
      <c r="AC654" s="30" t="str">
        <f aca="false">IF(M654="","",IF(AB654="",M654*Parámetros!$B$6,AB654))</f>
        <v/>
      </c>
      <c r="AD654" s="30" t="str">
        <f aca="false">IF(M654="","",SUM(T654:Z654)+AC654)</f>
        <v/>
      </c>
      <c r="AE654" s="30" t="str">
        <f aca="false">IF(OR(M654="",N654=""),"",M654-N654)</f>
        <v/>
      </c>
      <c r="AF654" s="30" t="str">
        <f aca="false">IF(AE654="","",AE654-AD654)</f>
        <v/>
      </c>
      <c r="AG654" s="28" t="str">
        <f aca="false">IF(OR(AF654="",M654=0),"",AF654/M654)</f>
        <v/>
      </c>
      <c r="AH654" s="32" t="str">
        <f aca="false">IF(OR(AE654="",N654=0),"",AE654/(N654/1000))</f>
        <v/>
      </c>
      <c r="AI654" s="30" t="str">
        <f aca="false">IF(O654="","",M654*P654)</f>
        <v/>
      </c>
      <c r="AJ654" s="11" t="str">
        <f aca="false">IF(O654="","",IF(O654&gt;1,"Error: rend &gt; 100 %",IF(SUM(T654:Z654)=0,"Falta registrar pérdidas",IF(ABS(AG654)&gt;Parámetros!$B$7,"Revisar balance",IF(O654&lt;P654,"Bajo meta","OK")))))</f>
        <v/>
      </c>
      <c r="AK654" s="33"/>
      <c r="AL654" s="10"/>
      <c r="AM654" s="33"/>
      <c r="AN654" s="33"/>
      <c r="AO654" s="10"/>
    </row>
    <row r="655" customFormat="false" ht="15" hidden="false" customHeight="false" outlineLevel="0" collapsed="false">
      <c r="A655" s="22"/>
      <c r="B655" s="23" t="str">
        <f aca="false">IF(A655="","",YEAR(A655-WEEKDAY(A655,2)+4))</f>
        <v/>
      </c>
      <c r="C655" s="23" t="str">
        <f aca="false">IF(A655="","",WEEKNUM(A655,21))</f>
        <v/>
      </c>
      <c r="D655" s="24" t="str">
        <f aca="false">IF(A655="","",DATE(YEAR(A655),MONTH(A655),1))</f>
        <v/>
      </c>
      <c r="E655" s="10"/>
      <c r="F655" s="25"/>
      <c r="G655" s="25"/>
      <c r="H655" s="10"/>
      <c r="I655" s="10"/>
      <c r="J655" s="26"/>
      <c r="K655" s="25"/>
      <c r="L655" s="26"/>
      <c r="M655" s="27"/>
      <c r="N655" s="27"/>
      <c r="O655" s="28" t="str">
        <f aca="false">IF(OR(M655="",M655=0,N655=""),"",N655/M655)</f>
        <v/>
      </c>
      <c r="P655" s="28" t="str">
        <f aca="false">IF(M655="","",IFERROR(IF(INDEX(Parámetros!$B$14:$B$21,MATCH(I655,Parámetros!$A$14:$A$21,0))="",Parámetros!$B$5,INDEX(Parámetros!$B$14:$B$21,MATCH(I655,Parámetros!$A$14:$A$21,0))),Parámetros!$B$5))</f>
        <v/>
      </c>
      <c r="Q655" s="29" t="str">
        <f aca="false">IF(O655="","",(O655-P655)*100)</f>
        <v/>
      </c>
      <c r="R655" s="30" t="str">
        <f aca="false">IF(O655="","",MAX(0,M655*(P655-O655)))</f>
        <v/>
      </c>
      <c r="S655" s="31" t="str">
        <f aca="false">IF(OR(L655="",L655=0,N655=""),"",N655/1000/L655)</f>
        <v/>
      </c>
      <c r="T655" s="27"/>
      <c r="U655" s="27"/>
      <c r="V655" s="27"/>
      <c r="W655" s="27"/>
      <c r="X655" s="27"/>
      <c r="Y655" s="27"/>
      <c r="Z655" s="27"/>
      <c r="AA655" s="25"/>
      <c r="AB655" s="27"/>
      <c r="AC655" s="30" t="str">
        <f aca="false">IF(M655="","",IF(AB655="",M655*Parámetros!$B$6,AB655))</f>
        <v/>
      </c>
      <c r="AD655" s="30" t="str">
        <f aca="false">IF(M655="","",SUM(T655:Z655)+AC655)</f>
        <v/>
      </c>
      <c r="AE655" s="30" t="str">
        <f aca="false">IF(OR(M655="",N655=""),"",M655-N655)</f>
        <v/>
      </c>
      <c r="AF655" s="30" t="str">
        <f aca="false">IF(AE655="","",AE655-AD655)</f>
        <v/>
      </c>
      <c r="AG655" s="28" t="str">
        <f aca="false">IF(OR(AF655="",M655=0),"",AF655/M655)</f>
        <v/>
      </c>
      <c r="AH655" s="32" t="str">
        <f aca="false">IF(OR(AE655="",N655=0),"",AE655/(N655/1000))</f>
        <v/>
      </c>
      <c r="AI655" s="30" t="str">
        <f aca="false">IF(O655="","",M655*P655)</f>
        <v/>
      </c>
      <c r="AJ655" s="11" t="str">
        <f aca="false">IF(O655="","",IF(O655&gt;1,"Error: rend &gt; 100 %",IF(SUM(T655:Z655)=0,"Falta registrar pérdidas",IF(ABS(AG655)&gt;Parámetros!$B$7,"Revisar balance",IF(O655&lt;P655,"Bajo meta","OK")))))</f>
        <v/>
      </c>
      <c r="AK655" s="33"/>
      <c r="AL655" s="10"/>
      <c r="AM655" s="33"/>
      <c r="AN655" s="33"/>
      <c r="AO655" s="10"/>
    </row>
    <row r="656" customFormat="false" ht="15" hidden="false" customHeight="false" outlineLevel="0" collapsed="false">
      <c r="A656" s="22"/>
      <c r="B656" s="23" t="str">
        <f aca="false">IF(A656="","",YEAR(A656-WEEKDAY(A656,2)+4))</f>
        <v/>
      </c>
      <c r="C656" s="23" t="str">
        <f aca="false">IF(A656="","",WEEKNUM(A656,21))</f>
        <v/>
      </c>
      <c r="D656" s="24" t="str">
        <f aca="false">IF(A656="","",DATE(YEAR(A656),MONTH(A656),1))</f>
        <v/>
      </c>
      <c r="E656" s="10"/>
      <c r="F656" s="25"/>
      <c r="G656" s="25"/>
      <c r="H656" s="10"/>
      <c r="I656" s="10"/>
      <c r="J656" s="26"/>
      <c r="K656" s="25"/>
      <c r="L656" s="26"/>
      <c r="M656" s="27"/>
      <c r="N656" s="27"/>
      <c r="O656" s="28" t="str">
        <f aca="false">IF(OR(M656="",M656=0,N656=""),"",N656/M656)</f>
        <v/>
      </c>
      <c r="P656" s="28" t="str">
        <f aca="false">IF(M656="","",IFERROR(IF(INDEX(Parámetros!$B$14:$B$21,MATCH(I656,Parámetros!$A$14:$A$21,0))="",Parámetros!$B$5,INDEX(Parámetros!$B$14:$B$21,MATCH(I656,Parámetros!$A$14:$A$21,0))),Parámetros!$B$5))</f>
        <v/>
      </c>
      <c r="Q656" s="29" t="str">
        <f aca="false">IF(O656="","",(O656-P656)*100)</f>
        <v/>
      </c>
      <c r="R656" s="30" t="str">
        <f aca="false">IF(O656="","",MAX(0,M656*(P656-O656)))</f>
        <v/>
      </c>
      <c r="S656" s="31" t="str">
        <f aca="false">IF(OR(L656="",L656=0,N656=""),"",N656/1000/L656)</f>
        <v/>
      </c>
      <c r="T656" s="27"/>
      <c r="U656" s="27"/>
      <c r="V656" s="27"/>
      <c r="W656" s="27"/>
      <c r="X656" s="27"/>
      <c r="Y656" s="27"/>
      <c r="Z656" s="27"/>
      <c r="AA656" s="25"/>
      <c r="AB656" s="27"/>
      <c r="AC656" s="30" t="str">
        <f aca="false">IF(M656="","",IF(AB656="",M656*Parámetros!$B$6,AB656))</f>
        <v/>
      </c>
      <c r="AD656" s="30" t="str">
        <f aca="false">IF(M656="","",SUM(T656:Z656)+AC656)</f>
        <v/>
      </c>
      <c r="AE656" s="30" t="str">
        <f aca="false">IF(OR(M656="",N656=""),"",M656-N656)</f>
        <v/>
      </c>
      <c r="AF656" s="30" t="str">
        <f aca="false">IF(AE656="","",AE656-AD656)</f>
        <v/>
      </c>
      <c r="AG656" s="28" t="str">
        <f aca="false">IF(OR(AF656="",M656=0),"",AF656/M656)</f>
        <v/>
      </c>
      <c r="AH656" s="32" t="str">
        <f aca="false">IF(OR(AE656="",N656=0),"",AE656/(N656/1000))</f>
        <v/>
      </c>
      <c r="AI656" s="30" t="str">
        <f aca="false">IF(O656="","",M656*P656)</f>
        <v/>
      </c>
      <c r="AJ656" s="11" t="str">
        <f aca="false">IF(O656="","",IF(O656&gt;1,"Error: rend &gt; 100 %",IF(SUM(T656:Z656)=0,"Falta registrar pérdidas",IF(ABS(AG656)&gt;Parámetros!$B$7,"Revisar balance",IF(O656&lt;P656,"Bajo meta","OK")))))</f>
        <v/>
      </c>
      <c r="AK656" s="33"/>
      <c r="AL656" s="10"/>
      <c r="AM656" s="33"/>
      <c r="AN656" s="33"/>
      <c r="AO656" s="10"/>
    </row>
    <row r="657" customFormat="false" ht="15" hidden="false" customHeight="false" outlineLevel="0" collapsed="false">
      <c r="A657" s="22"/>
      <c r="B657" s="23" t="str">
        <f aca="false">IF(A657="","",YEAR(A657-WEEKDAY(A657,2)+4))</f>
        <v/>
      </c>
      <c r="C657" s="23" t="str">
        <f aca="false">IF(A657="","",WEEKNUM(A657,21))</f>
        <v/>
      </c>
      <c r="D657" s="24" t="str">
        <f aca="false">IF(A657="","",DATE(YEAR(A657),MONTH(A657),1))</f>
        <v/>
      </c>
      <c r="E657" s="10"/>
      <c r="F657" s="25"/>
      <c r="G657" s="25"/>
      <c r="H657" s="10"/>
      <c r="I657" s="10"/>
      <c r="J657" s="26"/>
      <c r="K657" s="25"/>
      <c r="L657" s="26"/>
      <c r="M657" s="27"/>
      <c r="N657" s="27"/>
      <c r="O657" s="28" t="str">
        <f aca="false">IF(OR(M657="",M657=0,N657=""),"",N657/M657)</f>
        <v/>
      </c>
      <c r="P657" s="28" t="str">
        <f aca="false">IF(M657="","",IFERROR(IF(INDEX(Parámetros!$B$14:$B$21,MATCH(I657,Parámetros!$A$14:$A$21,0))="",Parámetros!$B$5,INDEX(Parámetros!$B$14:$B$21,MATCH(I657,Parámetros!$A$14:$A$21,0))),Parámetros!$B$5))</f>
        <v/>
      </c>
      <c r="Q657" s="29" t="str">
        <f aca="false">IF(O657="","",(O657-P657)*100)</f>
        <v/>
      </c>
      <c r="R657" s="30" t="str">
        <f aca="false">IF(O657="","",MAX(0,M657*(P657-O657)))</f>
        <v/>
      </c>
      <c r="S657" s="31" t="str">
        <f aca="false">IF(OR(L657="",L657=0,N657=""),"",N657/1000/L657)</f>
        <v/>
      </c>
      <c r="T657" s="27"/>
      <c r="U657" s="27"/>
      <c r="V657" s="27"/>
      <c r="W657" s="27"/>
      <c r="X657" s="27"/>
      <c r="Y657" s="27"/>
      <c r="Z657" s="27"/>
      <c r="AA657" s="25"/>
      <c r="AB657" s="27"/>
      <c r="AC657" s="30" t="str">
        <f aca="false">IF(M657="","",IF(AB657="",M657*Parámetros!$B$6,AB657))</f>
        <v/>
      </c>
      <c r="AD657" s="30" t="str">
        <f aca="false">IF(M657="","",SUM(T657:Z657)+AC657)</f>
        <v/>
      </c>
      <c r="AE657" s="30" t="str">
        <f aca="false">IF(OR(M657="",N657=""),"",M657-N657)</f>
        <v/>
      </c>
      <c r="AF657" s="30" t="str">
        <f aca="false">IF(AE657="","",AE657-AD657)</f>
        <v/>
      </c>
      <c r="AG657" s="28" t="str">
        <f aca="false">IF(OR(AF657="",M657=0),"",AF657/M657)</f>
        <v/>
      </c>
      <c r="AH657" s="32" t="str">
        <f aca="false">IF(OR(AE657="",N657=0),"",AE657/(N657/1000))</f>
        <v/>
      </c>
      <c r="AI657" s="30" t="str">
        <f aca="false">IF(O657="","",M657*P657)</f>
        <v/>
      </c>
      <c r="AJ657" s="11" t="str">
        <f aca="false">IF(O657="","",IF(O657&gt;1,"Error: rend &gt; 100 %",IF(SUM(T657:Z657)=0,"Falta registrar pérdidas",IF(ABS(AG657)&gt;Parámetros!$B$7,"Revisar balance",IF(O657&lt;P657,"Bajo meta","OK")))))</f>
        <v/>
      </c>
      <c r="AK657" s="33"/>
      <c r="AL657" s="10"/>
      <c r="AM657" s="33"/>
      <c r="AN657" s="33"/>
      <c r="AO657" s="10"/>
    </row>
    <row r="658" customFormat="false" ht="15" hidden="false" customHeight="false" outlineLevel="0" collapsed="false">
      <c r="A658" s="22"/>
      <c r="B658" s="23" t="str">
        <f aca="false">IF(A658="","",YEAR(A658-WEEKDAY(A658,2)+4))</f>
        <v/>
      </c>
      <c r="C658" s="23" t="str">
        <f aca="false">IF(A658="","",WEEKNUM(A658,21))</f>
        <v/>
      </c>
      <c r="D658" s="24" t="str">
        <f aca="false">IF(A658="","",DATE(YEAR(A658),MONTH(A658),1))</f>
        <v/>
      </c>
      <c r="E658" s="10"/>
      <c r="F658" s="25"/>
      <c r="G658" s="25"/>
      <c r="H658" s="10"/>
      <c r="I658" s="10"/>
      <c r="J658" s="26"/>
      <c r="K658" s="25"/>
      <c r="L658" s="26"/>
      <c r="M658" s="27"/>
      <c r="N658" s="27"/>
      <c r="O658" s="28" t="str">
        <f aca="false">IF(OR(M658="",M658=0,N658=""),"",N658/M658)</f>
        <v/>
      </c>
      <c r="P658" s="28" t="str">
        <f aca="false">IF(M658="","",IFERROR(IF(INDEX(Parámetros!$B$14:$B$21,MATCH(I658,Parámetros!$A$14:$A$21,0))="",Parámetros!$B$5,INDEX(Parámetros!$B$14:$B$21,MATCH(I658,Parámetros!$A$14:$A$21,0))),Parámetros!$B$5))</f>
        <v/>
      </c>
      <c r="Q658" s="29" t="str">
        <f aca="false">IF(O658="","",(O658-P658)*100)</f>
        <v/>
      </c>
      <c r="R658" s="30" t="str">
        <f aca="false">IF(O658="","",MAX(0,M658*(P658-O658)))</f>
        <v/>
      </c>
      <c r="S658" s="31" t="str">
        <f aca="false">IF(OR(L658="",L658=0,N658=""),"",N658/1000/L658)</f>
        <v/>
      </c>
      <c r="T658" s="27"/>
      <c r="U658" s="27"/>
      <c r="V658" s="27"/>
      <c r="W658" s="27"/>
      <c r="X658" s="27"/>
      <c r="Y658" s="27"/>
      <c r="Z658" s="27"/>
      <c r="AA658" s="25"/>
      <c r="AB658" s="27"/>
      <c r="AC658" s="30" t="str">
        <f aca="false">IF(M658="","",IF(AB658="",M658*Parámetros!$B$6,AB658))</f>
        <v/>
      </c>
      <c r="AD658" s="30" t="str">
        <f aca="false">IF(M658="","",SUM(T658:Z658)+AC658)</f>
        <v/>
      </c>
      <c r="AE658" s="30" t="str">
        <f aca="false">IF(OR(M658="",N658=""),"",M658-N658)</f>
        <v/>
      </c>
      <c r="AF658" s="30" t="str">
        <f aca="false">IF(AE658="","",AE658-AD658)</f>
        <v/>
      </c>
      <c r="AG658" s="28" t="str">
        <f aca="false">IF(OR(AF658="",M658=0),"",AF658/M658)</f>
        <v/>
      </c>
      <c r="AH658" s="32" t="str">
        <f aca="false">IF(OR(AE658="",N658=0),"",AE658/(N658/1000))</f>
        <v/>
      </c>
      <c r="AI658" s="30" t="str">
        <f aca="false">IF(O658="","",M658*P658)</f>
        <v/>
      </c>
      <c r="AJ658" s="11" t="str">
        <f aca="false">IF(O658="","",IF(O658&gt;1,"Error: rend &gt; 100 %",IF(SUM(T658:Z658)=0,"Falta registrar pérdidas",IF(ABS(AG658)&gt;Parámetros!$B$7,"Revisar balance",IF(O658&lt;P658,"Bajo meta","OK")))))</f>
        <v/>
      </c>
      <c r="AK658" s="33"/>
      <c r="AL658" s="10"/>
      <c r="AM658" s="33"/>
      <c r="AN658" s="33"/>
      <c r="AO658" s="10"/>
    </row>
    <row r="659" customFormat="false" ht="15" hidden="false" customHeight="false" outlineLevel="0" collapsed="false">
      <c r="A659" s="22"/>
      <c r="B659" s="23" t="str">
        <f aca="false">IF(A659="","",YEAR(A659-WEEKDAY(A659,2)+4))</f>
        <v/>
      </c>
      <c r="C659" s="23" t="str">
        <f aca="false">IF(A659="","",WEEKNUM(A659,21))</f>
        <v/>
      </c>
      <c r="D659" s="24" t="str">
        <f aca="false">IF(A659="","",DATE(YEAR(A659),MONTH(A659),1))</f>
        <v/>
      </c>
      <c r="E659" s="10"/>
      <c r="F659" s="25"/>
      <c r="G659" s="25"/>
      <c r="H659" s="10"/>
      <c r="I659" s="10"/>
      <c r="J659" s="26"/>
      <c r="K659" s="25"/>
      <c r="L659" s="26"/>
      <c r="M659" s="27"/>
      <c r="N659" s="27"/>
      <c r="O659" s="28" t="str">
        <f aca="false">IF(OR(M659="",M659=0,N659=""),"",N659/M659)</f>
        <v/>
      </c>
      <c r="P659" s="28" t="str">
        <f aca="false">IF(M659="","",IFERROR(IF(INDEX(Parámetros!$B$14:$B$21,MATCH(I659,Parámetros!$A$14:$A$21,0))="",Parámetros!$B$5,INDEX(Parámetros!$B$14:$B$21,MATCH(I659,Parámetros!$A$14:$A$21,0))),Parámetros!$B$5))</f>
        <v/>
      </c>
      <c r="Q659" s="29" t="str">
        <f aca="false">IF(O659="","",(O659-P659)*100)</f>
        <v/>
      </c>
      <c r="R659" s="30" t="str">
        <f aca="false">IF(O659="","",MAX(0,M659*(P659-O659)))</f>
        <v/>
      </c>
      <c r="S659" s="31" t="str">
        <f aca="false">IF(OR(L659="",L659=0,N659=""),"",N659/1000/L659)</f>
        <v/>
      </c>
      <c r="T659" s="27"/>
      <c r="U659" s="27"/>
      <c r="V659" s="27"/>
      <c r="W659" s="27"/>
      <c r="X659" s="27"/>
      <c r="Y659" s="27"/>
      <c r="Z659" s="27"/>
      <c r="AA659" s="25"/>
      <c r="AB659" s="27"/>
      <c r="AC659" s="30" t="str">
        <f aca="false">IF(M659="","",IF(AB659="",M659*Parámetros!$B$6,AB659))</f>
        <v/>
      </c>
      <c r="AD659" s="30" t="str">
        <f aca="false">IF(M659="","",SUM(T659:Z659)+AC659)</f>
        <v/>
      </c>
      <c r="AE659" s="30" t="str">
        <f aca="false">IF(OR(M659="",N659=""),"",M659-N659)</f>
        <v/>
      </c>
      <c r="AF659" s="30" t="str">
        <f aca="false">IF(AE659="","",AE659-AD659)</f>
        <v/>
      </c>
      <c r="AG659" s="28" t="str">
        <f aca="false">IF(OR(AF659="",M659=0),"",AF659/M659)</f>
        <v/>
      </c>
      <c r="AH659" s="32" t="str">
        <f aca="false">IF(OR(AE659="",N659=0),"",AE659/(N659/1000))</f>
        <v/>
      </c>
      <c r="AI659" s="30" t="str">
        <f aca="false">IF(O659="","",M659*P659)</f>
        <v/>
      </c>
      <c r="AJ659" s="11" t="str">
        <f aca="false">IF(O659="","",IF(O659&gt;1,"Error: rend &gt; 100 %",IF(SUM(T659:Z659)=0,"Falta registrar pérdidas",IF(ABS(AG659)&gt;Parámetros!$B$7,"Revisar balance",IF(O659&lt;P659,"Bajo meta","OK")))))</f>
        <v/>
      </c>
      <c r="AK659" s="33"/>
      <c r="AL659" s="10"/>
      <c r="AM659" s="33"/>
      <c r="AN659" s="33"/>
      <c r="AO659" s="10"/>
    </row>
    <row r="660" customFormat="false" ht="15" hidden="false" customHeight="false" outlineLevel="0" collapsed="false">
      <c r="A660" s="22"/>
      <c r="B660" s="23" t="str">
        <f aca="false">IF(A660="","",YEAR(A660-WEEKDAY(A660,2)+4))</f>
        <v/>
      </c>
      <c r="C660" s="23" t="str">
        <f aca="false">IF(A660="","",WEEKNUM(A660,21))</f>
        <v/>
      </c>
      <c r="D660" s="24" t="str">
        <f aca="false">IF(A660="","",DATE(YEAR(A660),MONTH(A660),1))</f>
        <v/>
      </c>
      <c r="E660" s="10"/>
      <c r="F660" s="25"/>
      <c r="G660" s="25"/>
      <c r="H660" s="10"/>
      <c r="I660" s="10"/>
      <c r="J660" s="26"/>
      <c r="K660" s="25"/>
      <c r="L660" s="26"/>
      <c r="M660" s="27"/>
      <c r="N660" s="27"/>
      <c r="O660" s="28" t="str">
        <f aca="false">IF(OR(M660="",M660=0,N660=""),"",N660/M660)</f>
        <v/>
      </c>
      <c r="P660" s="28" t="str">
        <f aca="false">IF(M660="","",IFERROR(IF(INDEX(Parámetros!$B$14:$B$21,MATCH(I660,Parámetros!$A$14:$A$21,0))="",Parámetros!$B$5,INDEX(Parámetros!$B$14:$B$21,MATCH(I660,Parámetros!$A$14:$A$21,0))),Parámetros!$B$5))</f>
        <v/>
      </c>
      <c r="Q660" s="29" t="str">
        <f aca="false">IF(O660="","",(O660-P660)*100)</f>
        <v/>
      </c>
      <c r="R660" s="30" t="str">
        <f aca="false">IF(O660="","",MAX(0,M660*(P660-O660)))</f>
        <v/>
      </c>
      <c r="S660" s="31" t="str">
        <f aca="false">IF(OR(L660="",L660=0,N660=""),"",N660/1000/L660)</f>
        <v/>
      </c>
      <c r="T660" s="27"/>
      <c r="U660" s="27"/>
      <c r="V660" s="27"/>
      <c r="W660" s="27"/>
      <c r="X660" s="27"/>
      <c r="Y660" s="27"/>
      <c r="Z660" s="27"/>
      <c r="AA660" s="25"/>
      <c r="AB660" s="27"/>
      <c r="AC660" s="30" t="str">
        <f aca="false">IF(M660="","",IF(AB660="",M660*Parámetros!$B$6,AB660))</f>
        <v/>
      </c>
      <c r="AD660" s="30" t="str">
        <f aca="false">IF(M660="","",SUM(T660:Z660)+AC660)</f>
        <v/>
      </c>
      <c r="AE660" s="30" t="str">
        <f aca="false">IF(OR(M660="",N660=""),"",M660-N660)</f>
        <v/>
      </c>
      <c r="AF660" s="30" t="str">
        <f aca="false">IF(AE660="","",AE660-AD660)</f>
        <v/>
      </c>
      <c r="AG660" s="28" t="str">
        <f aca="false">IF(OR(AF660="",M660=0),"",AF660/M660)</f>
        <v/>
      </c>
      <c r="AH660" s="32" t="str">
        <f aca="false">IF(OR(AE660="",N660=0),"",AE660/(N660/1000))</f>
        <v/>
      </c>
      <c r="AI660" s="30" t="str">
        <f aca="false">IF(O660="","",M660*P660)</f>
        <v/>
      </c>
      <c r="AJ660" s="11" t="str">
        <f aca="false">IF(O660="","",IF(O660&gt;1,"Error: rend &gt; 100 %",IF(SUM(T660:Z660)=0,"Falta registrar pérdidas",IF(ABS(AG660)&gt;Parámetros!$B$7,"Revisar balance",IF(O660&lt;P660,"Bajo meta","OK")))))</f>
        <v/>
      </c>
      <c r="AK660" s="33"/>
      <c r="AL660" s="10"/>
      <c r="AM660" s="33"/>
      <c r="AN660" s="33"/>
      <c r="AO660" s="10"/>
    </row>
    <row r="661" customFormat="false" ht="15" hidden="false" customHeight="false" outlineLevel="0" collapsed="false">
      <c r="A661" s="22"/>
      <c r="B661" s="23" t="str">
        <f aca="false">IF(A661="","",YEAR(A661-WEEKDAY(A661,2)+4))</f>
        <v/>
      </c>
      <c r="C661" s="23" t="str">
        <f aca="false">IF(A661="","",WEEKNUM(A661,21))</f>
        <v/>
      </c>
      <c r="D661" s="24" t="str">
        <f aca="false">IF(A661="","",DATE(YEAR(A661),MONTH(A661),1))</f>
        <v/>
      </c>
      <c r="E661" s="10"/>
      <c r="F661" s="25"/>
      <c r="G661" s="25"/>
      <c r="H661" s="10"/>
      <c r="I661" s="10"/>
      <c r="J661" s="26"/>
      <c r="K661" s="25"/>
      <c r="L661" s="26"/>
      <c r="M661" s="27"/>
      <c r="N661" s="27"/>
      <c r="O661" s="28" t="str">
        <f aca="false">IF(OR(M661="",M661=0,N661=""),"",N661/M661)</f>
        <v/>
      </c>
      <c r="P661" s="28" t="str">
        <f aca="false">IF(M661="","",IFERROR(IF(INDEX(Parámetros!$B$14:$B$21,MATCH(I661,Parámetros!$A$14:$A$21,0))="",Parámetros!$B$5,INDEX(Parámetros!$B$14:$B$21,MATCH(I661,Parámetros!$A$14:$A$21,0))),Parámetros!$B$5))</f>
        <v/>
      </c>
      <c r="Q661" s="29" t="str">
        <f aca="false">IF(O661="","",(O661-P661)*100)</f>
        <v/>
      </c>
      <c r="R661" s="30" t="str">
        <f aca="false">IF(O661="","",MAX(0,M661*(P661-O661)))</f>
        <v/>
      </c>
      <c r="S661" s="31" t="str">
        <f aca="false">IF(OR(L661="",L661=0,N661=""),"",N661/1000/L661)</f>
        <v/>
      </c>
      <c r="T661" s="27"/>
      <c r="U661" s="27"/>
      <c r="V661" s="27"/>
      <c r="W661" s="27"/>
      <c r="X661" s="27"/>
      <c r="Y661" s="27"/>
      <c r="Z661" s="27"/>
      <c r="AA661" s="25"/>
      <c r="AB661" s="27"/>
      <c r="AC661" s="30" t="str">
        <f aca="false">IF(M661="","",IF(AB661="",M661*Parámetros!$B$6,AB661))</f>
        <v/>
      </c>
      <c r="AD661" s="30" t="str">
        <f aca="false">IF(M661="","",SUM(T661:Z661)+AC661)</f>
        <v/>
      </c>
      <c r="AE661" s="30" t="str">
        <f aca="false">IF(OR(M661="",N661=""),"",M661-N661)</f>
        <v/>
      </c>
      <c r="AF661" s="30" t="str">
        <f aca="false">IF(AE661="","",AE661-AD661)</f>
        <v/>
      </c>
      <c r="AG661" s="28" t="str">
        <f aca="false">IF(OR(AF661="",M661=0),"",AF661/M661)</f>
        <v/>
      </c>
      <c r="AH661" s="32" t="str">
        <f aca="false">IF(OR(AE661="",N661=0),"",AE661/(N661/1000))</f>
        <v/>
      </c>
      <c r="AI661" s="30" t="str">
        <f aca="false">IF(O661="","",M661*P661)</f>
        <v/>
      </c>
      <c r="AJ661" s="11" t="str">
        <f aca="false">IF(O661="","",IF(O661&gt;1,"Error: rend &gt; 100 %",IF(SUM(T661:Z661)=0,"Falta registrar pérdidas",IF(ABS(AG661)&gt;Parámetros!$B$7,"Revisar balance",IF(O661&lt;P661,"Bajo meta","OK")))))</f>
        <v/>
      </c>
      <c r="AK661" s="33"/>
      <c r="AL661" s="10"/>
      <c r="AM661" s="33"/>
      <c r="AN661" s="33"/>
      <c r="AO661" s="10"/>
    </row>
    <row r="662" customFormat="false" ht="15" hidden="false" customHeight="false" outlineLevel="0" collapsed="false">
      <c r="A662" s="22"/>
      <c r="B662" s="23" t="str">
        <f aca="false">IF(A662="","",YEAR(A662-WEEKDAY(A662,2)+4))</f>
        <v/>
      </c>
      <c r="C662" s="23" t="str">
        <f aca="false">IF(A662="","",WEEKNUM(A662,21))</f>
        <v/>
      </c>
      <c r="D662" s="24" t="str">
        <f aca="false">IF(A662="","",DATE(YEAR(A662),MONTH(A662),1))</f>
        <v/>
      </c>
      <c r="E662" s="10"/>
      <c r="F662" s="25"/>
      <c r="G662" s="25"/>
      <c r="H662" s="10"/>
      <c r="I662" s="10"/>
      <c r="J662" s="26"/>
      <c r="K662" s="25"/>
      <c r="L662" s="26"/>
      <c r="M662" s="27"/>
      <c r="N662" s="27"/>
      <c r="O662" s="28" t="str">
        <f aca="false">IF(OR(M662="",M662=0,N662=""),"",N662/M662)</f>
        <v/>
      </c>
      <c r="P662" s="28" t="str">
        <f aca="false">IF(M662="","",IFERROR(IF(INDEX(Parámetros!$B$14:$B$21,MATCH(I662,Parámetros!$A$14:$A$21,0))="",Parámetros!$B$5,INDEX(Parámetros!$B$14:$B$21,MATCH(I662,Parámetros!$A$14:$A$21,0))),Parámetros!$B$5))</f>
        <v/>
      </c>
      <c r="Q662" s="29" t="str">
        <f aca="false">IF(O662="","",(O662-P662)*100)</f>
        <v/>
      </c>
      <c r="R662" s="30" t="str">
        <f aca="false">IF(O662="","",MAX(0,M662*(P662-O662)))</f>
        <v/>
      </c>
      <c r="S662" s="31" t="str">
        <f aca="false">IF(OR(L662="",L662=0,N662=""),"",N662/1000/L662)</f>
        <v/>
      </c>
      <c r="T662" s="27"/>
      <c r="U662" s="27"/>
      <c r="V662" s="27"/>
      <c r="W662" s="27"/>
      <c r="X662" s="27"/>
      <c r="Y662" s="27"/>
      <c r="Z662" s="27"/>
      <c r="AA662" s="25"/>
      <c r="AB662" s="27"/>
      <c r="AC662" s="30" t="str">
        <f aca="false">IF(M662="","",IF(AB662="",M662*Parámetros!$B$6,AB662))</f>
        <v/>
      </c>
      <c r="AD662" s="30" t="str">
        <f aca="false">IF(M662="","",SUM(T662:Z662)+AC662)</f>
        <v/>
      </c>
      <c r="AE662" s="30" t="str">
        <f aca="false">IF(OR(M662="",N662=""),"",M662-N662)</f>
        <v/>
      </c>
      <c r="AF662" s="30" t="str">
        <f aca="false">IF(AE662="","",AE662-AD662)</f>
        <v/>
      </c>
      <c r="AG662" s="28" t="str">
        <f aca="false">IF(OR(AF662="",M662=0),"",AF662/M662)</f>
        <v/>
      </c>
      <c r="AH662" s="32" t="str">
        <f aca="false">IF(OR(AE662="",N662=0),"",AE662/(N662/1000))</f>
        <v/>
      </c>
      <c r="AI662" s="30" t="str">
        <f aca="false">IF(O662="","",M662*P662)</f>
        <v/>
      </c>
      <c r="AJ662" s="11" t="str">
        <f aca="false">IF(O662="","",IF(O662&gt;1,"Error: rend &gt; 100 %",IF(SUM(T662:Z662)=0,"Falta registrar pérdidas",IF(ABS(AG662)&gt;Parámetros!$B$7,"Revisar balance",IF(O662&lt;P662,"Bajo meta","OK")))))</f>
        <v/>
      </c>
      <c r="AK662" s="33"/>
      <c r="AL662" s="10"/>
      <c r="AM662" s="33"/>
      <c r="AN662" s="33"/>
      <c r="AO662" s="10"/>
    </row>
    <row r="663" customFormat="false" ht="15" hidden="false" customHeight="false" outlineLevel="0" collapsed="false">
      <c r="A663" s="22"/>
      <c r="B663" s="23" t="str">
        <f aca="false">IF(A663="","",YEAR(A663-WEEKDAY(A663,2)+4))</f>
        <v/>
      </c>
      <c r="C663" s="23" t="str">
        <f aca="false">IF(A663="","",WEEKNUM(A663,21))</f>
        <v/>
      </c>
      <c r="D663" s="24" t="str">
        <f aca="false">IF(A663="","",DATE(YEAR(A663),MONTH(A663),1))</f>
        <v/>
      </c>
      <c r="E663" s="10"/>
      <c r="F663" s="25"/>
      <c r="G663" s="25"/>
      <c r="H663" s="10"/>
      <c r="I663" s="10"/>
      <c r="J663" s="26"/>
      <c r="K663" s="25"/>
      <c r="L663" s="26"/>
      <c r="M663" s="27"/>
      <c r="N663" s="27"/>
      <c r="O663" s="28" t="str">
        <f aca="false">IF(OR(M663="",M663=0,N663=""),"",N663/M663)</f>
        <v/>
      </c>
      <c r="P663" s="28" t="str">
        <f aca="false">IF(M663="","",IFERROR(IF(INDEX(Parámetros!$B$14:$B$21,MATCH(I663,Parámetros!$A$14:$A$21,0))="",Parámetros!$B$5,INDEX(Parámetros!$B$14:$B$21,MATCH(I663,Parámetros!$A$14:$A$21,0))),Parámetros!$B$5))</f>
        <v/>
      </c>
      <c r="Q663" s="29" t="str">
        <f aca="false">IF(O663="","",(O663-P663)*100)</f>
        <v/>
      </c>
      <c r="R663" s="30" t="str">
        <f aca="false">IF(O663="","",MAX(0,M663*(P663-O663)))</f>
        <v/>
      </c>
      <c r="S663" s="31" t="str">
        <f aca="false">IF(OR(L663="",L663=0,N663=""),"",N663/1000/L663)</f>
        <v/>
      </c>
      <c r="T663" s="27"/>
      <c r="U663" s="27"/>
      <c r="V663" s="27"/>
      <c r="W663" s="27"/>
      <c r="X663" s="27"/>
      <c r="Y663" s="27"/>
      <c r="Z663" s="27"/>
      <c r="AA663" s="25"/>
      <c r="AB663" s="27"/>
      <c r="AC663" s="30" t="str">
        <f aca="false">IF(M663="","",IF(AB663="",M663*Parámetros!$B$6,AB663))</f>
        <v/>
      </c>
      <c r="AD663" s="30" t="str">
        <f aca="false">IF(M663="","",SUM(T663:Z663)+AC663)</f>
        <v/>
      </c>
      <c r="AE663" s="30" t="str">
        <f aca="false">IF(OR(M663="",N663=""),"",M663-N663)</f>
        <v/>
      </c>
      <c r="AF663" s="30" t="str">
        <f aca="false">IF(AE663="","",AE663-AD663)</f>
        <v/>
      </c>
      <c r="AG663" s="28" t="str">
        <f aca="false">IF(OR(AF663="",M663=0),"",AF663/M663)</f>
        <v/>
      </c>
      <c r="AH663" s="32" t="str">
        <f aca="false">IF(OR(AE663="",N663=0),"",AE663/(N663/1000))</f>
        <v/>
      </c>
      <c r="AI663" s="30" t="str">
        <f aca="false">IF(O663="","",M663*P663)</f>
        <v/>
      </c>
      <c r="AJ663" s="11" t="str">
        <f aca="false">IF(O663="","",IF(O663&gt;1,"Error: rend &gt; 100 %",IF(SUM(T663:Z663)=0,"Falta registrar pérdidas",IF(ABS(AG663)&gt;Parámetros!$B$7,"Revisar balance",IF(O663&lt;P663,"Bajo meta","OK")))))</f>
        <v/>
      </c>
      <c r="AK663" s="33"/>
      <c r="AL663" s="10"/>
      <c r="AM663" s="33"/>
      <c r="AN663" s="33"/>
      <c r="AO663" s="10"/>
    </row>
    <row r="664" customFormat="false" ht="15" hidden="false" customHeight="false" outlineLevel="0" collapsed="false">
      <c r="A664" s="22"/>
      <c r="B664" s="23" t="str">
        <f aca="false">IF(A664="","",YEAR(A664-WEEKDAY(A664,2)+4))</f>
        <v/>
      </c>
      <c r="C664" s="23" t="str">
        <f aca="false">IF(A664="","",WEEKNUM(A664,21))</f>
        <v/>
      </c>
      <c r="D664" s="24" t="str">
        <f aca="false">IF(A664="","",DATE(YEAR(A664),MONTH(A664),1))</f>
        <v/>
      </c>
      <c r="E664" s="10"/>
      <c r="F664" s="25"/>
      <c r="G664" s="25"/>
      <c r="H664" s="10"/>
      <c r="I664" s="10"/>
      <c r="J664" s="26"/>
      <c r="K664" s="25"/>
      <c r="L664" s="26"/>
      <c r="M664" s="27"/>
      <c r="N664" s="27"/>
      <c r="O664" s="28" t="str">
        <f aca="false">IF(OR(M664="",M664=0,N664=""),"",N664/M664)</f>
        <v/>
      </c>
      <c r="P664" s="28" t="str">
        <f aca="false">IF(M664="","",IFERROR(IF(INDEX(Parámetros!$B$14:$B$21,MATCH(I664,Parámetros!$A$14:$A$21,0))="",Parámetros!$B$5,INDEX(Parámetros!$B$14:$B$21,MATCH(I664,Parámetros!$A$14:$A$21,0))),Parámetros!$B$5))</f>
        <v/>
      </c>
      <c r="Q664" s="29" t="str">
        <f aca="false">IF(O664="","",(O664-P664)*100)</f>
        <v/>
      </c>
      <c r="R664" s="30" t="str">
        <f aca="false">IF(O664="","",MAX(0,M664*(P664-O664)))</f>
        <v/>
      </c>
      <c r="S664" s="31" t="str">
        <f aca="false">IF(OR(L664="",L664=0,N664=""),"",N664/1000/L664)</f>
        <v/>
      </c>
      <c r="T664" s="27"/>
      <c r="U664" s="27"/>
      <c r="V664" s="27"/>
      <c r="W664" s="27"/>
      <c r="X664" s="27"/>
      <c r="Y664" s="27"/>
      <c r="Z664" s="27"/>
      <c r="AA664" s="25"/>
      <c r="AB664" s="27"/>
      <c r="AC664" s="30" t="str">
        <f aca="false">IF(M664="","",IF(AB664="",M664*Parámetros!$B$6,AB664))</f>
        <v/>
      </c>
      <c r="AD664" s="30" t="str">
        <f aca="false">IF(M664="","",SUM(T664:Z664)+AC664)</f>
        <v/>
      </c>
      <c r="AE664" s="30" t="str">
        <f aca="false">IF(OR(M664="",N664=""),"",M664-N664)</f>
        <v/>
      </c>
      <c r="AF664" s="30" t="str">
        <f aca="false">IF(AE664="","",AE664-AD664)</f>
        <v/>
      </c>
      <c r="AG664" s="28" t="str">
        <f aca="false">IF(OR(AF664="",M664=0),"",AF664/M664)</f>
        <v/>
      </c>
      <c r="AH664" s="32" t="str">
        <f aca="false">IF(OR(AE664="",N664=0),"",AE664/(N664/1000))</f>
        <v/>
      </c>
      <c r="AI664" s="30" t="str">
        <f aca="false">IF(O664="","",M664*P664)</f>
        <v/>
      </c>
      <c r="AJ664" s="11" t="str">
        <f aca="false">IF(O664="","",IF(O664&gt;1,"Error: rend &gt; 100 %",IF(SUM(T664:Z664)=0,"Falta registrar pérdidas",IF(ABS(AG664)&gt;Parámetros!$B$7,"Revisar balance",IF(O664&lt;P664,"Bajo meta","OK")))))</f>
        <v/>
      </c>
      <c r="AK664" s="33"/>
      <c r="AL664" s="10"/>
      <c r="AM664" s="33"/>
      <c r="AN664" s="33"/>
      <c r="AO664" s="10"/>
    </row>
    <row r="665" customFormat="false" ht="15" hidden="false" customHeight="false" outlineLevel="0" collapsed="false">
      <c r="A665" s="22"/>
      <c r="B665" s="23" t="str">
        <f aca="false">IF(A665="","",YEAR(A665-WEEKDAY(A665,2)+4))</f>
        <v/>
      </c>
      <c r="C665" s="23" t="str">
        <f aca="false">IF(A665="","",WEEKNUM(A665,21))</f>
        <v/>
      </c>
      <c r="D665" s="24" t="str">
        <f aca="false">IF(A665="","",DATE(YEAR(A665),MONTH(A665),1))</f>
        <v/>
      </c>
      <c r="E665" s="10"/>
      <c r="F665" s="25"/>
      <c r="G665" s="25"/>
      <c r="H665" s="10"/>
      <c r="I665" s="10"/>
      <c r="J665" s="26"/>
      <c r="K665" s="25"/>
      <c r="L665" s="26"/>
      <c r="M665" s="27"/>
      <c r="N665" s="27"/>
      <c r="O665" s="28" t="str">
        <f aca="false">IF(OR(M665="",M665=0,N665=""),"",N665/M665)</f>
        <v/>
      </c>
      <c r="P665" s="28" t="str">
        <f aca="false">IF(M665="","",IFERROR(IF(INDEX(Parámetros!$B$14:$B$21,MATCH(I665,Parámetros!$A$14:$A$21,0))="",Parámetros!$B$5,INDEX(Parámetros!$B$14:$B$21,MATCH(I665,Parámetros!$A$14:$A$21,0))),Parámetros!$B$5))</f>
        <v/>
      </c>
      <c r="Q665" s="29" t="str">
        <f aca="false">IF(O665="","",(O665-P665)*100)</f>
        <v/>
      </c>
      <c r="R665" s="30" t="str">
        <f aca="false">IF(O665="","",MAX(0,M665*(P665-O665)))</f>
        <v/>
      </c>
      <c r="S665" s="31" t="str">
        <f aca="false">IF(OR(L665="",L665=0,N665=""),"",N665/1000/L665)</f>
        <v/>
      </c>
      <c r="T665" s="27"/>
      <c r="U665" s="27"/>
      <c r="V665" s="27"/>
      <c r="W665" s="27"/>
      <c r="X665" s="27"/>
      <c r="Y665" s="27"/>
      <c r="Z665" s="27"/>
      <c r="AA665" s="25"/>
      <c r="AB665" s="27"/>
      <c r="AC665" s="30" t="str">
        <f aca="false">IF(M665="","",IF(AB665="",M665*Parámetros!$B$6,AB665))</f>
        <v/>
      </c>
      <c r="AD665" s="30" t="str">
        <f aca="false">IF(M665="","",SUM(T665:Z665)+AC665)</f>
        <v/>
      </c>
      <c r="AE665" s="30" t="str">
        <f aca="false">IF(OR(M665="",N665=""),"",M665-N665)</f>
        <v/>
      </c>
      <c r="AF665" s="30" t="str">
        <f aca="false">IF(AE665="","",AE665-AD665)</f>
        <v/>
      </c>
      <c r="AG665" s="28" t="str">
        <f aca="false">IF(OR(AF665="",M665=0),"",AF665/M665)</f>
        <v/>
      </c>
      <c r="AH665" s="32" t="str">
        <f aca="false">IF(OR(AE665="",N665=0),"",AE665/(N665/1000))</f>
        <v/>
      </c>
      <c r="AI665" s="30" t="str">
        <f aca="false">IF(O665="","",M665*P665)</f>
        <v/>
      </c>
      <c r="AJ665" s="11" t="str">
        <f aca="false">IF(O665="","",IF(O665&gt;1,"Error: rend &gt; 100 %",IF(SUM(T665:Z665)=0,"Falta registrar pérdidas",IF(ABS(AG665)&gt;Parámetros!$B$7,"Revisar balance",IF(O665&lt;P665,"Bajo meta","OK")))))</f>
        <v/>
      </c>
      <c r="AK665" s="33"/>
      <c r="AL665" s="10"/>
      <c r="AM665" s="33"/>
      <c r="AN665" s="33"/>
      <c r="AO665" s="10"/>
    </row>
    <row r="666" customFormat="false" ht="15" hidden="false" customHeight="false" outlineLevel="0" collapsed="false">
      <c r="A666" s="22"/>
      <c r="B666" s="23" t="str">
        <f aca="false">IF(A666="","",YEAR(A666-WEEKDAY(A666,2)+4))</f>
        <v/>
      </c>
      <c r="C666" s="23" t="str">
        <f aca="false">IF(A666="","",WEEKNUM(A666,21))</f>
        <v/>
      </c>
      <c r="D666" s="24" t="str">
        <f aca="false">IF(A666="","",DATE(YEAR(A666),MONTH(A666),1))</f>
        <v/>
      </c>
      <c r="E666" s="10"/>
      <c r="F666" s="25"/>
      <c r="G666" s="25"/>
      <c r="H666" s="10"/>
      <c r="I666" s="10"/>
      <c r="J666" s="26"/>
      <c r="K666" s="25"/>
      <c r="L666" s="26"/>
      <c r="M666" s="27"/>
      <c r="N666" s="27"/>
      <c r="O666" s="28" t="str">
        <f aca="false">IF(OR(M666="",M666=0,N666=""),"",N666/M666)</f>
        <v/>
      </c>
      <c r="P666" s="28" t="str">
        <f aca="false">IF(M666="","",IFERROR(IF(INDEX(Parámetros!$B$14:$B$21,MATCH(I666,Parámetros!$A$14:$A$21,0))="",Parámetros!$B$5,INDEX(Parámetros!$B$14:$B$21,MATCH(I666,Parámetros!$A$14:$A$21,0))),Parámetros!$B$5))</f>
        <v/>
      </c>
      <c r="Q666" s="29" t="str">
        <f aca="false">IF(O666="","",(O666-P666)*100)</f>
        <v/>
      </c>
      <c r="R666" s="30" t="str">
        <f aca="false">IF(O666="","",MAX(0,M666*(P666-O666)))</f>
        <v/>
      </c>
      <c r="S666" s="31" t="str">
        <f aca="false">IF(OR(L666="",L666=0,N666=""),"",N666/1000/L666)</f>
        <v/>
      </c>
      <c r="T666" s="27"/>
      <c r="U666" s="27"/>
      <c r="V666" s="27"/>
      <c r="W666" s="27"/>
      <c r="X666" s="27"/>
      <c r="Y666" s="27"/>
      <c r="Z666" s="27"/>
      <c r="AA666" s="25"/>
      <c r="AB666" s="27"/>
      <c r="AC666" s="30" t="str">
        <f aca="false">IF(M666="","",IF(AB666="",M666*Parámetros!$B$6,AB666))</f>
        <v/>
      </c>
      <c r="AD666" s="30" t="str">
        <f aca="false">IF(M666="","",SUM(T666:Z666)+AC666)</f>
        <v/>
      </c>
      <c r="AE666" s="30" t="str">
        <f aca="false">IF(OR(M666="",N666=""),"",M666-N666)</f>
        <v/>
      </c>
      <c r="AF666" s="30" t="str">
        <f aca="false">IF(AE666="","",AE666-AD666)</f>
        <v/>
      </c>
      <c r="AG666" s="28" t="str">
        <f aca="false">IF(OR(AF666="",M666=0),"",AF666/M666)</f>
        <v/>
      </c>
      <c r="AH666" s="32" t="str">
        <f aca="false">IF(OR(AE666="",N666=0),"",AE666/(N666/1000))</f>
        <v/>
      </c>
      <c r="AI666" s="30" t="str">
        <f aca="false">IF(O666="","",M666*P666)</f>
        <v/>
      </c>
      <c r="AJ666" s="11" t="str">
        <f aca="false">IF(O666="","",IF(O666&gt;1,"Error: rend &gt; 100 %",IF(SUM(T666:Z666)=0,"Falta registrar pérdidas",IF(ABS(AG666)&gt;Parámetros!$B$7,"Revisar balance",IF(O666&lt;P666,"Bajo meta","OK")))))</f>
        <v/>
      </c>
      <c r="AK666" s="33"/>
      <c r="AL666" s="10"/>
      <c r="AM666" s="33"/>
      <c r="AN666" s="33"/>
      <c r="AO666" s="10"/>
    </row>
    <row r="667" customFormat="false" ht="15" hidden="false" customHeight="false" outlineLevel="0" collapsed="false">
      <c r="A667" s="22"/>
      <c r="B667" s="23" t="str">
        <f aca="false">IF(A667="","",YEAR(A667-WEEKDAY(A667,2)+4))</f>
        <v/>
      </c>
      <c r="C667" s="23" t="str">
        <f aca="false">IF(A667="","",WEEKNUM(A667,21))</f>
        <v/>
      </c>
      <c r="D667" s="24" t="str">
        <f aca="false">IF(A667="","",DATE(YEAR(A667),MONTH(A667),1))</f>
        <v/>
      </c>
      <c r="E667" s="10"/>
      <c r="F667" s="25"/>
      <c r="G667" s="25"/>
      <c r="H667" s="10"/>
      <c r="I667" s="10"/>
      <c r="J667" s="26"/>
      <c r="K667" s="25"/>
      <c r="L667" s="26"/>
      <c r="M667" s="27"/>
      <c r="N667" s="27"/>
      <c r="O667" s="28" t="str">
        <f aca="false">IF(OR(M667="",M667=0,N667=""),"",N667/M667)</f>
        <v/>
      </c>
      <c r="P667" s="28" t="str">
        <f aca="false">IF(M667="","",IFERROR(IF(INDEX(Parámetros!$B$14:$B$21,MATCH(I667,Parámetros!$A$14:$A$21,0))="",Parámetros!$B$5,INDEX(Parámetros!$B$14:$B$21,MATCH(I667,Parámetros!$A$14:$A$21,0))),Parámetros!$B$5))</f>
        <v/>
      </c>
      <c r="Q667" s="29" t="str">
        <f aca="false">IF(O667="","",(O667-P667)*100)</f>
        <v/>
      </c>
      <c r="R667" s="30" t="str">
        <f aca="false">IF(O667="","",MAX(0,M667*(P667-O667)))</f>
        <v/>
      </c>
      <c r="S667" s="31" t="str">
        <f aca="false">IF(OR(L667="",L667=0,N667=""),"",N667/1000/L667)</f>
        <v/>
      </c>
      <c r="T667" s="27"/>
      <c r="U667" s="27"/>
      <c r="V667" s="27"/>
      <c r="W667" s="27"/>
      <c r="X667" s="27"/>
      <c r="Y667" s="27"/>
      <c r="Z667" s="27"/>
      <c r="AA667" s="25"/>
      <c r="AB667" s="27"/>
      <c r="AC667" s="30" t="str">
        <f aca="false">IF(M667="","",IF(AB667="",M667*Parámetros!$B$6,AB667))</f>
        <v/>
      </c>
      <c r="AD667" s="30" t="str">
        <f aca="false">IF(M667="","",SUM(T667:Z667)+AC667)</f>
        <v/>
      </c>
      <c r="AE667" s="30" t="str">
        <f aca="false">IF(OR(M667="",N667=""),"",M667-N667)</f>
        <v/>
      </c>
      <c r="AF667" s="30" t="str">
        <f aca="false">IF(AE667="","",AE667-AD667)</f>
        <v/>
      </c>
      <c r="AG667" s="28" t="str">
        <f aca="false">IF(OR(AF667="",M667=0),"",AF667/M667)</f>
        <v/>
      </c>
      <c r="AH667" s="32" t="str">
        <f aca="false">IF(OR(AE667="",N667=0),"",AE667/(N667/1000))</f>
        <v/>
      </c>
      <c r="AI667" s="30" t="str">
        <f aca="false">IF(O667="","",M667*P667)</f>
        <v/>
      </c>
      <c r="AJ667" s="11" t="str">
        <f aca="false">IF(O667="","",IF(O667&gt;1,"Error: rend &gt; 100 %",IF(SUM(T667:Z667)=0,"Falta registrar pérdidas",IF(ABS(AG667)&gt;Parámetros!$B$7,"Revisar balance",IF(O667&lt;P667,"Bajo meta","OK")))))</f>
        <v/>
      </c>
      <c r="AK667" s="33"/>
      <c r="AL667" s="10"/>
      <c r="AM667" s="33"/>
      <c r="AN667" s="33"/>
      <c r="AO667" s="10"/>
    </row>
    <row r="668" customFormat="false" ht="15" hidden="false" customHeight="false" outlineLevel="0" collapsed="false">
      <c r="A668" s="22"/>
      <c r="B668" s="23" t="str">
        <f aca="false">IF(A668="","",YEAR(A668-WEEKDAY(A668,2)+4))</f>
        <v/>
      </c>
      <c r="C668" s="23" t="str">
        <f aca="false">IF(A668="","",WEEKNUM(A668,21))</f>
        <v/>
      </c>
      <c r="D668" s="24" t="str">
        <f aca="false">IF(A668="","",DATE(YEAR(A668),MONTH(A668),1))</f>
        <v/>
      </c>
      <c r="E668" s="10"/>
      <c r="F668" s="25"/>
      <c r="G668" s="25"/>
      <c r="H668" s="10"/>
      <c r="I668" s="10"/>
      <c r="J668" s="26"/>
      <c r="K668" s="25"/>
      <c r="L668" s="26"/>
      <c r="M668" s="27"/>
      <c r="N668" s="27"/>
      <c r="O668" s="28" t="str">
        <f aca="false">IF(OR(M668="",M668=0,N668=""),"",N668/M668)</f>
        <v/>
      </c>
      <c r="P668" s="28" t="str">
        <f aca="false">IF(M668="","",IFERROR(IF(INDEX(Parámetros!$B$14:$B$21,MATCH(I668,Parámetros!$A$14:$A$21,0))="",Parámetros!$B$5,INDEX(Parámetros!$B$14:$B$21,MATCH(I668,Parámetros!$A$14:$A$21,0))),Parámetros!$B$5))</f>
        <v/>
      </c>
      <c r="Q668" s="29" t="str">
        <f aca="false">IF(O668="","",(O668-P668)*100)</f>
        <v/>
      </c>
      <c r="R668" s="30" t="str">
        <f aca="false">IF(O668="","",MAX(0,M668*(P668-O668)))</f>
        <v/>
      </c>
      <c r="S668" s="31" t="str">
        <f aca="false">IF(OR(L668="",L668=0,N668=""),"",N668/1000/L668)</f>
        <v/>
      </c>
      <c r="T668" s="27"/>
      <c r="U668" s="27"/>
      <c r="V668" s="27"/>
      <c r="W668" s="27"/>
      <c r="X668" s="27"/>
      <c r="Y668" s="27"/>
      <c r="Z668" s="27"/>
      <c r="AA668" s="25"/>
      <c r="AB668" s="27"/>
      <c r="AC668" s="30" t="str">
        <f aca="false">IF(M668="","",IF(AB668="",M668*Parámetros!$B$6,AB668))</f>
        <v/>
      </c>
      <c r="AD668" s="30" t="str">
        <f aca="false">IF(M668="","",SUM(T668:Z668)+AC668)</f>
        <v/>
      </c>
      <c r="AE668" s="30" t="str">
        <f aca="false">IF(OR(M668="",N668=""),"",M668-N668)</f>
        <v/>
      </c>
      <c r="AF668" s="30" t="str">
        <f aca="false">IF(AE668="","",AE668-AD668)</f>
        <v/>
      </c>
      <c r="AG668" s="28" t="str">
        <f aca="false">IF(OR(AF668="",M668=0),"",AF668/M668)</f>
        <v/>
      </c>
      <c r="AH668" s="32" t="str">
        <f aca="false">IF(OR(AE668="",N668=0),"",AE668/(N668/1000))</f>
        <v/>
      </c>
      <c r="AI668" s="30" t="str">
        <f aca="false">IF(O668="","",M668*P668)</f>
        <v/>
      </c>
      <c r="AJ668" s="11" t="str">
        <f aca="false">IF(O668="","",IF(O668&gt;1,"Error: rend &gt; 100 %",IF(SUM(T668:Z668)=0,"Falta registrar pérdidas",IF(ABS(AG668)&gt;Parámetros!$B$7,"Revisar balance",IF(O668&lt;P668,"Bajo meta","OK")))))</f>
        <v/>
      </c>
      <c r="AK668" s="33"/>
      <c r="AL668" s="10"/>
      <c r="AM668" s="33"/>
      <c r="AN668" s="33"/>
      <c r="AO668" s="10"/>
    </row>
    <row r="669" customFormat="false" ht="15" hidden="false" customHeight="false" outlineLevel="0" collapsed="false">
      <c r="A669" s="22"/>
      <c r="B669" s="23" t="str">
        <f aca="false">IF(A669="","",YEAR(A669-WEEKDAY(A669,2)+4))</f>
        <v/>
      </c>
      <c r="C669" s="23" t="str">
        <f aca="false">IF(A669="","",WEEKNUM(A669,21))</f>
        <v/>
      </c>
      <c r="D669" s="24" t="str">
        <f aca="false">IF(A669="","",DATE(YEAR(A669),MONTH(A669),1))</f>
        <v/>
      </c>
      <c r="E669" s="10"/>
      <c r="F669" s="25"/>
      <c r="G669" s="25"/>
      <c r="H669" s="10"/>
      <c r="I669" s="10"/>
      <c r="J669" s="26"/>
      <c r="K669" s="25"/>
      <c r="L669" s="26"/>
      <c r="M669" s="27"/>
      <c r="N669" s="27"/>
      <c r="O669" s="28" t="str">
        <f aca="false">IF(OR(M669="",M669=0,N669=""),"",N669/M669)</f>
        <v/>
      </c>
      <c r="P669" s="28" t="str">
        <f aca="false">IF(M669="","",IFERROR(IF(INDEX(Parámetros!$B$14:$B$21,MATCH(I669,Parámetros!$A$14:$A$21,0))="",Parámetros!$B$5,INDEX(Parámetros!$B$14:$B$21,MATCH(I669,Parámetros!$A$14:$A$21,0))),Parámetros!$B$5))</f>
        <v/>
      </c>
      <c r="Q669" s="29" t="str">
        <f aca="false">IF(O669="","",(O669-P669)*100)</f>
        <v/>
      </c>
      <c r="R669" s="30" t="str">
        <f aca="false">IF(O669="","",MAX(0,M669*(P669-O669)))</f>
        <v/>
      </c>
      <c r="S669" s="31" t="str">
        <f aca="false">IF(OR(L669="",L669=0,N669=""),"",N669/1000/L669)</f>
        <v/>
      </c>
      <c r="T669" s="27"/>
      <c r="U669" s="27"/>
      <c r="V669" s="27"/>
      <c r="W669" s="27"/>
      <c r="X669" s="27"/>
      <c r="Y669" s="27"/>
      <c r="Z669" s="27"/>
      <c r="AA669" s="25"/>
      <c r="AB669" s="27"/>
      <c r="AC669" s="30" t="str">
        <f aca="false">IF(M669="","",IF(AB669="",M669*Parámetros!$B$6,AB669))</f>
        <v/>
      </c>
      <c r="AD669" s="30" t="str">
        <f aca="false">IF(M669="","",SUM(T669:Z669)+AC669)</f>
        <v/>
      </c>
      <c r="AE669" s="30" t="str">
        <f aca="false">IF(OR(M669="",N669=""),"",M669-N669)</f>
        <v/>
      </c>
      <c r="AF669" s="30" t="str">
        <f aca="false">IF(AE669="","",AE669-AD669)</f>
        <v/>
      </c>
      <c r="AG669" s="28" t="str">
        <f aca="false">IF(OR(AF669="",M669=0),"",AF669/M669)</f>
        <v/>
      </c>
      <c r="AH669" s="32" t="str">
        <f aca="false">IF(OR(AE669="",N669=0),"",AE669/(N669/1000))</f>
        <v/>
      </c>
      <c r="AI669" s="30" t="str">
        <f aca="false">IF(O669="","",M669*P669)</f>
        <v/>
      </c>
      <c r="AJ669" s="11" t="str">
        <f aca="false">IF(O669="","",IF(O669&gt;1,"Error: rend &gt; 100 %",IF(SUM(T669:Z669)=0,"Falta registrar pérdidas",IF(ABS(AG669)&gt;Parámetros!$B$7,"Revisar balance",IF(O669&lt;P669,"Bajo meta","OK")))))</f>
        <v/>
      </c>
      <c r="AK669" s="33"/>
      <c r="AL669" s="10"/>
      <c r="AM669" s="33"/>
      <c r="AN669" s="33"/>
      <c r="AO669" s="10"/>
    </row>
    <row r="670" customFormat="false" ht="15" hidden="false" customHeight="false" outlineLevel="0" collapsed="false">
      <c r="A670" s="22"/>
      <c r="B670" s="23" t="str">
        <f aca="false">IF(A670="","",YEAR(A670-WEEKDAY(A670,2)+4))</f>
        <v/>
      </c>
      <c r="C670" s="23" t="str">
        <f aca="false">IF(A670="","",WEEKNUM(A670,21))</f>
        <v/>
      </c>
      <c r="D670" s="24" t="str">
        <f aca="false">IF(A670="","",DATE(YEAR(A670),MONTH(A670),1))</f>
        <v/>
      </c>
      <c r="E670" s="10"/>
      <c r="F670" s="25"/>
      <c r="G670" s="25"/>
      <c r="H670" s="10"/>
      <c r="I670" s="10"/>
      <c r="J670" s="26"/>
      <c r="K670" s="25"/>
      <c r="L670" s="26"/>
      <c r="M670" s="27"/>
      <c r="N670" s="27"/>
      <c r="O670" s="28" t="str">
        <f aca="false">IF(OR(M670="",M670=0,N670=""),"",N670/M670)</f>
        <v/>
      </c>
      <c r="P670" s="28" t="str">
        <f aca="false">IF(M670="","",IFERROR(IF(INDEX(Parámetros!$B$14:$B$21,MATCH(I670,Parámetros!$A$14:$A$21,0))="",Parámetros!$B$5,INDEX(Parámetros!$B$14:$B$21,MATCH(I670,Parámetros!$A$14:$A$21,0))),Parámetros!$B$5))</f>
        <v/>
      </c>
      <c r="Q670" s="29" t="str">
        <f aca="false">IF(O670="","",(O670-P670)*100)</f>
        <v/>
      </c>
      <c r="R670" s="30" t="str">
        <f aca="false">IF(O670="","",MAX(0,M670*(P670-O670)))</f>
        <v/>
      </c>
      <c r="S670" s="31" t="str">
        <f aca="false">IF(OR(L670="",L670=0,N670=""),"",N670/1000/L670)</f>
        <v/>
      </c>
      <c r="T670" s="27"/>
      <c r="U670" s="27"/>
      <c r="V670" s="27"/>
      <c r="W670" s="27"/>
      <c r="X670" s="27"/>
      <c r="Y670" s="27"/>
      <c r="Z670" s="27"/>
      <c r="AA670" s="25"/>
      <c r="AB670" s="27"/>
      <c r="AC670" s="30" t="str">
        <f aca="false">IF(M670="","",IF(AB670="",M670*Parámetros!$B$6,AB670))</f>
        <v/>
      </c>
      <c r="AD670" s="30" t="str">
        <f aca="false">IF(M670="","",SUM(T670:Z670)+AC670)</f>
        <v/>
      </c>
      <c r="AE670" s="30" t="str">
        <f aca="false">IF(OR(M670="",N670=""),"",M670-N670)</f>
        <v/>
      </c>
      <c r="AF670" s="30" t="str">
        <f aca="false">IF(AE670="","",AE670-AD670)</f>
        <v/>
      </c>
      <c r="AG670" s="28" t="str">
        <f aca="false">IF(OR(AF670="",M670=0),"",AF670/M670)</f>
        <v/>
      </c>
      <c r="AH670" s="32" t="str">
        <f aca="false">IF(OR(AE670="",N670=0),"",AE670/(N670/1000))</f>
        <v/>
      </c>
      <c r="AI670" s="30" t="str">
        <f aca="false">IF(O670="","",M670*P670)</f>
        <v/>
      </c>
      <c r="AJ670" s="11" t="str">
        <f aca="false">IF(O670="","",IF(O670&gt;1,"Error: rend &gt; 100 %",IF(SUM(T670:Z670)=0,"Falta registrar pérdidas",IF(ABS(AG670)&gt;Parámetros!$B$7,"Revisar balance",IF(O670&lt;P670,"Bajo meta","OK")))))</f>
        <v/>
      </c>
      <c r="AK670" s="33"/>
      <c r="AL670" s="10"/>
      <c r="AM670" s="33"/>
      <c r="AN670" s="33"/>
      <c r="AO670" s="10"/>
    </row>
    <row r="671" customFormat="false" ht="15" hidden="false" customHeight="false" outlineLevel="0" collapsed="false">
      <c r="A671" s="22"/>
      <c r="B671" s="23" t="str">
        <f aca="false">IF(A671="","",YEAR(A671-WEEKDAY(A671,2)+4))</f>
        <v/>
      </c>
      <c r="C671" s="23" t="str">
        <f aca="false">IF(A671="","",WEEKNUM(A671,21))</f>
        <v/>
      </c>
      <c r="D671" s="24" t="str">
        <f aca="false">IF(A671="","",DATE(YEAR(A671),MONTH(A671),1))</f>
        <v/>
      </c>
      <c r="E671" s="10"/>
      <c r="F671" s="25"/>
      <c r="G671" s="25"/>
      <c r="H671" s="10"/>
      <c r="I671" s="10"/>
      <c r="J671" s="26"/>
      <c r="K671" s="25"/>
      <c r="L671" s="26"/>
      <c r="M671" s="27"/>
      <c r="N671" s="27"/>
      <c r="O671" s="28" t="str">
        <f aca="false">IF(OR(M671="",M671=0,N671=""),"",N671/M671)</f>
        <v/>
      </c>
      <c r="P671" s="28" t="str">
        <f aca="false">IF(M671="","",IFERROR(IF(INDEX(Parámetros!$B$14:$B$21,MATCH(I671,Parámetros!$A$14:$A$21,0))="",Parámetros!$B$5,INDEX(Parámetros!$B$14:$B$21,MATCH(I671,Parámetros!$A$14:$A$21,0))),Parámetros!$B$5))</f>
        <v/>
      </c>
      <c r="Q671" s="29" t="str">
        <f aca="false">IF(O671="","",(O671-P671)*100)</f>
        <v/>
      </c>
      <c r="R671" s="30" t="str">
        <f aca="false">IF(O671="","",MAX(0,M671*(P671-O671)))</f>
        <v/>
      </c>
      <c r="S671" s="31" t="str">
        <f aca="false">IF(OR(L671="",L671=0,N671=""),"",N671/1000/L671)</f>
        <v/>
      </c>
      <c r="T671" s="27"/>
      <c r="U671" s="27"/>
      <c r="V671" s="27"/>
      <c r="W671" s="27"/>
      <c r="X671" s="27"/>
      <c r="Y671" s="27"/>
      <c r="Z671" s="27"/>
      <c r="AA671" s="25"/>
      <c r="AB671" s="27"/>
      <c r="AC671" s="30" t="str">
        <f aca="false">IF(M671="","",IF(AB671="",M671*Parámetros!$B$6,AB671))</f>
        <v/>
      </c>
      <c r="AD671" s="30" t="str">
        <f aca="false">IF(M671="","",SUM(T671:Z671)+AC671)</f>
        <v/>
      </c>
      <c r="AE671" s="30" t="str">
        <f aca="false">IF(OR(M671="",N671=""),"",M671-N671)</f>
        <v/>
      </c>
      <c r="AF671" s="30" t="str">
        <f aca="false">IF(AE671="","",AE671-AD671)</f>
        <v/>
      </c>
      <c r="AG671" s="28" t="str">
        <f aca="false">IF(OR(AF671="",M671=0),"",AF671/M671)</f>
        <v/>
      </c>
      <c r="AH671" s="32" t="str">
        <f aca="false">IF(OR(AE671="",N671=0),"",AE671/(N671/1000))</f>
        <v/>
      </c>
      <c r="AI671" s="30" t="str">
        <f aca="false">IF(O671="","",M671*P671)</f>
        <v/>
      </c>
      <c r="AJ671" s="11" t="str">
        <f aca="false">IF(O671="","",IF(O671&gt;1,"Error: rend &gt; 100 %",IF(SUM(T671:Z671)=0,"Falta registrar pérdidas",IF(ABS(AG671)&gt;Parámetros!$B$7,"Revisar balance",IF(O671&lt;P671,"Bajo meta","OK")))))</f>
        <v/>
      </c>
      <c r="AK671" s="33"/>
      <c r="AL671" s="10"/>
      <c r="AM671" s="33"/>
      <c r="AN671" s="33"/>
      <c r="AO671" s="10"/>
    </row>
    <row r="672" customFormat="false" ht="15" hidden="false" customHeight="false" outlineLevel="0" collapsed="false">
      <c r="A672" s="22"/>
      <c r="B672" s="23" t="str">
        <f aca="false">IF(A672="","",YEAR(A672-WEEKDAY(A672,2)+4))</f>
        <v/>
      </c>
      <c r="C672" s="23" t="str">
        <f aca="false">IF(A672="","",WEEKNUM(A672,21))</f>
        <v/>
      </c>
      <c r="D672" s="24" t="str">
        <f aca="false">IF(A672="","",DATE(YEAR(A672),MONTH(A672),1))</f>
        <v/>
      </c>
      <c r="E672" s="10"/>
      <c r="F672" s="25"/>
      <c r="G672" s="25"/>
      <c r="H672" s="10"/>
      <c r="I672" s="10"/>
      <c r="J672" s="26"/>
      <c r="K672" s="25"/>
      <c r="L672" s="26"/>
      <c r="M672" s="27"/>
      <c r="N672" s="27"/>
      <c r="O672" s="28" t="str">
        <f aca="false">IF(OR(M672="",M672=0,N672=""),"",N672/M672)</f>
        <v/>
      </c>
      <c r="P672" s="28" t="str">
        <f aca="false">IF(M672="","",IFERROR(IF(INDEX(Parámetros!$B$14:$B$21,MATCH(I672,Parámetros!$A$14:$A$21,0))="",Parámetros!$B$5,INDEX(Parámetros!$B$14:$B$21,MATCH(I672,Parámetros!$A$14:$A$21,0))),Parámetros!$B$5))</f>
        <v/>
      </c>
      <c r="Q672" s="29" t="str">
        <f aca="false">IF(O672="","",(O672-P672)*100)</f>
        <v/>
      </c>
      <c r="R672" s="30" t="str">
        <f aca="false">IF(O672="","",MAX(0,M672*(P672-O672)))</f>
        <v/>
      </c>
      <c r="S672" s="31" t="str">
        <f aca="false">IF(OR(L672="",L672=0,N672=""),"",N672/1000/L672)</f>
        <v/>
      </c>
      <c r="T672" s="27"/>
      <c r="U672" s="27"/>
      <c r="V672" s="27"/>
      <c r="W672" s="27"/>
      <c r="X672" s="27"/>
      <c r="Y672" s="27"/>
      <c r="Z672" s="27"/>
      <c r="AA672" s="25"/>
      <c r="AB672" s="27"/>
      <c r="AC672" s="30" t="str">
        <f aca="false">IF(M672="","",IF(AB672="",M672*Parámetros!$B$6,AB672))</f>
        <v/>
      </c>
      <c r="AD672" s="30" t="str">
        <f aca="false">IF(M672="","",SUM(T672:Z672)+AC672)</f>
        <v/>
      </c>
      <c r="AE672" s="30" t="str">
        <f aca="false">IF(OR(M672="",N672=""),"",M672-N672)</f>
        <v/>
      </c>
      <c r="AF672" s="30" t="str">
        <f aca="false">IF(AE672="","",AE672-AD672)</f>
        <v/>
      </c>
      <c r="AG672" s="28" t="str">
        <f aca="false">IF(OR(AF672="",M672=0),"",AF672/M672)</f>
        <v/>
      </c>
      <c r="AH672" s="32" t="str">
        <f aca="false">IF(OR(AE672="",N672=0),"",AE672/(N672/1000))</f>
        <v/>
      </c>
      <c r="AI672" s="30" t="str">
        <f aca="false">IF(O672="","",M672*P672)</f>
        <v/>
      </c>
      <c r="AJ672" s="11" t="str">
        <f aca="false">IF(O672="","",IF(O672&gt;1,"Error: rend &gt; 100 %",IF(SUM(T672:Z672)=0,"Falta registrar pérdidas",IF(ABS(AG672)&gt;Parámetros!$B$7,"Revisar balance",IF(O672&lt;P672,"Bajo meta","OK")))))</f>
        <v/>
      </c>
      <c r="AK672" s="33"/>
      <c r="AL672" s="10"/>
      <c r="AM672" s="33"/>
      <c r="AN672" s="33"/>
      <c r="AO672" s="10"/>
    </row>
    <row r="673" customFormat="false" ht="15" hidden="false" customHeight="false" outlineLevel="0" collapsed="false">
      <c r="A673" s="22"/>
      <c r="B673" s="23" t="str">
        <f aca="false">IF(A673="","",YEAR(A673-WEEKDAY(A673,2)+4))</f>
        <v/>
      </c>
      <c r="C673" s="23" t="str">
        <f aca="false">IF(A673="","",WEEKNUM(A673,21))</f>
        <v/>
      </c>
      <c r="D673" s="24" t="str">
        <f aca="false">IF(A673="","",DATE(YEAR(A673),MONTH(A673),1))</f>
        <v/>
      </c>
      <c r="E673" s="10"/>
      <c r="F673" s="25"/>
      <c r="G673" s="25"/>
      <c r="H673" s="10"/>
      <c r="I673" s="10"/>
      <c r="J673" s="26"/>
      <c r="K673" s="25"/>
      <c r="L673" s="26"/>
      <c r="M673" s="27"/>
      <c r="N673" s="27"/>
      <c r="O673" s="28" t="str">
        <f aca="false">IF(OR(M673="",M673=0,N673=""),"",N673/M673)</f>
        <v/>
      </c>
      <c r="P673" s="28" t="str">
        <f aca="false">IF(M673="","",IFERROR(IF(INDEX(Parámetros!$B$14:$B$21,MATCH(I673,Parámetros!$A$14:$A$21,0))="",Parámetros!$B$5,INDEX(Parámetros!$B$14:$B$21,MATCH(I673,Parámetros!$A$14:$A$21,0))),Parámetros!$B$5))</f>
        <v/>
      </c>
      <c r="Q673" s="29" t="str">
        <f aca="false">IF(O673="","",(O673-P673)*100)</f>
        <v/>
      </c>
      <c r="R673" s="30" t="str">
        <f aca="false">IF(O673="","",MAX(0,M673*(P673-O673)))</f>
        <v/>
      </c>
      <c r="S673" s="31" t="str">
        <f aca="false">IF(OR(L673="",L673=0,N673=""),"",N673/1000/L673)</f>
        <v/>
      </c>
      <c r="T673" s="27"/>
      <c r="U673" s="27"/>
      <c r="V673" s="27"/>
      <c r="W673" s="27"/>
      <c r="X673" s="27"/>
      <c r="Y673" s="27"/>
      <c r="Z673" s="27"/>
      <c r="AA673" s="25"/>
      <c r="AB673" s="27"/>
      <c r="AC673" s="30" t="str">
        <f aca="false">IF(M673="","",IF(AB673="",M673*Parámetros!$B$6,AB673))</f>
        <v/>
      </c>
      <c r="AD673" s="30" t="str">
        <f aca="false">IF(M673="","",SUM(T673:Z673)+AC673)</f>
        <v/>
      </c>
      <c r="AE673" s="30" t="str">
        <f aca="false">IF(OR(M673="",N673=""),"",M673-N673)</f>
        <v/>
      </c>
      <c r="AF673" s="30" t="str">
        <f aca="false">IF(AE673="","",AE673-AD673)</f>
        <v/>
      </c>
      <c r="AG673" s="28" t="str">
        <f aca="false">IF(OR(AF673="",M673=0),"",AF673/M673)</f>
        <v/>
      </c>
      <c r="AH673" s="32" t="str">
        <f aca="false">IF(OR(AE673="",N673=0),"",AE673/(N673/1000))</f>
        <v/>
      </c>
      <c r="AI673" s="30" t="str">
        <f aca="false">IF(O673="","",M673*P673)</f>
        <v/>
      </c>
      <c r="AJ673" s="11" t="str">
        <f aca="false">IF(O673="","",IF(O673&gt;1,"Error: rend &gt; 100 %",IF(SUM(T673:Z673)=0,"Falta registrar pérdidas",IF(ABS(AG673)&gt;Parámetros!$B$7,"Revisar balance",IF(O673&lt;P673,"Bajo meta","OK")))))</f>
        <v/>
      </c>
      <c r="AK673" s="33"/>
      <c r="AL673" s="10"/>
      <c r="AM673" s="33"/>
      <c r="AN673" s="33"/>
      <c r="AO673" s="10"/>
    </row>
    <row r="674" customFormat="false" ht="15" hidden="false" customHeight="false" outlineLevel="0" collapsed="false">
      <c r="A674" s="22"/>
      <c r="B674" s="23" t="str">
        <f aca="false">IF(A674="","",YEAR(A674-WEEKDAY(A674,2)+4))</f>
        <v/>
      </c>
      <c r="C674" s="23" t="str">
        <f aca="false">IF(A674="","",WEEKNUM(A674,21))</f>
        <v/>
      </c>
      <c r="D674" s="24" t="str">
        <f aca="false">IF(A674="","",DATE(YEAR(A674),MONTH(A674),1))</f>
        <v/>
      </c>
      <c r="E674" s="10"/>
      <c r="F674" s="25"/>
      <c r="G674" s="25"/>
      <c r="H674" s="10"/>
      <c r="I674" s="10"/>
      <c r="J674" s="26"/>
      <c r="K674" s="25"/>
      <c r="L674" s="26"/>
      <c r="M674" s="27"/>
      <c r="N674" s="27"/>
      <c r="O674" s="28" t="str">
        <f aca="false">IF(OR(M674="",M674=0,N674=""),"",N674/M674)</f>
        <v/>
      </c>
      <c r="P674" s="28" t="str">
        <f aca="false">IF(M674="","",IFERROR(IF(INDEX(Parámetros!$B$14:$B$21,MATCH(I674,Parámetros!$A$14:$A$21,0))="",Parámetros!$B$5,INDEX(Parámetros!$B$14:$B$21,MATCH(I674,Parámetros!$A$14:$A$21,0))),Parámetros!$B$5))</f>
        <v/>
      </c>
      <c r="Q674" s="29" t="str">
        <f aca="false">IF(O674="","",(O674-P674)*100)</f>
        <v/>
      </c>
      <c r="R674" s="30" t="str">
        <f aca="false">IF(O674="","",MAX(0,M674*(P674-O674)))</f>
        <v/>
      </c>
      <c r="S674" s="31" t="str">
        <f aca="false">IF(OR(L674="",L674=0,N674=""),"",N674/1000/L674)</f>
        <v/>
      </c>
      <c r="T674" s="27"/>
      <c r="U674" s="27"/>
      <c r="V674" s="27"/>
      <c r="W674" s="27"/>
      <c r="X674" s="27"/>
      <c r="Y674" s="27"/>
      <c r="Z674" s="27"/>
      <c r="AA674" s="25"/>
      <c r="AB674" s="27"/>
      <c r="AC674" s="30" t="str">
        <f aca="false">IF(M674="","",IF(AB674="",M674*Parámetros!$B$6,AB674))</f>
        <v/>
      </c>
      <c r="AD674" s="30" t="str">
        <f aca="false">IF(M674="","",SUM(T674:Z674)+AC674)</f>
        <v/>
      </c>
      <c r="AE674" s="30" t="str">
        <f aca="false">IF(OR(M674="",N674=""),"",M674-N674)</f>
        <v/>
      </c>
      <c r="AF674" s="30" t="str">
        <f aca="false">IF(AE674="","",AE674-AD674)</f>
        <v/>
      </c>
      <c r="AG674" s="28" t="str">
        <f aca="false">IF(OR(AF674="",M674=0),"",AF674/M674)</f>
        <v/>
      </c>
      <c r="AH674" s="32" t="str">
        <f aca="false">IF(OR(AE674="",N674=0),"",AE674/(N674/1000))</f>
        <v/>
      </c>
      <c r="AI674" s="30" t="str">
        <f aca="false">IF(O674="","",M674*P674)</f>
        <v/>
      </c>
      <c r="AJ674" s="11" t="str">
        <f aca="false">IF(O674="","",IF(O674&gt;1,"Error: rend &gt; 100 %",IF(SUM(T674:Z674)=0,"Falta registrar pérdidas",IF(ABS(AG674)&gt;Parámetros!$B$7,"Revisar balance",IF(O674&lt;P674,"Bajo meta","OK")))))</f>
        <v/>
      </c>
      <c r="AK674" s="33"/>
      <c r="AL674" s="10"/>
      <c r="AM674" s="33"/>
      <c r="AN674" s="33"/>
      <c r="AO674" s="10"/>
    </row>
    <row r="675" customFormat="false" ht="15" hidden="false" customHeight="false" outlineLevel="0" collapsed="false">
      <c r="A675" s="22"/>
      <c r="B675" s="23" t="str">
        <f aca="false">IF(A675="","",YEAR(A675-WEEKDAY(A675,2)+4))</f>
        <v/>
      </c>
      <c r="C675" s="23" t="str">
        <f aca="false">IF(A675="","",WEEKNUM(A675,21))</f>
        <v/>
      </c>
      <c r="D675" s="24" t="str">
        <f aca="false">IF(A675="","",DATE(YEAR(A675),MONTH(A675),1))</f>
        <v/>
      </c>
      <c r="E675" s="10"/>
      <c r="F675" s="25"/>
      <c r="G675" s="25"/>
      <c r="H675" s="10"/>
      <c r="I675" s="10"/>
      <c r="J675" s="26"/>
      <c r="K675" s="25"/>
      <c r="L675" s="26"/>
      <c r="M675" s="27"/>
      <c r="N675" s="27"/>
      <c r="O675" s="28" t="str">
        <f aca="false">IF(OR(M675="",M675=0,N675=""),"",N675/M675)</f>
        <v/>
      </c>
      <c r="P675" s="28" t="str">
        <f aca="false">IF(M675="","",IFERROR(IF(INDEX(Parámetros!$B$14:$B$21,MATCH(I675,Parámetros!$A$14:$A$21,0))="",Parámetros!$B$5,INDEX(Parámetros!$B$14:$B$21,MATCH(I675,Parámetros!$A$14:$A$21,0))),Parámetros!$B$5))</f>
        <v/>
      </c>
      <c r="Q675" s="29" t="str">
        <f aca="false">IF(O675="","",(O675-P675)*100)</f>
        <v/>
      </c>
      <c r="R675" s="30" t="str">
        <f aca="false">IF(O675="","",MAX(0,M675*(P675-O675)))</f>
        <v/>
      </c>
      <c r="S675" s="31" t="str">
        <f aca="false">IF(OR(L675="",L675=0,N675=""),"",N675/1000/L675)</f>
        <v/>
      </c>
      <c r="T675" s="27"/>
      <c r="U675" s="27"/>
      <c r="V675" s="27"/>
      <c r="W675" s="27"/>
      <c r="X675" s="27"/>
      <c r="Y675" s="27"/>
      <c r="Z675" s="27"/>
      <c r="AA675" s="25"/>
      <c r="AB675" s="27"/>
      <c r="AC675" s="30" t="str">
        <f aca="false">IF(M675="","",IF(AB675="",M675*Parámetros!$B$6,AB675))</f>
        <v/>
      </c>
      <c r="AD675" s="30" t="str">
        <f aca="false">IF(M675="","",SUM(T675:Z675)+AC675)</f>
        <v/>
      </c>
      <c r="AE675" s="30" t="str">
        <f aca="false">IF(OR(M675="",N675=""),"",M675-N675)</f>
        <v/>
      </c>
      <c r="AF675" s="30" t="str">
        <f aca="false">IF(AE675="","",AE675-AD675)</f>
        <v/>
      </c>
      <c r="AG675" s="28" t="str">
        <f aca="false">IF(OR(AF675="",M675=0),"",AF675/M675)</f>
        <v/>
      </c>
      <c r="AH675" s="32" t="str">
        <f aca="false">IF(OR(AE675="",N675=0),"",AE675/(N675/1000))</f>
        <v/>
      </c>
      <c r="AI675" s="30" t="str">
        <f aca="false">IF(O675="","",M675*P675)</f>
        <v/>
      </c>
      <c r="AJ675" s="11" t="str">
        <f aca="false">IF(O675="","",IF(O675&gt;1,"Error: rend &gt; 100 %",IF(SUM(T675:Z675)=0,"Falta registrar pérdidas",IF(ABS(AG675)&gt;Parámetros!$B$7,"Revisar balance",IF(O675&lt;P675,"Bajo meta","OK")))))</f>
        <v/>
      </c>
      <c r="AK675" s="33"/>
      <c r="AL675" s="10"/>
      <c r="AM675" s="33"/>
      <c r="AN675" s="33"/>
      <c r="AO675" s="10"/>
    </row>
    <row r="676" customFormat="false" ht="15" hidden="false" customHeight="false" outlineLevel="0" collapsed="false">
      <c r="A676" s="22"/>
      <c r="B676" s="23" t="str">
        <f aca="false">IF(A676="","",YEAR(A676-WEEKDAY(A676,2)+4))</f>
        <v/>
      </c>
      <c r="C676" s="23" t="str">
        <f aca="false">IF(A676="","",WEEKNUM(A676,21))</f>
        <v/>
      </c>
      <c r="D676" s="24" t="str">
        <f aca="false">IF(A676="","",DATE(YEAR(A676),MONTH(A676),1))</f>
        <v/>
      </c>
      <c r="E676" s="10"/>
      <c r="F676" s="25"/>
      <c r="G676" s="25"/>
      <c r="H676" s="10"/>
      <c r="I676" s="10"/>
      <c r="J676" s="26"/>
      <c r="K676" s="25"/>
      <c r="L676" s="26"/>
      <c r="M676" s="27"/>
      <c r="N676" s="27"/>
      <c r="O676" s="28" t="str">
        <f aca="false">IF(OR(M676="",M676=0,N676=""),"",N676/M676)</f>
        <v/>
      </c>
      <c r="P676" s="28" t="str">
        <f aca="false">IF(M676="","",IFERROR(IF(INDEX(Parámetros!$B$14:$B$21,MATCH(I676,Parámetros!$A$14:$A$21,0))="",Parámetros!$B$5,INDEX(Parámetros!$B$14:$B$21,MATCH(I676,Parámetros!$A$14:$A$21,0))),Parámetros!$B$5))</f>
        <v/>
      </c>
      <c r="Q676" s="29" t="str">
        <f aca="false">IF(O676="","",(O676-P676)*100)</f>
        <v/>
      </c>
      <c r="R676" s="30" t="str">
        <f aca="false">IF(O676="","",MAX(0,M676*(P676-O676)))</f>
        <v/>
      </c>
      <c r="S676" s="31" t="str">
        <f aca="false">IF(OR(L676="",L676=0,N676=""),"",N676/1000/L676)</f>
        <v/>
      </c>
      <c r="T676" s="27"/>
      <c r="U676" s="27"/>
      <c r="V676" s="27"/>
      <c r="W676" s="27"/>
      <c r="X676" s="27"/>
      <c r="Y676" s="27"/>
      <c r="Z676" s="27"/>
      <c r="AA676" s="25"/>
      <c r="AB676" s="27"/>
      <c r="AC676" s="30" t="str">
        <f aca="false">IF(M676="","",IF(AB676="",M676*Parámetros!$B$6,AB676))</f>
        <v/>
      </c>
      <c r="AD676" s="30" t="str">
        <f aca="false">IF(M676="","",SUM(T676:Z676)+AC676)</f>
        <v/>
      </c>
      <c r="AE676" s="30" t="str">
        <f aca="false">IF(OR(M676="",N676=""),"",M676-N676)</f>
        <v/>
      </c>
      <c r="AF676" s="30" t="str">
        <f aca="false">IF(AE676="","",AE676-AD676)</f>
        <v/>
      </c>
      <c r="AG676" s="28" t="str">
        <f aca="false">IF(OR(AF676="",M676=0),"",AF676/M676)</f>
        <v/>
      </c>
      <c r="AH676" s="32" t="str">
        <f aca="false">IF(OR(AE676="",N676=0),"",AE676/(N676/1000))</f>
        <v/>
      </c>
      <c r="AI676" s="30" t="str">
        <f aca="false">IF(O676="","",M676*P676)</f>
        <v/>
      </c>
      <c r="AJ676" s="11" t="str">
        <f aca="false">IF(O676="","",IF(O676&gt;1,"Error: rend &gt; 100 %",IF(SUM(T676:Z676)=0,"Falta registrar pérdidas",IF(ABS(AG676)&gt;Parámetros!$B$7,"Revisar balance",IF(O676&lt;P676,"Bajo meta","OK")))))</f>
        <v/>
      </c>
      <c r="AK676" s="33"/>
      <c r="AL676" s="10"/>
      <c r="AM676" s="33"/>
      <c r="AN676" s="33"/>
      <c r="AO676" s="10"/>
    </row>
    <row r="677" customFormat="false" ht="15" hidden="false" customHeight="false" outlineLevel="0" collapsed="false">
      <c r="A677" s="22"/>
      <c r="B677" s="23" t="str">
        <f aca="false">IF(A677="","",YEAR(A677-WEEKDAY(A677,2)+4))</f>
        <v/>
      </c>
      <c r="C677" s="23" t="str">
        <f aca="false">IF(A677="","",WEEKNUM(A677,21))</f>
        <v/>
      </c>
      <c r="D677" s="24" t="str">
        <f aca="false">IF(A677="","",DATE(YEAR(A677),MONTH(A677),1))</f>
        <v/>
      </c>
      <c r="E677" s="10"/>
      <c r="F677" s="25"/>
      <c r="G677" s="25"/>
      <c r="H677" s="10"/>
      <c r="I677" s="10"/>
      <c r="J677" s="26"/>
      <c r="K677" s="25"/>
      <c r="L677" s="26"/>
      <c r="M677" s="27"/>
      <c r="N677" s="27"/>
      <c r="O677" s="28" t="str">
        <f aca="false">IF(OR(M677="",M677=0,N677=""),"",N677/M677)</f>
        <v/>
      </c>
      <c r="P677" s="28" t="str">
        <f aca="false">IF(M677="","",IFERROR(IF(INDEX(Parámetros!$B$14:$B$21,MATCH(I677,Parámetros!$A$14:$A$21,0))="",Parámetros!$B$5,INDEX(Parámetros!$B$14:$B$21,MATCH(I677,Parámetros!$A$14:$A$21,0))),Parámetros!$B$5))</f>
        <v/>
      </c>
      <c r="Q677" s="29" t="str">
        <f aca="false">IF(O677="","",(O677-P677)*100)</f>
        <v/>
      </c>
      <c r="R677" s="30" t="str">
        <f aca="false">IF(O677="","",MAX(0,M677*(P677-O677)))</f>
        <v/>
      </c>
      <c r="S677" s="31" t="str">
        <f aca="false">IF(OR(L677="",L677=0,N677=""),"",N677/1000/L677)</f>
        <v/>
      </c>
      <c r="T677" s="27"/>
      <c r="U677" s="27"/>
      <c r="V677" s="27"/>
      <c r="W677" s="27"/>
      <c r="X677" s="27"/>
      <c r="Y677" s="27"/>
      <c r="Z677" s="27"/>
      <c r="AA677" s="25"/>
      <c r="AB677" s="27"/>
      <c r="AC677" s="30" t="str">
        <f aca="false">IF(M677="","",IF(AB677="",M677*Parámetros!$B$6,AB677))</f>
        <v/>
      </c>
      <c r="AD677" s="30" t="str">
        <f aca="false">IF(M677="","",SUM(T677:Z677)+AC677)</f>
        <v/>
      </c>
      <c r="AE677" s="30" t="str">
        <f aca="false">IF(OR(M677="",N677=""),"",M677-N677)</f>
        <v/>
      </c>
      <c r="AF677" s="30" t="str">
        <f aca="false">IF(AE677="","",AE677-AD677)</f>
        <v/>
      </c>
      <c r="AG677" s="28" t="str">
        <f aca="false">IF(OR(AF677="",M677=0),"",AF677/M677)</f>
        <v/>
      </c>
      <c r="AH677" s="32" t="str">
        <f aca="false">IF(OR(AE677="",N677=0),"",AE677/(N677/1000))</f>
        <v/>
      </c>
      <c r="AI677" s="30" t="str">
        <f aca="false">IF(O677="","",M677*P677)</f>
        <v/>
      </c>
      <c r="AJ677" s="11" t="str">
        <f aca="false">IF(O677="","",IF(O677&gt;1,"Error: rend &gt; 100 %",IF(SUM(T677:Z677)=0,"Falta registrar pérdidas",IF(ABS(AG677)&gt;Parámetros!$B$7,"Revisar balance",IF(O677&lt;P677,"Bajo meta","OK")))))</f>
        <v/>
      </c>
      <c r="AK677" s="33"/>
      <c r="AL677" s="10"/>
      <c r="AM677" s="33"/>
      <c r="AN677" s="33"/>
      <c r="AO677" s="10"/>
    </row>
    <row r="678" customFormat="false" ht="15" hidden="false" customHeight="false" outlineLevel="0" collapsed="false">
      <c r="A678" s="22"/>
      <c r="B678" s="23" t="str">
        <f aca="false">IF(A678="","",YEAR(A678-WEEKDAY(A678,2)+4))</f>
        <v/>
      </c>
      <c r="C678" s="23" t="str">
        <f aca="false">IF(A678="","",WEEKNUM(A678,21))</f>
        <v/>
      </c>
      <c r="D678" s="24" t="str">
        <f aca="false">IF(A678="","",DATE(YEAR(A678),MONTH(A678),1))</f>
        <v/>
      </c>
      <c r="E678" s="10"/>
      <c r="F678" s="25"/>
      <c r="G678" s="25"/>
      <c r="H678" s="10"/>
      <c r="I678" s="10"/>
      <c r="J678" s="26"/>
      <c r="K678" s="25"/>
      <c r="L678" s="26"/>
      <c r="M678" s="27"/>
      <c r="N678" s="27"/>
      <c r="O678" s="28" t="str">
        <f aca="false">IF(OR(M678="",M678=0,N678=""),"",N678/M678)</f>
        <v/>
      </c>
      <c r="P678" s="28" t="str">
        <f aca="false">IF(M678="","",IFERROR(IF(INDEX(Parámetros!$B$14:$B$21,MATCH(I678,Parámetros!$A$14:$A$21,0))="",Parámetros!$B$5,INDEX(Parámetros!$B$14:$B$21,MATCH(I678,Parámetros!$A$14:$A$21,0))),Parámetros!$B$5))</f>
        <v/>
      </c>
      <c r="Q678" s="29" t="str">
        <f aca="false">IF(O678="","",(O678-P678)*100)</f>
        <v/>
      </c>
      <c r="R678" s="30" t="str">
        <f aca="false">IF(O678="","",MAX(0,M678*(P678-O678)))</f>
        <v/>
      </c>
      <c r="S678" s="31" t="str">
        <f aca="false">IF(OR(L678="",L678=0,N678=""),"",N678/1000/L678)</f>
        <v/>
      </c>
      <c r="T678" s="27"/>
      <c r="U678" s="27"/>
      <c r="V678" s="27"/>
      <c r="W678" s="27"/>
      <c r="X678" s="27"/>
      <c r="Y678" s="27"/>
      <c r="Z678" s="27"/>
      <c r="AA678" s="25"/>
      <c r="AB678" s="27"/>
      <c r="AC678" s="30" t="str">
        <f aca="false">IF(M678="","",IF(AB678="",M678*Parámetros!$B$6,AB678))</f>
        <v/>
      </c>
      <c r="AD678" s="30" t="str">
        <f aca="false">IF(M678="","",SUM(T678:Z678)+AC678)</f>
        <v/>
      </c>
      <c r="AE678" s="30" t="str">
        <f aca="false">IF(OR(M678="",N678=""),"",M678-N678)</f>
        <v/>
      </c>
      <c r="AF678" s="30" t="str">
        <f aca="false">IF(AE678="","",AE678-AD678)</f>
        <v/>
      </c>
      <c r="AG678" s="28" t="str">
        <f aca="false">IF(OR(AF678="",M678=0),"",AF678/M678)</f>
        <v/>
      </c>
      <c r="AH678" s="32" t="str">
        <f aca="false">IF(OR(AE678="",N678=0),"",AE678/(N678/1000))</f>
        <v/>
      </c>
      <c r="AI678" s="30" t="str">
        <f aca="false">IF(O678="","",M678*P678)</f>
        <v/>
      </c>
      <c r="AJ678" s="11" t="str">
        <f aca="false">IF(O678="","",IF(O678&gt;1,"Error: rend &gt; 100 %",IF(SUM(T678:Z678)=0,"Falta registrar pérdidas",IF(ABS(AG678)&gt;Parámetros!$B$7,"Revisar balance",IF(O678&lt;P678,"Bajo meta","OK")))))</f>
        <v/>
      </c>
      <c r="AK678" s="33"/>
      <c r="AL678" s="10"/>
      <c r="AM678" s="33"/>
      <c r="AN678" s="33"/>
      <c r="AO678" s="10"/>
    </row>
    <row r="679" customFormat="false" ht="15" hidden="false" customHeight="false" outlineLevel="0" collapsed="false">
      <c r="A679" s="22"/>
      <c r="B679" s="23" t="str">
        <f aca="false">IF(A679="","",YEAR(A679-WEEKDAY(A679,2)+4))</f>
        <v/>
      </c>
      <c r="C679" s="23" t="str">
        <f aca="false">IF(A679="","",WEEKNUM(A679,21))</f>
        <v/>
      </c>
      <c r="D679" s="24" t="str">
        <f aca="false">IF(A679="","",DATE(YEAR(A679),MONTH(A679),1))</f>
        <v/>
      </c>
      <c r="E679" s="10"/>
      <c r="F679" s="25"/>
      <c r="G679" s="25"/>
      <c r="H679" s="10"/>
      <c r="I679" s="10"/>
      <c r="J679" s="26"/>
      <c r="K679" s="25"/>
      <c r="L679" s="26"/>
      <c r="M679" s="27"/>
      <c r="N679" s="27"/>
      <c r="O679" s="28" t="str">
        <f aca="false">IF(OR(M679="",M679=0,N679=""),"",N679/M679)</f>
        <v/>
      </c>
      <c r="P679" s="28" t="str">
        <f aca="false">IF(M679="","",IFERROR(IF(INDEX(Parámetros!$B$14:$B$21,MATCH(I679,Parámetros!$A$14:$A$21,0))="",Parámetros!$B$5,INDEX(Parámetros!$B$14:$B$21,MATCH(I679,Parámetros!$A$14:$A$21,0))),Parámetros!$B$5))</f>
        <v/>
      </c>
      <c r="Q679" s="29" t="str">
        <f aca="false">IF(O679="","",(O679-P679)*100)</f>
        <v/>
      </c>
      <c r="R679" s="30" t="str">
        <f aca="false">IF(O679="","",MAX(0,M679*(P679-O679)))</f>
        <v/>
      </c>
      <c r="S679" s="31" t="str">
        <f aca="false">IF(OR(L679="",L679=0,N679=""),"",N679/1000/L679)</f>
        <v/>
      </c>
      <c r="T679" s="27"/>
      <c r="U679" s="27"/>
      <c r="V679" s="27"/>
      <c r="W679" s="27"/>
      <c r="X679" s="27"/>
      <c r="Y679" s="27"/>
      <c r="Z679" s="27"/>
      <c r="AA679" s="25"/>
      <c r="AB679" s="27"/>
      <c r="AC679" s="30" t="str">
        <f aca="false">IF(M679="","",IF(AB679="",M679*Parámetros!$B$6,AB679))</f>
        <v/>
      </c>
      <c r="AD679" s="30" t="str">
        <f aca="false">IF(M679="","",SUM(T679:Z679)+AC679)</f>
        <v/>
      </c>
      <c r="AE679" s="30" t="str">
        <f aca="false">IF(OR(M679="",N679=""),"",M679-N679)</f>
        <v/>
      </c>
      <c r="AF679" s="30" t="str">
        <f aca="false">IF(AE679="","",AE679-AD679)</f>
        <v/>
      </c>
      <c r="AG679" s="28" t="str">
        <f aca="false">IF(OR(AF679="",M679=0),"",AF679/M679)</f>
        <v/>
      </c>
      <c r="AH679" s="32" t="str">
        <f aca="false">IF(OR(AE679="",N679=0),"",AE679/(N679/1000))</f>
        <v/>
      </c>
      <c r="AI679" s="30" t="str">
        <f aca="false">IF(O679="","",M679*P679)</f>
        <v/>
      </c>
      <c r="AJ679" s="11" t="str">
        <f aca="false">IF(O679="","",IF(O679&gt;1,"Error: rend &gt; 100 %",IF(SUM(T679:Z679)=0,"Falta registrar pérdidas",IF(ABS(AG679)&gt;Parámetros!$B$7,"Revisar balance",IF(O679&lt;P679,"Bajo meta","OK")))))</f>
        <v/>
      </c>
      <c r="AK679" s="33"/>
      <c r="AL679" s="10"/>
      <c r="AM679" s="33"/>
      <c r="AN679" s="33"/>
      <c r="AO679" s="10"/>
    </row>
    <row r="680" customFormat="false" ht="15" hidden="false" customHeight="false" outlineLevel="0" collapsed="false">
      <c r="A680" s="22"/>
      <c r="B680" s="23" t="str">
        <f aca="false">IF(A680="","",YEAR(A680-WEEKDAY(A680,2)+4))</f>
        <v/>
      </c>
      <c r="C680" s="23" t="str">
        <f aca="false">IF(A680="","",WEEKNUM(A680,21))</f>
        <v/>
      </c>
      <c r="D680" s="24" t="str">
        <f aca="false">IF(A680="","",DATE(YEAR(A680),MONTH(A680),1))</f>
        <v/>
      </c>
      <c r="E680" s="10"/>
      <c r="F680" s="25"/>
      <c r="G680" s="25"/>
      <c r="H680" s="10"/>
      <c r="I680" s="10"/>
      <c r="J680" s="26"/>
      <c r="K680" s="25"/>
      <c r="L680" s="26"/>
      <c r="M680" s="27"/>
      <c r="N680" s="27"/>
      <c r="O680" s="28" t="str">
        <f aca="false">IF(OR(M680="",M680=0,N680=""),"",N680/M680)</f>
        <v/>
      </c>
      <c r="P680" s="28" t="str">
        <f aca="false">IF(M680="","",IFERROR(IF(INDEX(Parámetros!$B$14:$B$21,MATCH(I680,Parámetros!$A$14:$A$21,0))="",Parámetros!$B$5,INDEX(Parámetros!$B$14:$B$21,MATCH(I680,Parámetros!$A$14:$A$21,0))),Parámetros!$B$5))</f>
        <v/>
      </c>
      <c r="Q680" s="29" t="str">
        <f aca="false">IF(O680="","",(O680-P680)*100)</f>
        <v/>
      </c>
      <c r="R680" s="30" t="str">
        <f aca="false">IF(O680="","",MAX(0,M680*(P680-O680)))</f>
        <v/>
      </c>
      <c r="S680" s="31" t="str">
        <f aca="false">IF(OR(L680="",L680=0,N680=""),"",N680/1000/L680)</f>
        <v/>
      </c>
      <c r="T680" s="27"/>
      <c r="U680" s="27"/>
      <c r="V680" s="27"/>
      <c r="W680" s="27"/>
      <c r="X680" s="27"/>
      <c r="Y680" s="27"/>
      <c r="Z680" s="27"/>
      <c r="AA680" s="25"/>
      <c r="AB680" s="27"/>
      <c r="AC680" s="30" t="str">
        <f aca="false">IF(M680="","",IF(AB680="",M680*Parámetros!$B$6,AB680))</f>
        <v/>
      </c>
      <c r="AD680" s="30" t="str">
        <f aca="false">IF(M680="","",SUM(T680:Z680)+AC680)</f>
        <v/>
      </c>
      <c r="AE680" s="30" t="str">
        <f aca="false">IF(OR(M680="",N680=""),"",M680-N680)</f>
        <v/>
      </c>
      <c r="AF680" s="30" t="str">
        <f aca="false">IF(AE680="","",AE680-AD680)</f>
        <v/>
      </c>
      <c r="AG680" s="28" t="str">
        <f aca="false">IF(OR(AF680="",M680=0),"",AF680/M680)</f>
        <v/>
      </c>
      <c r="AH680" s="32" t="str">
        <f aca="false">IF(OR(AE680="",N680=0),"",AE680/(N680/1000))</f>
        <v/>
      </c>
      <c r="AI680" s="30" t="str">
        <f aca="false">IF(O680="","",M680*P680)</f>
        <v/>
      </c>
      <c r="AJ680" s="11" t="str">
        <f aca="false">IF(O680="","",IF(O680&gt;1,"Error: rend &gt; 100 %",IF(SUM(T680:Z680)=0,"Falta registrar pérdidas",IF(ABS(AG680)&gt;Parámetros!$B$7,"Revisar balance",IF(O680&lt;P680,"Bajo meta","OK")))))</f>
        <v/>
      </c>
      <c r="AK680" s="33"/>
      <c r="AL680" s="10"/>
      <c r="AM680" s="33"/>
      <c r="AN680" s="33"/>
      <c r="AO680" s="10"/>
    </row>
    <row r="681" customFormat="false" ht="15" hidden="false" customHeight="false" outlineLevel="0" collapsed="false">
      <c r="A681" s="22"/>
      <c r="B681" s="23" t="str">
        <f aca="false">IF(A681="","",YEAR(A681-WEEKDAY(A681,2)+4))</f>
        <v/>
      </c>
      <c r="C681" s="23" t="str">
        <f aca="false">IF(A681="","",WEEKNUM(A681,21))</f>
        <v/>
      </c>
      <c r="D681" s="24" t="str">
        <f aca="false">IF(A681="","",DATE(YEAR(A681),MONTH(A681),1))</f>
        <v/>
      </c>
      <c r="E681" s="10"/>
      <c r="F681" s="25"/>
      <c r="G681" s="25"/>
      <c r="H681" s="10"/>
      <c r="I681" s="10"/>
      <c r="J681" s="26"/>
      <c r="K681" s="25"/>
      <c r="L681" s="26"/>
      <c r="M681" s="27"/>
      <c r="N681" s="27"/>
      <c r="O681" s="28" t="str">
        <f aca="false">IF(OR(M681="",M681=0,N681=""),"",N681/M681)</f>
        <v/>
      </c>
      <c r="P681" s="28" t="str">
        <f aca="false">IF(M681="","",IFERROR(IF(INDEX(Parámetros!$B$14:$B$21,MATCH(I681,Parámetros!$A$14:$A$21,0))="",Parámetros!$B$5,INDEX(Parámetros!$B$14:$B$21,MATCH(I681,Parámetros!$A$14:$A$21,0))),Parámetros!$B$5))</f>
        <v/>
      </c>
      <c r="Q681" s="29" t="str">
        <f aca="false">IF(O681="","",(O681-P681)*100)</f>
        <v/>
      </c>
      <c r="R681" s="30" t="str">
        <f aca="false">IF(O681="","",MAX(0,M681*(P681-O681)))</f>
        <v/>
      </c>
      <c r="S681" s="31" t="str">
        <f aca="false">IF(OR(L681="",L681=0,N681=""),"",N681/1000/L681)</f>
        <v/>
      </c>
      <c r="T681" s="27"/>
      <c r="U681" s="27"/>
      <c r="V681" s="27"/>
      <c r="W681" s="27"/>
      <c r="X681" s="27"/>
      <c r="Y681" s="27"/>
      <c r="Z681" s="27"/>
      <c r="AA681" s="25"/>
      <c r="AB681" s="27"/>
      <c r="AC681" s="30" t="str">
        <f aca="false">IF(M681="","",IF(AB681="",M681*Parámetros!$B$6,AB681))</f>
        <v/>
      </c>
      <c r="AD681" s="30" t="str">
        <f aca="false">IF(M681="","",SUM(T681:Z681)+AC681)</f>
        <v/>
      </c>
      <c r="AE681" s="30" t="str">
        <f aca="false">IF(OR(M681="",N681=""),"",M681-N681)</f>
        <v/>
      </c>
      <c r="AF681" s="30" t="str">
        <f aca="false">IF(AE681="","",AE681-AD681)</f>
        <v/>
      </c>
      <c r="AG681" s="28" t="str">
        <f aca="false">IF(OR(AF681="",M681=0),"",AF681/M681)</f>
        <v/>
      </c>
      <c r="AH681" s="32" t="str">
        <f aca="false">IF(OR(AE681="",N681=0),"",AE681/(N681/1000))</f>
        <v/>
      </c>
      <c r="AI681" s="30" t="str">
        <f aca="false">IF(O681="","",M681*P681)</f>
        <v/>
      </c>
      <c r="AJ681" s="11" t="str">
        <f aca="false">IF(O681="","",IF(O681&gt;1,"Error: rend &gt; 100 %",IF(SUM(T681:Z681)=0,"Falta registrar pérdidas",IF(ABS(AG681)&gt;Parámetros!$B$7,"Revisar balance",IF(O681&lt;P681,"Bajo meta","OK")))))</f>
        <v/>
      </c>
      <c r="AK681" s="33"/>
      <c r="AL681" s="10"/>
      <c r="AM681" s="33"/>
      <c r="AN681" s="33"/>
      <c r="AO681" s="10"/>
    </row>
    <row r="682" customFormat="false" ht="15" hidden="false" customHeight="false" outlineLevel="0" collapsed="false">
      <c r="A682" s="22"/>
      <c r="B682" s="23" t="str">
        <f aca="false">IF(A682="","",YEAR(A682-WEEKDAY(A682,2)+4))</f>
        <v/>
      </c>
      <c r="C682" s="23" t="str">
        <f aca="false">IF(A682="","",WEEKNUM(A682,21))</f>
        <v/>
      </c>
      <c r="D682" s="24" t="str">
        <f aca="false">IF(A682="","",DATE(YEAR(A682),MONTH(A682),1))</f>
        <v/>
      </c>
      <c r="E682" s="10"/>
      <c r="F682" s="25"/>
      <c r="G682" s="25"/>
      <c r="H682" s="10"/>
      <c r="I682" s="10"/>
      <c r="J682" s="26"/>
      <c r="K682" s="25"/>
      <c r="L682" s="26"/>
      <c r="M682" s="27"/>
      <c r="N682" s="27"/>
      <c r="O682" s="28" t="str">
        <f aca="false">IF(OR(M682="",M682=0,N682=""),"",N682/M682)</f>
        <v/>
      </c>
      <c r="P682" s="28" t="str">
        <f aca="false">IF(M682="","",IFERROR(IF(INDEX(Parámetros!$B$14:$B$21,MATCH(I682,Parámetros!$A$14:$A$21,0))="",Parámetros!$B$5,INDEX(Parámetros!$B$14:$B$21,MATCH(I682,Parámetros!$A$14:$A$21,0))),Parámetros!$B$5))</f>
        <v/>
      </c>
      <c r="Q682" s="29" t="str">
        <f aca="false">IF(O682="","",(O682-P682)*100)</f>
        <v/>
      </c>
      <c r="R682" s="30" t="str">
        <f aca="false">IF(O682="","",MAX(0,M682*(P682-O682)))</f>
        <v/>
      </c>
      <c r="S682" s="31" t="str">
        <f aca="false">IF(OR(L682="",L682=0,N682=""),"",N682/1000/L682)</f>
        <v/>
      </c>
      <c r="T682" s="27"/>
      <c r="U682" s="27"/>
      <c r="V682" s="27"/>
      <c r="W682" s="27"/>
      <c r="X682" s="27"/>
      <c r="Y682" s="27"/>
      <c r="Z682" s="27"/>
      <c r="AA682" s="25"/>
      <c r="AB682" s="27"/>
      <c r="AC682" s="30" t="str">
        <f aca="false">IF(M682="","",IF(AB682="",M682*Parámetros!$B$6,AB682))</f>
        <v/>
      </c>
      <c r="AD682" s="30" t="str">
        <f aca="false">IF(M682="","",SUM(T682:Z682)+AC682)</f>
        <v/>
      </c>
      <c r="AE682" s="30" t="str">
        <f aca="false">IF(OR(M682="",N682=""),"",M682-N682)</f>
        <v/>
      </c>
      <c r="AF682" s="30" t="str">
        <f aca="false">IF(AE682="","",AE682-AD682)</f>
        <v/>
      </c>
      <c r="AG682" s="28" t="str">
        <f aca="false">IF(OR(AF682="",M682=0),"",AF682/M682)</f>
        <v/>
      </c>
      <c r="AH682" s="32" t="str">
        <f aca="false">IF(OR(AE682="",N682=0),"",AE682/(N682/1000))</f>
        <v/>
      </c>
      <c r="AI682" s="30" t="str">
        <f aca="false">IF(O682="","",M682*P682)</f>
        <v/>
      </c>
      <c r="AJ682" s="11" t="str">
        <f aca="false">IF(O682="","",IF(O682&gt;1,"Error: rend &gt; 100 %",IF(SUM(T682:Z682)=0,"Falta registrar pérdidas",IF(ABS(AG682)&gt;Parámetros!$B$7,"Revisar balance",IF(O682&lt;P682,"Bajo meta","OK")))))</f>
        <v/>
      </c>
      <c r="AK682" s="33"/>
      <c r="AL682" s="10"/>
      <c r="AM682" s="33"/>
      <c r="AN682" s="33"/>
      <c r="AO682" s="10"/>
    </row>
    <row r="683" customFormat="false" ht="15" hidden="false" customHeight="false" outlineLevel="0" collapsed="false">
      <c r="A683" s="22"/>
      <c r="B683" s="23" t="str">
        <f aca="false">IF(A683="","",YEAR(A683-WEEKDAY(A683,2)+4))</f>
        <v/>
      </c>
      <c r="C683" s="23" t="str">
        <f aca="false">IF(A683="","",WEEKNUM(A683,21))</f>
        <v/>
      </c>
      <c r="D683" s="24" t="str">
        <f aca="false">IF(A683="","",DATE(YEAR(A683),MONTH(A683),1))</f>
        <v/>
      </c>
      <c r="E683" s="10"/>
      <c r="F683" s="25"/>
      <c r="G683" s="25"/>
      <c r="H683" s="10"/>
      <c r="I683" s="10"/>
      <c r="J683" s="26"/>
      <c r="K683" s="25"/>
      <c r="L683" s="26"/>
      <c r="M683" s="27"/>
      <c r="N683" s="27"/>
      <c r="O683" s="28" t="str">
        <f aca="false">IF(OR(M683="",M683=0,N683=""),"",N683/M683)</f>
        <v/>
      </c>
      <c r="P683" s="28" t="str">
        <f aca="false">IF(M683="","",IFERROR(IF(INDEX(Parámetros!$B$14:$B$21,MATCH(I683,Parámetros!$A$14:$A$21,0))="",Parámetros!$B$5,INDEX(Parámetros!$B$14:$B$21,MATCH(I683,Parámetros!$A$14:$A$21,0))),Parámetros!$B$5))</f>
        <v/>
      </c>
      <c r="Q683" s="29" t="str">
        <f aca="false">IF(O683="","",(O683-P683)*100)</f>
        <v/>
      </c>
      <c r="R683" s="30" t="str">
        <f aca="false">IF(O683="","",MAX(0,M683*(P683-O683)))</f>
        <v/>
      </c>
      <c r="S683" s="31" t="str">
        <f aca="false">IF(OR(L683="",L683=0,N683=""),"",N683/1000/L683)</f>
        <v/>
      </c>
      <c r="T683" s="27"/>
      <c r="U683" s="27"/>
      <c r="V683" s="27"/>
      <c r="W683" s="27"/>
      <c r="X683" s="27"/>
      <c r="Y683" s="27"/>
      <c r="Z683" s="27"/>
      <c r="AA683" s="25"/>
      <c r="AB683" s="27"/>
      <c r="AC683" s="30" t="str">
        <f aca="false">IF(M683="","",IF(AB683="",M683*Parámetros!$B$6,AB683))</f>
        <v/>
      </c>
      <c r="AD683" s="30" t="str">
        <f aca="false">IF(M683="","",SUM(T683:Z683)+AC683)</f>
        <v/>
      </c>
      <c r="AE683" s="30" t="str">
        <f aca="false">IF(OR(M683="",N683=""),"",M683-N683)</f>
        <v/>
      </c>
      <c r="AF683" s="30" t="str">
        <f aca="false">IF(AE683="","",AE683-AD683)</f>
        <v/>
      </c>
      <c r="AG683" s="28" t="str">
        <f aca="false">IF(OR(AF683="",M683=0),"",AF683/M683)</f>
        <v/>
      </c>
      <c r="AH683" s="32" t="str">
        <f aca="false">IF(OR(AE683="",N683=0),"",AE683/(N683/1000))</f>
        <v/>
      </c>
      <c r="AI683" s="30" t="str">
        <f aca="false">IF(O683="","",M683*P683)</f>
        <v/>
      </c>
      <c r="AJ683" s="11" t="str">
        <f aca="false">IF(O683="","",IF(O683&gt;1,"Error: rend &gt; 100 %",IF(SUM(T683:Z683)=0,"Falta registrar pérdidas",IF(ABS(AG683)&gt;Parámetros!$B$7,"Revisar balance",IF(O683&lt;P683,"Bajo meta","OK")))))</f>
        <v/>
      </c>
      <c r="AK683" s="33"/>
      <c r="AL683" s="10"/>
      <c r="AM683" s="33"/>
      <c r="AN683" s="33"/>
      <c r="AO683" s="10"/>
    </row>
    <row r="684" customFormat="false" ht="15" hidden="false" customHeight="false" outlineLevel="0" collapsed="false">
      <c r="A684" s="22"/>
      <c r="B684" s="23" t="str">
        <f aca="false">IF(A684="","",YEAR(A684-WEEKDAY(A684,2)+4))</f>
        <v/>
      </c>
      <c r="C684" s="23" t="str">
        <f aca="false">IF(A684="","",WEEKNUM(A684,21))</f>
        <v/>
      </c>
      <c r="D684" s="24" t="str">
        <f aca="false">IF(A684="","",DATE(YEAR(A684),MONTH(A684),1))</f>
        <v/>
      </c>
      <c r="E684" s="10"/>
      <c r="F684" s="25"/>
      <c r="G684" s="25"/>
      <c r="H684" s="10"/>
      <c r="I684" s="10"/>
      <c r="J684" s="26"/>
      <c r="K684" s="25"/>
      <c r="L684" s="26"/>
      <c r="M684" s="27"/>
      <c r="N684" s="27"/>
      <c r="O684" s="28" t="str">
        <f aca="false">IF(OR(M684="",M684=0,N684=""),"",N684/M684)</f>
        <v/>
      </c>
      <c r="P684" s="28" t="str">
        <f aca="false">IF(M684="","",IFERROR(IF(INDEX(Parámetros!$B$14:$B$21,MATCH(I684,Parámetros!$A$14:$A$21,0))="",Parámetros!$B$5,INDEX(Parámetros!$B$14:$B$21,MATCH(I684,Parámetros!$A$14:$A$21,0))),Parámetros!$B$5))</f>
        <v/>
      </c>
      <c r="Q684" s="29" t="str">
        <f aca="false">IF(O684="","",(O684-P684)*100)</f>
        <v/>
      </c>
      <c r="R684" s="30" t="str">
        <f aca="false">IF(O684="","",MAX(0,M684*(P684-O684)))</f>
        <v/>
      </c>
      <c r="S684" s="31" t="str">
        <f aca="false">IF(OR(L684="",L684=0,N684=""),"",N684/1000/L684)</f>
        <v/>
      </c>
      <c r="T684" s="27"/>
      <c r="U684" s="27"/>
      <c r="V684" s="27"/>
      <c r="W684" s="27"/>
      <c r="X684" s="27"/>
      <c r="Y684" s="27"/>
      <c r="Z684" s="27"/>
      <c r="AA684" s="25"/>
      <c r="AB684" s="27"/>
      <c r="AC684" s="30" t="str">
        <f aca="false">IF(M684="","",IF(AB684="",M684*Parámetros!$B$6,AB684))</f>
        <v/>
      </c>
      <c r="AD684" s="30" t="str">
        <f aca="false">IF(M684="","",SUM(T684:Z684)+AC684)</f>
        <v/>
      </c>
      <c r="AE684" s="30" t="str">
        <f aca="false">IF(OR(M684="",N684=""),"",M684-N684)</f>
        <v/>
      </c>
      <c r="AF684" s="30" t="str">
        <f aca="false">IF(AE684="","",AE684-AD684)</f>
        <v/>
      </c>
      <c r="AG684" s="28" t="str">
        <f aca="false">IF(OR(AF684="",M684=0),"",AF684/M684)</f>
        <v/>
      </c>
      <c r="AH684" s="32" t="str">
        <f aca="false">IF(OR(AE684="",N684=0),"",AE684/(N684/1000))</f>
        <v/>
      </c>
      <c r="AI684" s="30" t="str">
        <f aca="false">IF(O684="","",M684*P684)</f>
        <v/>
      </c>
      <c r="AJ684" s="11" t="str">
        <f aca="false">IF(O684="","",IF(O684&gt;1,"Error: rend &gt; 100 %",IF(SUM(T684:Z684)=0,"Falta registrar pérdidas",IF(ABS(AG684)&gt;Parámetros!$B$7,"Revisar balance",IF(O684&lt;P684,"Bajo meta","OK")))))</f>
        <v/>
      </c>
      <c r="AK684" s="33"/>
      <c r="AL684" s="10"/>
      <c r="AM684" s="33"/>
      <c r="AN684" s="33"/>
      <c r="AO684" s="10"/>
    </row>
    <row r="685" customFormat="false" ht="15" hidden="false" customHeight="false" outlineLevel="0" collapsed="false">
      <c r="A685" s="22"/>
      <c r="B685" s="23" t="str">
        <f aca="false">IF(A685="","",YEAR(A685-WEEKDAY(A685,2)+4))</f>
        <v/>
      </c>
      <c r="C685" s="23" t="str">
        <f aca="false">IF(A685="","",WEEKNUM(A685,21))</f>
        <v/>
      </c>
      <c r="D685" s="24" t="str">
        <f aca="false">IF(A685="","",DATE(YEAR(A685),MONTH(A685),1))</f>
        <v/>
      </c>
      <c r="E685" s="10"/>
      <c r="F685" s="25"/>
      <c r="G685" s="25"/>
      <c r="H685" s="10"/>
      <c r="I685" s="10"/>
      <c r="J685" s="26"/>
      <c r="K685" s="25"/>
      <c r="L685" s="26"/>
      <c r="M685" s="27"/>
      <c r="N685" s="27"/>
      <c r="O685" s="28" t="str">
        <f aca="false">IF(OR(M685="",M685=0,N685=""),"",N685/M685)</f>
        <v/>
      </c>
      <c r="P685" s="28" t="str">
        <f aca="false">IF(M685="","",IFERROR(IF(INDEX(Parámetros!$B$14:$B$21,MATCH(I685,Parámetros!$A$14:$A$21,0))="",Parámetros!$B$5,INDEX(Parámetros!$B$14:$B$21,MATCH(I685,Parámetros!$A$14:$A$21,0))),Parámetros!$B$5))</f>
        <v/>
      </c>
      <c r="Q685" s="29" t="str">
        <f aca="false">IF(O685="","",(O685-P685)*100)</f>
        <v/>
      </c>
      <c r="R685" s="30" t="str">
        <f aca="false">IF(O685="","",MAX(0,M685*(P685-O685)))</f>
        <v/>
      </c>
      <c r="S685" s="31" t="str">
        <f aca="false">IF(OR(L685="",L685=0,N685=""),"",N685/1000/L685)</f>
        <v/>
      </c>
      <c r="T685" s="27"/>
      <c r="U685" s="27"/>
      <c r="V685" s="27"/>
      <c r="W685" s="27"/>
      <c r="X685" s="27"/>
      <c r="Y685" s="27"/>
      <c r="Z685" s="27"/>
      <c r="AA685" s="25"/>
      <c r="AB685" s="27"/>
      <c r="AC685" s="30" t="str">
        <f aca="false">IF(M685="","",IF(AB685="",M685*Parámetros!$B$6,AB685))</f>
        <v/>
      </c>
      <c r="AD685" s="30" t="str">
        <f aca="false">IF(M685="","",SUM(T685:Z685)+AC685)</f>
        <v/>
      </c>
      <c r="AE685" s="30" t="str">
        <f aca="false">IF(OR(M685="",N685=""),"",M685-N685)</f>
        <v/>
      </c>
      <c r="AF685" s="30" t="str">
        <f aca="false">IF(AE685="","",AE685-AD685)</f>
        <v/>
      </c>
      <c r="AG685" s="28" t="str">
        <f aca="false">IF(OR(AF685="",M685=0),"",AF685/M685)</f>
        <v/>
      </c>
      <c r="AH685" s="32" t="str">
        <f aca="false">IF(OR(AE685="",N685=0),"",AE685/(N685/1000))</f>
        <v/>
      </c>
      <c r="AI685" s="30" t="str">
        <f aca="false">IF(O685="","",M685*P685)</f>
        <v/>
      </c>
      <c r="AJ685" s="11" t="str">
        <f aca="false">IF(O685="","",IF(O685&gt;1,"Error: rend &gt; 100 %",IF(SUM(T685:Z685)=0,"Falta registrar pérdidas",IF(ABS(AG685)&gt;Parámetros!$B$7,"Revisar balance",IF(O685&lt;P685,"Bajo meta","OK")))))</f>
        <v/>
      </c>
      <c r="AK685" s="33"/>
      <c r="AL685" s="10"/>
      <c r="AM685" s="33"/>
      <c r="AN685" s="33"/>
      <c r="AO685" s="10"/>
    </row>
    <row r="686" customFormat="false" ht="15" hidden="false" customHeight="false" outlineLevel="0" collapsed="false">
      <c r="A686" s="22"/>
      <c r="B686" s="23" t="str">
        <f aca="false">IF(A686="","",YEAR(A686-WEEKDAY(A686,2)+4))</f>
        <v/>
      </c>
      <c r="C686" s="23" t="str">
        <f aca="false">IF(A686="","",WEEKNUM(A686,21))</f>
        <v/>
      </c>
      <c r="D686" s="24" t="str">
        <f aca="false">IF(A686="","",DATE(YEAR(A686),MONTH(A686),1))</f>
        <v/>
      </c>
      <c r="E686" s="10"/>
      <c r="F686" s="25"/>
      <c r="G686" s="25"/>
      <c r="H686" s="10"/>
      <c r="I686" s="10"/>
      <c r="J686" s="26"/>
      <c r="K686" s="25"/>
      <c r="L686" s="26"/>
      <c r="M686" s="27"/>
      <c r="N686" s="27"/>
      <c r="O686" s="28" t="str">
        <f aca="false">IF(OR(M686="",M686=0,N686=""),"",N686/M686)</f>
        <v/>
      </c>
      <c r="P686" s="28" t="str">
        <f aca="false">IF(M686="","",IFERROR(IF(INDEX(Parámetros!$B$14:$B$21,MATCH(I686,Parámetros!$A$14:$A$21,0))="",Parámetros!$B$5,INDEX(Parámetros!$B$14:$B$21,MATCH(I686,Parámetros!$A$14:$A$21,0))),Parámetros!$B$5))</f>
        <v/>
      </c>
      <c r="Q686" s="29" t="str">
        <f aca="false">IF(O686="","",(O686-P686)*100)</f>
        <v/>
      </c>
      <c r="R686" s="30" t="str">
        <f aca="false">IF(O686="","",MAX(0,M686*(P686-O686)))</f>
        <v/>
      </c>
      <c r="S686" s="31" t="str">
        <f aca="false">IF(OR(L686="",L686=0,N686=""),"",N686/1000/L686)</f>
        <v/>
      </c>
      <c r="T686" s="27"/>
      <c r="U686" s="27"/>
      <c r="V686" s="27"/>
      <c r="W686" s="27"/>
      <c r="X686" s="27"/>
      <c r="Y686" s="27"/>
      <c r="Z686" s="27"/>
      <c r="AA686" s="25"/>
      <c r="AB686" s="27"/>
      <c r="AC686" s="30" t="str">
        <f aca="false">IF(M686="","",IF(AB686="",M686*Parámetros!$B$6,AB686))</f>
        <v/>
      </c>
      <c r="AD686" s="30" t="str">
        <f aca="false">IF(M686="","",SUM(T686:Z686)+AC686)</f>
        <v/>
      </c>
      <c r="AE686" s="30" t="str">
        <f aca="false">IF(OR(M686="",N686=""),"",M686-N686)</f>
        <v/>
      </c>
      <c r="AF686" s="30" t="str">
        <f aca="false">IF(AE686="","",AE686-AD686)</f>
        <v/>
      </c>
      <c r="AG686" s="28" t="str">
        <f aca="false">IF(OR(AF686="",M686=0),"",AF686/M686)</f>
        <v/>
      </c>
      <c r="AH686" s="32" t="str">
        <f aca="false">IF(OR(AE686="",N686=0),"",AE686/(N686/1000))</f>
        <v/>
      </c>
      <c r="AI686" s="30" t="str">
        <f aca="false">IF(O686="","",M686*P686)</f>
        <v/>
      </c>
      <c r="AJ686" s="11" t="str">
        <f aca="false">IF(O686="","",IF(O686&gt;1,"Error: rend &gt; 100 %",IF(SUM(T686:Z686)=0,"Falta registrar pérdidas",IF(ABS(AG686)&gt;Parámetros!$B$7,"Revisar balance",IF(O686&lt;P686,"Bajo meta","OK")))))</f>
        <v/>
      </c>
      <c r="AK686" s="33"/>
      <c r="AL686" s="10"/>
      <c r="AM686" s="33"/>
      <c r="AN686" s="33"/>
      <c r="AO686" s="10"/>
    </row>
    <row r="687" customFormat="false" ht="15" hidden="false" customHeight="false" outlineLevel="0" collapsed="false">
      <c r="A687" s="22"/>
      <c r="B687" s="23" t="str">
        <f aca="false">IF(A687="","",YEAR(A687-WEEKDAY(A687,2)+4))</f>
        <v/>
      </c>
      <c r="C687" s="23" t="str">
        <f aca="false">IF(A687="","",WEEKNUM(A687,21))</f>
        <v/>
      </c>
      <c r="D687" s="24" t="str">
        <f aca="false">IF(A687="","",DATE(YEAR(A687),MONTH(A687),1))</f>
        <v/>
      </c>
      <c r="E687" s="10"/>
      <c r="F687" s="25"/>
      <c r="G687" s="25"/>
      <c r="H687" s="10"/>
      <c r="I687" s="10"/>
      <c r="J687" s="26"/>
      <c r="K687" s="25"/>
      <c r="L687" s="26"/>
      <c r="M687" s="27"/>
      <c r="N687" s="27"/>
      <c r="O687" s="28" t="str">
        <f aca="false">IF(OR(M687="",M687=0,N687=""),"",N687/M687)</f>
        <v/>
      </c>
      <c r="P687" s="28" t="str">
        <f aca="false">IF(M687="","",IFERROR(IF(INDEX(Parámetros!$B$14:$B$21,MATCH(I687,Parámetros!$A$14:$A$21,0))="",Parámetros!$B$5,INDEX(Parámetros!$B$14:$B$21,MATCH(I687,Parámetros!$A$14:$A$21,0))),Parámetros!$B$5))</f>
        <v/>
      </c>
      <c r="Q687" s="29" t="str">
        <f aca="false">IF(O687="","",(O687-P687)*100)</f>
        <v/>
      </c>
      <c r="R687" s="30" t="str">
        <f aca="false">IF(O687="","",MAX(0,M687*(P687-O687)))</f>
        <v/>
      </c>
      <c r="S687" s="31" t="str">
        <f aca="false">IF(OR(L687="",L687=0,N687=""),"",N687/1000/L687)</f>
        <v/>
      </c>
      <c r="T687" s="27"/>
      <c r="U687" s="27"/>
      <c r="V687" s="27"/>
      <c r="W687" s="27"/>
      <c r="X687" s="27"/>
      <c r="Y687" s="27"/>
      <c r="Z687" s="27"/>
      <c r="AA687" s="25"/>
      <c r="AB687" s="27"/>
      <c r="AC687" s="30" t="str">
        <f aca="false">IF(M687="","",IF(AB687="",M687*Parámetros!$B$6,AB687))</f>
        <v/>
      </c>
      <c r="AD687" s="30" t="str">
        <f aca="false">IF(M687="","",SUM(T687:Z687)+AC687)</f>
        <v/>
      </c>
      <c r="AE687" s="30" t="str">
        <f aca="false">IF(OR(M687="",N687=""),"",M687-N687)</f>
        <v/>
      </c>
      <c r="AF687" s="30" t="str">
        <f aca="false">IF(AE687="","",AE687-AD687)</f>
        <v/>
      </c>
      <c r="AG687" s="28" t="str">
        <f aca="false">IF(OR(AF687="",M687=0),"",AF687/M687)</f>
        <v/>
      </c>
      <c r="AH687" s="32" t="str">
        <f aca="false">IF(OR(AE687="",N687=0),"",AE687/(N687/1000))</f>
        <v/>
      </c>
      <c r="AI687" s="30" t="str">
        <f aca="false">IF(O687="","",M687*P687)</f>
        <v/>
      </c>
      <c r="AJ687" s="11" t="str">
        <f aca="false">IF(O687="","",IF(O687&gt;1,"Error: rend &gt; 100 %",IF(SUM(T687:Z687)=0,"Falta registrar pérdidas",IF(ABS(AG687)&gt;Parámetros!$B$7,"Revisar balance",IF(O687&lt;P687,"Bajo meta","OK")))))</f>
        <v/>
      </c>
      <c r="AK687" s="33"/>
      <c r="AL687" s="10"/>
      <c r="AM687" s="33"/>
      <c r="AN687" s="33"/>
      <c r="AO687" s="10"/>
    </row>
    <row r="688" customFormat="false" ht="15" hidden="false" customHeight="false" outlineLevel="0" collapsed="false">
      <c r="A688" s="22"/>
      <c r="B688" s="23" t="str">
        <f aca="false">IF(A688="","",YEAR(A688-WEEKDAY(A688,2)+4))</f>
        <v/>
      </c>
      <c r="C688" s="23" t="str">
        <f aca="false">IF(A688="","",WEEKNUM(A688,21))</f>
        <v/>
      </c>
      <c r="D688" s="24" t="str">
        <f aca="false">IF(A688="","",DATE(YEAR(A688),MONTH(A688),1))</f>
        <v/>
      </c>
      <c r="E688" s="10"/>
      <c r="F688" s="25"/>
      <c r="G688" s="25"/>
      <c r="H688" s="10"/>
      <c r="I688" s="10"/>
      <c r="J688" s="26"/>
      <c r="K688" s="25"/>
      <c r="L688" s="26"/>
      <c r="M688" s="27"/>
      <c r="N688" s="27"/>
      <c r="O688" s="28" t="str">
        <f aca="false">IF(OR(M688="",M688=0,N688=""),"",N688/M688)</f>
        <v/>
      </c>
      <c r="P688" s="28" t="str">
        <f aca="false">IF(M688="","",IFERROR(IF(INDEX(Parámetros!$B$14:$B$21,MATCH(I688,Parámetros!$A$14:$A$21,0))="",Parámetros!$B$5,INDEX(Parámetros!$B$14:$B$21,MATCH(I688,Parámetros!$A$14:$A$21,0))),Parámetros!$B$5))</f>
        <v/>
      </c>
      <c r="Q688" s="29" t="str">
        <f aca="false">IF(O688="","",(O688-P688)*100)</f>
        <v/>
      </c>
      <c r="R688" s="30" t="str">
        <f aca="false">IF(O688="","",MAX(0,M688*(P688-O688)))</f>
        <v/>
      </c>
      <c r="S688" s="31" t="str">
        <f aca="false">IF(OR(L688="",L688=0,N688=""),"",N688/1000/L688)</f>
        <v/>
      </c>
      <c r="T688" s="27"/>
      <c r="U688" s="27"/>
      <c r="V688" s="27"/>
      <c r="W688" s="27"/>
      <c r="X688" s="27"/>
      <c r="Y688" s="27"/>
      <c r="Z688" s="27"/>
      <c r="AA688" s="25"/>
      <c r="AB688" s="27"/>
      <c r="AC688" s="30" t="str">
        <f aca="false">IF(M688="","",IF(AB688="",M688*Parámetros!$B$6,AB688))</f>
        <v/>
      </c>
      <c r="AD688" s="30" t="str">
        <f aca="false">IF(M688="","",SUM(T688:Z688)+AC688)</f>
        <v/>
      </c>
      <c r="AE688" s="30" t="str">
        <f aca="false">IF(OR(M688="",N688=""),"",M688-N688)</f>
        <v/>
      </c>
      <c r="AF688" s="30" t="str">
        <f aca="false">IF(AE688="","",AE688-AD688)</f>
        <v/>
      </c>
      <c r="AG688" s="28" t="str">
        <f aca="false">IF(OR(AF688="",M688=0),"",AF688/M688)</f>
        <v/>
      </c>
      <c r="AH688" s="32" t="str">
        <f aca="false">IF(OR(AE688="",N688=0),"",AE688/(N688/1000))</f>
        <v/>
      </c>
      <c r="AI688" s="30" t="str">
        <f aca="false">IF(O688="","",M688*P688)</f>
        <v/>
      </c>
      <c r="AJ688" s="11" t="str">
        <f aca="false">IF(O688="","",IF(O688&gt;1,"Error: rend &gt; 100 %",IF(SUM(T688:Z688)=0,"Falta registrar pérdidas",IF(ABS(AG688)&gt;Parámetros!$B$7,"Revisar balance",IF(O688&lt;P688,"Bajo meta","OK")))))</f>
        <v/>
      </c>
      <c r="AK688" s="33"/>
      <c r="AL688" s="10"/>
      <c r="AM688" s="33"/>
      <c r="AN688" s="33"/>
      <c r="AO688" s="10"/>
    </row>
    <row r="689" customFormat="false" ht="15" hidden="false" customHeight="false" outlineLevel="0" collapsed="false">
      <c r="A689" s="22"/>
      <c r="B689" s="23" t="str">
        <f aca="false">IF(A689="","",YEAR(A689-WEEKDAY(A689,2)+4))</f>
        <v/>
      </c>
      <c r="C689" s="23" t="str">
        <f aca="false">IF(A689="","",WEEKNUM(A689,21))</f>
        <v/>
      </c>
      <c r="D689" s="24" t="str">
        <f aca="false">IF(A689="","",DATE(YEAR(A689),MONTH(A689),1))</f>
        <v/>
      </c>
      <c r="E689" s="10"/>
      <c r="F689" s="25"/>
      <c r="G689" s="25"/>
      <c r="H689" s="10"/>
      <c r="I689" s="10"/>
      <c r="J689" s="26"/>
      <c r="K689" s="25"/>
      <c r="L689" s="26"/>
      <c r="M689" s="27"/>
      <c r="N689" s="27"/>
      <c r="O689" s="28" t="str">
        <f aca="false">IF(OR(M689="",M689=0,N689=""),"",N689/M689)</f>
        <v/>
      </c>
      <c r="P689" s="28" t="str">
        <f aca="false">IF(M689="","",IFERROR(IF(INDEX(Parámetros!$B$14:$B$21,MATCH(I689,Parámetros!$A$14:$A$21,0))="",Parámetros!$B$5,INDEX(Parámetros!$B$14:$B$21,MATCH(I689,Parámetros!$A$14:$A$21,0))),Parámetros!$B$5))</f>
        <v/>
      </c>
      <c r="Q689" s="29" t="str">
        <f aca="false">IF(O689="","",(O689-P689)*100)</f>
        <v/>
      </c>
      <c r="R689" s="30" t="str">
        <f aca="false">IF(O689="","",MAX(0,M689*(P689-O689)))</f>
        <v/>
      </c>
      <c r="S689" s="31" t="str">
        <f aca="false">IF(OR(L689="",L689=0,N689=""),"",N689/1000/L689)</f>
        <v/>
      </c>
      <c r="T689" s="27"/>
      <c r="U689" s="27"/>
      <c r="V689" s="27"/>
      <c r="W689" s="27"/>
      <c r="X689" s="27"/>
      <c r="Y689" s="27"/>
      <c r="Z689" s="27"/>
      <c r="AA689" s="25"/>
      <c r="AB689" s="27"/>
      <c r="AC689" s="30" t="str">
        <f aca="false">IF(M689="","",IF(AB689="",M689*Parámetros!$B$6,AB689))</f>
        <v/>
      </c>
      <c r="AD689" s="30" t="str">
        <f aca="false">IF(M689="","",SUM(T689:Z689)+AC689)</f>
        <v/>
      </c>
      <c r="AE689" s="30" t="str">
        <f aca="false">IF(OR(M689="",N689=""),"",M689-N689)</f>
        <v/>
      </c>
      <c r="AF689" s="30" t="str">
        <f aca="false">IF(AE689="","",AE689-AD689)</f>
        <v/>
      </c>
      <c r="AG689" s="28" t="str">
        <f aca="false">IF(OR(AF689="",M689=0),"",AF689/M689)</f>
        <v/>
      </c>
      <c r="AH689" s="32" t="str">
        <f aca="false">IF(OR(AE689="",N689=0),"",AE689/(N689/1000))</f>
        <v/>
      </c>
      <c r="AI689" s="30" t="str">
        <f aca="false">IF(O689="","",M689*P689)</f>
        <v/>
      </c>
      <c r="AJ689" s="11" t="str">
        <f aca="false">IF(O689="","",IF(O689&gt;1,"Error: rend &gt; 100 %",IF(SUM(T689:Z689)=0,"Falta registrar pérdidas",IF(ABS(AG689)&gt;Parámetros!$B$7,"Revisar balance",IF(O689&lt;P689,"Bajo meta","OK")))))</f>
        <v/>
      </c>
      <c r="AK689" s="33"/>
      <c r="AL689" s="10"/>
      <c r="AM689" s="33"/>
      <c r="AN689" s="33"/>
      <c r="AO689" s="10"/>
    </row>
    <row r="690" customFormat="false" ht="15" hidden="false" customHeight="false" outlineLevel="0" collapsed="false">
      <c r="A690" s="22"/>
      <c r="B690" s="23" t="str">
        <f aca="false">IF(A690="","",YEAR(A690-WEEKDAY(A690,2)+4))</f>
        <v/>
      </c>
      <c r="C690" s="23" t="str">
        <f aca="false">IF(A690="","",WEEKNUM(A690,21))</f>
        <v/>
      </c>
      <c r="D690" s="24" t="str">
        <f aca="false">IF(A690="","",DATE(YEAR(A690),MONTH(A690),1))</f>
        <v/>
      </c>
      <c r="E690" s="10"/>
      <c r="F690" s="25"/>
      <c r="G690" s="25"/>
      <c r="H690" s="10"/>
      <c r="I690" s="10"/>
      <c r="J690" s="26"/>
      <c r="K690" s="25"/>
      <c r="L690" s="26"/>
      <c r="M690" s="27"/>
      <c r="N690" s="27"/>
      <c r="O690" s="28" t="str">
        <f aca="false">IF(OR(M690="",M690=0,N690=""),"",N690/M690)</f>
        <v/>
      </c>
      <c r="P690" s="28" t="str">
        <f aca="false">IF(M690="","",IFERROR(IF(INDEX(Parámetros!$B$14:$B$21,MATCH(I690,Parámetros!$A$14:$A$21,0))="",Parámetros!$B$5,INDEX(Parámetros!$B$14:$B$21,MATCH(I690,Parámetros!$A$14:$A$21,0))),Parámetros!$B$5))</f>
        <v/>
      </c>
      <c r="Q690" s="29" t="str">
        <f aca="false">IF(O690="","",(O690-P690)*100)</f>
        <v/>
      </c>
      <c r="R690" s="30" t="str">
        <f aca="false">IF(O690="","",MAX(0,M690*(P690-O690)))</f>
        <v/>
      </c>
      <c r="S690" s="31" t="str">
        <f aca="false">IF(OR(L690="",L690=0,N690=""),"",N690/1000/L690)</f>
        <v/>
      </c>
      <c r="T690" s="27"/>
      <c r="U690" s="27"/>
      <c r="V690" s="27"/>
      <c r="W690" s="27"/>
      <c r="X690" s="27"/>
      <c r="Y690" s="27"/>
      <c r="Z690" s="27"/>
      <c r="AA690" s="25"/>
      <c r="AB690" s="27"/>
      <c r="AC690" s="30" t="str">
        <f aca="false">IF(M690="","",IF(AB690="",M690*Parámetros!$B$6,AB690))</f>
        <v/>
      </c>
      <c r="AD690" s="30" t="str">
        <f aca="false">IF(M690="","",SUM(T690:Z690)+AC690)</f>
        <v/>
      </c>
      <c r="AE690" s="30" t="str">
        <f aca="false">IF(OR(M690="",N690=""),"",M690-N690)</f>
        <v/>
      </c>
      <c r="AF690" s="30" t="str">
        <f aca="false">IF(AE690="","",AE690-AD690)</f>
        <v/>
      </c>
      <c r="AG690" s="28" t="str">
        <f aca="false">IF(OR(AF690="",M690=0),"",AF690/M690)</f>
        <v/>
      </c>
      <c r="AH690" s="32" t="str">
        <f aca="false">IF(OR(AE690="",N690=0),"",AE690/(N690/1000))</f>
        <v/>
      </c>
      <c r="AI690" s="30" t="str">
        <f aca="false">IF(O690="","",M690*P690)</f>
        <v/>
      </c>
      <c r="AJ690" s="11" t="str">
        <f aca="false">IF(O690="","",IF(O690&gt;1,"Error: rend &gt; 100 %",IF(SUM(T690:Z690)=0,"Falta registrar pérdidas",IF(ABS(AG690)&gt;Parámetros!$B$7,"Revisar balance",IF(O690&lt;P690,"Bajo meta","OK")))))</f>
        <v/>
      </c>
      <c r="AK690" s="33"/>
      <c r="AL690" s="10"/>
      <c r="AM690" s="33"/>
      <c r="AN690" s="33"/>
      <c r="AO690" s="10"/>
    </row>
    <row r="691" customFormat="false" ht="15" hidden="false" customHeight="false" outlineLevel="0" collapsed="false">
      <c r="A691" s="22"/>
      <c r="B691" s="23" t="str">
        <f aca="false">IF(A691="","",YEAR(A691-WEEKDAY(A691,2)+4))</f>
        <v/>
      </c>
      <c r="C691" s="23" t="str">
        <f aca="false">IF(A691="","",WEEKNUM(A691,21))</f>
        <v/>
      </c>
      <c r="D691" s="24" t="str">
        <f aca="false">IF(A691="","",DATE(YEAR(A691),MONTH(A691),1))</f>
        <v/>
      </c>
      <c r="E691" s="10"/>
      <c r="F691" s="25"/>
      <c r="G691" s="25"/>
      <c r="H691" s="10"/>
      <c r="I691" s="10"/>
      <c r="J691" s="26"/>
      <c r="K691" s="25"/>
      <c r="L691" s="26"/>
      <c r="M691" s="27"/>
      <c r="N691" s="27"/>
      <c r="O691" s="28" t="str">
        <f aca="false">IF(OR(M691="",M691=0,N691=""),"",N691/M691)</f>
        <v/>
      </c>
      <c r="P691" s="28" t="str">
        <f aca="false">IF(M691="","",IFERROR(IF(INDEX(Parámetros!$B$14:$B$21,MATCH(I691,Parámetros!$A$14:$A$21,0))="",Parámetros!$B$5,INDEX(Parámetros!$B$14:$B$21,MATCH(I691,Parámetros!$A$14:$A$21,0))),Parámetros!$B$5))</f>
        <v/>
      </c>
      <c r="Q691" s="29" t="str">
        <f aca="false">IF(O691="","",(O691-P691)*100)</f>
        <v/>
      </c>
      <c r="R691" s="30" t="str">
        <f aca="false">IF(O691="","",MAX(0,M691*(P691-O691)))</f>
        <v/>
      </c>
      <c r="S691" s="31" t="str">
        <f aca="false">IF(OR(L691="",L691=0,N691=""),"",N691/1000/L691)</f>
        <v/>
      </c>
      <c r="T691" s="27"/>
      <c r="U691" s="27"/>
      <c r="V691" s="27"/>
      <c r="W691" s="27"/>
      <c r="X691" s="27"/>
      <c r="Y691" s="27"/>
      <c r="Z691" s="27"/>
      <c r="AA691" s="25"/>
      <c r="AB691" s="27"/>
      <c r="AC691" s="30" t="str">
        <f aca="false">IF(M691="","",IF(AB691="",M691*Parámetros!$B$6,AB691))</f>
        <v/>
      </c>
      <c r="AD691" s="30" t="str">
        <f aca="false">IF(M691="","",SUM(T691:Z691)+AC691)</f>
        <v/>
      </c>
      <c r="AE691" s="30" t="str">
        <f aca="false">IF(OR(M691="",N691=""),"",M691-N691)</f>
        <v/>
      </c>
      <c r="AF691" s="30" t="str">
        <f aca="false">IF(AE691="","",AE691-AD691)</f>
        <v/>
      </c>
      <c r="AG691" s="28" t="str">
        <f aca="false">IF(OR(AF691="",M691=0),"",AF691/M691)</f>
        <v/>
      </c>
      <c r="AH691" s="32" t="str">
        <f aca="false">IF(OR(AE691="",N691=0),"",AE691/(N691/1000))</f>
        <v/>
      </c>
      <c r="AI691" s="30" t="str">
        <f aca="false">IF(O691="","",M691*P691)</f>
        <v/>
      </c>
      <c r="AJ691" s="11" t="str">
        <f aca="false">IF(O691="","",IF(O691&gt;1,"Error: rend &gt; 100 %",IF(SUM(T691:Z691)=0,"Falta registrar pérdidas",IF(ABS(AG691)&gt;Parámetros!$B$7,"Revisar balance",IF(O691&lt;P691,"Bajo meta","OK")))))</f>
        <v/>
      </c>
      <c r="AK691" s="33"/>
      <c r="AL691" s="10"/>
      <c r="AM691" s="33"/>
      <c r="AN691" s="33"/>
      <c r="AO691" s="10"/>
    </row>
    <row r="692" customFormat="false" ht="15" hidden="false" customHeight="false" outlineLevel="0" collapsed="false">
      <c r="A692" s="22"/>
      <c r="B692" s="23" t="str">
        <f aca="false">IF(A692="","",YEAR(A692-WEEKDAY(A692,2)+4))</f>
        <v/>
      </c>
      <c r="C692" s="23" t="str">
        <f aca="false">IF(A692="","",WEEKNUM(A692,21))</f>
        <v/>
      </c>
      <c r="D692" s="24" t="str">
        <f aca="false">IF(A692="","",DATE(YEAR(A692),MONTH(A692),1))</f>
        <v/>
      </c>
      <c r="E692" s="10"/>
      <c r="F692" s="25"/>
      <c r="G692" s="25"/>
      <c r="H692" s="10"/>
      <c r="I692" s="10"/>
      <c r="J692" s="26"/>
      <c r="K692" s="25"/>
      <c r="L692" s="26"/>
      <c r="M692" s="27"/>
      <c r="N692" s="27"/>
      <c r="O692" s="28" t="str">
        <f aca="false">IF(OR(M692="",M692=0,N692=""),"",N692/M692)</f>
        <v/>
      </c>
      <c r="P692" s="28" t="str">
        <f aca="false">IF(M692="","",IFERROR(IF(INDEX(Parámetros!$B$14:$B$21,MATCH(I692,Parámetros!$A$14:$A$21,0))="",Parámetros!$B$5,INDEX(Parámetros!$B$14:$B$21,MATCH(I692,Parámetros!$A$14:$A$21,0))),Parámetros!$B$5))</f>
        <v/>
      </c>
      <c r="Q692" s="29" t="str">
        <f aca="false">IF(O692="","",(O692-P692)*100)</f>
        <v/>
      </c>
      <c r="R692" s="30" t="str">
        <f aca="false">IF(O692="","",MAX(0,M692*(P692-O692)))</f>
        <v/>
      </c>
      <c r="S692" s="31" t="str">
        <f aca="false">IF(OR(L692="",L692=0,N692=""),"",N692/1000/L692)</f>
        <v/>
      </c>
      <c r="T692" s="27"/>
      <c r="U692" s="27"/>
      <c r="V692" s="27"/>
      <c r="W692" s="27"/>
      <c r="X692" s="27"/>
      <c r="Y692" s="27"/>
      <c r="Z692" s="27"/>
      <c r="AA692" s="25"/>
      <c r="AB692" s="27"/>
      <c r="AC692" s="30" t="str">
        <f aca="false">IF(M692="","",IF(AB692="",M692*Parámetros!$B$6,AB692))</f>
        <v/>
      </c>
      <c r="AD692" s="30" t="str">
        <f aca="false">IF(M692="","",SUM(T692:Z692)+AC692)</f>
        <v/>
      </c>
      <c r="AE692" s="30" t="str">
        <f aca="false">IF(OR(M692="",N692=""),"",M692-N692)</f>
        <v/>
      </c>
      <c r="AF692" s="30" t="str">
        <f aca="false">IF(AE692="","",AE692-AD692)</f>
        <v/>
      </c>
      <c r="AG692" s="28" t="str">
        <f aca="false">IF(OR(AF692="",M692=0),"",AF692/M692)</f>
        <v/>
      </c>
      <c r="AH692" s="32" t="str">
        <f aca="false">IF(OR(AE692="",N692=0),"",AE692/(N692/1000))</f>
        <v/>
      </c>
      <c r="AI692" s="30" t="str">
        <f aca="false">IF(O692="","",M692*P692)</f>
        <v/>
      </c>
      <c r="AJ692" s="11" t="str">
        <f aca="false">IF(O692="","",IF(O692&gt;1,"Error: rend &gt; 100 %",IF(SUM(T692:Z692)=0,"Falta registrar pérdidas",IF(ABS(AG692)&gt;Parámetros!$B$7,"Revisar balance",IF(O692&lt;P692,"Bajo meta","OK")))))</f>
        <v/>
      </c>
      <c r="AK692" s="33"/>
      <c r="AL692" s="10"/>
      <c r="AM692" s="33"/>
      <c r="AN692" s="33"/>
      <c r="AO692" s="10"/>
    </row>
    <row r="693" customFormat="false" ht="15" hidden="false" customHeight="false" outlineLevel="0" collapsed="false">
      <c r="A693" s="22"/>
      <c r="B693" s="23" t="str">
        <f aca="false">IF(A693="","",YEAR(A693-WEEKDAY(A693,2)+4))</f>
        <v/>
      </c>
      <c r="C693" s="23" t="str">
        <f aca="false">IF(A693="","",WEEKNUM(A693,21))</f>
        <v/>
      </c>
      <c r="D693" s="24" t="str">
        <f aca="false">IF(A693="","",DATE(YEAR(A693),MONTH(A693),1))</f>
        <v/>
      </c>
      <c r="E693" s="10"/>
      <c r="F693" s="25"/>
      <c r="G693" s="25"/>
      <c r="H693" s="10"/>
      <c r="I693" s="10"/>
      <c r="J693" s="26"/>
      <c r="K693" s="25"/>
      <c r="L693" s="26"/>
      <c r="M693" s="27"/>
      <c r="N693" s="27"/>
      <c r="O693" s="28" t="str">
        <f aca="false">IF(OR(M693="",M693=0,N693=""),"",N693/M693)</f>
        <v/>
      </c>
      <c r="P693" s="28" t="str">
        <f aca="false">IF(M693="","",IFERROR(IF(INDEX(Parámetros!$B$14:$B$21,MATCH(I693,Parámetros!$A$14:$A$21,0))="",Parámetros!$B$5,INDEX(Parámetros!$B$14:$B$21,MATCH(I693,Parámetros!$A$14:$A$21,0))),Parámetros!$B$5))</f>
        <v/>
      </c>
      <c r="Q693" s="29" t="str">
        <f aca="false">IF(O693="","",(O693-P693)*100)</f>
        <v/>
      </c>
      <c r="R693" s="30" t="str">
        <f aca="false">IF(O693="","",MAX(0,M693*(P693-O693)))</f>
        <v/>
      </c>
      <c r="S693" s="31" t="str">
        <f aca="false">IF(OR(L693="",L693=0,N693=""),"",N693/1000/L693)</f>
        <v/>
      </c>
      <c r="T693" s="27"/>
      <c r="U693" s="27"/>
      <c r="V693" s="27"/>
      <c r="W693" s="27"/>
      <c r="X693" s="27"/>
      <c r="Y693" s="27"/>
      <c r="Z693" s="27"/>
      <c r="AA693" s="25"/>
      <c r="AB693" s="27"/>
      <c r="AC693" s="30" t="str">
        <f aca="false">IF(M693="","",IF(AB693="",M693*Parámetros!$B$6,AB693))</f>
        <v/>
      </c>
      <c r="AD693" s="30" t="str">
        <f aca="false">IF(M693="","",SUM(T693:Z693)+AC693)</f>
        <v/>
      </c>
      <c r="AE693" s="30" t="str">
        <f aca="false">IF(OR(M693="",N693=""),"",M693-N693)</f>
        <v/>
      </c>
      <c r="AF693" s="30" t="str">
        <f aca="false">IF(AE693="","",AE693-AD693)</f>
        <v/>
      </c>
      <c r="AG693" s="28" t="str">
        <f aca="false">IF(OR(AF693="",M693=0),"",AF693/M693)</f>
        <v/>
      </c>
      <c r="AH693" s="32" t="str">
        <f aca="false">IF(OR(AE693="",N693=0),"",AE693/(N693/1000))</f>
        <v/>
      </c>
      <c r="AI693" s="30" t="str">
        <f aca="false">IF(O693="","",M693*P693)</f>
        <v/>
      </c>
      <c r="AJ693" s="11" t="str">
        <f aca="false">IF(O693="","",IF(O693&gt;1,"Error: rend &gt; 100 %",IF(SUM(T693:Z693)=0,"Falta registrar pérdidas",IF(ABS(AG693)&gt;Parámetros!$B$7,"Revisar balance",IF(O693&lt;P693,"Bajo meta","OK")))))</f>
        <v/>
      </c>
      <c r="AK693" s="33"/>
      <c r="AL693" s="10"/>
      <c r="AM693" s="33"/>
      <c r="AN693" s="33"/>
      <c r="AO693" s="10"/>
    </row>
    <row r="694" customFormat="false" ht="15" hidden="false" customHeight="false" outlineLevel="0" collapsed="false">
      <c r="A694" s="22"/>
      <c r="B694" s="23" t="str">
        <f aca="false">IF(A694="","",YEAR(A694-WEEKDAY(A694,2)+4))</f>
        <v/>
      </c>
      <c r="C694" s="23" t="str">
        <f aca="false">IF(A694="","",WEEKNUM(A694,21))</f>
        <v/>
      </c>
      <c r="D694" s="24" t="str">
        <f aca="false">IF(A694="","",DATE(YEAR(A694),MONTH(A694),1))</f>
        <v/>
      </c>
      <c r="E694" s="10"/>
      <c r="F694" s="25"/>
      <c r="G694" s="25"/>
      <c r="H694" s="10"/>
      <c r="I694" s="10"/>
      <c r="J694" s="26"/>
      <c r="K694" s="25"/>
      <c r="L694" s="26"/>
      <c r="M694" s="27"/>
      <c r="N694" s="27"/>
      <c r="O694" s="28" t="str">
        <f aca="false">IF(OR(M694="",M694=0,N694=""),"",N694/M694)</f>
        <v/>
      </c>
      <c r="P694" s="28" t="str">
        <f aca="false">IF(M694="","",IFERROR(IF(INDEX(Parámetros!$B$14:$B$21,MATCH(I694,Parámetros!$A$14:$A$21,0))="",Parámetros!$B$5,INDEX(Parámetros!$B$14:$B$21,MATCH(I694,Parámetros!$A$14:$A$21,0))),Parámetros!$B$5))</f>
        <v/>
      </c>
      <c r="Q694" s="29" t="str">
        <f aca="false">IF(O694="","",(O694-P694)*100)</f>
        <v/>
      </c>
      <c r="R694" s="30" t="str">
        <f aca="false">IF(O694="","",MAX(0,M694*(P694-O694)))</f>
        <v/>
      </c>
      <c r="S694" s="31" t="str">
        <f aca="false">IF(OR(L694="",L694=0,N694=""),"",N694/1000/L694)</f>
        <v/>
      </c>
      <c r="T694" s="27"/>
      <c r="U694" s="27"/>
      <c r="V694" s="27"/>
      <c r="W694" s="27"/>
      <c r="X694" s="27"/>
      <c r="Y694" s="27"/>
      <c r="Z694" s="27"/>
      <c r="AA694" s="25"/>
      <c r="AB694" s="27"/>
      <c r="AC694" s="30" t="str">
        <f aca="false">IF(M694="","",IF(AB694="",M694*Parámetros!$B$6,AB694))</f>
        <v/>
      </c>
      <c r="AD694" s="30" t="str">
        <f aca="false">IF(M694="","",SUM(T694:Z694)+AC694)</f>
        <v/>
      </c>
      <c r="AE694" s="30" t="str">
        <f aca="false">IF(OR(M694="",N694=""),"",M694-N694)</f>
        <v/>
      </c>
      <c r="AF694" s="30" t="str">
        <f aca="false">IF(AE694="","",AE694-AD694)</f>
        <v/>
      </c>
      <c r="AG694" s="28" t="str">
        <f aca="false">IF(OR(AF694="",M694=0),"",AF694/M694)</f>
        <v/>
      </c>
      <c r="AH694" s="32" t="str">
        <f aca="false">IF(OR(AE694="",N694=0),"",AE694/(N694/1000))</f>
        <v/>
      </c>
      <c r="AI694" s="30" t="str">
        <f aca="false">IF(O694="","",M694*P694)</f>
        <v/>
      </c>
      <c r="AJ694" s="11" t="str">
        <f aca="false">IF(O694="","",IF(O694&gt;1,"Error: rend &gt; 100 %",IF(SUM(T694:Z694)=0,"Falta registrar pérdidas",IF(ABS(AG694)&gt;Parámetros!$B$7,"Revisar balance",IF(O694&lt;P694,"Bajo meta","OK")))))</f>
        <v/>
      </c>
      <c r="AK694" s="33"/>
      <c r="AL694" s="10"/>
      <c r="AM694" s="33"/>
      <c r="AN694" s="33"/>
      <c r="AO694" s="10"/>
    </row>
    <row r="695" customFormat="false" ht="15" hidden="false" customHeight="false" outlineLevel="0" collapsed="false">
      <c r="A695" s="22"/>
      <c r="B695" s="23" t="str">
        <f aca="false">IF(A695="","",YEAR(A695-WEEKDAY(A695,2)+4))</f>
        <v/>
      </c>
      <c r="C695" s="23" t="str">
        <f aca="false">IF(A695="","",WEEKNUM(A695,21))</f>
        <v/>
      </c>
      <c r="D695" s="24" t="str">
        <f aca="false">IF(A695="","",DATE(YEAR(A695),MONTH(A695),1))</f>
        <v/>
      </c>
      <c r="E695" s="10"/>
      <c r="F695" s="25"/>
      <c r="G695" s="25"/>
      <c r="H695" s="10"/>
      <c r="I695" s="10"/>
      <c r="J695" s="26"/>
      <c r="K695" s="25"/>
      <c r="L695" s="26"/>
      <c r="M695" s="27"/>
      <c r="N695" s="27"/>
      <c r="O695" s="28" t="str">
        <f aca="false">IF(OR(M695="",M695=0,N695=""),"",N695/M695)</f>
        <v/>
      </c>
      <c r="P695" s="28" t="str">
        <f aca="false">IF(M695="","",IFERROR(IF(INDEX(Parámetros!$B$14:$B$21,MATCH(I695,Parámetros!$A$14:$A$21,0))="",Parámetros!$B$5,INDEX(Parámetros!$B$14:$B$21,MATCH(I695,Parámetros!$A$14:$A$21,0))),Parámetros!$B$5))</f>
        <v/>
      </c>
      <c r="Q695" s="29" t="str">
        <f aca="false">IF(O695="","",(O695-P695)*100)</f>
        <v/>
      </c>
      <c r="R695" s="30" t="str">
        <f aca="false">IF(O695="","",MAX(0,M695*(P695-O695)))</f>
        <v/>
      </c>
      <c r="S695" s="31" t="str">
        <f aca="false">IF(OR(L695="",L695=0,N695=""),"",N695/1000/L695)</f>
        <v/>
      </c>
      <c r="T695" s="27"/>
      <c r="U695" s="27"/>
      <c r="V695" s="27"/>
      <c r="W695" s="27"/>
      <c r="X695" s="27"/>
      <c r="Y695" s="27"/>
      <c r="Z695" s="27"/>
      <c r="AA695" s="25"/>
      <c r="AB695" s="27"/>
      <c r="AC695" s="30" t="str">
        <f aca="false">IF(M695="","",IF(AB695="",M695*Parámetros!$B$6,AB695))</f>
        <v/>
      </c>
      <c r="AD695" s="30" t="str">
        <f aca="false">IF(M695="","",SUM(T695:Z695)+AC695)</f>
        <v/>
      </c>
      <c r="AE695" s="30" t="str">
        <f aca="false">IF(OR(M695="",N695=""),"",M695-N695)</f>
        <v/>
      </c>
      <c r="AF695" s="30" t="str">
        <f aca="false">IF(AE695="","",AE695-AD695)</f>
        <v/>
      </c>
      <c r="AG695" s="28" t="str">
        <f aca="false">IF(OR(AF695="",M695=0),"",AF695/M695)</f>
        <v/>
      </c>
      <c r="AH695" s="32" t="str">
        <f aca="false">IF(OR(AE695="",N695=0),"",AE695/(N695/1000))</f>
        <v/>
      </c>
      <c r="AI695" s="30" t="str">
        <f aca="false">IF(O695="","",M695*P695)</f>
        <v/>
      </c>
      <c r="AJ695" s="11" t="str">
        <f aca="false">IF(O695="","",IF(O695&gt;1,"Error: rend &gt; 100 %",IF(SUM(T695:Z695)=0,"Falta registrar pérdidas",IF(ABS(AG695)&gt;Parámetros!$B$7,"Revisar balance",IF(O695&lt;P695,"Bajo meta","OK")))))</f>
        <v/>
      </c>
      <c r="AK695" s="33"/>
      <c r="AL695" s="10"/>
      <c r="AM695" s="33"/>
      <c r="AN695" s="33"/>
      <c r="AO695" s="10"/>
    </row>
    <row r="696" customFormat="false" ht="15" hidden="false" customHeight="false" outlineLevel="0" collapsed="false">
      <c r="A696" s="22"/>
      <c r="B696" s="23" t="str">
        <f aca="false">IF(A696="","",YEAR(A696-WEEKDAY(A696,2)+4))</f>
        <v/>
      </c>
      <c r="C696" s="23" t="str">
        <f aca="false">IF(A696="","",WEEKNUM(A696,21))</f>
        <v/>
      </c>
      <c r="D696" s="24" t="str">
        <f aca="false">IF(A696="","",DATE(YEAR(A696),MONTH(A696),1))</f>
        <v/>
      </c>
      <c r="E696" s="10"/>
      <c r="F696" s="25"/>
      <c r="G696" s="25"/>
      <c r="H696" s="10"/>
      <c r="I696" s="10"/>
      <c r="J696" s="26"/>
      <c r="K696" s="25"/>
      <c r="L696" s="26"/>
      <c r="M696" s="27"/>
      <c r="N696" s="27"/>
      <c r="O696" s="28" t="str">
        <f aca="false">IF(OR(M696="",M696=0,N696=""),"",N696/M696)</f>
        <v/>
      </c>
      <c r="P696" s="28" t="str">
        <f aca="false">IF(M696="","",IFERROR(IF(INDEX(Parámetros!$B$14:$B$21,MATCH(I696,Parámetros!$A$14:$A$21,0))="",Parámetros!$B$5,INDEX(Parámetros!$B$14:$B$21,MATCH(I696,Parámetros!$A$14:$A$21,0))),Parámetros!$B$5))</f>
        <v/>
      </c>
      <c r="Q696" s="29" t="str">
        <f aca="false">IF(O696="","",(O696-P696)*100)</f>
        <v/>
      </c>
      <c r="R696" s="30" t="str">
        <f aca="false">IF(O696="","",MAX(0,M696*(P696-O696)))</f>
        <v/>
      </c>
      <c r="S696" s="31" t="str">
        <f aca="false">IF(OR(L696="",L696=0,N696=""),"",N696/1000/L696)</f>
        <v/>
      </c>
      <c r="T696" s="27"/>
      <c r="U696" s="27"/>
      <c r="V696" s="27"/>
      <c r="W696" s="27"/>
      <c r="X696" s="27"/>
      <c r="Y696" s="27"/>
      <c r="Z696" s="27"/>
      <c r="AA696" s="25"/>
      <c r="AB696" s="27"/>
      <c r="AC696" s="30" t="str">
        <f aca="false">IF(M696="","",IF(AB696="",M696*Parámetros!$B$6,AB696))</f>
        <v/>
      </c>
      <c r="AD696" s="30" t="str">
        <f aca="false">IF(M696="","",SUM(T696:Z696)+AC696)</f>
        <v/>
      </c>
      <c r="AE696" s="30" t="str">
        <f aca="false">IF(OR(M696="",N696=""),"",M696-N696)</f>
        <v/>
      </c>
      <c r="AF696" s="30" t="str">
        <f aca="false">IF(AE696="","",AE696-AD696)</f>
        <v/>
      </c>
      <c r="AG696" s="28" t="str">
        <f aca="false">IF(OR(AF696="",M696=0),"",AF696/M696)</f>
        <v/>
      </c>
      <c r="AH696" s="32" t="str">
        <f aca="false">IF(OR(AE696="",N696=0),"",AE696/(N696/1000))</f>
        <v/>
      </c>
      <c r="AI696" s="30" t="str">
        <f aca="false">IF(O696="","",M696*P696)</f>
        <v/>
      </c>
      <c r="AJ696" s="11" t="str">
        <f aca="false">IF(O696="","",IF(O696&gt;1,"Error: rend &gt; 100 %",IF(SUM(T696:Z696)=0,"Falta registrar pérdidas",IF(ABS(AG696)&gt;Parámetros!$B$7,"Revisar balance",IF(O696&lt;P696,"Bajo meta","OK")))))</f>
        <v/>
      </c>
      <c r="AK696" s="33"/>
      <c r="AL696" s="10"/>
      <c r="AM696" s="33"/>
      <c r="AN696" s="33"/>
      <c r="AO696" s="10"/>
    </row>
    <row r="697" customFormat="false" ht="15" hidden="false" customHeight="false" outlineLevel="0" collapsed="false">
      <c r="A697" s="22"/>
      <c r="B697" s="23" t="str">
        <f aca="false">IF(A697="","",YEAR(A697-WEEKDAY(A697,2)+4))</f>
        <v/>
      </c>
      <c r="C697" s="23" t="str">
        <f aca="false">IF(A697="","",WEEKNUM(A697,21))</f>
        <v/>
      </c>
      <c r="D697" s="24" t="str">
        <f aca="false">IF(A697="","",DATE(YEAR(A697),MONTH(A697),1))</f>
        <v/>
      </c>
      <c r="E697" s="10"/>
      <c r="F697" s="25"/>
      <c r="G697" s="25"/>
      <c r="H697" s="10"/>
      <c r="I697" s="10"/>
      <c r="J697" s="26"/>
      <c r="K697" s="25"/>
      <c r="L697" s="26"/>
      <c r="M697" s="27"/>
      <c r="N697" s="27"/>
      <c r="O697" s="28" t="str">
        <f aca="false">IF(OR(M697="",M697=0,N697=""),"",N697/M697)</f>
        <v/>
      </c>
      <c r="P697" s="28" t="str">
        <f aca="false">IF(M697="","",IFERROR(IF(INDEX(Parámetros!$B$14:$B$21,MATCH(I697,Parámetros!$A$14:$A$21,0))="",Parámetros!$B$5,INDEX(Parámetros!$B$14:$B$21,MATCH(I697,Parámetros!$A$14:$A$21,0))),Parámetros!$B$5))</f>
        <v/>
      </c>
      <c r="Q697" s="29" t="str">
        <f aca="false">IF(O697="","",(O697-P697)*100)</f>
        <v/>
      </c>
      <c r="R697" s="30" t="str">
        <f aca="false">IF(O697="","",MAX(0,M697*(P697-O697)))</f>
        <v/>
      </c>
      <c r="S697" s="31" t="str">
        <f aca="false">IF(OR(L697="",L697=0,N697=""),"",N697/1000/L697)</f>
        <v/>
      </c>
      <c r="T697" s="27"/>
      <c r="U697" s="27"/>
      <c r="V697" s="27"/>
      <c r="W697" s="27"/>
      <c r="X697" s="27"/>
      <c r="Y697" s="27"/>
      <c r="Z697" s="27"/>
      <c r="AA697" s="25"/>
      <c r="AB697" s="27"/>
      <c r="AC697" s="30" t="str">
        <f aca="false">IF(M697="","",IF(AB697="",M697*Parámetros!$B$6,AB697))</f>
        <v/>
      </c>
      <c r="AD697" s="30" t="str">
        <f aca="false">IF(M697="","",SUM(T697:Z697)+AC697)</f>
        <v/>
      </c>
      <c r="AE697" s="30" t="str">
        <f aca="false">IF(OR(M697="",N697=""),"",M697-N697)</f>
        <v/>
      </c>
      <c r="AF697" s="30" t="str">
        <f aca="false">IF(AE697="","",AE697-AD697)</f>
        <v/>
      </c>
      <c r="AG697" s="28" t="str">
        <f aca="false">IF(OR(AF697="",M697=0),"",AF697/M697)</f>
        <v/>
      </c>
      <c r="AH697" s="32" t="str">
        <f aca="false">IF(OR(AE697="",N697=0),"",AE697/(N697/1000))</f>
        <v/>
      </c>
      <c r="AI697" s="30" t="str">
        <f aca="false">IF(O697="","",M697*P697)</f>
        <v/>
      </c>
      <c r="AJ697" s="11" t="str">
        <f aca="false">IF(O697="","",IF(O697&gt;1,"Error: rend &gt; 100 %",IF(SUM(T697:Z697)=0,"Falta registrar pérdidas",IF(ABS(AG697)&gt;Parámetros!$B$7,"Revisar balance",IF(O697&lt;P697,"Bajo meta","OK")))))</f>
        <v/>
      </c>
      <c r="AK697" s="33"/>
      <c r="AL697" s="10"/>
      <c r="AM697" s="33"/>
      <c r="AN697" s="33"/>
      <c r="AO697" s="10"/>
    </row>
    <row r="698" customFormat="false" ht="15" hidden="false" customHeight="false" outlineLevel="0" collapsed="false">
      <c r="A698" s="22"/>
      <c r="B698" s="23" t="str">
        <f aca="false">IF(A698="","",YEAR(A698-WEEKDAY(A698,2)+4))</f>
        <v/>
      </c>
      <c r="C698" s="23" t="str">
        <f aca="false">IF(A698="","",WEEKNUM(A698,21))</f>
        <v/>
      </c>
      <c r="D698" s="24" t="str">
        <f aca="false">IF(A698="","",DATE(YEAR(A698),MONTH(A698),1))</f>
        <v/>
      </c>
      <c r="E698" s="10"/>
      <c r="F698" s="25"/>
      <c r="G698" s="25"/>
      <c r="H698" s="10"/>
      <c r="I698" s="10"/>
      <c r="J698" s="26"/>
      <c r="K698" s="25"/>
      <c r="L698" s="26"/>
      <c r="M698" s="27"/>
      <c r="N698" s="27"/>
      <c r="O698" s="28" t="str">
        <f aca="false">IF(OR(M698="",M698=0,N698=""),"",N698/M698)</f>
        <v/>
      </c>
      <c r="P698" s="28" t="str">
        <f aca="false">IF(M698="","",IFERROR(IF(INDEX(Parámetros!$B$14:$B$21,MATCH(I698,Parámetros!$A$14:$A$21,0))="",Parámetros!$B$5,INDEX(Parámetros!$B$14:$B$21,MATCH(I698,Parámetros!$A$14:$A$21,0))),Parámetros!$B$5))</f>
        <v/>
      </c>
      <c r="Q698" s="29" t="str">
        <f aca="false">IF(O698="","",(O698-P698)*100)</f>
        <v/>
      </c>
      <c r="R698" s="30" t="str">
        <f aca="false">IF(O698="","",MAX(0,M698*(P698-O698)))</f>
        <v/>
      </c>
      <c r="S698" s="31" t="str">
        <f aca="false">IF(OR(L698="",L698=0,N698=""),"",N698/1000/L698)</f>
        <v/>
      </c>
      <c r="T698" s="27"/>
      <c r="U698" s="27"/>
      <c r="V698" s="27"/>
      <c r="W698" s="27"/>
      <c r="X698" s="27"/>
      <c r="Y698" s="27"/>
      <c r="Z698" s="27"/>
      <c r="AA698" s="25"/>
      <c r="AB698" s="27"/>
      <c r="AC698" s="30" t="str">
        <f aca="false">IF(M698="","",IF(AB698="",M698*Parámetros!$B$6,AB698))</f>
        <v/>
      </c>
      <c r="AD698" s="30" t="str">
        <f aca="false">IF(M698="","",SUM(T698:Z698)+AC698)</f>
        <v/>
      </c>
      <c r="AE698" s="30" t="str">
        <f aca="false">IF(OR(M698="",N698=""),"",M698-N698)</f>
        <v/>
      </c>
      <c r="AF698" s="30" t="str">
        <f aca="false">IF(AE698="","",AE698-AD698)</f>
        <v/>
      </c>
      <c r="AG698" s="28" t="str">
        <f aca="false">IF(OR(AF698="",M698=0),"",AF698/M698)</f>
        <v/>
      </c>
      <c r="AH698" s="32" t="str">
        <f aca="false">IF(OR(AE698="",N698=0),"",AE698/(N698/1000))</f>
        <v/>
      </c>
      <c r="AI698" s="30" t="str">
        <f aca="false">IF(O698="","",M698*P698)</f>
        <v/>
      </c>
      <c r="AJ698" s="11" t="str">
        <f aca="false">IF(O698="","",IF(O698&gt;1,"Error: rend &gt; 100 %",IF(SUM(T698:Z698)=0,"Falta registrar pérdidas",IF(ABS(AG698)&gt;Parámetros!$B$7,"Revisar balance",IF(O698&lt;P698,"Bajo meta","OK")))))</f>
        <v/>
      </c>
      <c r="AK698" s="33"/>
      <c r="AL698" s="10"/>
      <c r="AM698" s="33"/>
      <c r="AN698" s="33"/>
      <c r="AO698" s="10"/>
    </row>
    <row r="699" customFormat="false" ht="15" hidden="false" customHeight="false" outlineLevel="0" collapsed="false">
      <c r="A699" s="22"/>
      <c r="B699" s="23" t="str">
        <f aca="false">IF(A699="","",YEAR(A699-WEEKDAY(A699,2)+4))</f>
        <v/>
      </c>
      <c r="C699" s="23" t="str">
        <f aca="false">IF(A699="","",WEEKNUM(A699,21))</f>
        <v/>
      </c>
      <c r="D699" s="24" t="str">
        <f aca="false">IF(A699="","",DATE(YEAR(A699),MONTH(A699),1))</f>
        <v/>
      </c>
      <c r="E699" s="10"/>
      <c r="F699" s="25"/>
      <c r="G699" s="25"/>
      <c r="H699" s="10"/>
      <c r="I699" s="10"/>
      <c r="J699" s="26"/>
      <c r="K699" s="25"/>
      <c r="L699" s="26"/>
      <c r="M699" s="27"/>
      <c r="N699" s="27"/>
      <c r="O699" s="28" t="str">
        <f aca="false">IF(OR(M699="",M699=0,N699=""),"",N699/M699)</f>
        <v/>
      </c>
      <c r="P699" s="28" t="str">
        <f aca="false">IF(M699="","",IFERROR(IF(INDEX(Parámetros!$B$14:$B$21,MATCH(I699,Parámetros!$A$14:$A$21,0))="",Parámetros!$B$5,INDEX(Parámetros!$B$14:$B$21,MATCH(I699,Parámetros!$A$14:$A$21,0))),Parámetros!$B$5))</f>
        <v/>
      </c>
      <c r="Q699" s="29" t="str">
        <f aca="false">IF(O699="","",(O699-P699)*100)</f>
        <v/>
      </c>
      <c r="R699" s="30" t="str">
        <f aca="false">IF(O699="","",MAX(0,M699*(P699-O699)))</f>
        <v/>
      </c>
      <c r="S699" s="31" t="str">
        <f aca="false">IF(OR(L699="",L699=0,N699=""),"",N699/1000/L699)</f>
        <v/>
      </c>
      <c r="T699" s="27"/>
      <c r="U699" s="27"/>
      <c r="V699" s="27"/>
      <c r="W699" s="27"/>
      <c r="X699" s="27"/>
      <c r="Y699" s="27"/>
      <c r="Z699" s="27"/>
      <c r="AA699" s="25"/>
      <c r="AB699" s="27"/>
      <c r="AC699" s="30" t="str">
        <f aca="false">IF(M699="","",IF(AB699="",M699*Parámetros!$B$6,AB699))</f>
        <v/>
      </c>
      <c r="AD699" s="30" t="str">
        <f aca="false">IF(M699="","",SUM(T699:Z699)+AC699)</f>
        <v/>
      </c>
      <c r="AE699" s="30" t="str">
        <f aca="false">IF(OR(M699="",N699=""),"",M699-N699)</f>
        <v/>
      </c>
      <c r="AF699" s="30" t="str">
        <f aca="false">IF(AE699="","",AE699-AD699)</f>
        <v/>
      </c>
      <c r="AG699" s="28" t="str">
        <f aca="false">IF(OR(AF699="",M699=0),"",AF699/M699)</f>
        <v/>
      </c>
      <c r="AH699" s="32" t="str">
        <f aca="false">IF(OR(AE699="",N699=0),"",AE699/(N699/1000))</f>
        <v/>
      </c>
      <c r="AI699" s="30" t="str">
        <f aca="false">IF(O699="","",M699*P699)</f>
        <v/>
      </c>
      <c r="AJ699" s="11" t="str">
        <f aca="false">IF(O699="","",IF(O699&gt;1,"Error: rend &gt; 100 %",IF(SUM(T699:Z699)=0,"Falta registrar pérdidas",IF(ABS(AG699)&gt;Parámetros!$B$7,"Revisar balance",IF(O699&lt;P699,"Bajo meta","OK")))))</f>
        <v/>
      </c>
      <c r="AK699" s="33"/>
      <c r="AL699" s="10"/>
      <c r="AM699" s="33"/>
      <c r="AN699" s="33"/>
      <c r="AO699" s="10"/>
    </row>
    <row r="700" customFormat="false" ht="15" hidden="false" customHeight="false" outlineLevel="0" collapsed="false">
      <c r="A700" s="22"/>
      <c r="B700" s="23" t="str">
        <f aca="false">IF(A700="","",YEAR(A700-WEEKDAY(A700,2)+4))</f>
        <v/>
      </c>
      <c r="C700" s="23" t="str">
        <f aca="false">IF(A700="","",WEEKNUM(A700,21))</f>
        <v/>
      </c>
      <c r="D700" s="24" t="str">
        <f aca="false">IF(A700="","",DATE(YEAR(A700),MONTH(A700),1))</f>
        <v/>
      </c>
      <c r="E700" s="10"/>
      <c r="F700" s="25"/>
      <c r="G700" s="25"/>
      <c r="H700" s="10"/>
      <c r="I700" s="10"/>
      <c r="J700" s="26"/>
      <c r="K700" s="25"/>
      <c r="L700" s="26"/>
      <c r="M700" s="27"/>
      <c r="N700" s="27"/>
      <c r="O700" s="28" t="str">
        <f aca="false">IF(OR(M700="",M700=0,N700=""),"",N700/M700)</f>
        <v/>
      </c>
      <c r="P700" s="28" t="str">
        <f aca="false">IF(M700="","",IFERROR(IF(INDEX(Parámetros!$B$14:$B$21,MATCH(I700,Parámetros!$A$14:$A$21,0))="",Parámetros!$B$5,INDEX(Parámetros!$B$14:$B$21,MATCH(I700,Parámetros!$A$14:$A$21,0))),Parámetros!$B$5))</f>
        <v/>
      </c>
      <c r="Q700" s="29" t="str">
        <f aca="false">IF(O700="","",(O700-P700)*100)</f>
        <v/>
      </c>
      <c r="R700" s="30" t="str">
        <f aca="false">IF(O700="","",MAX(0,M700*(P700-O700)))</f>
        <v/>
      </c>
      <c r="S700" s="31" t="str">
        <f aca="false">IF(OR(L700="",L700=0,N700=""),"",N700/1000/L700)</f>
        <v/>
      </c>
      <c r="T700" s="27"/>
      <c r="U700" s="27"/>
      <c r="V700" s="27"/>
      <c r="W700" s="27"/>
      <c r="X700" s="27"/>
      <c r="Y700" s="27"/>
      <c r="Z700" s="27"/>
      <c r="AA700" s="25"/>
      <c r="AB700" s="27"/>
      <c r="AC700" s="30" t="str">
        <f aca="false">IF(M700="","",IF(AB700="",M700*Parámetros!$B$6,AB700))</f>
        <v/>
      </c>
      <c r="AD700" s="30" t="str">
        <f aca="false">IF(M700="","",SUM(T700:Z700)+AC700)</f>
        <v/>
      </c>
      <c r="AE700" s="30" t="str">
        <f aca="false">IF(OR(M700="",N700=""),"",M700-N700)</f>
        <v/>
      </c>
      <c r="AF700" s="30" t="str">
        <f aca="false">IF(AE700="","",AE700-AD700)</f>
        <v/>
      </c>
      <c r="AG700" s="28" t="str">
        <f aca="false">IF(OR(AF700="",M700=0),"",AF700/M700)</f>
        <v/>
      </c>
      <c r="AH700" s="32" t="str">
        <f aca="false">IF(OR(AE700="",N700=0),"",AE700/(N700/1000))</f>
        <v/>
      </c>
      <c r="AI700" s="30" t="str">
        <f aca="false">IF(O700="","",M700*P700)</f>
        <v/>
      </c>
      <c r="AJ700" s="11" t="str">
        <f aca="false">IF(O700="","",IF(O700&gt;1,"Error: rend &gt; 100 %",IF(SUM(T700:Z700)=0,"Falta registrar pérdidas",IF(ABS(AG700)&gt;Parámetros!$B$7,"Revisar balance",IF(O700&lt;P700,"Bajo meta","OK")))))</f>
        <v/>
      </c>
      <c r="AK700" s="33"/>
      <c r="AL700" s="10"/>
      <c r="AM700" s="33"/>
      <c r="AN700" s="33"/>
      <c r="AO700" s="10"/>
    </row>
    <row r="701" customFormat="false" ht="15" hidden="false" customHeight="false" outlineLevel="0" collapsed="false">
      <c r="A701" s="22"/>
      <c r="B701" s="23" t="str">
        <f aca="false">IF(A701="","",YEAR(A701-WEEKDAY(A701,2)+4))</f>
        <v/>
      </c>
      <c r="C701" s="23" t="str">
        <f aca="false">IF(A701="","",WEEKNUM(A701,21))</f>
        <v/>
      </c>
      <c r="D701" s="24" t="str">
        <f aca="false">IF(A701="","",DATE(YEAR(A701),MONTH(A701),1))</f>
        <v/>
      </c>
      <c r="E701" s="10"/>
      <c r="F701" s="25"/>
      <c r="G701" s="25"/>
      <c r="H701" s="10"/>
      <c r="I701" s="10"/>
      <c r="J701" s="26"/>
      <c r="K701" s="25"/>
      <c r="L701" s="26"/>
      <c r="M701" s="27"/>
      <c r="N701" s="27"/>
      <c r="O701" s="28" t="str">
        <f aca="false">IF(OR(M701="",M701=0,N701=""),"",N701/M701)</f>
        <v/>
      </c>
      <c r="P701" s="28" t="str">
        <f aca="false">IF(M701="","",IFERROR(IF(INDEX(Parámetros!$B$14:$B$21,MATCH(I701,Parámetros!$A$14:$A$21,0))="",Parámetros!$B$5,INDEX(Parámetros!$B$14:$B$21,MATCH(I701,Parámetros!$A$14:$A$21,0))),Parámetros!$B$5))</f>
        <v/>
      </c>
      <c r="Q701" s="29" t="str">
        <f aca="false">IF(O701="","",(O701-P701)*100)</f>
        <v/>
      </c>
      <c r="R701" s="30" t="str">
        <f aca="false">IF(O701="","",MAX(0,M701*(P701-O701)))</f>
        <v/>
      </c>
      <c r="S701" s="31" t="str">
        <f aca="false">IF(OR(L701="",L701=0,N701=""),"",N701/1000/L701)</f>
        <v/>
      </c>
      <c r="T701" s="27"/>
      <c r="U701" s="27"/>
      <c r="V701" s="27"/>
      <c r="W701" s="27"/>
      <c r="X701" s="27"/>
      <c r="Y701" s="27"/>
      <c r="Z701" s="27"/>
      <c r="AA701" s="25"/>
      <c r="AB701" s="27"/>
      <c r="AC701" s="30" t="str">
        <f aca="false">IF(M701="","",IF(AB701="",M701*Parámetros!$B$6,AB701))</f>
        <v/>
      </c>
      <c r="AD701" s="30" t="str">
        <f aca="false">IF(M701="","",SUM(T701:Z701)+AC701)</f>
        <v/>
      </c>
      <c r="AE701" s="30" t="str">
        <f aca="false">IF(OR(M701="",N701=""),"",M701-N701)</f>
        <v/>
      </c>
      <c r="AF701" s="30" t="str">
        <f aca="false">IF(AE701="","",AE701-AD701)</f>
        <v/>
      </c>
      <c r="AG701" s="28" t="str">
        <f aca="false">IF(OR(AF701="",M701=0),"",AF701/M701)</f>
        <v/>
      </c>
      <c r="AH701" s="32" t="str">
        <f aca="false">IF(OR(AE701="",N701=0),"",AE701/(N701/1000))</f>
        <v/>
      </c>
      <c r="AI701" s="30" t="str">
        <f aca="false">IF(O701="","",M701*P701)</f>
        <v/>
      </c>
      <c r="AJ701" s="11" t="str">
        <f aca="false">IF(O701="","",IF(O701&gt;1,"Error: rend &gt; 100 %",IF(SUM(T701:Z701)=0,"Falta registrar pérdidas",IF(ABS(AG701)&gt;Parámetros!$B$7,"Revisar balance",IF(O701&lt;P701,"Bajo meta","OK")))))</f>
        <v/>
      </c>
      <c r="AK701" s="33"/>
      <c r="AL701" s="10"/>
      <c r="AM701" s="33"/>
      <c r="AN701" s="33"/>
      <c r="AO701" s="10"/>
    </row>
    <row r="702" customFormat="false" ht="15" hidden="false" customHeight="false" outlineLevel="0" collapsed="false">
      <c r="A702" s="22"/>
      <c r="B702" s="23" t="str">
        <f aca="false">IF(A702="","",YEAR(A702-WEEKDAY(A702,2)+4))</f>
        <v/>
      </c>
      <c r="C702" s="23" t="str">
        <f aca="false">IF(A702="","",WEEKNUM(A702,21))</f>
        <v/>
      </c>
      <c r="D702" s="24" t="str">
        <f aca="false">IF(A702="","",DATE(YEAR(A702),MONTH(A702),1))</f>
        <v/>
      </c>
      <c r="E702" s="10"/>
      <c r="F702" s="25"/>
      <c r="G702" s="25"/>
      <c r="H702" s="10"/>
      <c r="I702" s="10"/>
      <c r="J702" s="26"/>
      <c r="K702" s="25"/>
      <c r="L702" s="26"/>
      <c r="M702" s="27"/>
      <c r="N702" s="27"/>
      <c r="O702" s="28" t="str">
        <f aca="false">IF(OR(M702="",M702=0,N702=""),"",N702/M702)</f>
        <v/>
      </c>
      <c r="P702" s="28" t="str">
        <f aca="false">IF(M702="","",IFERROR(IF(INDEX(Parámetros!$B$14:$B$21,MATCH(I702,Parámetros!$A$14:$A$21,0))="",Parámetros!$B$5,INDEX(Parámetros!$B$14:$B$21,MATCH(I702,Parámetros!$A$14:$A$21,0))),Parámetros!$B$5))</f>
        <v/>
      </c>
      <c r="Q702" s="29" t="str">
        <f aca="false">IF(O702="","",(O702-P702)*100)</f>
        <v/>
      </c>
      <c r="R702" s="30" t="str">
        <f aca="false">IF(O702="","",MAX(0,M702*(P702-O702)))</f>
        <v/>
      </c>
      <c r="S702" s="31" t="str">
        <f aca="false">IF(OR(L702="",L702=0,N702=""),"",N702/1000/L702)</f>
        <v/>
      </c>
      <c r="T702" s="27"/>
      <c r="U702" s="27"/>
      <c r="V702" s="27"/>
      <c r="W702" s="27"/>
      <c r="X702" s="27"/>
      <c r="Y702" s="27"/>
      <c r="Z702" s="27"/>
      <c r="AA702" s="25"/>
      <c r="AB702" s="27"/>
      <c r="AC702" s="30" t="str">
        <f aca="false">IF(M702="","",IF(AB702="",M702*Parámetros!$B$6,AB702))</f>
        <v/>
      </c>
      <c r="AD702" s="30" t="str">
        <f aca="false">IF(M702="","",SUM(T702:Z702)+AC702)</f>
        <v/>
      </c>
      <c r="AE702" s="30" t="str">
        <f aca="false">IF(OR(M702="",N702=""),"",M702-N702)</f>
        <v/>
      </c>
      <c r="AF702" s="30" t="str">
        <f aca="false">IF(AE702="","",AE702-AD702)</f>
        <v/>
      </c>
      <c r="AG702" s="28" t="str">
        <f aca="false">IF(OR(AF702="",M702=0),"",AF702/M702)</f>
        <v/>
      </c>
      <c r="AH702" s="32" t="str">
        <f aca="false">IF(OR(AE702="",N702=0),"",AE702/(N702/1000))</f>
        <v/>
      </c>
      <c r="AI702" s="30" t="str">
        <f aca="false">IF(O702="","",M702*P702)</f>
        <v/>
      </c>
      <c r="AJ702" s="11" t="str">
        <f aca="false">IF(O702="","",IF(O702&gt;1,"Error: rend &gt; 100 %",IF(SUM(T702:Z702)=0,"Falta registrar pérdidas",IF(ABS(AG702)&gt;Parámetros!$B$7,"Revisar balance",IF(O702&lt;P702,"Bajo meta","OK")))))</f>
        <v/>
      </c>
      <c r="AK702" s="33"/>
      <c r="AL702" s="10"/>
      <c r="AM702" s="33"/>
      <c r="AN702" s="33"/>
      <c r="AO702" s="10"/>
    </row>
    <row r="703" customFormat="false" ht="15" hidden="false" customHeight="false" outlineLevel="0" collapsed="false">
      <c r="A703" s="22"/>
      <c r="B703" s="23" t="str">
        <f aca="false">IF(A703="","",YEAR(A703-WEEKDAY(A703,2)+4))</f>
        <v/>
      </c>
      <c r="C703" s="23" t="str">
        <f aca="false">IF(A703="","",WEEKNUM(A703,21))</f>
        <v/>
      </c>
      <c r="D703" s="24" t="str">
        <f aca="false">IF(A703="","",DATE(YEAR(A703),MONTH(A703),1))</f>
        <v/>
      </c>
      <c r="E703" s="10"/>
      <c r="F703" s="25"/>
      <c r="G703" s="25"/>
      <c r="H703" s="10"/>
      <c r="I703" s="10"/>
      <c r="J703" s="26"/>
      <c r="K703" s="25"/>
      <c r="L703" s="26"/>
      <c r="M703" s="27"/>
      <c r="N703" s="27"/>
      <c r="O703" s="28" t="str">
        <f aca="false">IF(OR(M703="",M703=0,N703=""),"",N703/M703)</f>
        <v/>
      </c>
      <c r="P703" s="28" t="str">
        <f aca="false">IF(M703="","",IFERROR(IF(INDEX(Parámetros!$B$14:$B$21,MATCH(I703,Parámetros!$A$14:$A$21,0))="",Parámetros!$B$5,INDEX(Parámetros!$B$14:$B$21,MATCH(I703,Parámetros!$A$14:$A$21,0))),Parámetros!$B$5))</f>
        <v/>
      </c>
      <c r="Q703" s="29" t="str">
        <f aca="false">IF(O703="","",(O703-P703)*100)</f>
        <v/>
      </c>
      <c r="R703" s="30" t="str">
        <f aca="false">IF(O703="","",MAX(0,M703*(P703-O703)))</f>
        <v/>
      </c>
      <c r="S703" s="31" t="str">
        <f aca="false">IF(OR(L703="",L703=0,N703=""),"",N703/1000/L703)</f>
        <v/>
      </c>
      <c r="T703" s="27"/>
      <c r="U703" s="27"/>
      <c r="V703" s="27"/>
      <c r="W703" s="27"/>
      <c r="X703" s="27"/>
      <c r="Y703" s="27"/>
      <c r="Z703" s="27"/>
      <c r="AA703" s="25"/>
      <c r="AB703" s="27"/>
      <c r="AC703" s="30" t="str">
        <f aca="false">IF(M703="","",IF(AB703="",M703*Parámetros!$B$6,AB703))</f>
        <v/>
      </c>
      <c r="AD703" s="30" t="str">
        <f aca="false">IF(M703="","",SUM(T703:Z703)+AC703)</f>
        <v/>
      </c>
      <c r="AE703" s="30" t="str">
        <f aca="false">IF(OR(M703="",N703=""),"",M703-N703)</f>
        <v/>
      </c>
      <c r="AF703" s="30" t="str">
        <f aca="false">IF(AE703="","",AE703-AD703)</f>
        <v/>
      </c>
      <c r="AG703" s="28" t="str">
        <f aca="false">IF(OR(AF703="",M703=0),"",AF703/M703)</f>
        <v/>
      </c>
      <c r="AH703" s="32" t="str">
        <f aca="false">IF(OR(AE703="",N703=0),"",AE703/(N703/1000))</f>
        <v/>
      </c>
      <c r="AI703" s="30" t="str">
        <f aca="false">IF(O703="","",M703*P703)</f>
        <v/>
      </c>
      <c r="AJ703" s="11" t="str">
        <f aca="false">IF(O703="","",IF(O703&gt;1,"Error: rend &gt; 100 %",IF(SUM(T703:Z703)=0,"Falta registrar pérdidas",IF(ABS(AG703)&gt;Parámetros!$B$7,"Revisar balance",IF(O703&lt;P703,"Bajo meta","OK")))))</f>
        <v/>
      </c>
      <c r="AK703" s="33"/>
      <c r="AL703" s="10"/>
      <c r="AM703" s="33"/>
      <c r="AN703" s="33"/>
      <c r="AO703" s="10"/>
    </row>
    <row r="704" customFormat="false" ht="15" hidden="false" customHeight="false" outlineLevel="0" collapsed="false">
      <c r="A704" s="22"/>
      <c r="B704" s="23" t="str">
        <f aca="false">IF(A704="","",YEAR(A704-WEEKDAY(A704,2)+4))</f>
        <v/>
      </c>
      <c r="C704" s="23" t="str">
        <f aca="false">IF(A704="","",WEEKNUM(A704,21))</f>
        <v/>
      </c>
      <c r="D704" s="24" t="str">
        <f aca="false">IF(A704="","",DATE(YEAR(A704),MONTH(A704),1))</f>
        <v/>
      </c>
      <c r="E704" s="10"/>
      <c r="F704" s="25"/>
      <c r="G704" s="25"/>
      <c r="H704" s="10"/>
      <c r="I704" s="10"/>
      <c r="J704" s="26"/>
      <c r="K704" s="25"/>
      <c r="L704" s="26"/>
      <c r="M704" s="27"/>
      <c r="N704" s="27"/>
      <c r="O704" s="28" t="str">
        <f aca="false">IF(OR(M704="",M704=0,N704=""),"",N704/M704)</f>
        <v/>
      </c>
      <c r="P704" s="28" t="str">
        <f aca="false">IF(M704="","",IFERROR(IF(INDEX(Parámetros!$B$14:$B$21,MATCH(I704,Parámetros!$A$14:$A$21,0))="",Parámetros!$B$5,INDEX(Parámetros!$B$14:$B$21,MATCH(I704,Parámetros!$A$14:$A$21,0))),Parámetros!$B$5))</f>
        <v/>
      </c>
      <c r="Q704" s="29" t="str">
        <f aca="false">IF(O704="","",(O704-P704)*100)</f>
        <v/>
      </c>
      <c r="R704" s="30" t="str">
        <f aca="false">IF(O704="","",MAX(0,M704*(P704-O704)))</f>
        <v/>
      </c>
      <c r="S704" s="31" t="str">
        <f aca="false">IF(OR(L704="",L704=0,N704=""),"",N704/1000/L704)</f>
        <v/>
      </c>
      <c r="T704" s="27"/>
      <c r="U704" s="27"/>
      <c r="V704" s="27"/>
      <c r="W704" s="27"/>
      <c r="X704" s="27"/>
      <c r="Y704" s="27"/>
      <c r="Z704" s="27"/>
      <c r="AA704" s="25"/>
      <c r="AB704" s="27"/>
      <c r="AC704" s="30" t="str">
        <f aca="false">IF(M704="","",IF(AB704="",M704*Parámetros!$B$6,AB704))</f>
        <v/>
      </c>
      <c r="AD704" s="30" t="str">
        <f aca="false">IF(M704="","",SUM(T704:Z704)+AC704)</f>
        <v/>
      </c>
      <c r="AE704" s="30" t="str">
        <f aca="false">IF(OR(M704="",N704=""),"",M704-N704)</f>
        <v/>
      </c>
      <c r="AF704" s="30" t="str">
        <f aca="false">IF(AE704="","",AE704-AD704)</f>
        <v/>
      </c>
      <c r="AG704" s="28" t="str">
        <f aca="false">IF(OR(AF704="",M704=0),"",AF704/M704)</f>
        <v/>
      </c>
      <c r="AH704" s="32" t="str">
        <f aca="false">IF(OR(AE704="",N704=0),"",AE704/(N704/1000))</f>
        <v/>
      </c>
      <c r="AI704" s="30" t="str">
        <f aca="false">IF(O704="","",M704*P704)</f>
        <v/>
      </c>
      <c r="AJ704" s="11" t="str">
        <f aca="false">IF(O704="","",IF(O704&gt;1,"Error: rend &gt; 100 %",IF(SUM(T704:Z704)=0,"Falta registrar pérdidas",IF(ABS(AG704)&gt;Parámetros!$B$7,"Revisar balance",IF(O704&lt;P704,"Bajo meta","OK")))))</f>
        <v/>
      </c>
      <c r="AK704" s="33"/>
      <c r="AL704" s="10"/>
      <c r="AM704" s="33"/>
      <c r="AN704" s="33"/>
      <c r="AO704" s="10"/>
    </row>
    <row r="705" customFormat="false" ht="15" hidden="false" customHeight="false" outlineLevel="0" collapsed="false">
      <c r="A705" s="22"/>
      <c r="B705" s="23" t="str">
        <f aca="false">IF(A705="","",YEAR(A705-WEEKDAY(A705,2)+4))</f>
        <v/>
      </c>
      <c r="C705" s="23" t="str">
        <f aca="false">IF(A705="","",WEEKNUM(A705,21))</f>
        <v/>
      </c>
      <c r="D705" s="24" t="str">
        <f aca="false">IF(A705="","",DATE(YEAR(A705),MONTH(A705),1))</f>
        <v/>
      </c>
      <c r="E705" s="10"/>
      <c r="F705" s="25"/>
      <c r="G705" s="25"/>
      <c r="H705" s="10"/>
      <c r="I705" s="10"/>
      <c r="J705" s="26"/>
      <c r="K705" s="25"/>
      <c r="L705" s="26"/>
      <c r="M705" s="27"/>
      <c r="N705" s="27"/>
      <c r="O705" s="28" t="str">
        <f aca="false">IF(OR(M705="",M705=0,N705=""),"",N705/M705)</f>
        <v/>
      </c>
      <c r="P705" s="28" t="str">
        <f aca="false">IF(M705="","",IFERROR(IF(INDEX(Parámetros!$B$14:$B$21,MATCH(I705,Parámetros!$A$14:$A$21,0))="",Parámetros!$B$5,INDEX(Parámetros!$B$14:$B$21,MATCH(I705,Parámetros!$A$14:$A$21,0))),Parámetros!$B$5))</f>
        <v/>
      </c>
      <c r="Q705" s="29" t="str">
        <f aca="false">IF(O705="","",(O705-P705)*100)</f>
        <v/>
      </c>
      <c r="R705" s="30" t="str">
        <f aca="false">IF(O705="","",MAX(0,M705*(P705-O705)))</f>
        <v/>
      </c>
      <c r="S705" s="31" t="str">
        <f aca="false">IF(OR(L705="",L705=0,N705=""),"",N705/1000/L705)</f>
        <v/>
      </c>
      <c r="T705" s="27"/>
      <c r="U705" s="27"/>
      <c r="V705" s="27"/>
      <c r="W705" s="27"/>
      <c r="X705" s="27"/>
      <c r="Y705" s="27"/>
      <c r="Z705" s="27"/>
      <c r="AA705" s="25"/>
      <c r="AB705" s="27"/>
      <c r="AC705" s="30" t="str">
        <f aca="false">IF(M705="","",IF(AB705="",M705*Parámetros!$B$6,AB705))</f>
        <v/>
      </c>
      <c r="AD705" s="30" t="str">
        <f aca="false">IF(M705="","",SUM(T705:Z705)+AC705)</f>
        <v/>
      </c>
      <c r="AE705" s="30" t="str">
        <f aca="false">IF(OR(M705="",N705=""),"",M705-N705)</f>
        <v/>
      </c>
      <c r="AF705" s="30" t="str">
        <f aca="false">IF(AE705="","",AE705-AD705)</f>
        <v/>
      </c>
      <c r="AG705" s="28" t="str">
        <f aca="false">IF(OR(AF705="",M705=0),"",AF705/M705)</f>
        <v/>
      </c>
      <c r="AH705" s="32" t="str">
        <f aca="false">IF(OR(AE705="",N705=0),"",AE705/(N705/1000))</f>
        <v/>
      </c>
      <c r="AI705" s="30" t="str">
        <f aca="false">IF(O705="","",M705*P705)</f>
        <v/>
      </c>
      <c r="AJ705" s="11" t="str">
        <f aca="false">IF(O705="","",IF(O705&gt;1,"Error: rend &gt; 100 %",IF(SUM(T705:Z705)=0,"Falta registrar pérdidas",IF(ABS(AG705)&gt;Parámetros!$B$7,"Revisar balance",IF(O705&lt;P705,"Bajo meta","OK")))))</f>
        <v/>
      </c>
      <c r="AK705" s="33"/>
      <c r="AL705" s="10"/>
      <c r="AM705" s="33"/>
      <c r="AN705" s="33"/>
      <c r="AO705" s="10"/>
    </row>
    <row r="706" customFormat="false" ht="15" hidden="false" customHeight="false" outlineLevel="0" collapsed="false">
      <c r="A706" s="22"/>
      <c r="B706" s="23" t="str">
        <f aca="false">IF(A706="","",YEAR(A706-WEEKDAY(A706,2)+4))</f>
        <v/>
      </c>
      <c r="C706" s="23" t="str">
        <f aca="false">IF(A706="","",WEEKNUM(A706,21))</f>
        <v/>
      </c>
      <c r="D706" s="24" t="str">
        <f aca="false">IF(A706="","",DATE(YEAR(A706),MONTH(A706),1))</f>
        <v/>
      </c>
      <c r="E706" s="10"/>
      <c r="F706" s="25"/>
      <c r="G706" s="25"/>
      <c r="H706" s="10"/>
      <c r="I706" s="10"/>
      <c r="J706" s="26"/>
      <c r="K706" s="25"/>
      <c r="L706" s="26"/>
      <c r="M706" s="27"/>
      <c r="N706" s="27"/>
      <c r="O706" s="28" t="str">
        <f aca="false">IF(OR(M706="",M706=0,N706=""),"",N706/M706)</f>
        <v/>
      </c>
      <c r="P706" s="28" t="str">
        <f aca="false">IF(M706="","",IFERROR(IF(INDEX(Parámetros!$B$14:$B$21,MATCH(I706,Parámetros!$A$14:$A$21,0))="",Parámetros!$B$5,INDEX(Parámetros!$B$14:$B$21,MATCH(I706,Parámetros!$A$14:$A$21,0))),Parámetros!$B$5))</f>
        <v/>
      </c>
      <c r="Q706" s="29" t="str">
        <f aca="false">IF(O706="","",(O706-P706)*100)</f>
        <v/>
      </c>
      <c r="R706" s="30" t="str">
        <f aca="false">IF(O706="","",MAX(0,M706*(P706-O706)))</f>
        <v/>
      </c>
      <c r="S706" s="31" t="str">
        <f aca="false">IF(OR(L706="",L706=0,N706=""),"",N706/1000/L706)</f>
        <v/>
      </c>
      <c r="T706" s="27"/>
      <c r="U706" s="27"/>
      <c r="V706" s="27"/>
      <c r="W706" s="27"/>
      <c r="X706" s="27"/>
      <c r="Y706" s="27"/>
      <c r="Z706" s="27"/>
      <c r="AA706" s="25"/>
      <c r="AB706" s="27"/>
      <c r="AC706" s="30" t="str">
        <f aca="false">IF(M706="","",IF(AB706="",M706*Parámetros!$B$6,AB706))</f>
        <v/>
      </c>
      <c r="AD706" s="30" t="str">
        <f aca="false">IF(M706="","",SUM(T706:Z706)+AC706)</f>
        <v/>
      </c>
      <c r="AE706" s="30" t="str">
        <f aca="false">IF(OR(M706="",N706=""),"",M706-N706)</f>
        <v/>
      </c>
      <c r="AF706" s="30" t="str">
        <f aca="false">IF(AE706="","",AE706-AD706)</f>
        <v/>
      </c>
      <c r="AG706" s="28" t="str">
        <f aca="false">IF(OR(AF706="",M706=0),"",AF706/M706)</f>
        <v/>
      </c>
      <c r="AH706" s="32" t="str">
        <f aca="false">IF(OR(AE706="",N706=0),"",AE706/(N706/1000))</f>
        <v/>
      </c>
      <c r="AI706" s="30" t="str">
        <f aca="false">IF(O706="","",M706*P706)</f>
        <v/>
      </c>
      <c r="AJ706" s="11" t="str">
        <f aca="false">IF(O706="","",IF(O706&gt;1,"Error: rend &gt; 100 %",IF(SUM(T706:Z706)=0,"Falta registrar pérdidas",IF(ABS(AG706)&gt;Parámetros!$B$7,"Revisar balance",IF(O706&lt;P706,"Bajo meta","OK")))))</f>
        <v/>
      </c>
      <c r="AK706" s="33"/>
      <c r="AL706" s="10"/>
      <c r="AM706" s="33"/>
      <c r="AN706" s="33"/>
      <c r="AO706" s="10"/>
    </row>
    <row r="707" customFormat="false" ht="15" hidden="false" customHeight="false" outlineLevel="0" collapsed="false">
      <c r="A707" s="22"/>
      <c r="B707" s="23" t="str">
        <f aca="false">IF(A707="","",YEAR(A707-WEEKDAY(A707,2)+4))</f>
        <v/>
      </c>
      <c r="C707" s="23" t="str">
        <f aca="false">IF(A707="","",WEEKNUM(A707,21))</f>
        <v/>
      </c>
      <c r="D707" s="24" t="str">
        <f aca="false">IF(A707="","",DATE(YEAR(A707),MONTH(A707),1))</f>
        <v/>
      </c>
      <c r="E707" s="10"/>
      <c r="F707" s="25"/>
      <c r="G707" s="25"/>
      <c r="H707" s="10"/>
      <c r="I707" s="10"/>
      <c r="J707" s="26"/>
      <c r="K707" s="25"/>
      <c r="L707" s="26"/>
      <c r="M707" s="27"/>
      <c r="N707" s="27"/>
      <c r="O707" s="28" t="str">
        <f aca="false">IF(OR(M707="",M707=0,N707=""),"",N707/M707)</f>
        <v/>
      </c>
      <c r="P707" s="28" t="str">
        <f aca="false">IF(M707="","",IFERROR(IF(INDEX(Parámetros!$B$14:$B$21,MATCH(I707,Parámetros!$A$14:$A$21,0))="",Parámetros!$B$5,INDEX(Parámetros!$B$14:$B$21,MATCH(I707,Parámetros!$A$14:$A$21,0))),Parámetros!$B$5))</f>
        <v/>
      </c>
      <c r="Q707" s="29" t="str">
        <f aca="false">IF(O707="","",(O707-P707)*100)</f>
        <v/>
      </c>
      <c r="R707" s="30" t="str">
        <f aca="false">IF(O707="","",MAX(0,M707*(P707-O707)))</f>
        <v/>
      </c>
      <c r="S707" s="31" t="str">
        <f aca="false">IF(OR(L707="",L707=0,N707=""),"",N707/1000/L707)</f>
        <v/>
      </c>
      <c r="T707" s="27"/>
      <c r="U707" s="27"/>
      <c r="V707" s="27"/>
      <c r="W707" s="27"/>
      <c r="X707" s="27"/>
      <c r="Y707" s="27"/>
      <c r="Z707" s="27"/>
      <c r="AA707" s="25"/>
      <c r="AB707" s="27"/>
      <c r="AC707" s="30" t="str">
        <f aca="false">IF(M707="","",IF(AB707="",M707*Parámetros!$B$6,AB707))</f>
        <v/>
      </c>
      <c r="AD707" s="30" t="str">
        <f aca="false">IF(M707="","",SUM(T707:Z707)+AC707)</f>
        <v/>
      </c>
      <c r="AE707" s="30" t="str">
        <f aca="false">IF(OR(M707="",N707=""),"",M707-N707)</f>
        <v/>
      </c>
      <c r="AF707" s="30" t="str">
        <f aca="false">IF(AE707="","",AE707-AD707)</f>
        <v/>
      </c>
      <c r="AG707" s="28" t="str">
        <f aca="false">IF(OR(AF707="",M707=0),"",AF707/M707)</f>
        <v/>
      </c>
      <c r="AH707" s="32" t="str">
        <f aca="false">IF(OR(AE707="",N707=0),"",AE707/(N707/1000))</f>
        <v/>
      </c>
      <c r="AI707" s="30" t="str">
        <f aca="false">IF(O707="","",M707*P707)</f>
        <v/>
      </c>
      <c r="AJ707" s="11" t="str">
        <f aca="false">IF(O707="","",IF(O707&gt;1,"Error: rend &gt; 100 %",IF(SUM(T707:Z707)=0,"Falta registrar pérdidas",IF(ABS(AG707)&gt;Parámetros!$B$7,"Revisar balance",IF(O707&lt;P707,"Bajo meta","OK")))))</f>
        <v/>
      </c>
      <c r="AK707" s="33"/>
      <c r="AL707" s="10"/>
      <c r="AM707" s="33"/>
      <c r="AN707" s="33"/>
      <c r="AO707" s="10"/>
    </row>
    <row r="708" customFormat="false" ht="15" hidden="false" customHeight="false" outlineLevel="0" collapsed="false">
      <c r="A708" s="22"/>
      <c r="B708" s="23" t="str">
        <f aca="false">IF(A708="","",YEAR(A708-WEEKDAY(A708,2)+4))</f>
        <v/>
      </c>
      <c r="C708" s="23" t="str">
        <f aca="false">IF(A708="","",WEEKNUM(A708,21))</f>
        <v/>
      </c>
      <c r="D708" s="24" t="str">
        <f aca="false">IF(A708="","",DATE(YEAR(A708),MONTH(A708),1))</f>
        <v/>
      </c>
      <c r="E708" s="10"/>
      <c r="F708" s="25"/>
      <c r="G708" s="25"/>
      <c r="H708" s="10"/>
      <c r="I708" s="10"/>
      <c r="J708" s="26"/>
      <c r="K708" s="25"/>
      <c r="L708" s="26"/>
      <c r="M708" s="27"/>
      <c r="N708" s="27"/>
      <c r="O708" s="28" t="str">
        <f aca="false">IF(OR(M708="",M708=0,N708=""),"",N708/M708)</f>
        <v/>
      </c>
      <c r="P708" s="28" t="str">
        <f aca="false">IF(M708="","",IFERROR(IF(INDEX(Parámetros!$B$14:$B$21,MATCH(I708,Parámetros!$A$14:$A$21,0))="",Parámetros!$B$5,INDEX(Parámetros!$B$14:$B$21,MATCH(I708,Parámetros!$A$14:$A$21,0))),Parámetros!$B$5))</f>
        <v/>
      </c>
      <c r="Q708" s="29" t="str">
        <f aca="false">IF(O708="","",(O708-P708)*100)</f>
        <v/>
      </c>
      <c r="R708" s="30" t="str">
        <f aca="false">IF(O708="","",MAX(0,M708*(P708-O708)))</f>
        <v/>
      </c>
      <c r="S708" s="31" t="str">
        <f aca="false">IF(OR(L708="",L708=0,N708=""),"",N708/1000/L708)</f>
        <v/>
      </c>
      <c r="T708" s="27"/>
      <c r="U708" s="27"/>
      <c r="V708" s="27"/>
      <c r="W708" s="27"/>
      <c r="X708" s="27"/>
      <c r="Y708" s="27"/>
      <c r="Z708" s="27"/>
      <c r="AA708" s="25"/>
      <c r="AB708" s="27"/>
      <c r="AC708" s="30" t="str">
        <f aca="false">IF(M708="","",IF(AB708="",M708*Parámetros!$B$6,AB708))</f>
        <v/>
      </c>
      <c r="AD708" s="30" t="str">
        <f aca="false">IF(M708="","",SUM(T708:Z708)+AC708)</f>
        <v/>
      </c>
      <c r="AE708" s="30" t="str">
        <f aca="false">IF(OR(M708="",N708=""),"",M708-N708)</f>
        <v/>
      </c>
      <c r="AF708" s="30" t="str">
        <f aca="false">IF(AE708="","",AE708-AD708)</f>
        <v/>
      </c>
      <c r="AG708" s="28" t="str">
        <f aca="false">IF(OR(AF708="",M708=0),"",AF708/M708)</f>
        <v/>
      </c>
      <c r="AH708" s="32" t="str">
        <f aca="false">IF(OR(AE708="",N708=0),"",AE708/(N708/1000))</f>
        <v/>
      </c>
      <c r="AI708" s="30" t="str">
        <f aca="false">IF(O708="","",M708*P708)</f>
        <v/>
      </c>
      <c r="AJ708" s="11" t="str">
        <f aca="false">IF(O708="","",IF(O708&gt;1,"Error: rend &gt; 100 %",IF(SUM(T708:Z708)=0,"Falta registrar pérdidas",IF(ABS(AG708)&gt;Parámetros!$B$7,"Revisar balance",IF(O708&lt;P708,"Bajo meta","OK")))))</f>
        <v/>
      </c>
      <c r="AK708" s="33"/>
      <c r="AL708" s="10"/>
      <c r="AM708" s="33"/>
      <c r="AN708" s="33"/>
      <c r="AO708" s="10"/>
    </row>
    <row r="709" customFormat="false" ht="15" hidden="false" customHeight="false" outlineLevel="0" collapsed="false">
      <c r="A709" s="22"/>
      <c r="B709" s="23" t="str">
        <f aca="false">IF(A709="","",YEAR(A709-WEEKDAY(A709,2)+4))</f>
        <v/>
      </c>
      <c r="C709" s="23" t="str">
        <f aca="false">IF(A709="","",WEEKNUM(A709,21))</f>
        <v/>
      </c>
      <c r="D709" s="24" t="str">
        <f aca="false">IF(A709="","",DATE(YEAR(A709),MONTH(A709),1))</f>
        <v/>
      </c>
      <c r="E709" s="10"/>
      <c r="F709" s="25"/>
      <c r="G709" s="25"/>
      <c r="H709" s="10"/>
      <c r="I709" s="10"/>
      <c r="J709" s="26"/>
      <c r="K709" s="25"/>
      <c r="L709" s="26"/>
      <c r="M709" s="27"/>
      <c r="N709" s="27"/>
      <c r="O709" s="28" t="str">
        <f aca="false">IF(OR(M709="",M709=0,N709=""),"",N709/M709)</f>
        <v/>
      </c>
      <c r="P709" s="28" t="str">
        <f aca="false">IF(M709="","",IFERROR(IF(INDEX(Parámetros!$B$14:$B$21,MATCH(I709,Parámetros!$A$14:$A$21,0))="",Parámetros!$B$5,INDEX(Parámetros!$B$14:$B$21,MATCH(I709,Parámetros!$A$14:$A$21,0))),Parámetros!$B$5))</f>
        <v/>
      </c>
      <c r="Q709" s="29" t="str">
        <f aca="false">IF(O709="","",(O709-P709)*100)</f>
        <v/>
      </c>
      <c r="R709" s="30" t="str">
        <f aca="false">IF(O709="","",MAX(0,M709*(P709-O709)))</f>
        <v/>
      </c>
      <c r="S709" s="31" t="str">
        <f aca="false">IF(OR(L709="",L709=0,N709=""),"",N709/1000/L709)</f>
        <v/>
      </c>
      <c r="T709" s="27"/>
      <c r="U709" s="27"/>
      <c r="V709" s="27"/>
      <c r="W709" s="27"/>
      <c r="X709" s="27"/>
      <c r="Y709" s="27"/>
      <c r="Z709" s="27"/>
      <c r="AA709" s="25"/>
      <c r="AB709" s="27"/>
      <c r="AC709" s="30" t="str">
        <f aca="false">IF(M709="","",IF(AB709="",M709*Parámetros!$B$6,AB709))</f>
        <v/>
      </c>
      <c r="AD709" s="30" t="str">
        <f aca="false">IF(M709="","",SUM(T709:Z709)+AC709)</f>
        <v/>
      </c>
      <c r="AE709" s="30" t="str">
        <f aca="false">IF(OR(M709="",N709=""),"",M709-N709)</f>
        <v/>
      </c>
      <c r="AF709" s="30" t="str">
        <f aca="false">IF(AE709="","",AE709-AD709)</f>
        <v/>
      </c>
      <c r="AG709" s="28" t="str">
        <f aca="false">IF(OR(AF709="",M709=0),"",AF709/M709)</f>
        <v/>
      </c>
      <c r="AH709" s="32" t="str">
        <f aca="false">IF(OR(AE709="",N709=0),"",AE709/(N709/1000))</f>
        <v/>
      </c>
      <c r="AI709" s="30" t="str">
        <f aca="false">IF(O709="","",M709*P709)</f>
        <v/>
      </c>
      <c r="AJ709" s="11" t="str">
        <f aca="false">IF(O709="","",IF(O709&gt;1,"Error: rend &gt; 100 %",IF(SUM(T709:Z709)=0,"Falta registrar pérdidas",IF(ABS(AG709)&gt;Parámetros!$B$7,"Revisar balance",IF(O709&lt;P709,"Bajo meta","OK")))))</f>
        <v/>
      </c>
      <c r="AK709" s="33"/>
      <c r="AL709" s="10"/>
      <c r="AM709" s="33"/>
      <c r="AN709" s="33"/>
      <c r="AO709" s="10"/>
    </row>
    <row r="710" customFormat="false" ht="15" hidden="false" customHeight="false" outlineLevel="0" collapsed="false">
      <c r="A710" s="22"/>
      <c r="B710" s="23" t="str">
        <f aca="false">IF(A710="","",YEAR(A710-WEEKDAY(A710,2)+4))</f>
        <v/>
      </c>
      <c r="C710" s="23" t="str">
        <f aca="false">IF(A710="","",WEEKNUM(A710,21))</f>
        <v/>
      </c>
      <c r="D710" s="24" t="str">
        <f aca="false">IF(A710="","",DATE(YEAR(A710),MONTH(A710),1))</f>
        <v/>
      </c>
      <c r="E710" s="10"/>
      <c r="F710" s="25"/>
      <c r="G710" s="25"/>
      <c r="H710" s="10"/>
      <c r="I710" s="10"/>
      <c r="J710" s="26"/>
      <c r="K710" s="25"/>
      <c r="L710" s="26"/>
      <c r="M710" s="27"/>
      <c r="N710" s="27"/>
      <c r="O710" s="28" t="str">
        <f aca="false">IF(OR(M710="",M710=0,N710=""),"",N710/M710)</f>
        <v/>
      </c>
      <c r="P710" s="28" t="str">
        <f aca="false">IF(M710="","",IFERROR(IF(INDEX(Parámetros!$B$14:$B$21,MATCH(I710,Parámetros!$A$14:$A$21,0))="",Parámetros!$B$5,INDEX(Parámetros!$B$14:$B$21,MATCH(I710,Parámetros!$A$14:$A$21,0))),Parámetros!$B$5))</f>
        <v/>
      </c>
      <c r="Q710" s="29" t="str">
        <f aca="false">IF(O710="","",(O710-P710)*100)</f>
        <v/>
      </c>
      <c r="R710" s="30" t="str">
        <f aca="false">IF(O710="","",MAX(0,M710*(P710-O710)))</f>
        <v/>
      </c>
      <c r="S710" s="31" t="str">
        <f aca="false">IF(OR(L710="",L710=0,N710=""),"",N710/1000/L710)</f>
        <v/>
      </c>
      <c r="T710" s="27"/>
      <c r="U710" s="27"/>
      <c r="V710" s="27"/>
      <c r="W710" s="27"/>
      <c r="X710" s="27"/>
      <c r="Y710" s="27"/>
      <c r="Z710" s="27"/>
      <c r="AA710" s="25"/>
      <c r="AB710" s="27"/>
      <c r="AC710" s="30" t="str">
        <f aca="false">IF(M710="","",IF(AB710="",M710*Parámetros!$B$6,AB710))</f>
        <v/>
      </c>
      <c r="AD710" s="30" t="str">
        <f aca="false">IF(M710="","",SUM(T710:Z710)+AC710)</f>
        <v/>
      </c>
      <c r="AE710" s="30" t="str">
        <f aca="false">IF(OR(M710="",N710=""),"",M710-N710)</f>
        <v/>
      </c>
      <c r="AF710" s="30" t="str">
        <f aca="false">IF(AE710="","",AE710-AD710)</f>
        <v/>
      </c>
      <c r="AG710" s="28" t="str">
        <f aca="false">IF(OR(AF710="",M710=0),"",AF710/M710)</f>
        <v/>
      </c>
      <c r="AH710" s="32" t="str">
        <f aca="false">IF(OR(AE710="",N710=0),"",AE710/(N710/1000))</f>
        <v/>
      </c>
      <c r="AI710" s="30" t="str">
        <f aca="false">IF(O710="","",M710*P710)</f>
        <v/>
      </c>
      <c r="AJ710" s="11" t="str">
        <f aca="false">IF(O710="","",IF(O710&gt;1,"Error: rend &gt; 100 %",IF(SUM(T710:Z710)=0,"Falta registrar pérdidas",IF(ABS(AG710)&gt;Parámetros!$B$7,"Revisar balance",IF(O710&lt;P710,"Bajo meta","OK")))))</f>
        <v/>
      </c>
      <c r="AK710" s="33"/>
      <c r="AL710" s="10"/>
      <c r="AM710" s="33"/>
      <c r="AN710" s="33"/>
      <c r="AO710" s="10"/>
    </row>
    <row r="711" customFormat="false" ht="15" hidden="false" customHeight="false" outlineLevel="0" collapsed="false">
      <c r="A711" s="22"/>
      <c r="B711" s="23" t="str">
        <f aca="false">IF(A711="","",YEAR(A711-WEEKDAY(A711,2)+4))</f>
        <v/>
      </c>
      <c r="C711" s="23" t="str">
        <f aca="false">IF(A711="","",WEEKNUM(A711,21))</f>
        <v/>
      </c>
      <c r="D711" s="24" t="str">
        <f aca="false">IF(A711="","",DATE(YEAR(A711),MONTH(A711),1))</f>
        <v/>
      </c>
      <c r="E711" s="10"/>
      <c r="F711" s="25"/>
      <c r="G711" s="25"/>
      <c r="H711" s="10"/>
      <c r="I711" s="10"/>
      <c r="J711" s="26"/>
      <c r="K711" s="25"/>
      <c r="L711" s="26"/>
      <c r="M711" s="27"/>
      <c r="N711" s="27"/>
      <c r="O711" s="28" t="str">
        <f aca="false">IF(OR(M711="",M711=0,N711=""),"",N711/M711)</f>
        <v/>
      </c>
      <c r="P711" s="28" t="str">
        <f aca="false">IF(M711="","",IFERROR(IF(INDEX(Parámetros!$B$14:$B$21,MATCH(I711,Parámetros!$A$14:$A$21,0))="",Parámetros!$B$5,INDEX(Parámetros!$B$14:$B$21,MATCH(I711,Parámetros!$A$14:$A$21,0))),Parámetros!$B$5))</f>
        <v/>
      </c>
      <c r="Q711" s="29" t="str">
        <f aca="false">IF(O711="","",(O711-P711)*100)</f>
        <v/>
      </c>
      <c r="R711" s="30" t="str">
        <f aca="false">IF(O711="","",MAX(0,M711*(P711-O711)))</f>
        <v/>
      </c>
      <c r="S711" s="31" t="str">
        <f aca="false">IF(OR(L711="",L711=0,N711=""),"",N711/1000/L711)</f>
        <v/>
      </c>
      <c r="T711" s="27"/>
      <c r="U711" s="27"/>
      <c r="V711" s="27"/>
      <c r="W711" s="27"/>
      <c r="X711" s="27"/>
      <c r="Y711" s="27"/>
      <c r="Z711" s="27"/>
      <c r="AA711" s="25"/>
      <c r="AB711" s="27"/>
      <c r="AC711" s="30" t="str">
        <f aca="false">IF(M711="","",IF(AB711="",M711*Parámetros!$B$6,AB711))</f>
        <v/>
      </c>
      <c r="AD711" s="30" t="str">
        <f aca="false">IF(M711="","",SUM(T711:Z711)+AC711)</f>
        <v/>
      </c>
      <c r="AE711" s="30" t="str">
        <f aca="false">IF(OR(M711="",N711=""),"",M711-N711)</f>
        <v/>
      </c>
      <c r="AF711" s="30" t="str">
        <f aca="false">IF(AE711="","",AE711-AD711)</f>
        <v/>
      </c>
      <c r="AG711" s="28" t="str">
        <f aca="false">IF(OR(AF711="",M711=0),"",AF711/M711)</f>
        <v/>
      </c>
      <c r="AH711" s="32" t="str">
        <f aca="false">IF(OR(AE711="",N711=0),"",AE711/(N711/1000))</f>
        <v/>
      </c>
      <c r="AI711" s="30" t="str">
        <f aca="false">IF(O711="","",M711*P711)</f>
        <v/>
      </c>
      <c r="AJ711" s="11" t="str">
        <f aca="false">IF(O711="","",IF(O711&gt;1,"Error: rend &gt; 100 %",IF(SUM(T711:Z711)=0,"Falta registrar pérdidas",IF(ABS(AG711)&gt;Parámetros!$B$7,"Revisar balance",IF(O711&lt;P711,"Bajo meta","OK")))))</f>
        <v/>
      </c>
      <c r="AK711" s="33"/>
      <c r="AL711" s="10"/>
      <c r="AM711" s="33"/>
      <c r="AN711" s="33"/>
      <c r="AO711" s="10"/>
    </row>
    <row r="712" customFormat="false" ht="15" hidden="false" customHeight="false" outlineLevel="0" collapsed="false">
      <c r="A712" s="22"/>
      <c r="B712" s="23" t="str">
        <f aca="false">IF(A712="","",YEAR(A712-WEEKDAY(A712,2)+4))</f>
        <v/>
      </c>
      <c r="C712" s="23" t="str">
        <f aca="false">IF(A712="","",WEEKNUM(A712,21))</f>
        <v/>
      </c>
      <c r="D712" s="24" t="str">
        <f aca="false">IF(A712="","",DATE(YEAR(A712),MONTH(A712),1))</f>
        <v/>
      </c>
      <c r="E712" s="10"/>
      <c r="F712" s="25"/>
      <c r="G712" s="25"/>
      <c r="H712" s="10"/>
      <c r="I712" s="10"/>
      <c r="J712" s="26"/>
      <c r="K712" s="25"/>
      <c r="L712" s="26"/>
      <c r="M712" s="27"/>
      <c r="N712" s="27"/>
      <c r="O712" s="28" t="str">
        <f aca="false">IF(OR(M712="",M712=0,N712=""),"",N712/M712)</f>
        <v/>
      </c>
      <c r="P712" s="28" t="str">
        <f aca="false">IF(M712="","",IFERROR(IF(INDEX(Parámetros!$B$14:$B$21,MATCH(I712,Parámetros!$A$14:$A$21,0))="",Parámetros!$B$5,INDEX(Parámetros!$B$14:$B$21,MATCH(I712,Parámetros!$A$14:$A$21,0))),Parámetros!$B$5))</f>
        <v/>
      </c>
      <c r="Q712" s="29" t="str">
        <f aca="false">IF(O712="","",(O712-P712)*100)</f>
        <v/>
      </c>
      <c r="R712" s="30" t="str">
        <f aca="false">IF(O712="","",MAX(0,M712*(P712-O712)))</f>
        <v/>
      </c>
      <c r="S712" s="31" t="str">
        <f aca="false">IF(OR(L712="",L712=0,N712=""),"",N712/1000/L712)</f>
        <v/>
      </c>
      <c r="T712" s="27"/>
      <c r="U712" s="27"/>
      <c r="V712" s="27"/>
      <c r="W712" s="27"/>
      <c r="X712" s="27"/>
      <c r="Y712" s="27"/>
      <c r="Z712" s="27"/>
      <c r="AA712" s="25"/>
      <c r="AB712" s="27"/>
      <c r="AC712" s="30" t="str">
        <f aca="false">IF(M712="","",IF(AB712="",M712*Parámetros!$B$6,AB712))</f>
        <v/>
      </c>
      <c r="AD712" s="30" t="str">
        <f aca="false">IF(M712="","",SUM(T712:Z712)+AC712)</f>
        <v/>
      </c>
      <c r="AE712" s="30" t="str">
        <f aca="false">IF(OR(M712="",N712=""),"",M712-N712)</f>
        <v/>
      </c>
      <c r="AF712" s="30" t="str">
        <f aca="false">IF(AE712="","",AE712-AD712)</f>
        <v/>
      </c>
      <c r="AG712" s="28" t="str">
        <f aca="false">IF(OR(AF712="",M712=0),"",AF712/M712)</f>
        <v/>
      </c>
      <c r="AH712" s="32" t="str">
        <f aca="false">IF(OR(AE712="",N712=0),"",AE712/(N712/1000))</f>
        <v/>
      </c>
      <c r="AI712" s="30" t="str">
        <f aca="false">IF(O712="","",M712*P712)</f>
        <v/>
      </c>
      <c r="AJ712" s="11" t="str">
        <f aca="false">IF(O712="","",IF(O712&gt;1,"Error: rend &gt; 100 %",IF(SUM(T712:Z712)=0,"Falta registrar pérdidas",IF(ABS(AG712)&gt;Parámetros!$B$7,"Revisar balance",IF(O712&lt;P712,"Bajo meta","OK")))))</f>
        <v/>
      </c>
      <c r="AK712" s="33"/>
      <c r="AL712" s="10"/>
      <c r="AM712" s="33"/>
      <c r="AN712" s="33"/>
      <c r="AO712" s="10"/>
    </row>
    <row r="713" customFormat="false" ht="15" hidden="false" customHeight="false" outlineLevel="0" collapsed="false">
      <c r="A713" s="22"/>
      <c r="B713" s="23" t="str">
        <f aca="false">IF(A713="","",YEAR(A713-WEEKDAY(A713,2)+4))</f>
        <v/>
      </c>
      <c r="C713" s="23" t="str">
        <f aca="false">IF(A713="","",WEEKNUM(A713,21))</f>
        <v/>
      </c>
      <c r="D713" s="24" t="str">
        <f aca="false">IF(A713="","",DATE(YEAR(A713),MONTH(A713),1))</f>
        <v/>
      </c>
      <c r="E713" s="10"/>
      <c r="F713" s="25"/>
      <c r="G713" s="25"/>
      <c r="H713" s="10"/>
      <c r="I713" s="10"/>
      <c r="J713" s="26"/>
      <c r="K713" s="25"/>
      <c r="L713" s="26"/>
      <c r="M713" s="27"/>
      <c r="N713" s="27"/>
      <c r="O713" s="28" t="str">
        <f aca="false">IF(OR(M713="",M713=0,N713=""),"",N713/M713)</f>
        <v/>
      </c>
      <c r="P713" s="28" t="str">
        <f aca="false">IF(M713="","",IFERROR(IF(INDEX(Parámetros!$B$14:$B$21,MATCH(I713,Parámetros!$A$14:$A$21,0))="",Parámetros!$B$5,INDEX(Parámetros!$B$14:$B$21,MATCH(I713,Parámetros!$A$14:$A$21,0))),Parámetros!$B$5))</f>
        <v/>
      </c>
      <c r="Q713" s="29" t="str">
        <f aca="false">IF(O713="","",(O713-P713)*100)</f>
        <v/>
      </c>
      <c r="R713" s="30" t="str">
        <f aca="false">IF(O713="","",MAX(0,M713*(P713-O713)))</f>
        <v/>
      </c>
      <c r="S713" s="31" t="str">
        <f aca="false">IF(OR(L713="",L713=0,N713=""),"",N713/1000/L713)</f>
        <v/>
      </c>
      <c r="T713" s="27"/>
      <c r="U713" s="27"/>
      <c r="V713" s="27"/>
      <c r="W713" s="27"/>
      <c r="X713" s="27"/>
      <c r="Y713" s="27"/>
      <c r="Z713" s="27"/>
      <c r="AA713" s="25"/>
      <c r="AB713" s="27"/>
      <c r="AC713" s="30" t="str">
        <f aca="false">IF(M713="","",IF(AB713="",M713*Parámetros!$B$6,AB713))</f>
        <v/>
      </c>
      <c r="AD713" s="30" t="str">
        <f aca="false">IF(M713="","",SUM(T713:Z713)+AC713)</f>
        <v/>
      </c>
      <c r="AE713" s="30" t="str">
        <f aca="false">IF(OR(M713="",N713=""),"",M713-N713)</f>
        <v/>
      </c>
      <c r="AF713" s="30" t="str">
        <f aca="false">IF(AE713="","",AE713-AD713)</f>
        <v/>
      </c>
      <c r="AG713" s="28" t="str">
        <f aca="false">IF(OR(AF713="",M713=0),"",AF713/M713)</f>
        <v/>
      </c>
      <c r="AH713" s="32" t="str">
        <f aca="false">IF(OR(AE713="",N713=0),"",AE713/(N713/1000))</f>
        <v/>
      </c>
      <c r="AI713" s="30" t="str">
        <f aca="false">IF(O713="","",M713*P713)</f>
        <v/>
      </c>
      <c r="AJ713" s="11" t="str">
        <f aca="false">IF(O713="","",IF(O713&gt;1,"Error: rend &gt; 100 %",IF(SUM(T713:Z713)=0,"Falta registrar pérdidas",IF(ABS(AG713)&gt;Parámetros!$B$7,"Revisar balance",IF(O713&lt;P713,"Bajo meta","OK")))))</f>
        <v/>
      </c>
      <c r="AK713" s="33"/>
      <c r="AL713" s="10"/>
      <c r="AM713" s="33"/>
      <c r="AN713" s="33"/>
      <c r="AO713" s="10"/>
    </row>
    <row r="714" customFormat="false" ht="15" hidden="false" customHeight="false" outlineLevel="0" collapsed="false">
      <c r="A714" s="22"/>
      <c r="B714" s="23" t="str">
        <f aca="false">IF(A714="","",YEAR(A714-WEEKDAY(A714,2)+4))</f>
        <v/>
      </c>
      <c r="C714" s="23" t="str">
        <f aca="false">IF(A714="","",WEEKNUM(A714,21))</f>
        <v/>
      </c>
      <c r="D714" s="24" t="str">
        <f aca="false">IF(A714="","",DATE(YEAR(A714),MONTH(A714),1))</f>
        <v/>
      </c>
      <c r="E714" s="10"/>
      <c r="F714" s="25"/>
      <c r="G714" s="25"/>
      <c r="H714" s="10"/>
      <c r="I714" s="10"/>
      <c r="J714" s="26"/>
      <c r="K714" s="25"/>
      <c r="L714" s="26"/>
      <c r="M714" s="27"/>
      <c r="N714" s="27"/>
      <c r="O714" s="28" t="str">
        <f aca="false">IF(OR(M714="",M714=0,N714=""),"",N714/M714)</f>
        <v/>
      </c>
      <c r="P714" s="28" t="str">
        <f aca="false">IF(M714="","",IFERROR(IF(INDEX(Parámetros!$B$14:$B$21,MATCH(I714,Parámetros!$A$14:$A$21,0))="",Parámetros!$B$5,INDEX(Parámetros!$B$14:$B$21,MATCH(I714,Parámetros!$A$14:$A$21,0))),Parámetros!$B$5))</f>
        <v/>
      </c>
      <c r="Q714" s="29" t="str">
        <f aca="false">IF(O714="","",(O714-P714)*100)</f>
        <v/>
      </c>
      <c r="R714" s="30" t="str">
        <f aca="false">IF(O714="","",MAX(0,M714*(P714-O714)))</f>
        <v/>
      </c>
      <c r="S714" s="31" t="str">
        <f aca="false">IF(OR(L714="",L714=0,N714=""),"",N714/1000/L714)</f>
        <v/>
      </c>
      <c r="T714" s="27"/>
      <c r="U714" s="27"/>
      <c r="V714" s="27"/>
      <c r="W714" s="27"/>
      <c r="X714" s="27"/>
      <c r="Y714" s="27"/>
      <c r="Z714" s="27"/>
      <c r="AA714" s="25"/>
      <c r="AB714" s="27"/>
      <c r="AC714" s="30" t="str">
        <f aca="false">IF(M714="","",IF(AB714="",M714*Parámetros!$B$6,AB714))</f>
        <v/>
      </c>
      <c r="AD714" s="30" t="str">
        <f aca="false">IF(M714="","",SUM(T714:Z714)+AC714)</f>
        <v/>
      </c>
      <c r="AE714" s="30" t="str">
        <f aca="false">IF(OR(M714="",N714=""),"",M714-N714)</f>
        <v/>
      </c>
      <c r="AF714" s="30" t="str">
        <f aca="false">IF(AE714="","",AE714-AD714)</f>
        <v/>
      </c>
      <c r="AG714" s="28" t="str">
        <f aca="false">IF(OR(AF714="",M714=0),"",AF714/M714)</f>
        <v/>
      </c>
      <c r="AH714" s="32" t="str">
        <f aca="false">IF(OR(AE714="",N714=0),"",AE714/(N714/1000))</f>
        <v/>
      </c>
      <c r="AI714" s="30" t="str">
        <f aca="false">IF(O714="","",M714*P714)</f>
        <v/>
      </c>
      <c r="AJ714" s="11" t="str">
        <f aca="false">IF(O714="","",IF(O714&gt;1,"Error: rend &gt; 100 %",IF(SUM(T714:Z714)=0,"Falta registrar pérdidas",IF(ABS(AG714)&gt;Parámetros!$B$7,"Revisar balance",IF(O714&lt;P714,"Bajo meta","OK")))))</f>
        <v/>
      </c>
      <c r="AK714" s="33"/>
      <c r="AL714" s="10"/>
      <c r="AM714" s="33"/>
      <c r="AN714" s="33"/>
      <c r="AO714" s="10"/>
    </row>
    <row r="715" customFormat="false" ht="15" hidden="false" customHeight="false" outlineLevel="0" collapsed="false">
      <c r="A715" s="22"/>
      <c r="B715" s="23" t="str">
        <f aca="false">IF(A715="","",YEAR(A715-WEEKDAY(A715,2)+4))</f>
        <v/>
      </c>
      <c r="C715" s="23" t="str">
        <f aca="false">IF(A715="","",WEEKNUM(A715,21))</f>
        <v/>
      </c>
      <c r="D715" s="24" t="str">
        <f aca="false">IF(A715="","",DATE(YEAR(A715),MONTH(A715),1))</f>
        <v/>
      </c>
      <c r="E715" s="10"/>
      <c r="F715" s="25"/>
      <c r="G715" s="25"/>
      <c r="H715" s="10"/>
      <c r="I715" s="10"/>
      <c r="J715" s="26"/>
      <c r="K715" s="25"/>
      <c r="L715" s="26"/>
      <c r="M715" s="27"/>
      <c r="N715" s="27"/>
      <c r="O715" s="28" t="str">
        <f aca="false">IF(OR(M715="",M715=0,N715=""),"",N715/M715)</f>
        <v/>
      </c>
      <c r="P715" s="28" t="str">
        <f aca="false">IF(M715="","",IFERROR(IF(INDEX(Parámetros!$B$14:$B$21,MATCH(I715,Parámetros!$A$14:$A$21,0))="",Parámetros!$B$5,INDEX(Parámetros!$B$14:$B$21,MATCH(I715,Parámetros!$A$14:$A$21,0))),Parámetros!$B$5))</f>
        <v/>
      </c>
      <c r="Q715" s="29" t="str">
        <f aca="false">IF(O715="","",(O715-P715)*100)</f>
        <v/>
      </c>
      <c r="R715" s="30" t="str">
        <f aca="false">IF(O715="","",MAX(0,M715*(P715-O715)))</f>
        <v/>
      </c>
      <c r="S715" s="31" t="str">
        <f aca="false">IF(OR(L715="",L715=0,N715=""),"",N715/1000/L715)</f>
        <v/>
      </c>
      <c r="T715" s="27"/>
      <c r="U715" s="27"/>
      <c r="V715" s="27"/>
      <c r="W715" s="27"/>
      <c r="X715" s="27"/>
      <c r="Y715" s="27"/>
      <c r="Z715" s="27"/>
      <c r="AA715" s="25"/>
      <c r="AB715" s="27"/>
      <c r="AC715" s="30" t="str">
        <f aca="false">IF(M715="","",IF(AB715="",M715*Parámetros!$B$6,AB715))</f>
        <v/>
      </c>
      <c r="AD715" s="30" t="str">
        <f aca="false">IF(M715="","",SUM(T715:Z715)+AC715)</f>
        <v/>
      </c>
      <c r="AE715" s="30" t="str">
        <f aca="false">IF(OR(M715="",N715=""),"",M715-N715)</f>
        <v/>
      </c>
      <c r="AF715" s="30" t="str">
        <f aca="false">IF(AE715="","",AE715-AD715)</f>
        <v/>
      </c>
      <c r="AG715" s="28" t="str">
        <f aca="false">IF(OR(AF715="",M715=0),"",AF715/M715)</f>
        <v/>
      </c>
      <c r="AH715" s="32" t="str">
        <f aca="false">IF(OR(AE715="",N715=0),"",AE715/(N715/1000))</f>
        <v/>
      </c>
      <c r="AI715" s="30" t="str">
        <f aca="false">IF(O715="","",M715*P715)</f>
        <v/>
      </c>
      <c r="AJ715" s="11" t="str">
        <f aca="false">IF(O715="","",IF(O715&gt;1,"Error: rend &gt; 100 %",IF(SUM(T715:Z715)=0,"Falta registrar pérdidas",IF(ABS(AG715)&gt;Parámetros!$B$7,"Revisar balance",IF(O715&lt;P715,"Bajo meta","OK")))))</f>
        <v/>
      </c>
      <c r="AK715" s="33"/>
      <c r="AL715" s="10"/>
      <c r="AM715" s="33"/>
      <c r="AN715" s="33"/>
      <c r="AO715" s="10"/>
    </row>
    <row r="716" customFormat="false" ht="15" hidden="false" customHeight="false" outlineLevel="0" collapsed="false">
      <c r="A716" s="22"/>
      <c r="B716" s="23" t="str">
        <f aca="false">IF(A716="","",YEAR(A716-WEEKDAY(A716,2)+4))</f>
        <v/>
      </c>
      <c r="C716" s="23" t="str">
        <f aca="false">IF(A716="","",WEEKNUM(A716,21))</f>
        <v/>
      </c>
      <c r="D716" s="24" t="str">
        <f aca="false">IF(A716="","",DATE(YEAR(A716),MONTH(A716),1))</f>
        <v/>
      </c>
      <c r="E716" s="10"/>
      <c r="F716" s="25"/>
      <c r="G716" s="25"/>
      <c r="H716" s="10"/>
      <c r="I716" s="10"/>
      <c r="J716" s="26"/>
      <c r="K716" s="25"/>
      <c r="L716" s="26"/>
      <c r="M716" s="27"/>
      <c r="N716" s="27"/>
      <c r="O716" s="28" t="str">
        <f aca="false">IF(OR(M716="",M716=0,N716=""),"",N716/M716)</f>
        <v/>
      </c>
      <c r="P716" s="28" t="str">
        <f aca="false">IF(M716="","",IFERROR(IF(INDEX(Parámetros!$B$14:$B$21,MATCH(I716,Parámetros!$A$14:$A$21,0))="",Parámetros!$B$5,INDEX(Parámetros!$B$14:$B$21,MATCH(I716,Parámetros!$A$14:$A$21,0))),Parámetros!$B$5))</f>
        <v/>
      </c>
      <c r="Q716" s="29" t="str">
        <f aca="false">IF(O716="","",(O716-P716)*100)</f>
        <v/>
      </c>
      <c r="R716" s="30" t="str">
        <f aca="false">IF(O716="","",MAX(0,M716*(P716-O716)))</f>
        <v/>
      </c>
      <c r="S716" s="31" t="str">
        <f aca="false">IF(OR(L716="",L716=0,N716=""),"",N716/1000/L716)</f>
        <v/>
      </c>
      <c r="T716" s="27"/>
      <c r="U716" s="27"/>
      <c r="V716" s="27"/>
      <c r="W716" s="27"/>
      <c r="X716" s="27"/>
      <c r="Y716" s="27"/>
      <c r="Z716" s="27"/>
      <c r="AA716" s="25"/>
      <c r="AB716" s="27"/>
      <c r="AC716" s="30" t="str">
        <f aca="false">IF(M716="","",IF(AB716="",M716*Parámetros!$B$6,AB716))</f>
        <v/>
      </c>
      <c r="AD716" s="30" t="str">
        <f aca="false">IF(M716="","",SUM(T716:Z716)+AC716)</f>
        <v/>
      </c>
      <c r="AE716" s="30" t="str">
        <f aca="false">IF(OR(M716="",N716=""),"",M716-N716)</f>
        <v/>
      </c>
      <c r="AF716" s="30" t="str">
        <f aca="false">IF(AE716="","",AE716-AD716)</f>
        <v/>
      </c>
      <c r="AG716" s="28" t="str">
        <f aca="false">IF(OR(AF716="",M716=0),"",AF716/M716)</f>
        <v/>
      </c>
      <c r="AH716" s="32" t="str">
        <f aca="false">IF(OR(AE716="",N716=0),"",AE716/(N716/1000))</f>
        <v/>
      </c>
      <c r="AI716" s="30" t="str">
        <f aca="false">IF(O716="","",M716*P716)</f>
        <v/>
      </c>
      <c r="AJ716" s="11" t="str">
        <f aca="false">IF(O716="","",IF(O716&gt;1,"Error: rend &gt; 100 %",IF(SUM(T716:Z716)=0,"Falta registrar pérdidas",IF(ABS(AG716)&gt;Parámetros!$B$7,"Revisar balance",IF(O716&lt;P716,"Bajo meta","OK")))))</f>
        <v/>
      </c>
      <c r="AK716" s="33"/>
      <c r="AL716" s="10"/>
      <c r="AM716" s="33"/>
      <c r="AN716" s="33"/>
      <c r="AO716" s="10"/>
    </row>
    <row r="717" customFormat="false" ht="15" hidden="false" customHeight="false" outlineLevel="0" collapsed="false">
      <c r="A717" s="22"/>
      <c r="B717" s="23" t="str">
        <f aca="false">IF(A717="","",YEAR(A717-WEEKDAY(A717,2)+4))</f>
        <v/>
      </c>
      <c r="C717" s="23" t="str">
        <f aca="false">IF(A717="","",WEEKNUM(A717,21))</f>
        <v/>
      </c>
      <c r="D717" s="24" t="str">
        <f aca="false">IF(A717="","",DATE(YEAR(A717),MONTH(A717),1))</f>
        <v/>
      </c>
      <c r="E717" s="10"/>
      <c r="F717" s="25"/>
      <c r="G717" s="25"/>
      <c r="H717" s="10"/>
      <c r="I717" s="10"/>
      <c r="J717" s="26"/>
      <c r="K717" s="25"/>
      <c r="L717" s="26"/>
      <c r="M717" s="27"/>
      <c r="N717" s="27"/>
      <c r="O717" s="28" t="str">
        <f aca="false">IF(OR(M717="",M717=0,N717=""),"",N717/M717)</f>
        <v/>
      </c>
      <c r="P717" s="28" t="str">
        <f aca="false">IF(M717="","",IFERROR(IF(INDEX(Parámetros!$B$14:$B$21,MATCH(I717,Parámetros!$A$14:$A$21,0))="",Parámetros!$B$5,INDEX(Parámetros!$B$14:$B$21,MATCH(I717,Parámetros!$A$14:$A$21,0))),Parámetros!$B$5))</f>
        <v/>
      </c>
      <c r="Q717" s="29" t="str">
        <f aca="false">IF(O717="","",(O717-P717)*100)</f>
        <v/>
      </c>
      <c r="R717" s="30" t="str">
        <f aca="false">IF(O717="","",MAX(0,M717*(P717-O717)))</f>
        <v/>
      </c>
      <c r="S717" s="31" t="str">
        <f aca="false">IF(OR(L717="",L717=0,N717=""),"",N717/1000/L717)</f>
        <v/>
      </c>
      <c r="T717" s="27"/>
      <c r="U717" s="27"/>
      <c r="V717" s="27"/>
      <c r="W717" s="27"/>
      <c r="X717" s="27"/>
      <c r="Y717" s="27"/>
      <c r="Z717" s="27"/>
      <c r="AA717" s="25"/>
      <c r="AB717" s="27"/>
      <c r="AC717" s="30" t="str">
        <f aca="false">IF(M717="","",IF(AB717="",M717*Parámetros!$B$6,AB717))</f>
        <v/>
      </c>
      <c r="AD717" s="30" t="str">
        <f aca="false">IF(M717="","",SUM(T717:Z717)+AC717)</f>
        <v/>
      </c>
      <c r="AE717" s="30" t="str">
        <f aca="false">IF(OR(M717="",N717=""),"",M717-N717)</f>
        <v/>
      </c>
      <c r="AF717" s="30" t="str">
        <f aca="false">IF(AE717="","",AE717-AD717)</f>
        <v/>
      </c>
      <c r="AG717" s="28" t="str">
        <f aca="false">IF(OR(AF717="",M717=0),"",AF717/M717)</f>
        <v/>
      </c>
      <c r="AH717" s="32" t="str">
        <f aca="false">IF(OR(AE717="",N717=0),"",AE717/(N717/1000))</f>
        <v/>
      </c>
      <c r="AI717" s="30" t="str">
        <f aca="false">IF(O717="","",M717*P717)</f>
        <v/>
      </c>
      <c r="AJ717" s="11" t="str">
        <f aca="false">IF(O717="","",IF(O717&gt;1,"Error: rend &gt; 100 %",IF(SUM(T717:Z717)=0,"Falta registrar pérdidas",IF(ABS(AG717)&gt;Parámetros!$B$7,"Revisar balance",IF(O717&lt;P717,"Bajo meta","OK")))))</f>
        <v/>
      </c>
      <c r="AK717" s="33"/>
      <c r="AL717" s="10"/>
      <c r="AM717" s="33"/>
      <c r="AN717" s="33"/>
      <c r="AO717" s="10"/>
    </row>
    <row r="718" customFormat="false" ht="15" hidden="false" customHeight="false" outlineLevel="0" collapsed="false">
      <c r="A718" s="22"/>
      <c r="B718" s="23" t="str">
        <f aca="false">IF(A718="","",YEAR(A718-WEEKDAY(A718,2)+4))</f>
        <v/>
      </c>
      <c r="C718" s="23" t="str">
        <f aca="false">IF(A718="","",WEEKNUM(A718,21))</f>
        <v/>
      </c>
      <c r="D718" s="24" t="str">
        <f aca="false">IF(A718="","",DATE(YEAR(A718),MONTH(A718),1))</f>
        <v/>
      </c>
      <c r="E718" s="10"/>
      <c r="F718" s="25"/>
      <c r="G718" s="25"/>
      <c r="H718" s="10"/>
      <c r="I718" s="10"/>
      <c r="J718" s="26"/>
      <c r="K718" s="25"/>
      <c r="L718" s="26"/>
      <c r="M718" s="27"/>
      <c r="N718" s="27"/>
      <c r="O718" s="28" t="str">
        <f aca="false">IF(OR(M718="",M718=0,N718=""),"",N718/M718)</f>
        <v/>
      </c>
      <c r="P718" s="28" t="str">
        <f aca="false">IF(M718="","",IFERROR(IF(INDEX(Parámetros!$B$14:$B$21,MATCH(I718,Parámetros!$A$14:$A$21,0))="",Parámetros!$B$5,INDEX(Parámetros!$B$14:$B$21,MATCH(I718,Parámetros!$A$14:$A$21,0))),Parámetros!$B$5))</f>
        <v/>
      </c>
      <c r="Q718" s="29" t="str">
        <f aca="false">IF(O718="","",(O718-P718)*100)</f>
        <v/>
      </c>
      <c r="R718" s="30" t="str">
        <f aca="false">IF(O718="","",MAX(0,M718*(P718-O718)))</f>
        <v/>
      </c>
      <c r="S718" s="31" t="str">
        <f aca="false">IF(OR(L718="",L718=0,N718=""),"",N718/1000/L718)</f>
        <v/>
      </c>
      <c r="T718" s="27"/>
      <c r="U718" s="27"/>
      <c r="V718" s="27"/>
      <c r="W718" s="27"/>
      <c r="X718" s="27"/>
      <c r="Y718" s="27"/>
      <c r="Z718" s="27"/>
      <c r="AA718" s="25"/>
      <c r="AB718" s="27"/>
      <c r="AC718" s="30" t="str">
        <f aca="false">IF(M718="","",IF(AB718="",M718*Parámetros!$B$6,AB718))</f>
        <v/>
      </c>
      <c r="AD718" s="30" t="str">
        <f aca="false">IF(M718="","",SUM(T718:Z718)+AC718)</f>
        <v/>
      </c>
      <c r="AE718" s="30" t="str">
        <f aca="false">IF(OR(M718="",N718=""),"",M718-N718)</f>
        <v/>
      </c>
      <c r="AF718" s="30" t="str">
        <f aca="false">IF(AE718="","",AE718-AD718)</f>
        <v/>
      </c>
      <c r="AG718" s="28" t="str">
        <f aca="false">IF(OR(AF718="",M718=0),"",AF718/M718)</f>
        <v/>
      </c>
      <c r="AH718" s="32" t="str">
        <f aca="false">IF(OR(AE718="",N718=0),"",AE718/(N718/1000))</f>
        <v/>
      </c>
      <c r="AI718" s="30" t="str">
        <f aca="false">IF(O718="","",M718*P718)</f>
        <v/>
      </c>
      <c r="AJ718" s="11" t="str">
        <f aca="false">IF(O718="","",IF(O718&gt;1,"Error: rend &gt; 100 %",IF(SUM(T718:Z718)=0,"Falta registrar pérdidas",IF(ABS(AG718)&gt;Parámetros!$B$7,"Revisar balance",IF(O718&lt;P718,"Bajo meta","OK")))))</f>
        <v/>
      </c>
      <c r="AK718" s="33"/>
      <c r="AL718" s="10"/>
      <c r="AM718" s="33"/>
      <c r="AN718" s="33"/>
      <c r="AO718" s="10"/>
    </row>
    <row r="719" customFormat="false" ht="15" hidden="false" customHeight="false" outlineLevel="0" collapsed="false">
      <c r="A719" s="22"/>
      <c r="B719" s="23" t="str">
        <f aca="false">IF(A719="","",YEAR(A719-WEEKDAY(A719,2)+4))</f>
        <v/>
      </c>
      <c r="C719" s="23" t="str">
        <f aca="false">IF(A719="","",WEEKNUM(A719,21))</f>
        <v/>
      </c>
      <c r="D719" s="24" t="str">
        <f aca="false">IF(A719="","",DATE(YEAR(A719),MONTH(A719),1))</f>
        <v/>
      </c>
      <c r="E719" s="10"/>
      <c r="F719" s="25"/>
      <c r="G719" s="25"/>
      <c r="H719" s="10"/>
      <c r="I719" s="10"/>
      <c r="J719" s="26"/>
      <c r="K719" s="25"/>
      <c r="L719" s="26"/>
      <c r="M719" s="27"/>
      <c r="N719" s="27"/>
      <c r="O719" s="28" t="str">
        <f aca="false">IF(OR(M719="",M719=0,N719=""),"",N719/M719)</f>
        <v/>
      </c>
      <c r="P719" s="28" t="str">
        <f aca="false">IF(M719="","",IFERROR(IF(INDEX(Parámetros!$B$14:$B$21,MATCH(I719,Parámetros!$A$14:$A$21,0))="",Parámetros!$B$5,INDEX(Parámetros!$B$14:$B$21,MATCH(I719,Parámetros!$A$14:$A$21,0))),Parámetros!$B$5))</f>
        <v/>
      </c>
      <c r="Q719" s="29" t="str">
        <f aca="false">IF(O719="","",(O719-P719)*100)</f>
        <v/>
      </c>
      <c r="R719" s="30" t="str">
        <f aca="false">IF(O719="","",MAX(0,M719*(P719-O719)))</f>
        <v/>
      </c>
      <c r="S719" s="31" t="str">
        <f aca="false">IF(OR(L719="",L719=0,N719=""),"",N719/1000/L719)</f>
        <v/>
      </c>
      <c r="T719" s="27"/>
      <c r="U719" s="27"/>
      <c r="V719" s="27"/>
      <c r="W719" s="27"/>
      <c r="X719" s="27"/>
      <c r="Y719" s="27"/>
      <c r="Z719" s="27"/>
      <c r="AA719" s="25"/>
      <c r="AB719" s="27"/>
      <c r="AC719" s="30" t="str">
        <f aca="false">IF(M719="","",IF(AB719="",M719*Parámetros!$B$6,AB719))</f>
        <v/>
      </c>
      <c r="AD719" s="30" t="str">
        <f aca="false">IF(M719="","",SUM(T719:Z719)+AC719)</f>
        <v/>
      </c>
      <c r="AE719" s="30" t="str">
        <f aca="false">IF(OR(M719="",N719=""),"",M719-N719)</f>
        <v/>
      </c>
      <c r="AF719" s="30" t="str">
        <f aca="false">IF(AE719="","",AE719-AD719)</f>
        <v/>
      </c>
      <c r="AG719" s="28" t="str">
        <f aca="false">IF(OR(AF719="",M719=0),"",AF719/M719)</f>
        <v/>
      </c>
      <c r="AH719" s="32" t="str">
        <f aca="false">IF(OR(AE719="",N719=0),"",AE719/(N719/1000))</f>
        <v/>
      </c>
      <c r="AI719" s="30" t="str">
        <f aca="false">IF(O719="","",M719*P719)</f>
        <v/>
      </c>
      <c r="AJ719" s="11" t="str">
        <f aca="false">IF(O719="","",IF(O719&gt;1,"Error: rend &gt; 100 %",IF(SUM(T719:Z719)=0,"Falta registrar pérdidas",IF(ABS(AG719)&gt;Parámetros!$B$7,"Revisar balance",IF(O719&lt;P719,"Bajo meta","OK")))))</f>
        <v/>
      </c>
      <c r="AK719" s="33"/>
      <c r="AL719" s="10"/>
      <c r="AM719" s="33"/>
      <c r="AN719" s="33"/>
      <c r="AO719" s="10"/>
    </row>
    <row r="720" customFormat="false" ht="15" hidden="false" customHeight="false" outlineLevel="0" collapsed="false">
      <c r="A720" s="22"/>
      <c r="B720" s="23" t="str">
        <f aca="false">IF(A720="","",YEAR(A720-WEEKDAY(A720,2)+4))</f>
        <v/>
      </c>
      <c r="C720" s="23" t="str">
        <f aca="false">IF(A720="","",WEEKNUM(A720,21))</f>
        <v/>
      </c>
      <c r="D720" s="24" t="str">
        <f aca="false">IF(A720="","",DATE(YEAR(A720),MONTH(A720),1))</f>
        <v/>
      </c>
      <c r="E720" s="10"/>
      <c r="F720" s="25"/>
      <c r="G720" s="25"/>
      <c r="H720" s="10"/>
      <c r="I720" s="10"/>
      <c r="J720" s="26"/>
      <c r="K720" s="25"/>
      <c r="L720" s="26"/>
      <c r="M720" s="27"/>
      <c r="N720" s="27"/>
      <c r="O720" s="28" t="str">
        <f aca="false">IF(OR(M720="",M720=0,N720=""),"",N720/M720)</f>
        <v/>
      </c>
      <c r="P720" s="28" t="str">
        <f aca="false">IF(M720="","",IFERROR(IF(INDEX(Parámetros!$B$14:$B$21,MATCH(I720,Parámetros!$A$14:$A$21,0))="",Parámetros!$B$5,INDEX(Parámetros!$B$14:$B$21,MATCH(I720,Parámetros!$A$14:$A$21,0))),Parámetros!$B$5))</f>
        <v/>
      </c>
      <c r="Q720" s="29" t="str">
        <f aca="false">IF(O720="","",(O720-P720)*100)</f>
        <v/>
      </c>
      <c r="R720" s="30" t="str">
        <f aca="false">IF(O720="","",MAX(0,M720*(P720-O720)))</f>
        <v/>
      </c>
      <c r="S720" s="31" t="str">
        <f aca="false">IF(OR(L720="",L720=0,N720=""),"",N720/1000/L720)</f>
        <v/>
      </c>
      <c r="T720" s="27"/>
      <c r="U720" s="27"/>
      <c r="V720" s="27"/>
      <c r="W720" s="27"/>
      <c r="X720" s="27"/>
      <c r="Y720" s="27"/>
      <c r="Z720" s="27"/>
      <c r="AA720" s="25"/>
      <c r="AB720" s="27"/>
      <c r="AC720" s="30" t="str">
        <f aca="false">IF(M720="","",IF(AB720="",M720*Parámetros!$B$6,AB720))</f>
        <v/>
      </c>
      <c r="AD720" s="30" t="str">
        <f aca="false">IF(M720="","",SUM(T720:Z720)+AC720)</f>
        <v/>
      </c>
      <c r="AE720" s="30" t="str">
        <f aca="false">IF(OR(M720="",N720=""),"",M720-N720)</f>
        <v/>
      </c>
      <c r="AF720" s="30" t="str">
        <f aca="false">IF(AE720="","",AE720-AD720)</f>
        <v/>
      </c>
      <c r="AG720" s="28" t="str">
        <f aca="false">IF(OR(AF720="",M720=0),"",AF720/M720)</f>
        <v/>
      </c>
      <c r="AH720" s="32" t="str">
        <f aca="false">IF(OR(AE720="",N720=0),"",AE720/(N720/1000))</f>
        <v/>
      </c>
      <c r="AI720" s="30" t="str">
        <f aca="false">IF(O720="","",M720*P720)</f>
        <v/>
      </c>
      <c r="AJ720" s="11" t="str">
        <f aca="false">IF(O720="","",IF(O720&gt;1,"Error: rend &gt; 100 %",IF(SUM(T720:Z720)=0,"Falta registrar pérdidas",IF(ABS(AG720)&gt;Parámetros!$B$7,"Revisar balance",IF(O720&lt;P720,"Bajo meta","OK")))))</f>
        <v/>
      </c>
      <c r="AK720" s="33"/>
      <c r="AL720" s="10"/>
      <c r="AM720" s="33"/>
      <c r="AN720" s="33"/>
      <c r="AO720" s="10"/>
    </row>
    <row r="721" customFormat="false" ht="15" hidden="false" customHeight="false" outlineLevel="0" collapsed="false">
      <c r="A721" s="22"/>
      <c r="B721" s="23" t="str">
        <f aca="false">IF(A721="","",YEAR(A721-WEEKDAY(A721,2)+4))</f>
        <v/>
      </c>
      <c r="C721" s="23" t="str">
        <f aca="false">IF(A721="","",WEEKNUM(A721,21))</f>
        <v/>
      </c>
      <c r="D721" s="24" t="str">
        <f aca="false">IF(A721="","",DATE(YEAR(A721),MONTH(A721),1))</f>
        <v/>
      </c>
      <c r="E721" s="10"/>
      <c r="F721" s="25"/>
      <c r="G721" s="25"/>
      <c r="H721" s="10"/>
      <c r="I721" s="10"/>
      <c r="J721" s="26"/>
      <c r="K721" s="25"/>
      <c r="L721" s="26"/>
      <c r="M721" s="27"/>
      <c r="N721" s="27"/>
      <c r="O721" s="28" t="str">
        <f aca="false">IF(OR(M721="",M721=0,N721=""),"",N721/M721)</f>
        <v/>
      </c>
      <c r="P721" s="28" t="str">
        <f aca="false">IF(M721="","",IFERROR(IF(INDEX(Parámetros!$B$14:$B$21,MATCH(I721,Parámetros!$A$14:$A$21,0))="",Parámetros!$B$5,INDEX(Parámetros!$B$14:$B$21,MATCH(I721,Parámetros!$A$14:$A$21,0))),Parámetros!$B$5))</f>
        <v/>
      </c>
      <c r="Q721" s="29" t="str">
        <f aca="false">IF(O721="","",(O721-P721)*100)</f>
        <v/>
      </c>
      <c r="R721" s="30" t="str">
        <f aca="false">IF(O721="","",MAX(0,M721*(P721-O721)))</f>
        <v/>
      </c>
      <c r="S721" s="31" t="str">
        <f aca="false">IF(OR(L721="",L721=0,N721=""),"",N721/1000/L721)</f>
        <v/>
      </c>
      <c r="T721" s="27"/>
      <c r="U721" s="27"/>
      <c r="V721" s="27"/>
      <c r="W721" s="27"/>
      <c r="X721" s="27"/>
      <c r="Y721" s="27"/>
      <c r="Z721" s="27"/>
      <c r="AA721" s="25"/>
      <c r="AB721" s="27"/>
      <c r="AC721" s="30" t="str">
        <f aca="false">IF(M721="","",IF(AB721="",M721*Parámetros!$B$6,AB721))</f>
        <v/>
      </c>
      <c r="AD721" s="30" t="str">
        <f aca="false">IF(M721="","",SUM(T721:Z721)+AC721)</f>
        <v/>
      </c>
      <c r="AE721" s="30" t="str">
        <f aca="false">IF(OR(M721="",N721=""),"",M721-N721)</f>
        <v/>
      </c>
      <c r="AF721" s="30" t="str">
        <f aca="false">IF(AE721="","",AE721-AD721)</f>
        <v/>
      </c>
      <c r="AG721" s="28" t="str">
        <f aca="false">IF(OR(AF721="",M721=0),"",AF721/M721)</f>
        <v/>
      </c>
      <c r="AH721" s="32" t="str">
        <f aca="false">IF(OR(AE721="",N721=0),"",AE721/(N721/1000))</f>
        <v/>
      </c>
      <c r="AI721" s="30" t="str">
        <f aca="false">IF(O721="","",M721*P721)</f>
        <v/>
      </c>
      <c r="AJ721" s="11" t="str">
        <f aca="false">IF(O721="","",IF(O721&gt;1,"Error: rend &gt; 100 %",IF(SUM(T721:Z721)=0,"Falta registrar pérdidas",IF(ABS(AG721)&gt;Parámetros!$B$7,"Revisar balance",IF(O721&lt;P721,"Bajo meta","OK")))))</f>
        <v/>
      </c>
      <c r="AK721" s="33"/>
      <c r="AL721" s="10"/>
      <c r="AM721" s="33"/>
      <c r="AN721" s="33"/>
      <c r="AO721" s="10"/>
    </row>
    <row r="722" customFormat="false" ht="15" hidden="false" customHeight="false" outlineLevel="0" collapsed="false">
      <c r="A722" s="22"/>
      <c r="B722" s="23" t="str">
        <f aca="false">IF(A722="","",YEAR(A722-WEEKDAY(A722,2)+4))</f>
        <v/>
      </c>
      <c r="C722" s="23" t="str">
        <f aca="false">IF(A722="","",WEEKNUM(A722,21))</f>
        <v/>
      </c>
      <c r="D722" s="24" t="str">
        <f aca="false">IF(A722="","",DATE(YEAR(A722),MONTH(A722),1))</f>
        <v/>
      </c>
      <c r="E722" s="10"/>
      <c r="F722" s="25"/>
      <c r="G722" s="25"/>
      <c r="H722" s="10"/>
      <c r="I722" s="10"/>
      <c r="J722" s="26"/>
      <c r="K722" s="25"/>
      <c r="L722" s="26"/>
      <c r="M722" s="27"/>
      <c r="N722" s="27"/>
      <c r="O722" s="28" t="str">
        <f aca="false">IF(OR(M722="",M722=0,N722=""),"",N722/M722)</f>
        <v/>
      </c>
      <c r="P722" s="28" t="str">
        <f aca="false">IF(M722="","",IFERROR(IF(INDEX(Parámetros!$B$14:$B$21,MATCH(I722,Parámetros!$A$14:$A$21,0))="",Parámetros!$B$5,INDEX(Parámetros!$B$14:$B$21,MATCH(I722,Parámetros!$A$14:$A$21,0))),Parámetros!$B$5))</f>
        <v/>
      </c>
      <c r="Q722" s="29" t="str">
        <f aca="false">IF(O722="","",(O722-P722)*100)</f>
        <v/>
      </c>
      <c r="R722" s="30" t="str">
        <f aca="false">IF(O722="","",MAX(0,M722*(P722-O722)))</f>
        <v/>
      </c>
      <c r="S722" s="31" t="str">
        <f aca="false">IF(OR(L722="",L722=0,N722=""),"",N722/1000/L722)</f>
        <v/>
      </c>
      <c r="T722" s="27"/>
      <c r="U722" s="27"/>
      <c r="V722" s="27"/>
      <c r="W722" s="27"/>
      <c r="X722" s="27"/>
      <c r="Y722" s="27"/>
      <c r="Z722" s="27"/>
      <c r="AA722" s="25"/>
      <c r="AB722" s="27"/>
      <c r="AC722" s="30" t="str">
        <f aca="false">IF(M722="","",IF(AB722="",M722*Parámetros!$B$6,AB722))</f>
        <v/>
      </c>
      <c r="AD722" s="30" t="str">
        <f aca="false">IF(M722="","",SUM(T722:Z722)+AC722)</f>
        <v/>
      </c>
      <c r="AE722" s="30" t="str">
        <f aca="false">IF(OR(M722="",N722=""),"",M722-N722)</f>
        <v/>
      </c>
      <c r="AF722" s="30" t="str">
        <f aca="false">IF(AE722="","",AE722-AD722)</f>
        <v/>
      </c>
      <c r="AG722" s="28" t="str">
        <f aca="false">IF(OR(AF722="",M722=0),"",AF722/M722)</f>
        <v/>
      </c>
      <c r="AH722" s="32" t="str">
        <f aca="false">IF(OR(AE722="",N722=0),"",AE722/(N722/1000))</f>
        <v/>
      </c>
      <c r="AI722" s="30" t="str">
        <f aca="false">IF(O722="","",M722*P722)</f>
        <v/>
      </c>
      <c r="AJ722" s="11" t="str">
        <f aca="false">IF(O722="","",IF(O722&gt;1,"Error: rend &gt; 100 %",IF(SUM(T722:Z722)=0,"Falta registrar pérdidas",IF(ABS(AG722)&gt;Parámetros!$B$7,"Revisar balance",IF(O722&lt;P722,"Bajo meta","OK")))))</f>
        <v/>
      </c>
      <c r="AK722" s="33"/>
      <c r="AL722" s="10"/>
      <c r="AM722" s="33"/>
      <c r="AN722" s="33"/>
      <c r="AO722" s="10"/>
    </row>
    <row r="723" customFormat="false" ht="15" hidden="false" customHeight="false" outlineLevel="0" collapsed="false">
      <c r="A723" s="22"/>
      <c r="B723" s="23" t="str">
        <f aca="false">IF(A723="","",YEAR(A723-WEEKDAY(A723,2)+4))</f>
        <v/>
      </c>
      <c r="C723" s="23" t="str">
        <f aca="false">IF(A723="","",WEEKNUM(A723,21))</f>
        <v/>
      </c>
      <c r="D723" s="24" t="str">
        <f aca="false">IF(A723="","",DATE(YEAR(A723),MONTH(A723),1))</f>
        <v/>
      </c>
      <c r="E723" s="10"/>
      <c r="F723" s="25"/>
      <c r="G723" s="25"/>
      <c r="H723" s="10"/>
      <c r="I723" s="10"/>
      <c r="J723" s="26"/>
      <c r="K723" s="25"/>
      <c r="L723" s="26"/>
      <c r="M723" s="27"/>
      <c r="N723" s="27"/>
      <c r="O723" s="28" t="str">
        <f aca="false">IF(OR(M723="",M723=0,N723=""),"",N723/M723)</f>
        <v/>
      </c>
      <c r="P723" s="28" t="str">
        <f aca="false">IF(M723="","",IFERROR(IF(INDEX(Parámetros!$B$14:$B$21,MATCH(I723,Parámetros!$A$14:$A$21,0))="",Parámetros!$B$5,INDEX(Parámetros!$B$14:$B$21,MATCH(I723,Parámetros!$A$14:$A$21,0))),Parámetros!$B$5))</f>
        <v/>
      </c>
      <c r="Q723" s="29" t="str">
        <f aca="false">IF(O723="","",(O723-P723)*100)</f>
        <v/>
      </c>
      <c r="R723" s="30" t="str">
        <f aca="false">IF(O723="","",MAX(0,M723*(P723-O723)))</f>
        <v/>
      </c>
      <c r="S723" s="31" t="str">
        <f aca="false">IF(OR(L723="",L723=0,N723=""),"",N723/1000/L723)</f>
        <v/>
      </c>
      <c r="T723" s="27"/>
      <c r="U723" s="27"/>
      <c r="V723" s="27"/>
      <c r="W723" s="27"/>
      <c r="X723" s="27"/>
      <c r="Y723" s="27"/>
      <c r="Z723" s="27"/>
      <c r="AA723" s="25"/>
      <c r="AB723" s="27"/>
      <c r="AC723" s="30" t="str">
        <f aca="false">IF(M723="","",IF(AB723="",M723*Parámetros!$B$6,AB723))</f>
        <v/>
      </c>
      <c r="AD723" s="30" t="str">
        <f aca="false">IF(M723="","",SUM(T723:Z723)+AC723)</f>
        <v/>
      </c>
      <c r="AE723" s="30" t="str">
        <f aca="false">IF(OR(M723="",N723=""),"",M723-N723)</f>
        <v/>
      </c>
      <c r="AF723" s="30" t="str">
        <f aca="false">IF(AE723="","",AE723-AD723)</f>
        <v/>
      </c>
      <c r="AG723" s="28" t="str">
        <f aca="false">IF(OR(AF723="",M723=0),"",AF723/M723)</f>
        <v/>
      </c>
      <c r="AH723" s="32" t="str">
        <f aca="false">IF(OR(AE723="",N723=0),"",AE723/(N723/1000))</f>
        <v/>
      </c>
      <c r="AI723" s="30" t="str">
        <f aca="false">IF(O723="","",M723*P723)</f>
        <v/>
      </c>
      <c r="AJ723" s="11" t="str">
        <f aca="false">IF(O723="","",IF(O723&gt;1,"Error: rend &gt; 100 %",IF(SUM(T723:Z723)=0,"Falta registrar pérdidas",IF(ABS(AG723)&gt;Parámetros!$B$7,"Revisar balance",IF(O723&lt;P723,"Bajo meta","OK")))))</f>
        <v/>
      </c>
      <c r="AK723" s="33"/>
      <c r="AL723" s="10"/>
      <c r="AM723" s="33"/>
      <c r="AN723" s="33"/>
      <c r="AO723" s="10"/>
    </row>
    <row r="724" customFormat="false" ht="15" hidden="false" customHeight="false" outlineLevel="0" collapsed="false">
      <c r="A724" s="22"/>
      <c r="B724" s="23" t="str">
        <f aca="false">IF(A724="","",YEAR(A724-WEEKDAY(A724,2)+4))</f>
        <v/>
      </c>
      <c r="C724" s="23" t="str">
        <f aca="false">IF(A724="","",WEEKNUM(A724,21))</f>
        <v/>
      </c>
      <c r="D724" s="24" t="str">
        <f aca="false">IF(A724="","",DATE(YEAR(A724),MONTH(A724),1))</f>
        <v/>
      </c>
      <c r="E724" s="10"/>
      <c r="F724" s="25"/>
      <c r="G724" s="25"/>
      <c r="H724" s="10"/>
      <c r="I724" s="10"/>
      <c r="J724" s="26"/>
      <c r="K724" s="25"/>
      <c r="L724" s="26"/>
      <c r="M724" s="27"/>
      <c r="N724" s="27"/>
      <c r="O724" s="28" t="str">
        <f aca="false">IF(OR(M724="",M724=0,N724=""),"",N724/M724)</f>
        <v/>
      </c>
      <c r="P724" s="28" t="str">
        <f aca="false">IF(M724="","",IFERROR(IF(INDEX(Parámetros!$B$14:$B$21,MATCH(I724,Parámetros!$A$14:$A$21,0))="",Parámetros!$B$5,INDEX(Parámetros!$B$14:$B$21,MATCH(I724,Parámetros!$A$14:$A$21,0))),Parámetros!$B$5))</f>
        <v/>
      </c>
      <c r="Q724" s="29" t="str">
        <f aca="false">IF(O724="","",(O724-P724)*100)</f>
        <v/>
      </c>
      <c r="R724" s="30" t="str">
        <f aca="false">IF(O724="","",MAX(0,M724*(P724-O724)))</f>
        <v/>
      </c>
      <c r="S724" s="31" t="str">
        <f aca="false">IF(OR(L724="",L724=0,N724=""),"",N724/1000/L724)</f>
        <v/>
      </c>
      <c r="T724" s="27"/>
      <c r="U724" s="27"/>
      <c r="V724" s="27"/>
      <c r="W724" s="27"/>
      <c r="X724" s="27"/>
      <c r="Y724" s="27"/>
      <c r="Z724" s="27"/>
      <c r="AA724" s="25"/>
      <c r="AB724" s="27"/>
      <c r="AC724" s="30" t="str">
        <f aca="false">IF(M724="","",IF(AB724="",M724*Parámetros!$B$6,AB724))</f>
        <v/>
      </c>
      <c r="AD724" s="30" t="str">
        <f aca="false">IF(M724="","",SUM(T724:Z724)+AC724)</f>
        <v/>
      </c>
      <c r="AE724" s="30" t="str">
        <f aca="false">IF(OR(M724="",N724=""),"",M724-N724)</f>
        <v/>
      </c>
      <c r="AF724" s="30" t="str">
        <f aca="false">IF(AE724="","",AE724-AD724)</f>
        <v/>
      </c>
      <c r="AG724" s="28" t="str">
        <f aca="false">IF(OR(AF724="",M724=0),"",AF724/M724)</f>
        <v/>
      </c>
      <c r="AH724" s="32" t="str">
        <f aca="false">IF(OR(AE724="",N724=0),"",AE724/(N724/1000))</f>
        <v/>
      </c>
      <c r="AI724" s="30" t="str">
        <f aca="false">IF(O724="","",M724*P724)</f>
        <v/>
      </c>
      <c r="AJ724" s="11" t="str">
        <f aca="false">IF(O724="","",IF(O724&gt;1,"Error: rend &gt; 100 %",IF(SUM(T724:Z724)=0,"Falta registrar pérdidas",IF(ABS(AG724)&gt;Parámetros!$B$7,"Revisar balance",IF(O724&lt;P724,"Bajo meta","OK")))))</f>
        <v/>
      </c>
      <c r="AK724" s="33"/>
      <c r="AL724" s="10"/>
      <c r="AM724" s="33"/>
      <c r="AN724" s="33"/>
      <c r="AO724" s="10"/>
    </row>
    <row r="725" customFormat="false" ht="15" hidden="false" customHeight="false" outlineLevel="0" collapsed="false">
      <c r="A725" s="22"/>
      <c r="B725" s="23" t="str">
        <f aca="false">IF(A725="","",YEAR(A725-WEEKDAY(A725,2)+4))</f>
        <v/>
      </c>
      <c r="C725" s="23" t="str">
        <f aca="false">IF(A725="","",WEEKNUM(A725,21))</f>
        <v/>
      </c>
      <c r="D725" s="24" t="str">
        <f aca="false">IF(A725="","",DATE(YEAR(A725),MONTH(A725),1))</f>
        <v/>
      </c>
      <c r="E725" s="10"/>
      <c r="F725" s="25"/>
      <c r="G725" s="25"/>
      <c r="H725" s="10"/>
      <c r="I725" s="10"/>
      <c r="J725" s="26"/>
      <c r="K725" s="25"/>
      <c r="L725" s="26"/>
      <c r="M725" s="27"/>
      <c r="N725" s="27"/>
      <c r="O725" s="28" t="str">
        <f aca="false">IF(OR(M725="",M725=0,N725=""),"",N725/M725)</f>
        <v/>
      </c>
      <c r="P725" s="28" t="str">
        <f aca="false">IF(M725="","",IFERROR(IF(INDEX(Parámetros!$B$14:$B$21,MATCH(I725,Parámetros!$A$14:$A$21,0))="",Parámetros!$B$5,INDEX(Parámetros!$B$14:$B$21,MATCH(I725,Parámetros!$A$14:$A$21,0))),Parámetros!$B$5))</f>
        <v/>
      </c>
      <c r="Q725" s="29" t="str">
        <f aca="false">IF(O725="","",(O725-P725)*100)</f>
        <v/>
      </c>
      <c r="R725" s="30" t="str">
        <f aca="false">IF(O725="","",MAX(0,M725*(P725-O725)))</f>
        <v/>
      </c>
      <c r="S725" s="31" t="str">
        <f aca="false">IF(OR(L725="",L725=0,N725=""),"",N725/1000/L725)</f>
        <v/>
      </c>
      <c r="T725" s="27"/>
      <c r="U725" s="27"/>
      <c r="V725" s="27"/>
      <c r="W725" s="27"/>
      <c r="X725" s="27"/>
      <c r="Y725" s="27"/>
      <c r="Z725" s="27"/>
      <c r="AA725" s="25"/>
      <c r="AB725" s="27"/>
      <c r="AC725" s="30" t="str">
        <f aca="false">IF(M725="","",IF(AB725="",M725*Parámetros!$B$6,AB725))</f>
        <v/>
      </c>
      <c r="AD725" s="30" t="str">
        <f aca="false">IF(M725="","",SUM(T725:Z725)+AC725)</f>
        <v/>
      </c>
      <c r="AE725" s="30" t="str">
        <f aca="false">IF(OR(M725="",N725=""),"",M725-N725)</f>
        <v/>
      </c>
      <c r="AF725" s="30" t="str">
        <f aca="false">IF(AE725="","",AE725-AD725)</f>
        <v/>
      </c>
      <c r="AG725" s="28" t="str">
        <f aca="false">IF(OR(AF725="",M725=0),"",AF725/M725)</f>
        <v/>
      </c>
      <c r="AH725" s="32" t="str">
        <f aca="false">IF(OR(AE725="",N725=0),"",AE725/(N725/1000))</f>
        <v/>
      </c>
      <c r="AI725" s="30" t="str">
        <f aca="false">IF(O725="","",M725*P725)</f>
        <v/>
      </c>
      <c r="AJ725" s="11" t="str">
        <f aca="false">IF(O725="","",IF(O725&gt;1,"Error: rend &gt; 100 %",IF(SUM(T725:Z725)=0,"Falta registrar pérdidas",IF(ABS(AG725)&gt;Parámetros!$B$7,"Revisar balance",IF(O725&lt;P725,"Bajo meta","OK")))))</f>
        <v/>
      </c>
      <c r="AK725" s="33"/>
      <c r="AL725" s="10"/>
      <c r="AM725" s="33"/>
      <c r="AN725" s="33"/>
      <c r="AO725" s="10"/>
    </row>
    <row r="726" customFormat="false" ht="15" hidden="false" customHeight="false" outlineLevel="0" collapsed="false">
      <c r="A726" s="22"/>
      <c r="B726" s="23" t="str">
        <f aca="false">IF(A726="","",YEAR(A726-WEEKDAY(A726,2)+4))</f>
        <v/>
      </c>
      <c r="C726" s="23" t="str">
        <f aca="false">IF(A726="","",WEEKNUM(A726,21))</f>
        <v/>
      </c>
      <c r="D726" s="24" t="str">
        <f aca="false">IF(A726="","",DATE(YEAR(A726),MONTH(A726),1))</f>
        <v/>
      </c>
      <c r="E726" s="10"/>
      <c r="F726" s="25"/>
      <c r="G726" s="25"/>
      <c r="H726" s="10"/>
      <c r="I726" s="10"/>
      <c r="J726" s="26"/>
      <c r="K726" s="25"/>
      <c r="L726" s="26"/>
      <c r="M726" s="27"/>
      <c r="N726" s="27"/>
      <c r="O726" s="28" t="str">
        <f aca="false">IF(OR(M726="",M726=0,N726=""),"",N726/M726)</f>
        <v/>
      </c>
      <c r="P726" s="28" t="str">
        <f aca="false">IF(M726="","",IFERROR(IF(INDEX(Parámetros!$B$14:$B$21,MATCH(I726,Parámetros!$A$14:$A$21,0))="",Parámetros!$B$5,INDEX(Parámetros!$B$14:$B$21,MATCH(I726,Parámetros!$A$14:$A$21,0))),Parámetros!$B$5))</f>
        <v/>
      </c>
      <c r="Q726" s="29" t="str">
        <f aca="false">IF(O726="","",(O726-P726)*100)</f>
        <v/>
      </c>
      <c r="R726" s="30" t="str">
        <f aca="false">IF(O726="","",MAX(0,M726*(P726-O726)))</f>
        <v/>
      </c>
      <c r="S726" s="31" t="str">
        <f aca="false">IF(OR(L726="",L726=0,N726=""),"",N726/1000/L726)</f>
        <v/>
      </c>
      <c r="T726" s="27"/>
      <c r="U726" s="27"/>
      <c r="V726" s="27"/>
      <c r="W726" s="27"/>
      <c r="X726" s="27"/>
      <c r="Y726" s="27"/>
      <c r="Z726" s="27"/>
      <c r="AA726" s="25"/>
      <c r="AB726" s="27"/>
      <c r="AC726" s="30" t="str">
        <f aca="false">IF(M726="","",IF(AB726="",M726*Parámetros!$B$6,AB726))</f>
        <v/>
      </c>
      <c r="AD726" s="30" t="str">
        <f aca="false">IF(M726="","",SUM(T726:Z726)+AC726)</f>
        <v/>
      </c>
      <c r="AE726" s="30" t="str">
        <f aca="false">IF(OR(M726="",N726=""),"",M726-N726)</f>
        <v/>
      </c>
      <c r="AF726" s="30" t="str">
        <f aca="false">IF(AE726="","",AE726-AD726)</f>
        <v/>
      </c>
      <c r="AG726" s="28" t="str">
        <f aca="false">IF(OR(AF726="",M726=0),"",AF726/M726)</f>
        <v/>
      </c>
      <c r="AH726" s="32" t="str">
        <f aca="false">IF(OR(AE726="",N726=0),"",AE726/(N726/1000))</f>
        <v/>
      </c>
      <c r="AI726" s="30" t="str">
        <f aca="false">IF(O726="","",M726*P726)</f>
        <v/>
      </c>
      <c r="AJ726" s="11" t="str">
        <f aca="false">IF(O726="","",IF(O726&gt;1,"Error: rend &gt; 100 %",IF(SUM(T726:Z726)=0,"Falta registrar pérdidas",IF(ABS(AG726)&gt;Parámetros!$B$7,"Revisar balance",IF(O726&lt;P726,"Bajo meta","OK")))))</f>
        <v/>
      </c>
      <c r="AK726" s="33"/>
      <c r="AL726" s="10"/>
      <c r="AM726" s="33"/>
      <c r="AN726" s="33"/>
      <c r="AO726" s="10"/>
    </row>
    <row r="727" customFormat="false" ht="15" hidden="false" customHeight="false" outlineLevel="0" collapsed="false">
      <c r="A727" s="22"/>
      <c r="B727" s="23" t="str">
        <f aca="false">IF(A727="","",YEAR(A727-WEEKDAY(A727,2)+4))</f>
        <v/>
      </c>
      <c r="C727" s="23" t="str">
        <f aca="false">IF(A727="","",WEEKNUM(A727,21))</f>
        <v/>
      </c>
      <c r="D727" s="24" t="str">
        <f aca="false">IF(A727="","",DATE(YEAR(A727),MONTH(A727),1))</f>
        <v/>
      </c>
      <c r="E727" s="10"/>
      <c r="F727" s="25"/>
      <c r="G727" s="25"/>
      <c r="H727" s="10"/>
      <c r="I727" s="10"/>
      <c r="J727" s="26"/>
      <c r="K727" s="25"/>
      <c r="L727" s="26"/>
      <c r="M727" s="27"/>
      <c r="N727" s="27"/>
      <c r="O727" s="28" t="str">
        <f aca="false">IF(OR(M727="",M727=0,N727=""),"",N727/M727)</f>
        <v/>
      </c>
      <c r="P727" s="28" t="str">
        <f aca="false">IF(M727="","",IFERROR(IF(INDEX(Parámetros!$B$14:$B$21,MATCH(I727,Parámetros!$A$14:$A$21,0))="",Parámetros!$B$5,INDEX(Parámetros!$B$14:$B$21,MATCH(I727,Parámetros!$A$14:$A$21,0))),Parámetros!$B$5))</f>
        <v/>
      </c>
      <c r="Q727" s="29" t="str">
        <f aca="false">IF(O727="","",(O727-P727)*100)</f>
        <v/>
      </c>
      <c r="R727" s="30" t="str">
        <f aca="false">IF(O727="","",MAX(0,M727*(P727-O727)))</f>
        <v/>
      </c>
      <c r="S727" s="31" t="str">
        <f aca="false">IF(OR(L727="",L727=0,N727=""),"",N727/1000/L727)</f>
        <v/>
      </c>
      <c r="T727" s="27"/>
      <c r="U727" s="27"/>
      <c r="V727" s="27"/>
      <c r="W727" s="27"/>
      <c r="X727" s="27"/>
      <c r="Y727" s="27"/>
      <c r="Z727" s="27"/>
      <c r="AA727" s="25"/>
      <c r="AB727" s="27"/>
      <c r="AC727" s="30" t="str">
        <f aca="false">IF(M727="","",IF(AB727="",M727*Parámetros!$B$6,AB727))</f>
        <v/>
      </c>
      <c r="AD727" s="30" t="str">
        <f aca="false">IF(M727="","",SUM(T727:Z727)+AC727)</f>
        <v/>
      </c>
      <c r="AE727" s="30" t="str">
        <f aca="false">IF(OR(M727="",N727=""),"",M727-N727)</f>
        <v/>
      </c>
      <c r="AF727" s="30" t="str">
        <f aca="false">IF(AE727="","",AE727-AD727)</f>
        <v/>
      </c>
      <c r="AG727" s="28" t="str">
        <f aca="false">IF(OR(AF727="",M727=0),"",AF727/M727)</f>
        <v/>
      </c>
      <c r="AH727" s="32" t="str">
        <f aca="false">IF(OR(AE727="",N727=0),"",AE727/(N727/1000))</f>
        <v/>
      </c>
      <c r="AI727" s="30" t="str">
        <f aca="false">IF(O727="","",M727*P727)</f>
        <v/>
      </c>
      <c r="AJ727" s="11" t="str">
        <f aca="false">IF(O727="","",IF(O727&gt;1,"Error: rend &gt; 100 %",IF(SUM(T727:Z727)=0,"Falta registrar pérdidas",IF(ABS(AG727)&gt;Parámetros!$B$7,"Revisar balance",IF(O727&lt;P727,"Bajo meta","OK")))))</f>
        <v/>
      </c>
      <c r="AK727" s="33"/>
      <c r="AL727" s="10"/>
      <c r="AM727" s="33"/>
      <c r="AN727" s="33"/>
      <c r="AO727" s="10"/>
    </row>
    <row r="728" customFormat="false" ht="15" hidden="false" customHeight="false" outlineLevel="0" collapsed="false">
      <c r="A728" s="22"/>
      <c r="B728" s="23" t="str">
        <f aca="false">IF(A728="","",YEAR(A728-WEEKDAY(A728,2)+4))</f>
        <v/>
      </c>
      <c r="C728" s="23" t="str">
        <f aca="false">IF(A728="","",WEEKNUM(A728,21))</f>
        <v/>
      </c>
      <c r="D728" s="24" t="str">
        <f aca="false">IF(A728="","",DATE(YEAR(A728),MONTH(A728),1))</f>
        <v/>
      </c>
      <c r="E728" s="10"/>
      <c r="F728" s="25"/>
      <c r="G728" s="25"/>
      <c r="H728" s="10"/>
      <c r="I728" s="10"/>
      <c r="J728" s="26"/>
      <c r="K728" s="25"/>
      <c r="L728" s="26"/>
      <c r="M728" s="27"/>
      <c r="N728" s="27"/>
      <c r="O728" s="28" t="str">
        <f aca="false">IF(OR(M728="",M728=0,N728=""),"",N728/M728)</f>
        <v/>
      </c>
      <c r="P728" s="28" t="str">
        <f aca="false">IF(M728="","",IFERROR(IF(INDEX(Parámetros!$B$14:$B$21,MATCH(I728,Parámetros!$A$14:$A$21,0))="",Parámetros!$B$5,INDEX(Parámetros!$B$14:$B$21,MATCH(I728,Parámetros!$A$14:$A$21,0))),Parámetros!$B$5))</f>
        <v/>
      </c>
      <c r="Q728" s="29" t="str">
        <f aca="false">IF(O728="","",(O728-P728)*100)</f>
        <v/>
      </c>
      <c r="R728" s="30" t="str">
        <f aca="false">IF(O728="","",MAX(0,M728*(P728-O728)))</f>
        <v/>
      </c>
      <c r="S728" s="31" t="str">
        <f aca="false">IF(OR(L728="",L728=0,N728=""),"",N728/1000/L728)</f>
        <v/>
      </c>
      <c r="T728" s="27"/>
      <c r="U728" s="27"/>
      <c r="V728" s="27"/>
      <c r="W728" s="27"/>
      <c r="X728" s="27"/>
      <c r="Y728" s="27"/>
      <c r="Z728" s="27"/>
      <c r="AA728" s="25"/>
      <c r="AB728" s="27"/>
      <c r="AC728" s="30" t="str">
        <f aca="false">IF(M728="","",IF(AB728="",M728*Parámetros!$B$6,AB728))</f>
        <v/>
      </c>
      <c r="AD728" s="30" t="str">
        <f aca="false">IF(M728="","",SUM(T728:Z728)+AC728)</f>
        <v/>
      </c>
      <c r="AE728" s="30" t="str">
        <f aca="false">IF(OR(M728="",N728=""),"",M728-N728)</f>
        <v/>
      </c>
      <c r="AF728" s="30" t="str">
        <f aca="false">IF(AE728="","",AE728-AD728)</f>
        <v/>
      </c>
      <c r="AG728" s="28" t="str">
        <f aca="false">IF(OR(AF728="",M728=0),"",AF728/M728)</f>
        <v/>
      </c>
      <c r="AH728" s="32" t="str">
        <f aca="false">IF(OR(AE728="",N728=0),"",AE728/(N728/1000))</f>
        <v/>
      </c>
      <c r="AI728" s="30" t="str">
        <f aca="false">IF(O728="","",M728*P728)</f>
        <v/>
      </c>
      <c r="AJ728" s="11" t="str">
        <f aca="false">IF(O728="","",IF(O728&gt;1,"Error: rend &gt; 100 %",IF(SUM(T728:Z728)=0,"Falta registrar pérdidas",IF(ABS(AG728)&gt;Parámetros!$B$7,"Revisar balance",IF(O728&lt;P728,"Bajo meta","OK")))))</f>
        <v/>
      </c>
      <c r="AK728" s="33"/>
      <c r="AL728" s="10"/>
      <c r="AM728" s="33"/>
      <c r="AN728" s="33"/>
      <c r="AO728" s="10"/>
    </row>
    <row r="729" customFormat="false" ht="15" hidden="false" customHeight="false" outlineLevel="0" collapsed="false">
      <c r="A729" s="22"/>
      <c r="B729" s="23" t="str">
        <f aca="false">IF(A729="","",YEAR(A729-WEEKDAY(A729,2)+4))</f>
        <v/>
      </c>
      <c r="C729" s="23" t="str">
        <f aca="false">IF(A729="","",WEEKNUM(A729,21))</f>
        <v/>
      </c>
      <c r="D729" s="24" t="str">
        <f aca="false">IF(A729="","",DATE(YEAR(A729),MONTH(A729),1))</f>
        <v/>
      </c>
      <c r="E729" s="10"/>
      <c r="F729" s="25"/>
      <c r="G729" s="25"/>
      <c r="H729" s="10"/>
      <c r="I729" s="10"/>
      <c r="J729" s="26"/>
      <c r="K729" s="25"/>
      <c r="L729" s="26"/>
      <c r="M729" s="27"/>
      <c r="N729" s="27"/>
      <c r="O729" s="28" t="str">
        <f aca="false">IF(OR(M729="",M729=0,N729=""),"",N729/M729)</f>
        <v/>
      </c>
      <c r="P729" s="28" t="str">
        <f aca="false">IF(M729="","",IFERROR(IF(INDEX(Parámetros!$B$14:$B$21,MATCH(I729,Parámetros!$A$14:$A$21,0))="",Parámetros!$B$5,INDEX(Parámetros!$B$14:$B$21,MATCH(I729,Parámetros!$A$14:$A$21,0))),Parámetros!$B$5))</f>
        <v/>
      </c>
      <c r="Q729" s="29" t="str">
        <f aca="false">IF(O729="","",(O729-P729)*100)</f>
        <v/>
      </c>
      <c r="R729" s="30" t="str">
        <f aca="false">IF(O729="","",MAX(0,M729*(P729-O729)))</f>
        <v/>
      </c>
      <c r="S729" s="31" t="str">
        <f aca="false">IF(OR(L729="",L729=0,N729=""),"",N729/1000/L729)</f>
        <v/>
      </c>
      <c r="T729" s="27"/>
      <c r="U729" s="27"/>
      <c r="V729" s="27"/>
      <c r="W729" s="27"/>
      <c r="X729" s="27"/>
      <c r="Y729" s="27"/>
      <c r="Z729" s="27"/>
      <c r="AA729" s="25"/>
      <c r="AB729" s="27"/>
      <c r="AC729" s="30" t="str">
        <f aca="false">IF(M729="","",IF(AB729="",M729*Parámetros!$B$6,AB729))</f>
        <v/>
      </c>
      <c r="AD729" s="30" t="str">
        <f aca="false">IF(M729="","",SUM(T729:Z729)+AC729)</f>
        <v/>
      </c>
      <c r="AE729" s="30" t="str">
        <f aca="false">IF(OR(M729="",N729=""),"",M729-N729)</f>
        <v/>
      </c>
      <c r="AF729" s="30" t="str">
        <f aca="false">IF(AE729="","",AE729-AD729)</f>
        <v/>
      </c>
      <c r="AG729" s="28" t="str">
        <f aca="false">IF(OR(AF729="",M729=0),"",AF729/M729)</f>
        <v/>
      </c>
      <c r="AH729" s="32" t="str">
        <f aca="false">IF(OR(AE729="",N729=0),"",AE729/(N729/1000))</f>
        <v/>
      </c>
      <c r="AI729" s="30" t="str">
        <f aca="false">IF(O729="","",M729*P729)</f>
        <v/>
      </c>
      <c r="AJ729" s="11" t="str">
        <f aca="false">IF(O729="","",IF(O729&gt;1,"Error: rend &gt; 100 %",IF(SUM(T729:Z729)=0,"Falta registrar pérdidas",IF(ABS(AG729)&gt;Parámetros!$B$7,"Revisar balance",IF(O729&lt;P729,"Bajo meta","OK")))))</f>
        <v/>
      </c>
      <c r="AK729" s="33"/>
      <c r="AL729" s="10"/>
      <c r="AM729" s="33"/>
      <c r="AN729" s="33"/>
      <c r="AO729" s="10"/>
    </row>
    <row r="730" customFormat="false" ht="15" hidden="false" customHeight="false" outlineLevel="0" collapsed="false">
      <c r="A730" s="22"/>
      <c r="B730" s="23" t="str">
        <f aca="false">IF(A730="","",YEAR(A730-WEEKDAY(A730,2)+4))</f>
        <v/>
      </c>
      <c r="C730" s="23" t="str">
        <f aca="false">IF(A730="","",WEEKNUM(A730,21))</f>
        <v/>
      </c>
      <c r="D730" s="24" t="str">
        <f aca="false">IF(A730="","",DATE(YEAR(A730),MONTH(A730),1))</f>
        <v/>
      </c>
      <c r="E730" s="10"/>
      <c r="F730" s="25"/>
      <c r="G730" s="25"/>
      <c r="H730" s="10"/>
      <c r="I730" s="10"/>
      <c r="J730" s="26"/>
      <c r="K730" s="25"/>
      <c r="L730" s="26"/>
      <c r="M730" s="27"/>
      <c r="N730" s="27"/>
      <c r="O730" s="28" t="str">
        <f aca="false">IF(OR(M730="",M730=0,N730=""),"",N730/M730)</f>
        <v/>
      </c>
      <c r="P730" s="28" t="str">
        <f aca="false">IF(M730="","",IFERROR(IF(INDEX(Parámetros!$B$14:$B$21,MATCH(I730,Parámetros!$A$14:$A$21,0))="",Parámetros!$B$5,INDEX(Parámetros!$B$14:$B$21,MATCH(I730,Parámetros!$A$14:$A$21,0))),Parámetros!$B$5))</f>
        <v/>
      </c>
      <c r="Q730" s="29" t="str">
        <f aca="false">IF(O730="","",(O730-P730)*100)</f>
        <v/>
      </c>
      <c r="R730" s="30" t="str">
        <f aca="false">IF(O730="","",MAX(0,M730*(P730-O730)))</f>
        <v/>
      </c>
      <c r="S730" s="31" t="str">
        <f aca="false">IF(OR(L730="",L730=0,N730=""),"",N730/1000/L730)</f>
        <v/>
      </c>
      <c r="T730" s="27"/>
      <c r="U730" s="27"/>
      <c r="V730" s="27"/>
      <c r="W730" s="27"/>
      <c r="X730" s="27"/>
      <c r="Y730" s="27"/>
      <c r="Z730" s="27"/>
      <c r="AA730" s="25"/>
      <c r="AB730" s="27"/>
      <c r="AC730" s="30" t="str">
        <f aca="false">IF(M730="","",IF(AB730="",M730*Parámetros!$B$6,AB730))</f>
        <v/>
      </c>
      <c r="AD730" s="30" t="str">
        <f aca="false">IF(M730="","",SUM(T730:Z730)+AC730)</f>
        <v/>
      </c>
      <c r="AE730" s="30" t="str">
        <f aca="false">IF(OR(M730="",N730=""),"",M730-N730)</f>
        <v/>
      </c>
      <c r="AF730" s="30" t="str">
        <f aca="false">IF(AE730="","",AE730-AD730)</f>
        <v/>
      </c>
      <c r="AG730" s="28" t="str">
        <f aca="false">IF(OR(AF730="",M730=0),"",AF730/M730)</f>
        <v/>
      </c>
      <c r="AH730" s="32" t="str">
        <f aca="false">IF(OR(AE730="",N730=0),"",AE730/(N730/1000))</f>
        <v/>
      </c>
      <c r="AI730" s="30" t="str">
        <f aca="false">IF(O730="","",M730*P730)</f>
        <v/>
      </c>
      <c r="AJ730" s="11" t="str">
        <f aca="false">IF(O730="","",IF(O730&gt;1,"Error: rend &gt; 100 %",IF(SUM(T730:Z730)=0,"Falta registrar pérdidas",IF(ABS(AG730)&gt;Parámetros!$B$7,"Revisar balance",IF(O730&lt;P730,"Bajo meta","OK")))))</f>
        <v/>
      </c>
      <c r="AK730" s="33"/>
      <c r="AL730" s="10"/>
      <c r="AM730" s="33"/>
      <c r="AN730" s="33"/>
      <c r="AO730" s="10"/>
    </row>
    <row r="731" customFormat="false" ht="15" hidden="false" customHeight="false" outlineLevel="0" collapsed="false">
      <c r="A731" s="22"/>
      <c r="B731" s="23" t="str">
        <f aca="false">IF(A731="","",YEAR(A731-WEEKDAY(A731,2)+4))</f>
        <v/>
      </c>
      <c r="C731" s="23" t="str">
        <f aca="false">IF(A731="","",WEEKNUM(A731,21))</f>
        <v/>
      </c>
      <c r="D731" s="24" t="str">
        <f aca="false">IF(A731="","",DATE(YEAR(A731),MONTH(A731),1))</f>
        <v/>
      </c>
      <c r="E731" s="10"/>
      <c r="F731" s="25"/>
      <c r="G731" s="25"/>
      <c r="H731" s="10"/>
      <c r="I731" s="10"/>
      <c r="J731" s="26"/>
      <c r="K731" s="25"/>
      <c r="L731" s="26"/>
      <c r="M731" s="27"/>
      <c r="N731" s="27"/>
      <c r="O731" s="28" t="str">
        <f aca="false">IF(OR(M731="",M731=0,N731=""),"",N731/M731)</f>
        <v/>
      </c>
      <c r="P731" s="28" t="str">
        <f aca="false">IF(M731="","",IFERROR(IF(INDEX(Parámetros!$B$14:$B$21,MATCH(I731,Parámetros!$A$14:$A$21,0))="",Parámetros!$B$5,INDEX(Parámetros!$B$14:$B$21,MATCH(I731,Parámetros!$A$14:$A$21,0))),Parámetros!$B$5))</f>
        <v/>
      </c>
      <c r="Q731" s="29" t="str">
        <f aca="false">IF(O731="","",(O731-P731)*100)</f>
        <v/>
      </c>
      <c r="R731" s="30" t="str">
        <f aca="false">IF(O731="","",MAX(0,M731*(P731-O731)))</f>
        <v/>
      </c>
      <c r="S731" s="31" t="str">
        <f aca="false">IF(OR(L731="",L731=0,N731=""),"",N731/1000/L731)</f>
        <v/>
      </c>
      <c r="T731" s="27"/>
      <c r="U731" s="27"/>
      <c r="V731" s="27"/>
      <c r="W731" s="27"/>
      <c r="X731" s="27"/>
      <c r="Y731" s="27"/>
      <c r="Z731" s="27"/>
      <c r="AA731" s="25"/>
      <c r="AB731" s="27"/>
      <c r="AC731" s="30" t="str">
        <f aca="false">IF(M731="","",IF(AB731="",M731*Parámetros!$B$6,AB731))</f>
        <v/>
      </c>
      <c r="AD731" s="30" t="str">
        <f aca="false">IF(M731="","",SUM(T731:Z731)+AC731)</f>
        <v/>
      </c>
      <c r="AE731" s="30" t="str">
        <f aca="false">IF(OR(M731="",N731=""),"",M731-N731)</f>
        <v/>
      </c>
      <c r="AF731" s="30" t="str">
        <f aca="false">IF(AE731="","",AE731-AD731)</f>
        <v/>
      </c>
      <c r="AG731" s="28" t="str">
        <f aca="false">IF(OR(AF731="",M731=0),"",AF731/M731)</f>
        <v/>
      </c>
      <c r="AH731" s="32" t="str">
        <f aca="false">IF(OR(AE731="",N731=0),"",AE731/(N731/1000))</f>
        <v/>
      </c>
      <c r="AI731" s="30" t="str">
        <f aca="false">IF(O731="","",M731*P731)</f>
        <v/>
      </c>
      <c r="AJ731" s="11" t="str">
        <f aca="false">IF(O731="","",IF(O731&gt;1,"Error: rend &gt; 100 %",IF(SUM(T731:Z731)=0,"Falta registrar pérdidas",IF(ABS(AG731)&gt;Parámetros!$B$7,"Revisar balance",IF(O731&lt;P731,"Bajo meta","OK")))))</f>
        <v/>
      </c>
      <c r="AK731" s="33"/>
      <c r="AL731" s="10"/>
      <c r="AM731" s="33"/>
      <c r="AN731" s="33"/>
      <c r="AO731" s="10"/>
    </row>
    <row r="732" customFormat="false" ht="15" hidden="false" customHeight="false" outlineLevel="0" collapsed="false">
      <c r="A732" s="22"/>
      <c r="B732" s="23" t="str">
        <f aca="false">IF(A732="","",YEAR(A732-WEEKDAY(A732,2)+4))</f>
        <v/>
      </c>
      <c r="C732" s="23" t="str">
        <f aca="false">IF(A732="","",WEEKNUM(A732,21))</f>
        <v/>
      </c>
      <c r="D732" s="24" t="str">
        <f aca="false">IF(A732="","",DATE(YEAR(A732),MONTH(A732),1))</f>
        <v/>
      </c>
      <c r="E732" s="10"/>
      <c r="F732" s="25"/>
      <c r="G732" s="25"/>
      <c r="H732" s="10"/>
      <c r="I732" s="10"/>
      <c r="J732" s="26"/>
      <c r="K732" s="25"/>
      <c r="L732" s="26"/>
      <c r="M732" s="27"/>
      <c r="N732" s="27"/>
      <c r="O732" s="28" t="str">
        <f aca="false">IF(OR(M732="",M732=0,N732=""),"",N732/M732)</f>
        <v/>
      </c>
      <c r="P732" s="28" t="str">
        <f aca="false">IF(M732="","",IFERROR(IF(INDEX(Parámetros!$B$14:$B$21,MATCH(I732,Parámetros!$A$14:$A$21,0))="",Parámetros!$B$5,INDEX(Parámetros!$B$14:$B$21,MATCH(I732,Parámetros!$A$14:$A$21,0))),Parámetros!$B$5))</f>
        <v/>
      </c>
      <c r="Q732" s="29" t="str">
        <f aca="false">IF(O732="","",(O732-P732)*100)</f>
        <v/>
      </c>
      <c r="R732" s="30" t="str">
        <f aca="false">IF(O732="","",MAX(0,M732*(P732-O732)))</f>
        <v/>
      </c>
      <c r="S732" s="31" t="str">
        <f aca="false">IF(OR(L732="",L732=0,N732=""),"",N732/1000/L732)</f>
        <v/>
      </c>
      <c r="T732" s="27"/>
      <c r="U732" s="27"/>
      <c r="V732" s="27"/>
      <c r="W732" s="27"/>
      <c r="X732" s="27"/>
      <c r="Y732" s="27"/>
      <c r="Z732" s="27"/>
      <c r="AA732" s="25"/>
      <c r="AB732" s="27"/>
      <c r="AC732" s="30" t="str">
        <f aca="false">IF(M732="","",IF(AB732="",M732*Parámetros!$B$6,AB732))</f>
        <v/>
      </c>
      <c r="AD732" s="30" t="str">
        <f aca="false">IF(M732="","",SUM(T732:Z732)+AC732)</f>
        <v/>
      </c>
      <c r="AE732" s="30" t="str">
        <f aca="false">IF(OR(M732="",N732=""),"",M732-N732)</f>
        <v/>
      </c>
      <c r="AF732" s="30" t="str">
        <f aca="false">IF(AE732="","",AE732-AD732)</f>
        <v/>
      </c>
      <c r="AG732" s="28" t="str">
        <f aca="false">IF(OR(AF732="",M732=0),"",AF732/M732)</f>
        <v/>
      </c>
      <c r="AH732" s="32" t="str">
        <f aca="false">IF(OR(AE732="",N732=0),"",AE732/(N732/1000))</f>
        <v/>
      </c>
      <c r="AI732" s="30" t="str">
        <f aca="false">IF(O732="","",M732*P732)</f>
        <v/>
      </c>
      <c r="AJ732" s="11" t="str">
        <f aca="false">IF(O732="","",IF(O732&gt;1,"Error: rend &gt; 100 %",IF(SUM(T732:Z732)=0,"Falta registrar pérdidas",IF(ABS(AG732)&gt;Parámetros!$B$7,"Revisar balance",IF(O732&lt;P732,"Bajo meta","OK")))))</f>
        <v/>
      </c>
      <c r="AK732" s="33"/>
      <c r="AL732" s="10"/>
      <c r="AM732" s="33"/>
      <c r="AN732" s="33"/>
      <c r="AO732" s="10"/>
    </row>
    <row r="733" customFormat="false" ht="15" hidden="false" customHeight="false" outlineLevel="0" collapsed="false">
      <c r="A733" s="22"/>
      <c r="B733" s="23" t="str">
        <f aca="false">IF(A733="","",YEAR(A733-WEEKDAY(A733,2)+4))</f>
        <v/>
      </c>
      <c r="C733" s="23" t="str">
        <f aca="false">IF(A733="","",WEEKNUM(A733,21))</f>
        <v/>
      </c>
      <c r="D733" s="24" t="str">
        <f aca="false">IF(A733="","",DATE(YEAR(A733),MONTH(A733),1))</f>
        <v/>
      </c>
      <c r="E733" s="10"/>
      <c r="F733" s="25"/>
      <c r="G733" s="25"/>
      <c r="H733" s="10"/>
      <c r="I733" s="10"/>
      <c r="J733" s="26"/>
      <c r="K733" s="25"/>
      <c r="L733" s="26"/>
      <c r="M733" s="27"/>
      <c r="N733" s="27"/>
      <c r="O733" s="28" t="str">
        <f aca="false">IF(OR(M733="",M733=0,N733=""),"",N733/M733)</f>
        <v/>
      </c>
      <c r="P733" s="28" t="str">
        <f aca="false">IF(M733="","",IFERROR(IF(INDEX(Parámetros!$B$14:$B$21,MATCH(I733,Parámetros!$A$14:$A$21,0))="",Parámetros!$B$5,INDEX(Parámetros!$B$14:$B$21,MATCH(I733,Parámetros!$A$14:$A$21,0))),Parámetros!$B$5))</f>
        <v/>
      </c>
      <c r="Q733" s="29" t="str">
        <f aca="false">IF(O733="","",(O733-P733)*100)</f>
        <v/>
      </c>
      <c r="R733" s="30" t="str">
        <f aca="false">IF(O733="","",MAX(0,M733*(P733-O733)))</f>
        <v/>
      </c>
      <c r="S733" s="31" t="str">
        <f aca="false">IF(OR(L733="",L733=0,N733=""),"",N733/1000/L733)</f>
        <v/>
      </c>
      <c r="T733" s="27"/>
      <c r="U733" s="27"/>
      <c r="V733" s="27"/>
      <c r="W733" s="27"/>
      <c r="X733" s="27"/>
      <c r="Y733" s="27"/>
      <c r="Z733" s="27"/>
      <c r="AA733" s="25"/>
      <c r="AB733" s="27"/>
      <c r="AC733" s="30" t="str">
        <f aca="false">IF(M733="","",IF(AB733="",M733*Parámetros!$B$6,AB733))</f>
        <v/>
      </c>
      <c r="AD733" s="30" t="str">
        <f aca="false">IF(M733="","",SUM(T733:Z733)+AC733)</f>
        <v/>
      </c>
      <c r="AE733" s="30" t="str">
        <f aca="false">IF(OR(M733="",N733=""),"",M733-N733)</f>
        <v/>
      </c>
      <c r="AF733" s="30" t="str">
        <f aca="false">IF(AE733="","",AE733-AD733)</f>
        <v/>
      </c>
      <c r="AG733" s="28" t="str">
        <f aca="false">IF(OR(AF733="",M733=0),"",AF733/M733)</f>
        <v/>
      </c>
      <c r="AH733" s="32" t="str">
        <f aca="false">IF(OR(AE733="",N733=0),"",AE733/(N733/1000))</f>
        <v/>
      </c>
      <c r="AI733" s="30" t="str">
        <f aca="false">IF(O733="","",M733*P733)</f>
        <v/>
      </c>
      <c r="AJ733" s="11" t="str">
        <f aca="false">IF(O733="","",IF(O733&gt;1,"Error: rend &gt; 100 %",IF(SUM(T733:Z733)=0,"Falta registrar pérdidas",IF(ABS(AG733)&gt;Parámetros!$B$7,"Revisar balance",IF(O733&lt;P733,"Bajo meta","OK")))))</f>
        <v/>
      </c>
      <c r="AK733" s="33"/>
      <c r="AL733" s="10"/>
      <c r="AM733" s="33"/>
      <c r="AN733" s="33"/>
      <c r="AO733" s="10"/>
    </row>
    <row r="734" customFormat="false" ht="15" hidden="false" customHeight="false" outlineLevel="0" collapsed="false">
      <c r="A734" s="22"/>
      <c r="B734" s="23" t="str">
        <f aca="false">IF(A734="","",YEAR(A734-WEEKDAY(A734,2)+4))</f>
        <v/>
      </c>
      <c r="C734" s="23" t="str">
        <f aca="false">IF(A734="","",WEEKNUM(A734,21))</f>
        <v/>
      </c>
      <c r="D734" s="24" t="str">
        <f aca="false">IF(A734="","",DATE(YEAR(A734),MONTH(A734),1))</f>
        <v/>
      </c>
      <c r="E734" s="10"/>
      <c r="F734" s="25"/>
      <c r="G734" s="25"/>
      <c r="H734" s="10"/>
      <c r="I734" s="10"/>
      <c r="J734" s="26"/>
      <c r="K734" s="25"/>
      <c r="L734" s="26"/>
      <c r="M734" s="27"/>
      <c r="N734" s="27"/>
      <c r="O734" s="28" t="str">
        <f aca="false">IF(OR(M734="",M734=0,N734=""),"",N734/M734)</f>
        <v/>
      </c>
      <c r="P734" s="28" t="str">
        <f aca="false">IF(M734="","",IFERROR(IF(INDEX(Parámetros!$B$14:$B$21,MATCH(I734,Parámetros!$A$14:$A$21,0))="",Parámetros!$B$5,INDEX(Parámetros!$B$14:$B$21,MATCH(I734,Parámetros!$A$14:$A$21,0))),Parámetros!$B$5))</f>
        <v/>
      </c>
      <c r="Q734" s="29" t="str">
        <f aca="false">IF(O734="","",(O734-P734)*100)</f>
        <v/>
      </c>
      <c r="R734" s="30" t="str">
        <f aca="false">IF(O734="","",MAX(0,M734*(P734-O734)))</f>
        <v/>
      </c>
      <c r="S734" s="31" t="str">
        <f aca="false">IF(OR(L734="",L734=0,N734=""),"",N734/1000/L734)</f>
        <v/>
      </c>
      <c r="T734" s="27"/>
      <c r="U734" s="27"/>
      <c r="V734" s="27"/>
      <c r="W734" s="27"/>
      <c r="X734" s="27"/>
      <c r="Y734" s="27"/>
      <c r="Z734" s="27"/>
      <c r="AA734" s="25"/>
      <c r="AB734" s="27"/>
      <c r="AC734" s="30" t="str">
        <f aca="false">IF(M734="","",IF(AB734="",M734*Parámetros!$B$6,AB734))</f>
        <v/>
      </c>
      <c r="AD734" s="30" t="str">
        <f aca="false">IF(M734="","",SUM(T734:Z734)+AC734)</f>
        <v/>
      </c>
      <c r="AE734" s="30" t="str">
        <f aca="false">IF(OR(M734="",N734=""),"",M734-N734)</f>
        <v/>
      </c>
      <c r="AF734" s="30" t="str">
        <f aca="false">IF(AE734="","",AE734-AD734)</f>
        <v/>
      </c>
      <c r="AG734" s="28" t="str">
        <f aca="false">IF(OR(AF734="",M734=0),"",AF734/M734)</f>
        <v/>
      </c>
      <c r="AH734" s="32" t="str">
        <f aca="false">IF(OR(AE734="",N734=0),"",AE734/(N734/1000))</f>
        <v/>
      </c>
      <c r="AI734" s="30" t="str">
        <f aca="false">IF(O734="","",M734*P734)</f>
        <v/>
      </c>
      <c r="AJ734" s="11" t="str">
        <f aca="false">IF(O734="","",IF(O734&gt;1,"Error: rend &gt; 100 %",IF(SUM(T734:Z734)=0,"Falta registrar pérdidas",IF(ABS(AG734)&gt;Parámetros!$B$7,"Revisar balance",IF(O734&lt;P734,"Bajo meta","OK")))))</f>
        <v/>
      </c>
      <c r="AK734" s="33"/>
      <c r="AL734" s="10"/>
      <c r="AM734" s="33"/>
      <c r="AN734" s="33"/>
      <c r="AO734" s="10"/>
    </row>
    <row r="735" customFormat="false" ht="15" hidden="false" customHeight="false" outlineLevel="0" collapsed="false">
      <c r="A735" s="22"/>
      <c r="B735" s="23" t="str">
        <f aca="false">IF(A735="","",YEAR(A735-WEEKDAY(A735,2)+4))</f>
        <v/>
      </c>
      <c r="C735" s="23" t="str">
        <f aca="false">IF(A735="","",WEEKNUM(A735,21))</f>
        <v/>
      </c>
      <c r="D735" s="24" t="str">
        <f aca="false">IF(A735="","",DATE(YEAR(A735),MONTH(A735),1))</f>
        <v/>
      </c>
      <c r="E735" s="10"/>
      <c r="F735" s="25"/>
      <c r="G735" s="25"/>
      <c r="H735" s="10"/>
      <c r="I735" s="10"/>
      <c r="J735" s="26"/>
      <c r="K735" s="25"/>
      <c r="L735" s="26"/>
      <c r="M735" s="27"/>
      <c r="N735" s="27"/>
      <c r="O735" s="28" t="str">
        <f aca="false">IF(OR(M735="",M735=0,N735=""),"",N735/M735)</f>
        <v/>
      </c>
      <c r="P735" s="28" t="str">
        <f aca="false">IF(M735="","",IFERROR(IF(INDEX(Parámetros!$B$14:$B$21,MATCH(I735,Parámetros!$A$14:$A$21,0))="",Parámetros!$B$5,INDEX(Parámetros!$B$14:$B$21,MATCH(I735,Parámetros!$A$14:$A$21,0))),Parámetros!$B$5))</f>
        <v/>
      </c>
      <c r="Q735" s="29" t="str">
        <f aca="false">IF(O735="","",(O735-P735)*100)</f>
        <v/>
      </c>
      <c r="R735" s="30" t="str">
        <f aca="false">IF(O735="","",MAX(0,M735*(P735-O735)))</f>
        <v/>
      </c>
      <c r="S735" s="31" t="str">
        <f aca="false">IF(OR(L735="",L735=0,N735=""),"",N735/1000/L735)</f>
        <v/>
      </c>
      <c r="T735" s="27"/>
      <c r="U735" s="27"/>
      <c r="V735" s="27"/>
      <c r="W735" s="27"/>
      <c r="X735" s="27"/>
      <c r="Y735" s="27"/>
      <c r="Z735" s="27"/>
      <c r="AA735" s="25"/>
      <c r="AB735" s="27"/>
      <c r="AC735" s="30" t="str">
        <f aca="false">IF(M735="","",IF(AB735="",M735*Parámetros!$B$6,AB735))</f>
        <v/>
      </c>
      <c r="AD735" s="30" t="str">
        <f aca="false">IF(M735="","",SUM(T735:Z735)+AC735)</f>
        <v/>
      </c>
      <c r="AE735" s="30" t="str">
        <f aca="false">IF(OR(M735="",N735=""),"",M735-N735)</f>
        <v/>
      </c>
      <c r="AF735" s="30" t="str">
        <f aca="false">IF(AE735="","",AE735-AD735)</f>
        <v/>
      </c>
      <c r="AG735" s="28" t="str">
        <f aca="false">IF(OR(AF735="",M735=0),"",AF735/M735)</f>
        <v/>
      </c>
      <c r="AH735" s="32" t="str">
        <f aca="false">IF(OR(AE735="",N735=0),"",AE735/(N735/1000))</f>
        <v/>
      </c>
      <c r="AI735" s="30" t="str">
        <f aca="false">IF(O735="","",M735*P735)</f>
        <v/>
      </c>
      <c r="AJ735" s="11" t="str">
        <f aca="false">IF(O735="","",IF(O735&gt;1,"Error: rend &gt; 100 %",IF(SUM(T735:Z735)=0,"Falta registrar pérdidas",IF(ABS(AG735)&gt;Parámetros!$B$7,"Revisar balance",IF(O735&lt;P735,"Bajo meta","OK")))))</f>
        <v/>
      </c>
      <c r="AK735" s="33"/>
      <c r="AL735" s="10"/>
      <c r="AM735" s="33"/>
      <c r="AN735" s="33"/>
      <c r="AO735" s="10"/>
    </row>
    <row r="736" customFormat="false" ht="15" hidden="false" customHeight="false" outlineLevel="0" collapsed="false">
      <c r="A736" s="22"/>
      <c r="B736" s="23" t="str">
        <f aca="false">IF(A736="","",YEAR(A736-WEEKDAY(A736,2)+4))</f>
        <v/>
      </c>
      <c r="C736" s="23" t="str">
        <f aca="false">IF(A736="","",WEEKNUM(A736,21))</f>
        <v/>
      </c>
      <c r="D736" s="24" t="str">
        <f aca="false">IF(A736="","",DATE(YEAR(A736),MONTH(A736),1))</f>
        <v/>
      </c>
      <c r="E736" s="10"/>
      <c r="F736" s="25"/>
      <c r="G736" s="25"/>
      <c r="H736" s="10"/>
      <c r="I736" s="10"/>
      <c r="J736" s="26"/>
      <c r="K736" s="25"/>
      <c r="L736" s="26"/>
      <c r="M736" s="27"/>
      <c r="N736" s="27"/>
      <c r="O736" s="28" t="str">
        <f aca="false">IF(OR(M736="",M736=0,N736=""),"",N736/M736)</f>
        <v/>
      </c>
      <c r="P736" s="28" t="str">
        <f aca="false">IF(M736="","",IFERROR(IF(INDEX(Parámetros!$B$14:$B$21,MATCH(I736,Parámetros!$A$14:$A$21,0))="",Parámetros!$B$5,INDEX(Parámetros!$B$14:$B$21,MATCH(I736,Parámetros!$A$14:$A$21,0))),Parámetros!$B$5))</f>
        <v/>
      </c>
      <c r="Q736" s="29" t="str">
        <f aca="false">IF(O736="","",(O736-P736)*100)</f>
        <v/>
      </c>
      <c r="R736" s="30" t="str">
        <f aca="false">IF(O736="","",MAX(0,M736*(P736-O736)))</f>
        <v/>
      </c>
      <c r="S736" s="31" t="str">
        <f aca="false">IF(OR(L736="",L736=0,N736=""),"",N736/1000/L736)</f>
        <v/>
      </c>
      <c r="T736" s="27"/>
      <c r="U736" s="27"/>
      <c r="V736" s="27"/>
      <c r="W736" s="27"/>
      <c r="X736" s="27"/>
      <c r="Y736" s="27"/>
      <c r="Z736" s="27"/>
      <c r="AA736" s="25"/>
      <c r="AB736" s="27"/>
      <c r="AC736" s="30" t="str">
        <f aca="false">IF(M736="","",IF(AB736="",M736*Parámetros!$B$6,AB736))</f>
        <v/>
      </c>
      <c r="AD736" s="30" t="str">
        <f aca="false">IF(M736="","",SUM(T736:Z736)+AC736)</f>
        <v/>
      </c>
      <c r="AE736" s="30" t="str">
        <f aca="false">IF(OR(M736="",N736=""),"",M736-N736)</f>
        <v/>
      </c>
      <c r="AF736" s="30" t="str">
        <f aca="false">IF(AE736="","",AE736-AD736)</f>
        <v/>
      </c>
      <c r="AG736" s="28" t="str">
        <f aca="false">IF(OR(AF736="",M736=0),"",AF736/M736)</f>
        <v/>
      </c>
      <c r="AH736" s="32" t="str">
        <f aca="false">IF(OR(AE736="",N736=0),"",AE736/(N736/1000))</f>
        <v/>
      </c>
      <c r="AI736" s="30" t="str">
        <f aca="false">IF(O736="","",M736*P736)</f>
        <v/>
      </c>
      <c r="AJ736" s="11" t="str">
        <f aca="false">IF(O736="","",IF(O736&gt;1,"Error: rend &gt; 100 %",IF(SUM(T736:Z736)=0,"Falta registrar pérdidas",IF(ABS(AG736)&gt;Parámetros!$B$7,"Revisar balance",IF(O736&lt;P736,"Bajo meta","OK")))))</f>
        <v/>
      </c>
      <c r="AK736" s="33"/>
      <c r="AL736" s="10"/>
      <c r="AM736" s="33"/>
      <c r="AN736" s="33"/>
      <c r="AO736" s="10"/>
    </row>
    <row r="737" customFormat="false" ht="15" hidden="false" customHeight="false" outlineLevel="0" collapsed="false">
      <c r="A737" s="22"/>
      <c r="B737" s="23" t="str">
        <f aca="false">IF(A737="","",YEAR(A737-WEEKDAY(A737,2)+4))</f>
        <v/>
      </c>
      <c r="C737" s="23" t="str">
        <f aca="false">IF(A737="","",WEEKNUM(A737,21))</f>
        <v/>
      </c>
      <c r="D737" s="24" t="str">
        <f aca="false">IF(A737="","",DATE(YEAR(A737),MONTH(A737),1))</f>
        <v/>
      </c>
      <c r="E737" s="10"/>
      <c r="F737" s="25"/>
      <c r="G737" s="25"/>
      <c r="H737" s="10"/>
      <c r="I737" s="10"/>
      <c r="J737" s="26"/>
      <c r="K737" s="25"/>
      <c r="L737" s="26"/>
      <c r="M737" s="27"/>
      <c r="N737" s="27"/>
      <c r="O737" s="28" t="str">
        <f aca="false">IF(OR(M737="",M737=0,N737=""),"",N737/M737)</f>
        <v/>
      </c>
      <c r="P737" s="28" t="str">
        <f aca="false">IF(M737="","",IFERROR(IF(INDEX(Parámetros!$B$14:$B$21,MATCH(I737,Parámetros!$A$14:$A$21,0))="",Parámetros!$B$5,INDEX(Parámetros!$B$14:$B$21,MATCH(I737,Parámetros!$A$14:$A$21,0))),Parámetros!$B$5))</f>
        <v/>
      </c>
      <c r="Q737" s="29" t="str">
        <f aca="false">IF(O737="","",(O737-P737)*100)</f>
        <v/>
      </c>
      <c r="R737" s="30" t="str">
        <f aca="false">IF(O737="","",MAX(0,M737*(P737-O737)))</f>
        <v/>
      </c>
      <c r="S737" s="31" t="str">
        <f aca="false">IF(OR(L737="",L737=0,N737=""),"",N737/1000/L737)</f>
        <v/>
      </c>
      <c r="T737" s="27"/>
      <c r="U737" s="27"/>
      <c r="V737" s="27"/>
      <c r="W737" s="27"/>
      <c r="X737" s="27"/>
      <c r="Y737" s="27"/>
      <c r="Z737" s="27"/>
      <c r="AA737" s="25"/>
      <c r="AB737" s="27"/>
      <c r="AC737" s="30" t="str">
        <f aca="false">IF(M737="","",IF(AB737="",M737*Parámetros!$B$6,AB737))</f>
        <v/>
      </c>
      <c r="AD737" s="30" t="str">
        <f aca="false">IF(M737="","",SUM(T737:Z737)+AC737)</f>
        <v/>
      </c>
      <c r="AE737" s="30" t="str">
        <f aca="false">IF(OR(M737="",N737=""),"",M737-N737)</f>
        <v/>
      </c>
      <c r="AF737" s="30" t="str">
        <f aca="false">IF(AE737="","",AE737-AD737)</f>
        <v/>
      </c>
      <c r="AG737" s="28" t="str">
        <f aca="false">IF(OR(AF737="",M737=0),"",AF737/M737)</f>
        <v/>
      </c>
      <c r="AH737" s="32" t="str">
        <f aca="false">IF(OR(AE737="",N737=0),"",AE737/(N737/1000))</f>
        <v/>
      </c>
      <c r="AI737" s="30" t="str">
        <f aca="false">IF(O737="","",M737*P737)</f>
        <v/>
      </c>
      <c r="AJ737" s="11" t="str">
        <f aca="false">IF(O737="","",IF(O737&gt;1,"Error: rend &gt; 100 %",IF(SUM(T737:Z737)=0,"Falta registrar pérdidas",IF(ABS(AG737)&gt;Parámetros!$B$7,"Revisar balance",IF(O737&lt;P737,"Bajo meta","OK")))))</f>
        <v/>
      </c>
      <c r="AK737" s="33"/>
      <c r="AL737" s="10"/>
      <c r="AM737" s="33"/>
      <c r="AN737" s="33"/>
      <c r="AO737" s="10"/>
    </row>
    <row r="738" customFormat="false" ht="15" hidden="false" customHeight="false" outlineLevel="0" collapsed="false">
      <c r="A738" s="22"/>
      <c r="B738" s="23" t="str">
        <f aca="false">IF(A738="","",YEAR(A738-WEEKDAY(A738,2)+4))</f>
        <v/>
      </c>
      <c r="C738" s="23" t="str">
        <f aca="false">IF(A738="","",WEEKNUM(A738,21))</f>
        <v/>
      </c>
      <c r="D738" s="24" t="str">
        <f aca="false">IF(A738="","",DATE(YEAR(A738),MONTH(A738),1))</f>
        <v/>
      </c>
      <c r="E738" s="10"/>
      <c r="F738" s="25"/>
      <c r="G738" s="25"/>
      <c r="H738" s="10"/>
      <c r="I738" s="10"/>
      <c r="J738" s="26"/>
      <c r="K738" s="25"/>
      <c r="L738" s="26"/>
      <c r="M738" s="27"/>
      <c r="N738" s="27"/>
      <c r="O738" s="28" t="str">
        <f aca="false">IF(OR(M738="",M738=0,N738=""),"",N738/M738)</f>
        <v/>
      </c>
      <c r="P738" s="28" t="str">
        <f aca="false">IF(M738="","",IFERROR(IF(INDEX(Parámetros!$B$14:$B$21,MATCH(I738,Parámetros!$A$14:$A$21,0))="",Parámetros!$B$5,INDEX(Parámetros!$B$14:$B$21,MATCH(I738,Parámetros!$A$14:$A$21,0))),Parámetros!$B$5))</f>
        <v/>
      </c>
      <c r="Q738" s="29" t="str">
        <f aca="false">IF(O738="","",(O738-P738)*100)</f>
        <v/>
      </c>
      <c r="R738" s="30" t="str">
        <f aca="false">IF(O738="","",MAX(0,M738*(P738-O738)))</f>
        <v/>
      </c>
      <c r="S738" s="31" t="str">
        <f aca="false">IF(OR(L738="",L738=0,N738=""),"",N738/1000/L738)</f>
        <v/>
      </c>
      <c r="T738" s="27"/>
      <c r="U738" s="27"/>
      <c r="V738" s="27"/>
      <c r="W738" s="27"/>
      <c r="X738" s="27"/>
      <c r="Y738" s="27"/>
      <c r="Z738" s="27"/>
      <c r="AA738" s="25"/>
      <c r="AB738" s="27"/>
      <c r="AC738" s="30" t="str">
        <f aca="false">IF(M738="","",IF(AB738="",M738*Parámetros!$B$6,AB738))</f>
        <v/>
      </c>
      <c r="AD738" s="30" t="str">
        <f aca="false">IF(M738="","",SUM(T738:Z738)+AC738)</f>
        <v/>
      </c>
      <c r="AE738" s="30" t="str">
        <f aca="false">IF(OR(M738="",N738=""),"",M738-N738)</f>
        <v/>
      </c>
      <c r="AF738" s="30" t="str">
        <f aca="false">IF(AE738="","",AE738-AD738)</f>
        <v/>
      </c>
      <c r="AG738" s="28" t="str">
        <f aca="false">IF(OR(AF738="",M738=0),"",AF738/M738)</f>
        <v/>
      </c>
      <c r="AH738" s="32" t="str">
        <f aca="false">IF(OR(AE738="",N738=0),"",AE738/(N738/1000))</f>
        <v/>
      </c>
      <c r="AI738" s="30" t="str">
        <f aca="false">IF(O738="","",M738*P738)</f>
        <v/>
      </c>
      <c r="AJ738" s="11" t="str">
        <f aca="false">IF(O738="","",IF(O738&gt;1,"Error: rend &gt; 100 %",IF(SUM(T738:Z738)=0,"Falta registrar pérdidas",IF(ABS(AG738)&gt;Parámetros!$B$7,"Revisar balance",IF(O738&lt;P738,"Bajo meta","OK")))))</f>
        <v/>
      </c>
      <c r="AK738" s="33"/>
      <c r="AL738" s="10"/>
      <c r="AM738" s="33"/>
      <c r="AN738" s="33"/>
      <c r="AO738" s="10"/>
    </row>
    <row r="739" customFormat="false" ht="15" hidden="false" customHeight="false" outlineLevel="0" collapsed="false">
      <c r="A739" s="22"/>
      <c r="B739" s="23" t="str">
        <f aca="false">IF(A739="","",YEAR(A739-WEEKDAY(A739,2)+4))</f>
        <v/>
      </c>
      <c r="C739" s="23" t="str">
        <f aca="false">IF(A739="","",WEEKNUM(A739,21))</f>
        <v/>
      </c>
      <c r="D739" s="24" t="str">
        <f aca="false">IF(A739="","",DATE(YEAR(A739),MONTH(A739),1))</f>
        <v/>
      </c>
      <c r="E739" s="10"/>
      <c r="F739" s="25"/>
      <c r="G739" s="25"/>
      <c r="H739" s="10"/>
      <c r="I739" s="10"/>
      <c r="J739" s="26"/>
      <c r="K739" s="25"/>
      <c r="L739" s="26"/>
      <c r="M739" s="27"/>
      <c r="N739" s="27"/>
      <c r="O739" s="28" t="str">
        <f aca="false">IF(OR(M739="",M739=0,N739=""),"",N739/M739)</f>
        <v/>
      </c>
      <c r="P739" s="28" t="str">
        <f aca="false">IF(M739="","",IFERROR(IF(INDEX(Parámetros!$B$14:$B$21,MATCH(I739,Parámetros!$A$14:$A$21,0))="",Parámetros!$B$5,INDEX(Parámetros!$B$14:$B$21,MATCH(I739,Parámetros!$A$14:$A$21,0))),Parámetros!$B$5))</f>
        <v/>
      </c>
      <c r="Q739" s="29" t="str">
        <f aca="false">IF(O739="","",(O739-P739)*100)</f>
        <v/>
      </c>
      <c r="R739" s="30" t="str">
        <f aca="false">IF(O739="","",MAX(0,M739*(P739-O739)))</f>
        <v/>
      </c>
      <c r="S739" s="31" t="str">
        <f aca="false">IF(OR(L739="",L739=0,N739=""),"",N739/1000/L739)</f>
        <v/>
      </c>
      <c r="T739" s="27"/>
      <c r="U739" s="27"/>
      <c r="V739" s="27"/>
      <c r="W739" s="27"/>
      <c r="X739" s="27"/>
      <c r="Y739" s="27"/>
      <c r="Z739" s="27"/>
      <c r="AA739" s="25"/>
      <c r="AB739" s="27"/>
      <c r="AC739" s="30" t="str">
        <f aca="false">IF(M739="","",IF(AB739="",M739*Parámetros!$B$6,AB739))</f>
        <v/>
      </c>
      <c r="AD739" s="30" t="str">
        <f aca="false">IF(M739="","",SUM(T739:Z739)+AC739)</f>
        <v/>
      </c>
      <c r="AE739" s="30" t="str">
        <f aca="false">IF(OR(M739="",N739=""),"",M739-N739)</f>
        <v/>
      </c>
      <c r="AF739" s="30" t="str">
        <f aca="false">IF(AE739="","",AE739-AD739)</f>
        <v/>
      </c>
      <c r="AG739" s="28" t="str">
        <f aca="false">IF(OR(AF739="",M739=0),"",AF739/M739)</f>
        <v/>
      </c>
      <c r="AH739" s="32" t="str">
        <f aca="false">IF(OR(AE739="",N739=0),"",AE739/(N739/1000))</f>
        <v/>
      </c>
      <c r="AI739" s="30" t="str">
        <f aca="false">IF(O739="","",M739*P739)</f>
        <v/>
      </c>
      <c r="AJ739" s="11" t="str">
        <f aca="false">IF(O739="","",IF(O739&gt;1,"Error: rend &gt; 100 %",IF(SUM(T739:Z739)=0,"Falta registrar pérdidas",IF(ABS(AG739)&gt;Parámetros!$B$7,"Revisar balance",IF(O739&lt;P739,"Bajo meta","OK")))))</f>
        <v/>
      </c>
      <c r="AK739" s="33"/>
      <c r="AL739" s="10"/>
      <c r="AM739" s="33"/>
      <c r="AN739" s="33"/>
      <c r="AO739" s="10"/>
    </row>
    <row r="740" customFormat="false" ht="15" hidden="false" customHeight="false" outlineLevel="0" collapsed="false">
      <c r="A740" s="22"/>
      <c r="B740" s="23" t="str">
        <f aca="false">IF(A740="","",YEAR(A740-WEEKDAY(A740,2)+4))</f>
        <v/>
      </c>
      <c r="C740" s="23" t="str">
        <f aca="false">IF(A740="","",WEEKNUM(A740,21))</f>
        <v/>
      </c>
      <c r="D740" s="24" t="str">
        <f aca="false">IF(A740="","",DATE(YEAR(A740),MONTH(A740),1))</f>
        <v/>
      </c>
      <c r="E740" s="10"/>
      <c r="F740" s="25"/>
      <c r="G740" s="25"/>
      <c r="H740" s="10"/>
      <c r="I740" s="10"/>
      <c r="J740" s="26"/>
      <c r="K740" s="25"/>
      <c r="L740" s="26"/>
      <c r="M740" s="27"/>
      <c r="N740" s="27"/>
      <c r="O740" s="28" t="str">
        <f aca="false">IF(OR(M740="",M740=0,N740=""),"",N740/M740)</f>
        <v/>
      </c>
      <c r="P740" s="28" t="str">
        <f aca="false">IF(M740="","",IFERROR(IF(INDEX(Parámetros!$B$14:$B$21,MATCH(I740,Parámetros!$A$14:$A$21,0))="",Parámetros!$B$5,INDEX(Parámetros!$B$14:$B$21,MATCH(I740,Parámetros!$A$14:$A$21,0))),Parámetros!$B$5))</f>
        <v/>
      </c>
      <c r="Q740" s="29" t="str">
        <f aca="false">IF(O740="","",(O740-P740)*100)</f>
        <v/>
      </c>
      <c r="R740" s="30" t="str">
        <f aca="false">IF(O740="","",MAX(0,M740*(P740-O740)))</f>
        <v/>
      </c>
      <c r="S740" s="31" t="str">
        <f aca="false">IF(OR(L740="",L740=0,N740=""),"",N740/1000/L740)</f>
        <v/>
      </c>
      <c r="T740" s="27"/>
      <c r="U740" s="27"/>
      <c r="V740" s="27"/>
      <c r="W740" s="27"/>
      <c r="X740" s="27"/>
      <c r="Y740" s="27"/>
      <c r="Z740" s="27"/>
      <c r="AA740" s="25"/>
      <c r="AB740" s="27"/>
      <c r="AC740" s="30" t="str">
        <f aca="false">IF(M740="","",IF(AB740="",M740*Parámetros!$B$6,AB740))</f>
        <v/>
      </c>
      <c r="AD740" s="30" t="str">
        <f aca="false">IF(M740="","",SUM(T740:Z740)+AC740)</f>
        <v/>
      </c>
      <c r="AE740" s="30" t="str">
        <f aca="false">IF(OR(M740="",N740=""),"",M740-N740)</f>
        <v/>
      </c>
      <c r="AF740" s="30" t="str">
        <f aca="false">IF(AE740="","",AE740-AD740)</f>
        <v/>
      </c>
      <c r="AG740" s="28" t="str">
        <f aca="false">IF(OR(AF740="",M740=0),"",AF740/M740)</f>
        <v/>
      </c>
      <c r="AH740" s="32" t="str">
        <f aca="false">IF(OR(AE740="",N740=0),"",AE740/(N740/1000))</f>
        <v/>
      </c>
      <c r="AI740" s="30" t="str">
        <f aca="false">IF(O740="","",M740*P740)</f>
        <v/>
      </c>
      <c r="AJ740" s="11" t="str">
        <f aca="false">IF(O740="","",IF(O740&gt;1,"Error: rend &gt; 100 %",IF(SUM(T740:Z740)=0,"Falta registrar pérdidas",IF(ABS(AG740)&gt;Parámetros!$B$7,"Revisar balance",IF(O740&lt;P740,"Bajo meta","OK")))))</f>
        <v/>
      </c>
      <c r="AK740" s="33"/>
      <c r="AL740" s="10"/>
      <c r="AM740" s="33"/>
      <c r="AN740" s="33"/>
      <c r="AO740" s="10"/>
    </row>
    <row r="741" customFormat="false" ht="15" hidden="false" customHeight="false" outlineLevel="0" collapsed="false">
      <c r="A741" s="22"/>
      <c r="B741" s="23" t="str">
        <f aca="false">IF(A741="","",YEAR(A741-WEEKDAY(A741,2)+4))</f>
        <v/>
      </c>
      <c r="C741" s="23" t="str">
        <f aca="false">IF(A741="","",WEEKNUM(A741,21))</f>
        <v/>
      </c>
      <c r="D741" s="24" t="str">
        <f aca="false">IF(A741="","",DATE(YEAR(A741),MONTH(A741),1))</f>
        <v/>
      </c>
      <c r="E741" s="10"/>
      <c r="F741" s="25"/>
      <c r="G741" s="25"/>
      <c r="H741" s="10"/>
      <c r="I741" s="10"/>
      <c r="J741" s="26"/>
      <c r="K741" s="25"/>
      <c r="L741" s="26"/>
      <c r="M741" s="27"/>
      <c r="N741" s="27"/>
      <c r="O741" s="28" t="str">
        <f aca="false">IF(OR(M741="",M741=0,N741=""),"",N741/M741)</f>
        <v/>
      </c>
      <c r="P741" s="28" t="str">
        <f aca="false">IF(M741="","",IFERROR(IF(INDEX(Parámetros!$B$14:$B$21,MATCH(I741,Parámetros!$A$14:$A$21,0))="",Parámetros!$B$5,INDEX(Parámetros!$B$14:$B$21,MATCH(I741,Parámetros!$A$14:$A$21,0))),Parámetros!$B$5))</f>
        <v/>
      </c>
      <c r="Q741" s="29" t="str">
        <f aca="false">IF(O741="","",(O741-P741)*100)</f>
        <v/>
      </c>
      <c r="R741" s="30" t="str">
        <f aca="false">IF(O741="","",MAX(0,M741*(P741-O741)))</f>
        <v/>
      </c>
      <c r="S741" s="31" t="str">
        <f aca="false">IF(OR(L741="",L741=0,N741=""),"",N741/1000/L741)</f>
        <v/>
      </c>
      <c r="T741" s="27"/>
      <c r="U741" s="27"/>
      <c r="V741" s="27"/>
      <c r="W741" s="27"/>
      <c r="X741" s="27"/>
      <c r="Y741" s="27"/>
      <c r="Z741" s="27"/>
      <c r="AA741" s="25"/>
      <c r="AB741" s="27"/>
      <c r="AC741" s="30" t="str">
        <f aca="false">IF(M741="","",IF(AB741="",M741*Parámetros!$B$6,AB741))</f>
        <v/>
      </c>
      <c r="AD741" s="30" t="str">
        <f aca="false">IF(M741="","",SUM(T741:Z741)+AC741)</f>
        <v/>
      </c>
      <c r="AE741" s="30" t="str">
        <f aca="false">IF(OR(M741="",N741=""),"",M741-N741)</f>
        <v/>
      </c>
      <c r="AF741" s="30" t="str">
        <f aca="false">IF(AE741="","",AE741-AD741)</f>
        <v/>
      </c>
      <c r="AG741" s="28" t="str">
        <f aca="false">IF(OR(AF741="",M741=0),"",AF741/M741)</f>
        <v/>
      </c>
      <c r="AH741" s="32" t="str">
        <f aca="false">IF(OR(AE741="",N741=0),"",AE741/(N741/1000))</f>
        <v/>
      </c>
      <c r="AI741" s="30" t="str">
        <f aca="false">IF(O741="","",M741*P741)</f>
        <v/>
      </c>
      <c r="AJ741" s="11" t="str">
        <f aca="false">IF(O741="","",IF(O741&gt;1,"Error: rend &gt; 100 %",IF(SUM(T741:Z741)=0,"Falta registrar pérdidas",IF(ABS(AG741)&gt;Parámetros!$B$7,"Revisar balance",IF(O741&lt;P741,"Bajo meta","OK")))))</f>
        <v/>
      </c>
      <c r="AK741" s="33"/>
      <c r="AL741" s="10"/>
      <c r="AM741" s="33"/>
      <c r="AN741" s="33"/>
      <c r="AO741" s="10"/>
    </row>
    <row r="742" customFormat="false" ht="15" hidden="false" customHeight="false" outlineLevel="0" collapsed="false">
      <c r="A742" s="22"/>
      <c r="B742" s="23" t="str">
        <f aca="false">IF(A742="","",YEAR(A742-WEEKDAY(A742,2)+4))</f>
        <v/>
      </c>
      <c r="C742" s="23" t="str">
        <f aca="false">IF(A742="","",WEEKNUM(A742,21))</f>
        <v/>
      </c>
      <c r="D742" s="24" t="str">
        <f aca="false">IF(A742="","",DATE(YEAR(A742),MONTH(A742),1))</f>
        <v/>
      </c>
      <c r="E742" s="10"/>
      <c r="F742" s="25"/>
      <c r="G742" s="25"/>
      <c r="H742" s="10"/>
      <c r="I742" s="10"/>
      <c r="J742" s="26"/>
      <c r="K742" s="25"/>
      <c r="L742" s="26"/>
      <c r="M742" s="27"/>
      <c r="N742" s="27"/>
      <c r="O742" s="28" t="str">
        <f aca="false">IF(OR(M742="",M742=0,N742=""),"",N742/M742)</f>
        <v/>
      </c>
      <c r="P742" s="28" t="str">
        <f aca="false">IF(M742="","",IFERROR(IF(INDEX(Parámetros!$B$14:$B$21,MATCH(I742,Parámetros!$A$14:$A$21,0))="",Parámetros!$B$5,INDEX(Parámetros!$B$14:$B$21,MATCH(I742,Parámetros!$A$14:$A$21,0))),Parámetros!$B$5))</f>
        <v/>
      </c>
      <c r="Q742" s="29" t="str">
        <f aca="false">IF(O742="","",(O742-P742)*100)</f>
        <v/>
      </c>
      <c r="R742" s="30" t="str">
        <f aca="false">IF(O742="","",MAX(0,M742*(P742-O742)))</f>
        <v/>
      </c>
      <c r="S742" s="31" t="str">
        <f aca="false">IF(OR(L742="",L742=0,N742=""),"",N742/1000/L742)</f>
        <v/>
      </c>
      <c r="T742" s="27"/>
      <c r="U742" s="27"/>
      <c r="V742" s="27"/>
      <c r="W742" s="27"/>
      <c r="X742" s="27"/>
      <c r="Y742" s="27"/>
      <c r="Z742" s="27"/>
      <c r="AA742" s="25"/>
      <c r="AB742" s="27"/>
      <c r="AC742" s="30" t="str">
        <f aca="false">IF(M742="","",IF(AB742="",M742*Parámetros!$B$6,AB742))</f>
        <v/>
      </c>
      <c r="AD742" s="30" t="str">
        <f aca="false">IF(M742="","",SUM(T742:Z742)+AC742)</f>
        <v/>
      </c>
      <c r="AE742" s="30" t="str">
        <f aca="false">IF(OR(M742="",N742=""),"",M742-N742)</f>
        <v/>
      </c>
      <c r="AF742" s="30" t="str">
        <f aca="false">IF(AE742="","",AE742-AD742)</f>
        <v/>
      </c>
      <c r="AG742" s="28" t="str">
        <f aca="false">IF(OR(AF742="",M742=0),"",AF742/M742)</f>
        <v/>
      </c>
      <c r="AH742" s="32" t="str">
        <f aca="false">IF(OR(AE742="",N742=0),"",AE742/(N742/1000))</f>
        <v/>
      </c>
      <c r="AI742" s="30" t="str">
        <f aca="false">IF(O742="","",M742*P742)</f>
        <v/>
      </c>
      <c r="AJ742" s="11" t="str">
        <f aca="false">IF(O742="","",IF(O742&gt;1,"Error: rend &gt; 100 %",IF(SUM(T742:Z742)=0,"Falta registrar pérdidas",IF(ABS(AG742)&gt;Parámetros!$B$7,"Revisar balance",IF(O742&lt;P742,"Bajo meta","OK")))))</f>
        <v/>
      </c>
      <c r="AK742" s="33"/>
      <c r="AL742" s="10"/>
      <c r="AM742" s="33"/>
      <c r="AN742" s="33"/>
      <c r="AO742" s="10"/>
    </row>
    <row r="743" customFormat="false" ht="15" hidden="false" customHeight="false" outlineLevel="0" collapsed="false">
      <c r="A743" s="22"/>
      <c r="B743" s="23" t="str">
        <f aca="false">IF(A743="","",YEAR(A743-WEEKDAY(A743,2)+4))</f>
        <v/>
      </c>
      <c r="C743" s="23" t="str">
        <f aca="false">IF(A743="","",WEEKNUM(A743,21))</f>
        <v/>
      </c>
      <c r="D743" s="24" t="str">
        <f aca="false">IF(A743="","",DATE(YEAR(A743),MONTH(A743),1))</f>
        <v/>
      </c>
      <c r="E743" s="10"/>
      <c r="F743" s="25"/>
      <c r="G743" s="25"/>
      <c r="H743" s="10"/>
      <c r="I743" s="10"/>
      <c r="J743" s="26"/>
      <c r="K743" s="25"/>
      <c r="L743" s="26"/>
      <c r="M743" s="27"/>
      <c r="N743" s="27"/>
      <c r="O743" s="28" t="str">
        <f aca="false">IF(OR(M743="",M743=0,N743=""),"",N743/M743)</f>
        <v/>
      </c>
      <c r="P743" s="28" t="str">
        <f aca="false">IF(M743="","",IFERROR(IF(INDEX(Parámetros!$B$14:$B$21,MATCH(I743,Parámetros!$A$14:$A$21,0))="",Parámetros!$B$5,INDEX(Parámetros!$B$14:$B$21,MATCH(I743,Parámetros!$A$14:$A$21,0))),Parámetros!$B$5))</f>
        <v/>
      </c>
      <c r="Q743" s="29" t="str">
        <f aca="false">IF(O743="","",(O743-P743)*100)</f>
        <v/>
      </c>
      <c r="R743" s="30" t="str">
        <f aca="false">IF(O743="","",MAX(0,M743*(P743-O743)))</f>
        <v/>
      </c>
      <c r="S743" s="31" t="str">
        <f aca="false">IF(OR(L743="",L743=0,N743=""),"",N743/1000/L743)</f>
        <v/>
      </c>
      <c r="T743" s="27"/>
      <c r="U743" s="27"/>
      <c r="V743" s="27"/>
      <c r="W743" s="27"/>
      <c r="X743" s="27"/>
      <c r="Y743" s="27"/>
      <c r="Z743" s="27"/>
      <c r="AA743" s="25"/>
      <c r="AB743" s="27"/>
      <c r="AC743" s="30" t="str">
        <f aca="false">IF(M743="","",IF(AB743="",M743*Parámetros!$B$6,AB743))</f>
        <v/>
      </c>
      <c r="AD743" s="30" t="str">
        <f aca="false">IF(M743="","",SUM(T743:Z743)+AC743)</f>
        <v/>
      </c>
      <c r="AE743" s="30" t="str">
        <f aca="false">IF(OR(M743="",N743=""),"",M743-N743)</f>
        <v/>
      </c>
      <c r="AF743" s="30" t="str">
        <f aca="false">IF(AE743="","",AE743-AD743)</f>
        <v/>
      </c>
      <c r="AG743" s="28" t="str">
        <f aca="false">IF(OR(AF743="",M743=0),"",AF743/M743)</f>
        <v/>
      </c>
      <c r="AH743" s="32" t="str">
        <f aca="false">IF(OR(AE743="",N743=0),"",AE743/(N743/1000))</f>
        <v/>
      </c>
      <c r="AI743" s="30" t="str">
        <f aca="false">IF(O743="","",M743*P743)</f>
        <v/>
      </c>
      <c r="AJ743" s="11" t="str">
        <f aca="false">IF(O743="","",IF(O743&gt;1,"Error: rend &gt; 100 %",IF(SUM(T743:Z743)=0,"Falta registrar pérdidas",IF(ABS(AG743)&gt;Parámetros!$B$7,"Revisar balance",IF(O743&lt;P743,"Bajo meta","OK")))))</f>
        <v/>
      </c>
      <c r="AK743" s="33"/>
      <c r="AL743" s="10"/>
      <c r="AM743" s="33"/>
      <c r="AN743" s="33"/>
      <c r="AO743" s="10"/>
    </row>
    <row r="744" customFormat="false" ht="15" hidden="false" customHeight="false" outlineLevel="0" collapsed="false">
      <c r="A744" s="22"/>
      <c r="B744" s="23" t="str">
        <f aca="false">IF(A744="","",YEAR(A744-WEEKDAY(A744,2)+4))</f>
        <v/>
      </c>
      <c r="C744" s="23" t="str">
        <f aca="false">IF(A744="","",WEEKNUM(A744,21))</f>
        <v/>
      </c>
      <c r="D744" s="24" t="str">
        <f aca="false">IF(A744="","",DATE(YEAR(A744),MONTH(A744),1))</f>
        <v/>
      </c>
      <c r="E744" s="10"/>
      <c r="F744" s="25"/>
      <c r="G744" s="25"/>
      <c r="H744" s="10"/>
      <c r="I744" s="10"/>
      <c r="J744" s="26"/>
      <c r="K744" s="25"/>
      <c r="L744" s="26"/>
      <c r="M744" s="27"/>
      <c r="N744" s="27"/>
      <c r="O744" s="28" t="str">
        <f aca="false">IF(OR(M744="",M744=0,N744=""),"",N744/M744)</f>
        <v/>
      </c>
      <c r="P744" s="28" t="str">
        <f aca="false">IF(M744="","",IFERROR(IF(INDEX(Parámetros!$B$14:$B$21,MATCH(I744,Parámetros!$A$14:$A$21,0))="",Parámetros!$B$5,INDEX(Parámetros!$B$14:$B$21,MATCH(I744,Parámetros!$A$14:$A$21,0))),Parámetros!$B$5))</f>
        <v/>
      </c>
      <c r="Q744" s="29" t="str">
        <f aca="false">IF(O744="","",(O744-P744)*100)</f>
        <v/>
      </c>
      <c r="R744" s="30" t="str">
        <f aca="false">IF(O744="","",MAX(0,M744*(P744-O744)))</f>
        <v/>
      </c>
      <c r="S744" s="31" t="str">
        <f aca="false">IF(OR(L744="",L744=0,N744=""),"",N744/1000/L744)</f>
        <v/>
      </c>
      <c r="T744" s="27"/>
      <c r="U744" s="27"/>
      <c r="V744" s="27"/>
      <c r="W744" s="27"/>
      <c r="X744" s="27"/>
      <c r="Y744" s="27"/>
      <c r="Z744" s="27"/>
      <c r="AA744" s="25"/>
      <c r="AB744" s="27"/>
      <c r="AC744" s="30" t="str">
        <f aca="false">IF(M744="","",IF(AB744="",M744*Parámetros!$B$6,AB744))</f>
        <v/>
      </c>
      <c r="AD744" s="30" t="str">
        <f aca="false">IF(M744="","",SUM(T744:Z744)+AC744)</f>
        <v/>
      </c>
      <c r="AE744" s="30" t="str">
        <f aca="false">IF(OR(M744="",N744=""),"",M744-N744)</f>
        <v/>
      </c>
      <c r="AF744" s="30" t="str">
        <f aca="false">IF(AE744="","",AE744-AD744)</f>
        <v/>
      </c>
      <c r="AG744" s="28" t="str">
        <f aca="false">IF(OR(AF744="",M744=0),"",AF744/M744)</f>
        <v/>
      </c>
      <c r="AH744" s="32" t="str">
        <f aca="false">IF(OR(AE744="",N744=0),"",AE744/(N744/1000))</f>
        <v/>
      </c>
      <c r="AI744" s="30" t="str">
        <f aca="false">IF(O744="","",M744*P744)</f>
        <v/>
      </c>
      <c r="AJ744" s="11" t="str">
        <f aca="false">IF(O744="","",IF(O744&gt;1,"Error: rend &gt; 100 %",IF(SUM(T744:Z744)=0,"Falta registrar pérdidas",IF(ABS(AG744)&gt;Parámetros!$B$7,"Revisar balance",IF(O744&lt;P744,"Bajo meta","OK")))))</f>
        <v/>
      </c>
      <c r="AK744" s="33"/>
      <c r="AL744" s="10"/>
      <c r="AM744" s="33"/>
      <c r="AN744" s="33"/>
      <c r="AO744" s="10"/>
    </row>
    <row r="745" customFormat="false" ht="15" hidden="false" customHeight="false" outlineLevel="0" collapsed="false">
      <c r="A745" s="22"/>
      <c r="B745" s="23" t="str">
        <f aca="false">IF(A745="","",YEAR(A745-WEEKDAY(A745,2)+4))</f>
        <v/>
      </c>
      <c r="C745" s="23" t="str">
        <f aca="false">IF(A745="","",WEEKNUM(A745,21))</f>
        <v/>
      </c>
      <c r="D745" s="24" t="str">
        <f aca="false">IF(A745="","",DATE(YEAR(A745),MONTH(A745),1))</f>
        <v/>
      </c>
      <c r="E745" s="10"/>
      <c r="F745" s="25"/>
      <c r="G745" s="25"/>
      <c r="H745" s="10"/>
      <c r="I745" s="10"/>
      <c r="J745" s="26"/>
      <c r="K745" s="25"/>
      <c r="L745" s="26"/>
      <c r="M745" s="27"/>
      <c r="N745" s="27"/>
      <c r="O745" s="28" t="str">
        <f aca="false">IF(OR(M745="",M745=0,N745=""),"",N745/M745)</f>
        <v/>
      </c>
      <c r="P745" s="28" t="str">
        <f aca="false">IF(M745="","",IFERROR(IF(INDEX(Parámetros!$B$14:$B$21,MATCH(I745,Parámetros!$A$14:$A$21,0))="",Parámetros!$B$5,INDEX(Parámetros!$B$14:$B$21,MATCH(I745,Parámetros!$A$14:$A$21,0))),Parámetros!$B$5))</f>
        <v/>
      </c>
      <c r="Q745" s="29" t="str">
        <f aca="false">IF(O745="","",(O745-P745)*100)</f>
        <v/>
      </c>
      <c r="R745" s="30" t="str">
        <f aca="false">IF(O745="","",MAX(0,M745*(P745-O745)))</f>
        <v/>
      </c>
      <c r="S745" s="31" t="str">
        <f aca="false">IF(OR(L745="",L745=0,N745=""),"",N745/1000/L745)</f>
        <v/>
      </c>
      <c r="T745" s="27"/>
      <c r="U745" s="27"/>
      <c r="V745" s="27"/>
      <c r="W745" s="27"/>
      <c r="X745" s="27"/>
      <c r="Y745" s="27"/>
      <c r="Z745" s="27"/>
      <c r="AA745" s="25"/>
      <c r="AB745" s="27"/>
      <c r="AC745" s="30" t="str">
        <f aca="false">IF(M745="","",IF(AB745="",M745*Parámetros!$B$6,AB745))</f>
        <v/>
      </c>
      <c r="AD745" s="30" t="str">
        <f aca="false">IF(M745="","",SUM(T745:Z745)+AC745)</f>
        <v/>
      </c>
      <c r="AE745" s="30" t="str">
        <f aca="false">IF(OR(M745="",N745=""),"",M745-N745)</f>
        <v/>
      </c>
      <c r="AF745" s="30" t="str">
        <f aca="false">IF(AE745="","",AE745-AD745)</f>
        <v/>
      </c>
      <c r="AG745" s="28" t="str">
        <f aca="false">IF(OR(AF745="",M745=0),"",AF745/M745)</f>
        <v/>
      </c>
      <c r="AH745" s="32" t="str">
        <f aca="false">IF(OR(AE745="",N745=0),"",AE745/(N745/1000))</f>
        <v/>
      </c>
      <c r="AI745" s="30" t="str">
        <f aca="false">IF(O745="","",M745*P745)</f>
        <v/>
      </c>
      <c r="AJ745" s="11" t="str">
        <f aca="false">IF(O745="","",IF(O745&gt;1,"Error: rend &gt; 100 %",IF(SUM(T745:Z745)=0,"Falta registrar pérdidas",IF(ABS(AG745)&gt;Parámetros!$B$7,"Revisar balance",IF(O745&lt;P745,"Bajo meta","OK")))))</f>
        <v/>
      </c>
      <c r="AK745" s="33"/>
      <c r="AL745" s="10"/>
      <c r="AM745" s="33"/>
      <c r="AN745" s="33"/>
      <c r="AO745" s="10"/>
    </row>
    <row r="746" customFormat="false" ht="15" hidden="false" customHeight="false" outlineLevel="0" collapsed="false">
      <c r="A746" s="22"/>
      <c r="B746" s="23" t="str">
        <f aca="false">IF(A746="","",YEAR(A746-WEEKDAY(A746,2)+4))</f>
        <v/>
      </c>
      <c r="C746" s="23" t="str">
        <f aca="false">IF(A746="","",WEEKNUM(A746,21))</f>
        <v/>
      </c>
      <c r="D746" s="24" t="str">
        <f aca="false">IF(A746="","",DATE(YEAR(A746),MONTH(A746),1))</f>
        <v/>
      </c>
      <c r="E746" s="10"/>
      <c r="F746" s="25"/>
      <c r="G746" s="25"/>
      <c r="H746" s="10"/>
      <c r="I746" s="10"/>
      <c r="J746" s="26"/>
      <c r="K746" s="25"/>
      <c r="L746" s="26"/>
      <c r="M746" s="27"/>
      <c r="N746" s="27"/>
      <c r="O746" s="28" t="str">
        <f aca="false">IF(OR(M746="",M746=0,N746=""),"",N746/M746)</f>
        <v/>
      </c>
      <c r="P746" s="28" t="str">
        <f aca="false">IF(M746="","",IFERROR(IF(INDEX(Parámetros!$B$14:$B$21,MATCH(I746,Parámetros!$A$14:$A$21,0))="",Parámetros!$B$5,INDEX(Parámetros!$B$14:$B$21,MATCH(I746,Parámetros!$A$14:$A$21,0))),Parámetros!$B$5))</f>
        <v/>
      </c>
      <c r="Q746" s="29" t="str">
        <f aca="false">IF(O746="","",(O746-P746)*100)</f>
        <v/>
      </c>
      <c r="R746" s="30" t="str">
        <f aca="false">IF(O746="","",MAX(0,M746*(P746-O746)))</f>
        <v/>
      </c>
      <c r="S746" s="31" t="str">
        <f aca="false">IF(OR(L746="",L746=0,N746=""),"",N746/1000/L746)</f>
        <v/>
      </c>
      <c r="T746" s="27"/>
      <c r="U746" s="27"/>
      <c r="V746" s="27"/>
      <c r="W746" s="27"/>
      <c r="X746" s="27"/>
      <c r="Y746" s="27"/>
      <c r="Z746" s="27"/>
      <c r="AA746" s="25"/>
      <c r="AB746" s="27"/>
      <c r="AC746" s="30" t="str">
        <f aca="false">IF(M746="","",IF(AB746="",M746*Parámetros!$B$6,AB746))</f>
        <v/>
      </c>
      <c r="AD746" s="30" t="str">
        <f aca="false">IF(M746="","",SUM(T746:Z746)+AC746)</f>
        <v/>
      </c>
      <c r="AE746" s="30" t="str">
        <f aca="false">IF(OR(M746="",N746=""),"",M746-N746)</f>
        <v/>
      </c>
      <c r="AF746" s="30" t="str">
        <f aca="false">IF(AE746="","",AE746-AD746)</f>
        <v/>
      </c>
      <c r="AG746" s="28" t="str">
        <f aca="false">IF(OR(AF746="",M746=0),"",AF746/M746)</f>
        <v/>
      </c>
      <c r="AH746" s="32" t="str">
        <f aca="false">IF(OR(AE746="",N746=0),"",AE746/(N746/1000))</f>
        <v/>
      </c>
      <c r="AI746" s="30" t="str">
        <f aca="false">IF(O746="","",M746*P746)</f>
        <v/>
      </c>
      <c r="AJ746" s="11" t="str">
        <f aca="false">IF(O746="","",IF(O746&gt;1,"Error: rend &gt; 100 %",IF(SUM(T746:Z746)=0,"Falta registrar pérdidas",IF(ABS(AG746)&gt;Parámetros!$B$7,"Revisar balance",IF(O746&lt;P746,"Bajo meta","OK")))))</f>
        <v/>
      </c>
      <c r="AK746" s="33"/>
      <c r="AL746" s="10"/>
      <c r="AM746" s="33"/>
      <c r="AN746" s="33"/>
      <c r="AO746" s="10"/>
    </row>
    <row r="747" customFormat="false" ht="15" hidden="false" customHeight="false" outlineLevel="0" collapsed="false">
      <c r="A747" s="22"/>
      <c r="B747" s="23" t="str">
        <f aca="false">IF(A747="","",YEAR(A747-WEEKDAY(A747,2)+4))</f>
        <v/>
      </c>
      <c r="C747" s="23" t="str">
        <f aca="false">IF(A747="","",WEEKNUM(A747,21))</f>
        <v/>
      </c>
      <c r="D747" s="24" t="str">
        <f aca="false">IF(A747="","",DATE(YEAR(A747),MONTH(A747),1))</f>
        <v/>
      </c>
      <c r="E747" s="10"/>
      <c r="F747" s="25"/>
      <c r="G747" s="25"/>
      <c r="H747" s="10"/>
      <c r="I747" s="10"/>
      <c r="J747" s="26"/>
      <c r="K747" s="25"/>
      <c r="L747" s="26"/>
      <c r="M747" s="27"/>
      <c r="N747" s="27"/>
      <c r="O747" s="28" t="str">
        <f aca="false">IF(OR(M747="",M747=0,N747=""),"",N747/M747)</f>
        <v/>
      </c>
      <c r="P747" s="28" t="str">
        <f aca="false">IF(M747="","",IFERROR(IF(INDEX(Parámetros!$B$14:$B$21,MATCH(I747,Parámetros!$A$14:$A$21,0))="",Parámetros!$B$5,INDEX(Parámetros!$B$14:$B$21,MATCH(I747,Parámetros!$A$14:$A$21,0))),Parámetros!$B$5))</f>
        <v/>
      </c>
      <c r="Q747" s="29" t="str">
        <f aca="false">IF(O747="","",(O747-P747)*100)</f>
        <v/>
      </c>
      <c r="R747" s="30" t="str">
        <f aca="false">IF(O747="","",MAX(0,M747*(P747-O747)))</f>
        <v/>
      </c>
      <c r="S747" s="31" t="str">
        <f aca="false">IF(OR(L747="",L747=0,N747=""),"",N747/1000/L747)</f>
        <v/>
      </c>
      <c r="T747" s="27"/>
      <c r="U747" s="27"/>
      <c r="V747" s="27"/>
      <c r="W747" s="27"/>
      <c r="X747" s="27"/>
      <c r="Y747" s="27"/>
      <c r="Z747" s="27"/>
      <c r="AA747" s="25"/>
      <c r="AB747" s="27"/>
      <c r="AC747" s="30" t="str">
        <f aca="false">IF(M747="","",IF(AB747="",M747*Parámetros!$B$6,AB747))</f>
        <v/>
      </c>
      <c r="AD747" s="30" t="str">
        <f aca="false">IF(M747="","",SUM(T747:Z747)+AC747)</f>
        <v/>
      </c>
      <c r="AE747" s="30" t="str">
        <f aca="false">IF(OR(M747="",N747=""),"",M747-N747)</f>
        <v/>
      </c>
      <c r="AF747" s="30" t="str">
        <f aca="false">IF(AE747="","",AE747-AD747)</f>
        <v/>
      </c>
      <c r="AG747" s="28" t="str">
        <f aca="false">IF(OR(AF747="",M747=0),"",AF747/M747)</f>
        <v/>
      </c>
      <c r="AH747" s="32" t="str">
        <f aca="false">IF(OR(AE747="",N747=0),"",AE747/(N747/1000))</f>
        <v/>
      </c>
      <c r="AI747" s="30" t="str">
        <f aca="false">IF(O747="","",M747*P747)</f>
        <v/>
      </c>
      <c r="AJ747" s="11" t="str">
        <f aca="false">IF(O747="","",IF(O747&gt;1,"Error: rend &gt; 100 %",IF(SUM(T747:Z747)=0,"Falta registrar pérdidas",IF(ABS(AG747)&gt;Parámetros!$B$7,"Revisar balance",IF(O747&lt;P747,"Bajo meta","OK")))))</f>
        <v/>
      </c>
      <c r="AK747" s="33"/>
      <c r="AL747" s="10"/>
      <c r="AM747" s="33"/>
      <c r="AN747" s="33"/>
      <c r="AO747" s="10"/>
    </row>
    <row r="748" customFormat="false" ht="15" hidden="false" customHeight="false" outlineLevel="0" collapsed="false">
      <c r="A748" s="22"/>
      <c r="B748" s="23" t="str">
        <f aca="false">IF(A748="","",YEAR(A748-WEEKDAY(A748,2)+4))</f>
        <v/>
      </c>
      <c r="C748" s="23" t="str">
        <f aca="false">IF(A748="","",WEEKNUM(A748,21))</f>
        <v/>
      </c>
      <c r="D748" s="24" t="str">
        <f aca="false">IF(A748="","",DATE(YEAR(A748),MONTH(A748),1))</f>
        <v/>
      </c>
      <c r="E748" s="10"/>
      <c r="F748" s="25"/>
      <c r="G748" s="25"/>
      <c r="H748" s="10"/>
      <c r="I748" s="10"/>
      <c r="J748" s="26"/>
      <c r="K748" s="25"/>
      <c r="L748" s="26"/>
      <c r="M748" s="27"/>
      <c r="N748" s="27"/>
      <c r="O748" s="28" t="str">
        <f aca="false">IF(OR(M748="",M748=0,N748=""),"",N748/M748)</f>
        <v/>
      </c>
      <c r="P748" s="28" t="str">
        <f aca="false">IF(M748="","",IFERROR(IF(INDEX(Parámetros!$B$14:$B$21,MATCH(I748,Parámetros!$A$14:$A$21,0))="",Parámetros!$B$5,INDEX(Parámetros!$B$14:$B$21,MATCH(I748,Parámetros!$A$14:$A$21,0))),Parámetros!$B$5))</f>
        <v/>
      </c>
      <c r="Q748" s="29" t="str">
        <f aca="false">IF(O748="","",(O748-P748)*100)</f>
        <v/>
      </c>
      <c r="R748" s="30" t="str">
        <f aca="false">IF(O748="","",MAX(0,M748*(P748-O748)))</f>
        <v/>
      </c>
      <c r="S748" s="31" t="str">
        <f aca="false">IF(OR(L748="",L748=0,N748=""),"",N748/1000/L748)</f>
        <v/>
      </c>
      <c r="T748" s="27"/>
      <c r="U748" s="27"/>
      <c r="V748" s="27"/>
      <c r="W748" s="27"/>
      <c r="X748" s="27"/>
      <c r="Y748" s="27"/>
      <c r="Z748" s="27"/>
      <c r="AA748" s="25"/>
      <c r="AB748" s="27"/>
      <c r="AC748" s="30" t="str">
        <f aca="false">IF(M748="","",IF(AB748="",M748*Parámetros!$B$6,AB748))</f>
        <v/>
      </c>
      <c r="AD748" s="30" t="str">
        <f aca="false">IF(M748="","",SUM(T748:Z748)+AC748)</f>
        <v/>
      </c>
      <c r="AE748" s="30" t="str">
        <f aca="false">IF(OR(M748="",N748=""),"",M748-N748)</f>
        <v/>
      </c>
      <c r="AF748" s="30" t="str">
        <f aca="false">IF(AE748="","",AE748-AD748)</f>
        <v/>
      </c>
      <c r="AG748" s="28" t="str">
        <f aca="false">IF(OR(AF748="",M748=0),"",AF748/M748)</f>
        <v/>
      </c>
      <c r="AH748" s="32" t="str">
        <f aca="false">IF(OR(AE748="",N748=0),"",AE748/(N748/1000))</f>
        <v/>
      </c>
      <c r="AI748" s="30" t="str">
        <f aca="false">IF(O748="","",M748*P748)</f>
        <v/>
      </c>
      <c r="AJ748" s="11" t="str">
        <f aca="false">IF(O748="","",IF(O748&gt;1,"Error: rend &gt; 100 %",IF(SUM(T748:Z748)=0,"Falta registrar pérdidas",IF(ABS(AG748)&gt;Parámetros!$B$7,"Revisar balance",IF(O748&lt;P748,"Bajo meta","OK")))))</f>
        <v/>
      </c>
      <c r="AK748" s="33"/>
      <c r="AL748" s="10"/>
      <c r="AM748" s="33"/>
      <c r="AN748" s="33"/>
      <c r="AO748" s="10"/>
    </row>
    <row r="749" customFormat="false" ht="15" hidden="false" customHeight="false" outlineLevel="0" collapsed="false">
      <c r="A749" s="22"/>
      <c r="B749" s="23" t="str">
        <f aca="false">IF(A749="","",YEAR(A749-WEEKDAY(A749,2)+4))</f>
        <v/>
      </c>
      <c r="C749" s="23" t="str">
        <f aca="false">IF(A749="","",WEEKNUM(A749,21))</f>
        <v/>
      </c>
      <c r="D749" s="24" t="str">
        <f aca="false">IF(A749="","",DATE(YEAR(A749),MONTH(A749),1))</f>
        <v/>
      </c>
      <c r="E749" s="10"/>
      <c r="F749" s="25"/>
      <c r="G749" s="25"/>
      <c r="H749" s="10"/>
      <c r="I749" s="10"/>
      <c r="J749" s="26"/>
      <c r="K749" s="25"/>
      <c r="L749" s="26"/>
      <c r="M749" s="27"/>
      <c r="N749" s="27"/>
      <c r="O749" s="28" t="str">
        <f aca="false">IF(OR(M749="",M749=0,N749=""),"",N749/M749)</f>
        <v/>
      </c>
      <c r="P749" s="28" t="str">
        <f aca="false">IF(M749="","",IFERROR(IF(INDEX(Parámetros!$B$14:$B$21,MATCH(I749,Parámetros!$A$14:$A$21,0))="",Parámetros!$B$5,INDEX(Parámetros!$B$14:$B$21,MATCH(I749,Parámetros!$A$14:$A$21,0))),Parámetros!$B$5))</f>
        <v/>
      </c>
      <c r="Q749" s="29" t="str">
        <f aca="false">IF(O749="","",(O749-P749)*100)</f>
        <v/>
      </c>
      <c r="R749" s="30" t="str">
        <f aca="false">IF(O749="","",MAX(0,M749*(P749-O749)))</f>
        <v/>
      </c>
      <c r="S749" s="31" t="str">
        <f aca="false">IF(OR(L749="",L749=0,N749=""),"",N749/1000/L749)</f>
        <v/>
      </c>
      <c r="T749" s="27"/>
      <c r="U749" s="27"/>
      <c r="V749" s="27"/>
      <c r="W749" s="27"/>
      <c r="X749" s="27"/>
      <c r="Y749" s="27"/>
      <c r="Z749" s="27"/>
      <c r="AA749" s="25"/>
      <c r="AB749" s="27"/>
      <c r="AC749" s="30" t="str">
        <f aca="false">IF(M749="","",IF(AB749="",M749*Parámetros!$B$6,AB749))</f>
        <v/>
      </c>
      <c r="AD749" s="30" t="str">
        <f aca="false">IF(M749="","",SUM(T749:Z749)+AC749)</f>
        <v/>
      </c>
      <c r="AE749" s="30" t="str">
        <f aca="false">IF(OR(M749="",N749=""),"",M749-N749)</f>
        <v/>
      </c>
      <c r="AF749" s="30" t="str">
        <f aca="false">IF(AE749="","",AE749-AD749)</f>
        <v/>
      </c>
      <c r="AG749" s="28" t="str">
        <f aca="false">IF(OR(AF749="",M749=0),"",AF749/M749)</f>
        <v/>
      </c>
      <c r="AH749" s="32" t="str">
        <f aca="false">IF(OR(AE749="",N749=0),"",AE749/(N749/1000))</f>
        <v/>
      </c>
      <c r="AI749" s="30" t="str">
        <f aca="false">IF(O749="","",M749*P749)</f>
        <v/>
      </c>
      <c r="AJ749" s="11" t="str">
        <f aca="false">IF(O749="","",IF(O749&gt;1,"Error: rend &gt; 100 %",IF(SUM(T749:Z749)=0,"Falta registrar pérdidas",IF(ABS(AG749)&gt;Parámetros!$B$7,"Revisar balance",IF(O749&lt;P749,"Bajo meta","OK")))))</f>
        <v/>
      </c>
      <c r="AK749" s="33"/>
      <c r="AL749" s="10"/>
      <c r="AM749" s="33"/>
      <c r="AN749" s="33"/>
      <c r="AO749" s="10"/>
    </row>
    <row r="750" customFormat="false" ht="15" hidden="false" customHeight="false" outlineLevel="0" collapsed="false">
      <c r="A750" s="22"/>
      <c r="B750" s="23" t="str">
        <f aca="false">IF(A750="","",YEAR(A750-WEEKDAY(A750,2)+4))</f>
        <v/>
      </c>
      <c r="C750" s="23" t="str">
        <f aca="false">IF(A750="","",WEEKNUM(A750,21))</f>
        <v/>
      </c>
      <c r="D750" s="24" t="str">
        <f aca="false">IF(A750="","",DATE(YEAR(A750),MONTH(A750),1))</f>
        <v/>
      </c>
      <c r="E750" s="10"/>
      <c r="F750" s="25"/>
      <c r="G750" s="25"/>
      <c r="H750" s="10"/>
      <c r="I750" s="10"/>
      <c r="J750" s="26"/>
      <c r="K750" s="25"/>
      <c r="L750" s="26"/>
      <c r="M750" s="27"/>
      <c r="N750" s="27"/>
      <c r="O750" s="28" t="str">
        <f aca="false">IF(OR(M750="",M750=0,N750=""),"",N750/M750)</f>
        <v/>
      </c>
      <c r="P750" s="28" t="str">
        <f aca="false">IF(M750="","",IFERROR(IF(INDEX(Parámetros!$B$14:$B$21,MATCH(I750,Parámetros!$A$14:$A$21,0))="",Parámetros!$B$5,INDEX(Parámetros!$B$14:$B$21,MATCH(I750,Parámetros!$A$14:$A$21,0))),Parámetros!$B$5))</f>
        <v/>
      </c>
      <c r="Q750" s="29" t="str">
        <f aca="false">IF(O750="","",(O750-P750)*100)</f>
        <v/>
      </c>
      <c r="R750" s="30" t="str">
        <f aca="false">IF(O750="","",MAX(0,M750*(P750-O750)))</f>
        <v/>
      </c>
      <c r="S750" s="31" t="str">
        <f aca="false">IF(OR(L750="",L750=0,N750=""),"",N750/1000/L750)</f>
        <v/>
      </c>
      <c r="T750" s="27"/>
      <c r="U750" s="27"/>
      <c r="V750" s="27"/>
      <c r="W750" s="27"/>
      <c r="X750" s="27"/>
      <c r="Y750" s="27"/>
      <c r="Z750" s="27"/>
      <c r="AA750" s="25"/>
      <c r="AB750" s="27"/>
      <c r="AC750" s="30" t="str">
        <f aca="false">IF(M750="","",IF(AB750="",M750*Parámetros!$B$6,AB750))</f>
        <v/>
      </c>
      <c r="AD750" s="30" t="str">
        <f aca="false">IF(M750="","",SUM(T750:Z750)+AC750)</f>
        <v/>
      </c>
      <c r="AE750" s="30" t="str">
        <f aca="false">IF(OR(M750="",N750=""),"",M750-N750)</f>
        <v/>
      </c>
      <c r="AF750" s="30" t="str">
        <f aca="false">IF(AE750="","",AE750-AD750)</f>
        <v/>
      </c>
      <c r="AG750" s="28" t="str">
        <f aca="false">IF(OR(AF750="",M750=0),"",AF750/M750)</f>
        <v/>
      </c>
      <c r="AH750" s="32" t="str">
        <f aca="false">IF(OR(AE750="",N750=0),"",AE750/(N750/1000))</f>
        <v/>
      </c>
      <c r="AI750" s="30" t="str">
        <f aca="false">IF(O750="","",M750*P750)</f>
        <v/>
      </c>
      <c r="AJ750" s="11" t="str">
        <f aca="false">IF(O750="","",IF(O750&gt;1,"Error: rend &gt; 100 %",IF(SUM(T750:Z750)=0,"Falta registrar pérdidas",IF(ABS(AG750)&gt;Parámetros!$B$7,"Revisar balance",IF(O750&lt;P750,"Bajo meta","OK")))))</f>
        <v/>
      </c>
      <c r="AK750" s="33"/>
      <c r="AL750" s="10"/>
      <c r="AM750" s="33"/>
      <c r="AN750" s="33"/>
      <c r="AO750" s="10"/>
    </row>
    <row r="751" customFormat="false" ht="15" hidden="false" customHeight="false" outlineLevel="0" collapsed="false">
      <c r="A751" s="22"/>
      <c r="B751" s="23" t="str">
        <f aca="false">IF(A751="","",YEAR(A751-WEEKDAY(A751,2)+4))</f>
        <v/>
      </c>
      <c r="C751" s="23" t="str">
        <f aca="false">IF(A751="","",WEEKNUM(A751,21))</f>
        <v/>
      </c>
      <c r="D751" s="24" t="str">
        <f aca="false">IF(A751="","",DATE(YEAR(A751),MONTH(A751),1))</f>
        <v/>
      </c>
      <c r="E751" s="10"/>
      <c r="F751" s="25"/>
      <c r="G751" s="25"/>
      <c r="H751" s="10"/>
      <c r="I751" s="10"/>
      <c r="J751" s="26"/>
      <c r="K751" s="25"/>
      <c r="L751" s="26"/>
      <c r="M751" s="27"/>
      <c r="N751" s="27"/>
      <c r="O751" s="28" t="str">
        <f aca="false">IF(OR(M751="",M751=0,N751=""),"",N751/M751)</f>
        <v/>
      </c>
      <c r="P751" s="28" t="str">
        <f aca="false">IF(M751="","",IFERROR(IF(INDEX(Parámetros!$B$14:$B$21,MATCH(I751,Parámetros!$A$14:$A$21,0))="",Parámetros!$B$5,INDEX(Parámetros!$B$14:$B$21,MATCH(I751,Parámetros!$A$14:$A$21,0))),Parámetros!$B$5))</f>
        <v/>
      </c>
      <c r="Q751" s="29" t="str">
        <f aca="false">IF(O751="","",(O751-P751)*100)</f>
        <v/>
      </c>
      <c r="R751" s="30" t="str">
        <f aca="false">IF(O751="","",MAX(0,M751*(P751-O751)))</f>
        <v/>
      </c>
      <c r="S751" s="31" t="str">
        <f aca="false">IF(OR(L751="",L751=0,N751=""),"",N751/1000/L751)</f>
        <v/>
      </c>
      <c r="T751" s="27"/>
      <c r="U751" s="27"/>
      <c r="V751" s="27"/>
      <c r="W751" s="27"/>
      <c r="X751" s="27"/>
      <c r="Y751" s="27"/>
      <c r="Z751" s="27"/>
      <c r="AA751" s="25"/>
      <c r="AB751" s="27"/>
      <c r="AC751" s="30" t="str">
        <f aca="false">IF(M751="","",IF(AB751="",M751*Parámetros!$B$6,AB751))</f>
        <v/>
      </c>
      <c r="AD751" s="30" t="str">
        <f aca="false">IF(M751="","",SUM(T751:Z751)+AC751)</f>
        <v/>
      </c>
      <c r="AE751" s="30" t="str">
        <f aca="false">IF(OR(M751="",N751=""),"",M751-N751)</f>
        <v/>
      </c>
      <c r="AF751" s="30" t="str">
        <f aca="false">IF(AE751="","",AE751-AD751)</f>
        <v/>
      </c>
      <c r="AG751" s="28" t="str">
        <f aca="false">IF(OR(AF751="",M751=0),"",AF751/M751)</f>
        <v/>
      </c>
      <c r="AH751" s="32" t="str">
        <f aca="false">IF(OR(AE751="",N751=0),"",AE751/(N751/1000))</f>
        <v/>
      </c>
      <c r="AI751" s="30" t="str">
        <f aca="false">IF(O751="","",M751*P751)</f>
        <v/>
      </c>
      <c r="AJ751" s="11" t="str">
        <f aca="false">IF(O751="","",IF(O751&gt;1,"Error: rend &gt; 100 %",IF(SUM(T751:Z751)=0,"Falta registrar pérdidas",IF(ABS(AG751)&gt;Parámetros!$B$7,"Revisar balance",IF(O751&lt;P751,"Bajo meta","OK")))))</f>
        <v/>
      </c>
      <c r="AK751" s="33"/>
      <c r="AL751" s="10"/>
      <c r="AM751" s="33"/>
      <c r="AN751" s="33"/>
      <c r="AO751" s="10"/>
    </row>
    <row r="752" customFormat="false" ht="15" hidden="false" customHeight="false" outlineLevel="0" collapsed="false">
      <c r="A752" s="22"/>
      <c r="B752" s="23" t="str">
        <f aca="false">IF(A752="","",YEAR(A752-WEEKDAY(A752,2)+4))</f>
        <v/>
      </c>
      <c r="C752" s="23" t="str">
        <f aca="false">IF(A752="","",WEEKNUM(A752,21))</f>
        <v/>
      </c>
      <c r="D752" s="24" t="str">
        <f aca="false">IF(A752="","",DATE(YEAR(A752),MONTH(A752),1))</f>
        <v/>
      </c>
      <c r="E752" s="10"/>
      <c r="F752" s="25"/>
      <c r="G752" s="25"/>
      <c r="H752" s="10"/>
      <c r="I752" s="10"/>
      <c r="J752" s="26"/>
      <c r="K752" s="25"/>
      <c r="L752" s="26"/>
      <c r="M752" s="27"/>
      <c r="N752" s="27"/>
      <c r="O752" s="28" t="str">
        <f aca="false">IF(OR(M752="",M752=0,N752=""),"",N752/M752)</f>
        <v/>
      </c>
      <c r="P752" s="28" t="str">
        <f aca="false">IF(M752="","",IFERROR(IF(INDEX(Parámetros!$B$14:$B$21,MATCH(I752,Parámetros!$A$14:$A$21,0))="",Parámetros!$B$5,INDEX(Parámetros!$B$14:$B$21,MATCH(I752,Parámetros!$A$14:$A$21,0))),Parámetros!$B$5))</f>
        <v/>
      </c>
      <c r="Q752" s="29" t="str">
        <f aca="false">IF(O752="","",(O752-P752)*100)</f>
        <v/>
      </c>
      <c r="R752" s="30" t="str">
        <f aca="false">IF(O752="","",MAX(0,M752*(P752-O752)))</f>
        <v/>
      </c>
      <c r="S752" s="31" t="str">
        <f aca="false">IF(OR(L752="",L752=0,N752=""),"",N752/1000/L752)</f>
        <v/>
      </c>
      <c r="T752" s="27"/>
      <c r="U752" s="27"/>
      <c r="V752" s="27"/>
      <c r="W752" s="27"/>
      <c r="X752" s="27"/>
      <c r="Y752" s="27"/>
      <c r="Z752" s="27"/>
      <c r="AA752" s="25"/>
      <c r="AB752" s="27"/>
      <c r="AC752" s="30" t="str">
        <f aca="false">IF(M752="","",IF(AB752="",M752*Parámetros!$B$6,AB752))</f>
        <v/>
      </c>
      <c r="AD752" s="30" t="str">
        <f aca="false">IF(M752="","",SUM(T752:Z752)+AC752)</f>
        <v/>
      </c>
      <c r="AE752" s="30" t="str">
        <f aca="false">IF(OR(M752="",N752=""),"",M752-N752)</f>
        <v/>
      </c>
      <c r="AF752" s="30" t="str">
        <f aca="false">IF(AE752="","",AE752-AD752)</f>
        <v/>
      </c>
      <c r="AG752" s="28" t="str">
        <f aca="false">IF(OR(AF752="",M752=0),"",AF752/M752)</f>
        <v/>
      </c>
      <c r="AH752" s="32" t="str">
        <f aca="false">IF(OR(AE752="",N752=0),"",AE752/(N752/1000))</f>
        <v/>
      </c>
      <c r="AI752" s="30" t="str">
        <f aca="false">IF(O752="","",M752*P752)</f>
        <v/>
      </c>
      <c r="AJ752" s="11" t="str">
        <f aca="false">IF(O752="","",IF(O752&gt;1,"Error: rend &gt; 100 %",IF(SUM(T752:Z752)=0,"Falta registrar pérdidas",IF(ABS(AG752)&gt;Parámetros!$B$7,"Revisar balance",IF(O752&lt;P752,"Bajo meta","OK")))))</f>
        <v/>
      </c>
      <c r="AK752" s="33"/>
      <c r="AL752" s="10"/>
      <c r="AM752" s="33"/>
      <c r="AN752" s="33"/>
      <c r="AO752" s="10"/>
    </row>
    <row r="753" customFormat="false" ht="15" hidden="false" customHeight="false" outlineLevel="0" collapsed="false">
      <c r="A753" s="22"/>
      <c r="B753" s="23" t="str">
        <f aca="false">IF(A753="","",YEAR(A753-WEEKDAY(A753,2)+4))</f>
        <v/>
      </c>
      <c r="C753" s="23" t="str">
        <f aca="false">IF(A753="","",WEEKNUM(A753,21))</f>
        <v/>
      </c>
      <c r="D753" s="24" t="str">
        <f aca="false">IF(A753="","",DATE(YEAR(A753),MONTH(A753),1))</f>
        <v/>
      </c>
      <c r="E753" s="10"/>
      <c r="F753" s="25"/>
      <c r="G753" s="25"/>
      <c r="H753" s="10"/>
      <c r="I753" s="10"/>
      <c r="J753" s="26"/>
      <c r="K753" s="25"/>
      <c r="L753" s="26"/>
      <c r="M753" s="27"/>
      <c r="N753" s="27"/>
      <c r="O753" s="28" t="str">
        <f aca="false">IF(OR(M753="",M753=0,N753=""),"",N753/M753)</f>
        <v/>
      </c>
      <c r="P753" s="28" t="str">
        <f aca="false">IF(M753="","",IFERROR(IF(INDEX(Parámetros!$B$14:$B$21,MATCH(I753,Parámetros!$A$14:$A$21,0))="",Parámetros!$B$5,INDEX(Parámetros!$B$14:$B$21,MATCH(I753,Parámetros!$A$14:$A$21,0))),Parámetros!$B$5))</f>
        <v/>
      </c>
      <c r="Q753" s="29" t="str">
        <f aca="false">IF(O753="","",(O753-P753)*100)</f>
        <v/>
      </c>
      <c r="R753" s="30" t="str">
        <f aca="false">IF(O753="","",MAX(0,M753*(P753-O753)))</f>
        <v/>
      </c>
      <c r="S753" s="31" t="str">
        <f aca="false">IF(OR(L753="",L753=0,N753=""),"",N753/1000/L753)</f>
        <v/>
      </c>
      <c r="T753" s="27"/>
      <c r="U753" s="27"/>
      <c r="V753" s="27"/>
      <c r="W753" s="27"/>
      <c r="X753" s="27"/>
      <c r="Y753" s="27"/>
      <c r="Z753" s="27"/>
      <c r="AA753" s="25"/>
      <c r="AB753" s="27"/>
      <c r="AC753" s="30" t="str">
        <f aca="false">IF(M753="","",IF(AB753="",M753*Parámetros!$B$6,AB753))</f>
        <v/>
      </c>
      <c r="AD753" s="30" t="str">
        <f aca="false">IF(M753="","",SUM(T753:Z753)+AC753)</f>
        <v/>
      </c>
      <c r="AE753" s="30" t="str">
        <f aca="false">IF(OR(M753="",N753=""),"",M753-N753)</f>
        <v/>
      </c>
      <c r="AF753" s="30" t="str">
        <f aca="false">IF(AE753="","",AE753-AD753)</f>
        <v/>
      </c>
      <c r="AG753" s="28" t="str">
        <f aca="false">IF(OR(AF753="",M753=0),"",AF753/M753)</f>
        <v/>
      </c>
      <c r="AH753" s="32" t="str">
        <f aca="false">IF(OR(AE753="",N753=0),"",AE753/(N753/1000))</f>
        <v/>
      </c>
      <c r="AI753" s="30" t="str">
        <f aca="false">IF(O753="","",M753*P753)</f>
        <v/>
      </c>
      <c r="AJ753" s="11" t="str">
        <f aca="false">IF(O753="","",IF(O753&gt;1,"Error: rend &gt; 100 %",IF(SUM(T753:Z753)=0,"Falta registrar pérdidas",IF(ABS(AG753)&gt;Parámetros!$B$7,"Revisar balance",IF(O753&lt;P753,"Bajo meta","OK")))))</f>
        <v/>
      </c>
      <c r="AK753" s="33"/>
      <c r="AL753" s="10"/>
      <c r="AM753" s="33"/>
      <c r="AN753" s="33"/>
      <c r="AO753" s="10"/>
    </row>
    <row r="754" customFormat="false" ht="15" hidden="false" customHeight="false" outlineLevel="0" collapsed="false">
      <c r="A754" s="22"/>
      <c r="B754" s="23" t="str">
        <f aca="false">IF(A754="","",YEAR(A754-WEEKDAY(A754,2)+4))</f>
        <v/>
      </c>
      <c r="C754" s="23" t="str">
        <f aca="false">IF(A754="","",WEEKNUM(A754,21))</f>
        <v/>
      </c>
      <c r="D754" s="24" t="str">
        <f aca="false">IF(A754="","",DATE(YEAR(A754),MONTH(A754),1))</f>
        <v/>
      </c>
      <c r="E754" s="10"/>
      <c r="F754" s="25"/>
      <c r="G754" s="25"/>
      <c r="H754" s="10"/>
      <c r="I754" s="10"/>
      <c r="J754" s="26"/>
      <c r="K754" s="25"/>
      <c r="L754" s="26"/>
      <c r="M754" s="27"/>
      <c r="N754" s="27"/>
      <c r="O754" s="28" t="str">
        <f aca="false">IF(OR(M754="",M754=0,N754=""),"",N754/M754)</f>
        <v/>
      </c>
      <c r="P754" s="28" t="str">
        <f aca="false">IF(M754="","",IFERROR(IF(INDEX(Parámetros!$B$14:$B$21,MATCH(I754,Parámetros!$A$14:$A$21,0))="",Parámetros!$B$5,INDEX(Parámetros!$B$14:$B$21,MATCH(I754,Parámetros!$A$14:$A$21,0))),Parámetros!$B$5))</f>
        <v/>
      </c>
      <c r="Q754" s="29" t="str">
        <f aca="false">IF(O754="","",(O754-P754)*100)</f>
        <v/>
      </c>
      <c r="R754" s="30" t="str">
        <f aca="false">IF(O754="","",MAX(0,M754*(P754-O754)))</f>
        <v/>
      </c>
      <c r="S754" s="31" t="str">
        <f aca="false">IF(OR(L754="",L754=0,N754=""),"",N754/1000/L754)</f>
        <v/>
      </c>
      <c r="T754" s="27"/>
      <c r="U754" s="27"/>
      <c r="V754" s="27"/>
      <c r="W754" s="27"/>
      <c r="X754" s="27"/>
      <c r="Y754" s="27"/>
      <c r="Z754" s="27"/>
      <c r="AA754" s="25"/>
      <c r="AB754" s="27"/>
      <c r="AC754" s="30" t="str">
        <f aca="false">IF(M754="","",IF(AB754="",M754*Parámetros!$B$6,AB754))</f>
        <v/>
      </c>
      <c r="AD754" s="30" t="str">
        <f aca="false">IF(M754="","",SUM(T754:Z754)+AC754)</f>
        <v/>
      </c>
      <c r="AE754" s="30" t="str">
        <f aca="false">IF(OR(M754="",N754=""),"",M754-N754)</f>
        <v/>
      </c>
      <c r="AF754" s="30" t="str">
        <f aca="false">IF(AE754="","",AE754-AD754)</f>
        <v/>
      </c>
      <c r="AG754" s="28" t="str">
        <f aca="false">IF(OR(AF754="",M754=0),"",AF754/M754)</f>
        <v/>
      </c>
      <c r="AH754" s="32" t="str">
        <f aca="false">IF(OR(AE754="",N754=0),"",AE754/(N754/1000))</f>
        <v/>
      </c>
      <c r="AI754" s="30" t="str">
        <f aca="false">IF(O754="","",M754*P754)</f>
        <v/>
      </c>
      <c r="AJ754" s="11" t="str">
        <f aca="false">IF(O754="","",IF(O754&gt;1,"Error: rend &gt; 100 %",IF(SUM(T754:Z754)=0,"Falta registrar pérdidas",IF(ABS(AG754)&gt;Parámetros!$B$7,"Revisar balance",IF(O754&lt;P754,"Bajo meta","OK")))))</f>
        <v/>
      </c>
      <c r="AK754" s="33"/>
      <c r="AL754" s="10"/>
      <c r="AM754" s="33"/>
      <c r="AN754" s="33"/>
      <c r="AO754" s="10"/>
    </row>
    <row r="755" customFormat="false" ht="15" hidden="false" customHeight="false" outlineLevel="0" collapsed="false">
      <c r="A755" s="22"/>
      <c r="B755" s="23" t="str">
        <f aca="false">IF(A755="","",YEAR(A755-WEEKDAY(A755,2)+4))</f>
        <v/>
      </c>
      <c r="C755" s="23" t="str">
        <f aca="false">IF(A755="","",WEEKNUM(A755,21))</f>
        <v/>
      </c>
      <c r="D755" s="24" t="str">
        <f aca="false">IF(A755="","",DATE(YEAR(A755),MONTH(A755),1))</f>
        <v/>
      </c>
      <c r="E755" s="10"/>
      <c r="F755" s="25"/>
      <c r="G755" s="25"/>
      <c r="H755" s="10"/>
      <c r="I755" s="10"/>
      <c r="J755" s="26"/>
      <c r="K755" s="25"/>
      <c r="L755" s="26"/>
      <c r="M755" s="27"/>
      <c r="N755" s="27"/>
      <c r="O755" s="28" t="str">
        <f aca="false">IF(OR(M755="",M755=0,N755=""),"",N755/M755)</f>
        <v/>
      </c>
      <c r="P755" s="28" t="str">
        <f aca="false">IF(M755="","",IFERROR(IF(INDEX(Parámetros!$B$14:$B$21,MATCH(I755,Parámetros!$A$14:$A$21,0))="",Parámetros!$B$5,INDEX(Parámetros!$B$14:$B$21,MATCH(I755,Parámetros!$A$14:$A$21,0))),Parámetros!$B$5))</f>
        <v/>
      </c>
      <c r="Q755" s="29" t="str">
        <f aca="false">IF(O755="","",(O755-P755)*100)</f>
        <v/>
      </c>
      <c r="R755" s="30" t="str">
        <f aca="false">IF(O755="","",MAX(0,M755*(P755-O755)))</f>
        <v/>
      </c>
      <c r="S755" s="31" t="str">
        <f aca="false">IF(OR(L755="",L755=0,N755=""),"",N755/1000/L755)</f>
        <v/>
      </c>
      <c r="T755" s="27"/>
      <c r="U755" s="27"/>
      <c r="V755" s="27"/>
      <c r="W755" s="27"/>
      <c r="X755" s="27"/>
      <c r="Y755" s="27"/>
      <c r="Z755" s="27"/>
      <c r="AA755" s="25"/>
      <c r="AB755" s="27"/>
      <c r="AC755" s="30" t="str">
        <f aca="false">IF(M755="","",IF(AB755="",M755*Parámetros!$B$6,AB755))</f>
        <v/>
      </c>
      <c r="AD755" s="30" t="str">
        <f aca="false">IF(M755="","",SUM(T755:Z755)+AC755)</f>
        <v/>
      </c>
      <c r="AE755" s="30" t="str">
        <f aca="false">IF(OR(M755="",N755=""),"",M755-N755)</f>
        <v/>
      </c>
      <c r="AF755" s="30" t="str">
        <f aca="false">IF(AE755="","",AE755-AD755)</f>
        <v/>
      </c>
      <c r="AG755" s="28" t="str">
        <f aca="false">IF(OR(AF755="",M755=0),"",AF755/M755)</f>
        <v/>
      </c>
      <c r="AH755" s="32" t="str">
        <f aca="false">IF(OR(AE755="",N755=0),"",AE755/(N755/1000))</f>
        <v/>
      </c>
      <c r="AI755" s="30" t="str">
        <f aca="false">IF(O755="","",M755*P755)</f>
        <v/>
      </c>
      <c r="AJ755" s="11" t="str">
        <f aca="false">IF(O755="","",IF(O755&gt;1,"Error: rend &gt; 100 %",IF(SUM(T755:Z755)=0,"Falta registrar pérdidas",IF(ABS(AG755)&gt;Parámetros!$B$7,"Revisar balance",IF(O755&lt;P755,"Bajo meta","OK")))))</f>
        <v/>
      </c>
      <c r="AK755" s="33"/>
      <c r="AL755" s="10"/>
      <c r="AM755" s="33"/>
      <c r="AN755" s="33"/>
      <c r="AO755" s="10"/>
    </row>
    <row r="756" customFormat="false" ht="15" hidden="false" customHeight="false" outlineLevel="0" collapsed="false">
      <c r="A756" s="22"/>
      <c r="B756" s="23" t="str">
        <f aca="false">IF(A756="","",YEAR(A756-WEEKDAY(A756,2)+4))</f>
        <v/>
      </c>
      <c r="C756" s="23" t="str">
        <f aca="false">IF(A756="","",WEEKNUM(A756,21))</f>
        <v/>
      </c>
      <c r="D756" s="24" t="str">
        <f aca="false">IF(A756="","",DATE(YEAR(A756),MONTH(A756),1))</f>
        <v/>
      </c>
      <c r="E756" s="10"/>
      <c r="F756" s="25"/>
      <c r="G756" s="25"/>
      <c r="H756" s="10"/>
      <c r="I756" s="10"/>
      <c r="J756" s="26"/>
      <c r="K756" s="25"/>
      <c r="L756" s="26"/>
      <c r="M756" s="27"/>
      <c r="N756" s="27"/>
      <c r="O756" s="28" t="str">
        <f aca="false">IF(OR(M756="",M756=0,N756=""),"",N756/M756)</f>
        <v/>
      </c>
      <c r="P756" s="28" t="str">
        <f aca="false">IF(M756="","",IFERROR(IF(INDEX(Parámetros!$B$14:$B$21,MATCH(I756,Parámetros!$A$14:$A$21,0))="",Parámetros!$B$5,INDEX(Parámetros!$B$14:$B$21,MATCH(I756,Parámetros!$A$14:$A$21,0))),Parámetros!$B$5))</f>
        <v/>
      </c>
      <c r="Q756" s="29" t="str">
        <f aca="false">IF(O756="","",(O756-P756)*100)</f>
        <v/>
      </c>
      <c r="R756" s="30" t="str">
        <f aca="false">IF(O756="","",MAX(0,M756*(P756-O756)))</f>
        <v/>
      </c>
      <c r="S756" s="31" t="str">
        <f aca="false">IF(OR(L756="",L756=0,N756=""),"",N756/1000/L756)</f>
        <v/>
      </c>
      <c r="T756" s="27"/>
      <c r="U756" s="27"/>
      <c r="V756" s="27"/>
      <c r="W756" s="27"/>
      <c r="X756" s="27"/>
      <c r="Y756" s="27"/>
      <c r="Z756" s="27"/>
      <c r="AA756" s="25"/>
      <c r="AB756" s="27"/>
      <c r="AC756" s="30" t="str">
        <f aca="false">IF(M756="","",IF(AB756="",M756*Parámetros!$B$6,AB756))</f>
        <v/>
      </c>
      <c r="AD756" s="30" t="str">
        <f aca="false">IF(M756="","",SUM(T756:Z756)+AC756)</f>
        <v/>
      </c>
      <c r="AE756" s="30" t="str">
        <f aca="false">IF(OR(M756="",N756=""),"",M756-N756)</f>
        <v/>
      </c>
      <c r="AF756" s="30" t="str">
        <f aca="false">IF(AE756="","",AE756-AD756)</f>
        <v/>
      </c>
      <c r="AG756" s="28" t="str">
        <f aca="false">IF(OR(AF756="",M756=0),"",AF756/M756)</f>
        <v/>
      </c>
      <c r="AH756" s="32" t="str">
        <f aca="false">IF(OR(AE756="",N756=0),"",AE756/(N756/1000))</f>
        <v/>
      </c>
      <c r="AI756" s="30" t="str">
        <f aca="false">IF(O756="","",M756*P756)</f>
        <v/>
      </c>
      <c r="AJ756" s="11" t="str">
        <f aca="false">IF(O756="","",IF(O756&gt;1,"Error: rend &gt; 100 %",IF(SUM(T756:Z756)=0,"Falta registrar pérdidas",IF(ABS(AG756)&gt;Parámetros!$B$7,"Revisar balance",IF(O756&lt;P756,"Bajo meta","OK")))))</f>
        <v/>
      </c>
      <c r="AK756" s="33"/>
      <c r="AL756" s="10"/>
      <c r="AM756" s="33"/>
      <c r="AN756" s="33"/>
      <c r="AO756" s="10"/>
    </row>
    <row r="757" customFormat="false" ht="15" hidden="false" customHeight="false" outlineLevel="0" collapsed="false">
      <c r="A757" s="22"/>
      <c r="B757" s="23" t="str">
        <f aca="false">IF(A757="","",YEAR(A757-WEEKDAY(A757,2)+4))</f>
        <v/>
      </c>
      <c r="C757" s="23" t="str">
        <f aca="false">IF(A757="","",WEEKNUM(A757,21))</f>
        <v/>
      </c>
      <c r="D757" s="24" t="str">
        <f aca="false">IF(A757="","",DATE(YEAR(A757),MONTH(A757),1))</f>
        <v/>
      </c>
      <c r="E757" s="10"/>
      <c r="F757" s="25"/>
      <c r="G757" s="25"/>
      <c r="H757" s="10"/>
      <c r="I757" s="10"/>
      <c r="J757" s="26"/>
      <c r="K757" s="25"/>
      <c r="L757" s="26"/>
      <c r="M757" s="27"/>
      <c r="N757" s="27"/>
      <c r="O757" s="28" t="str">
        <f aca="false">IF(OR(M757="",M757=0,N757=""),"",N757/M757)</f>
        <v/>
      </c>
      <c r="P757" s="28" t="str">
        <f aca="false">IF(M757="","",IFERROR(IF(INDEX(Parámetros!$B$14:$B$21,MATCH(I757,Parámetros!$A$14:$A$21,0))="",Parámetros!$B$5,INDEX(Parámetros!$B$14:$B$21,MATCH(I757,Parámetros!$A$14:$A$21,0))),Parámetros!$B$5))</f>
        <v/>
      </c>
      <c r="Q757" s="29" t="str">
        <f aca="false">IF(O757="","",(O757-P757)*100)</f>
        <v/>
      </c>
      <c r="R757" s="30" t="str">
        <f aca="false">IF(O757="","",MAX(0,M757*(P757-O757)))</f>
        <v/>
      </c>
      <c r="S757" s="31" t="str">
        <f aca="false">IF(OR(L757="",L757=0,N757=""),"",N757/1000/L757)</f>
        <v/>
      </c>
      <c r="T757" s="27"/>
      <c r="U757" s="27"/>
      <c r="V757" s="27"/>
      <c r="W757" s="27"/>
      <c r="X757" s="27"/>
      <c r="Y757" s="27"/>
      <c r="Z757" s="27"/>
      <c r="AA757" s="25"/>
      <c r="AB757" s="27"/>
      <c r="AC757" s="30" t="str">
        <f aca="false">IF(M757="","",IF(AB757="",M757*Parámetros!$B$6,AB757))</f>
        <v/>
      </c>
      <c r="AD757" s="30" t="str">
        <f aca="false">IF(M757="","",SUM(T757:Z757)+AC757)</f>
        <v/>
      </c>
      <c r="AE757" s="30" t="str">
        <f aca="false">IF(OR(M757="",N757=""),"",M757-N757)</f>
        <v/>
      </c>
      <c r="AF757" s="30" t="str">
        <f aca="false">IF(AE757="","",AE757-AD757)</f>
        <v/>
      </c>
      <c r="AG757" s="28" t="str">
        <f aca="false">IF(OR(AF757="",M757=0),"",AF757/M757)</f>
        <v/>
      </c>
      <c r="AH757" s="32" t="str">
        <f aca="false">IF(OR(AE757="",N757=0),"",AE757/(N757/1000))</f>
        <v/>
      </c>
      <c r="AI757" s="30" t="str">
        <f aca="false">IF(O757="","",M757*P757)</f>
        <v/>
      </c>
      <c r="AJ757" s="11" t="str">
        <f aca="false">IF(O757="","",IF(O757&gt;1,"Error: rend &gt; 100 %",IF(SUM(T757:Z757)=0,"Falta registrar pérdidas",IF(ABS(AG757)&gt;Parámetros!$B$7,"Revisar balance",IF(O757&lt;P757,"Bajo meta","OK")))))</f>
        <v/>
      </c>
      <c r="AK757" s="33"/>
      <c r="AL757" s="10"/>
      <c r="AM757" s="33"/>
      <c r="AN757" s="33"/>
      <c r="AO757" s="10"/>
    </row>
    <row r="758" customFormat="false" ht="15" hidden="false" customHeight="false" outlineLevel="0" collapsed="false">
      <c r="A758" s="22"/>
      <c r="B758" s="23" t="str">
        <f aca="false">IF(A758="","",YEAR(A758-WEEKDAY(A758,2)+4))</f>
        <v/>
      </c>
      <c r="C758" s="23" t="str">
        <f aca="false">IF(A758="","",WEEKNUM(A758,21))</f>
        <v/>
      </c>
      <c r="D758" s="24" t="str">
        <f aca="false">IF(A758="","",DATE(YEAR(A758),MONTH(A758),1))</f>
        <v/>
      </c>
      <c r="E758" s="10"/>
      <c r="F758" s="25"/>
      <c r="G758" s="25"/>
      <c r="H758" s="10"/>
      <c r="I758" s="10"/>
      <c r="J758" s="26"/>
      <c r="K758" s="25"/>
      <c r="L758" s="26"/>
      <c r="M758" s="27"/>
      <c r="N758" s="27"/>
      <c r="O758" s="28" t="str">
        <f aca="false">IF(OR(M758="",M758=0,N758=""),"",N758/M758)</f>
        <v/>
      </c>
      <c r="P758" s="28" t="str">
        <f aca="false">IF(M758="","",IFERROR(IF(INDEX(Parámetros!$B$14:$B$21,MATCH(I758,Parámetros!$A$14:$A$21,0))="",Parámetros!$B$5,INDEX(Parámetros!$B$14:$B$21,MATCH(I758,Parámetros!$A$14:$A$21,0))),Parámetros!$B$5))</f>
        <v/>
      </c>
      <c r="Q758" s="29" t="str">
        <f aca="false">IF(O758="","",(O758-P758)*100)</f>
        <v/>
      </c>
      <c r="R758" s="30" t="str">
        <f aca="false">IF(O758="","",MAX(0,M758*(P758-O758)))</f>
        <v/>
      </c>
      <c r="S758" s="31" t="str">
        <f aca="false">IF(OR(L758="",L758=0,N758=""),"",N758/1000/L758)</f>
        <v/>
      </c>
      <c r="T758" s="27"/>
      <c r="U758" s="27"/>
      <c r="V758" s="27"/>
      <c r="W758" s="27"/>
      <c r="X758" s="27"/>
      <c r="Y758" s="27"/>
      <c r="Z758" s="27"/>
      <c r="AA758" s="25"/>
      <c r="AB758" s="27"/>
      <c r="AC758" s="30" t="str">
        <f aca="false">IF(M758="","",IF(AB758="",M758*Parámetros!$B$6,AB758))</f>
        <v/>
      </c>
      <c r="AD758" s="30" t="str">
        <f aca="false">IF(M758="","",SUM(T758:Z758)+AC758)</f>
        <v/>
      </c>
      <c r="AE758" s="30" t="str">
        <f aca="false">IF(OR(M758="",N758=""),"",M758-N758)</f>
        <v/>
      </c>
      <c r="AF758" s="30" t="str">
        <f aca="false">IF(AE758="","",AE758-AD758)</f>
        <v/>
      </c>
      <c r="AG758" s="28" t="str">
        <f aca="false">IF(OR(AF758="",M758=0),"",AF758/M758)</f>
        <v/>
      </c>
      <c r="AH758" s="32" t="str">
        <f aca="false">IF(OR(AE758="",N758=0),"",AE758/(N758/1000))</f>
        <v/>
      </c>
      <c r="AI758" s="30" t="str">
        <f aca="false">IF(O758="","",M758*P758)</f>
        <v/>
      </c>
      <c r="AJ758" s="11" t="str">
        <f aca="false">IF(O758="","",IF(O758&gt;1,"Error: rend &gt; 100 %",IF(SUM(T758:Z758)=0,"Falta registrar pérdidas",IF(ABS(AG758)&gt;Parámetros!$B$7,"Revisar balance",IF(O758&lt;P758,"Bajo meta","OK")))))</f>
        <v/>
      </c>
      <c r="AK758" s="33"/>
      <c r="AL758" s="10"/>
      <c r="AM758" s="33"/>
      <c r="AN758" s="33"/>
      <c r="AO758" s="10"/>
    </row>
    <row r="759" customFormat="false" ht="15" hidden="false" customHeight="false" outlineLevel="0" collapsed="false">
      <c r="A759" s="22"/>
      <c r="B759" s="23" t="str">
        <f aca="false">IF(A759="","",YEAR(A759-WEEKDAY(A759,2)+4))</f>
        <v/>
      </c>
      <c r="C759" s="23" t="str">
        <f aca="false">IF(A759="","",WEEKNUM(A759,21))</f>
        <v/>
      </c>
      <c r="D759" s="24" t="str">
        <f aca="false">IF(A759="","",DATE(YEAR(A759),MONTH(A759),1))</f>
        <v/>
      </c>
      <c r="E759" s="10"/>
      <c r="F759" s="25"/>
      <c r="G759" s="25"/>
      <c r="H759" s="10"/>
      <c r="I759" s="10"/>
      <c r="J759" s="26"/>
      <c r="K759" s="25"/>
      <c r="L759" s="26"/>
      <c r="M759" s="27"/>
      <c r="N759" s="27"/>
      <c r="O759" s="28" t="str">
        <f aca="false">IF(OR(M759="",M759=0,N759=""),"",N759/M759)</f>
        <v/>
      </c>
      <c r="P759" s="28" t="str">
        <f aca="false">IF(M759="","",IFERROR(IF(INDEX(Parámetros!$B$14:$B$21,MATCH(I759,Parámetros!$A$14:$A$21,0))="",Parámetros!$B$5,INDEX(Parámetros!$B$14:$B$21,MATCH(I759,Parámetros!$A$14:$A$21,0))),Parámetros!$B$5))</f>
        <v/>
      </c>
      <c r="Q759" s="29" t="str">
        <f aca="false">IF(O759="","",(O759-P759)*100)</f>
        <v/>
      </c>
      <c r="R759" s="30" t="str">
        <f aca="false">IF(O759="","",MAX(0,M759*(P759-O759)))</f>
        <v/>
      </c>
      <c r="S759" s="31" t="str">
        <f aca="false">IF(OR(L759="",L759=0,N759=""),"",N759/1000/L759)</f>
        <v/>
      </c>
      <c r="T759" s="27"/>
      <c r="U759" s="27"/>
      <c r="V759" s="27"/>
      <c r="W759" s="27"/>
      <c r="X759" s="27"/>
      <c r="Y759" s="27"/>
      <c r="Z759" s="27"/>
      <c r="AA759" s="25"/>
      <c r="AB759" s="27"/>
      <c r="AC759" s="30" t="str">
        <f aca="false">IF(M759="","",IF(AB759="",M759*Parámetros!$B$6,AB759))</f>
        <v/>
      </c>
      <c r="AD759" s="30" t="str">
        <f aca="false">IF(M759="","",SUM(T759:Z759)+AC759)</f>
        <v/>
      </c>
      <c r="AE759" s="30" t="str">
        <f aca="false">IF(OR(M759="",N759=""),"",M759-N759)</f>
        <v/>
      </c>
      <c r="AF759" s="30" t="str">
        <f aca="false">IF(AE759="","",AE759-AD759)</f>
        <v/>
      </c>
      <c r="AG759" s="28" t="str">
        <f aca="false">IF(OR(AF759="",M759=0),"",AF759/M759)</f>
        <v/>
      </c>
      <c r="AH759" s="32" t="str">
        <f aca="false">IF(OR(AE759="",N759=0),"",AE759/(N759/1000))</f>
        <v/>
      </c>
      <c r="AI759" s="30" t="str">
        <f aca="false">IF(O759="","",M759*P759)</f>
        <v/>
      </c>
      <c r="AJ759" s="11" t="str">
        <f aca="false">IF(O759="","",IF(O759&gt;1,"Error: rend &gt; 100 %",IF(SUM(T759:Z759)=0,"Falta registrar pérdidas",IF(ABS(AG759)&gt;Parámetros!$B$7,"Revisar balance",IF(O759&lt;P759,"Bajo meta","OK")))))</f>
        <v/>
      </c>
      <c r="AK759" s="33"/>
      <c r="AL759" s="10"/>
      <c r="AM759" s="33"/>
      <c r="AN759" s="33"/>
      <c r="AO759" s="10"/>
    </row>
    <row r="760" customFormat="false" ht="15" hidden="false" customHeight="false" outlineLevel="0" collapsed="false">
      <c r="A760" s="22"/>
      <c r="B760" s="23" t="str">
        <f aca="false">IF(A760="","",YEAR(A760-WEEKDAY(A760,2)+4))</f>
        <v/>
      </c>
      <c r="C760" s="23" t="str">
        <f aca="false">IF(A760="","",WEEKNUM(A760,21))</f>
        <v/>
      </c>
      <c r="D760" s="24" t="str">
        <f aca="false">IF(A760="","",DATE(YEAR(A760),MONTH(A760),1))</f>
        <v/>
      </c>
      <c r="E760" s="10"/>
      <c r="F760" s="25"/>
      <c r="G760" s="25"/>
      <c r="H760" s="10"/>
      <c r="I760" s="10"/>
      <c r="J760" s="26"/>
      <c r="K760" s="25"/>
      <c r="L760" s="26"/>
      <c r="M760" s="27"/>
      <c r="N760" s="27"/>
      <c r="O760" s="28" t="str">
        <f aca="false">IF(OR(M760="",M760=0,N760=""),"",N760/M760)</f>
        <v/>
      </c>
      <c r="P760" s="28" t="str">
        <f aca="false">IF(M760="","",IFERROR(IF(INDEX(Parámetros!$B$14:$B$21,MATCH(I760,Parámetros!$A$14:$A$21,0))="",Parámetros!$B$5,INDEX(Parámetros!$B$14:$B$21,MATCH(I760,Parámetros!$A$14:$A$21,0))),Parámetros!$B$5))</f>
        <v/>
      </c>
      <c r="Q760" s="29" t="str">
        <f aca="false">IF(O760="","",(O760-P760)*100)</f>
        <v/>
      </c>
      <c r="R760" s="30" t="str">
        <f aca="false">IF(O760="","",MAX(0,M760*(P760-O760)))</f>
        <v/>
      </c>
      <c r="S760" s="31" t="str">
        <f aca="false">IF(OR(L760="",L760=0,N760=""),"",N760/1000/L760)</f>
        <v/>
      </c>
      <c r="T760" s="27"/>
      <c r="U760" s="27"/>
      <c r="V760" s="27"/>
      <c r="W760" s="27"/>
      <c r="X760" s="27"/>
      <c r="Y760" s="27"/>
      <c r="Z760" s="27"/>
      <c r="AA760" s="25"/>
      <c r="AB760" s="27"/>
      <c r="AC760" s="30" t="str">
        <f aca="false">IF(M760="","",IF(AB760="",M760*Parámetros!$B$6,AB760))</f>
        <v/>
      </c>
      <c r="AD760" s="30" t="str">
        <f aca="false">IF(M760="","",SUM(T760:Z760)+AC760)</f>
        <v/>
      </c>
      <c r="AE760" s="30" t="str">
        <f aca="false">IF(OR(M760="",N760=""),"",M760-N760)</f>
        <v/>
      </c>
      <c r="AF760" s="30" t="str">
        <f aca="false">IF(AE760="","",AE760-AD760)</f>
        <v/>
      </c>
      <c r="AG760" s="28" t="str">
        <f aca="false">IF(OR(AF760="",M760=0),"",AF760/M760)</f>
        <v/>
      </c>
      <c r="AH760" s="32" t="str">
        <f aca="false">IF(OR(AE760="",N760=0),"",AE760/(N760/1000))</f>
        <v/>
      </c>
      <c r="AI760" s="30" t="str">
        <f aca="false">IF(O760="","",M760*P760)</f>
        <v/>
      </c>
      <c r="AJ760" s="11" t="str">
        <f aca="false">IF(O760="","",IF(O760&gt;1,"Error: rend &gt; 100 %",IF(SUM(T760:Z760)=0,"Falta registrar pérdidas",IF(ABS(AG760)&gt;Parámetros!$B$7,"Revisar balance",IF(O760&lt;P760,"Bajo meta","OK")))))</f>
        <v/>
      </c>
      <c r="AK760" s="33"/>
      <c r="AL760" s="10"/>
      <c r="AM760" s="33"/>
      <c r="AN760" s="33"/>
      <c r="AO760" s="10"/>
    </row>
    <row r="761" customFormat="false" ht="15" hidden="false" customHeight="false" outlineLevel="0" collapsed="false">
      <c r="A761" s="22"/>
      <c r="B761" s="23" t="str">
        <f aca="false">IF(A761="","",YEAR(A761-WEEKDAY(A761,2)+4))</f>
        <v/>
      </c>
      <c r="C761" s="23" t="str">
        <f aca="false">IF(A761="","",WEEKNUM(A761,21))</f>
        <v/>
      </c>
      <c r="D761" s="24" t="str">
        <f aca="false">IF(A761="","",DATE(YEAR(A761),MONTH(A761),1))</f>
        <v/>
      </c>
      <c r="E761" s="10"/>
      <c r="F761" s="25"/>
      <c r="G761" s="25"/>
      <c r="H761" s="10"/>
      <c r="I761" s="10"/>
      <c r="J761" s="26"/>
      <c r="K761" s="25"/>
      <c r="L761" s="26"/>
      <c r="M761" s="27"/>
      <c r="N761" s="27"/>
      <c r="O761" s="28" t="str">
        <f aca="false">IF(OR(M761="",M761=0,N761=""),"",N761/M761)</f>
        <v/>
      </c>
      <c r="P761" s="28" t="str">
        <f aca="false">IF(M761="","",IFERROR(IF(INDEX(Parámetros!$B$14:$B$21,MATCH(I761,Parámetros!$A$14:$A$21,0))="",Parámetros!$B$5,INDEX(Parámetros!$B$14:$B$21,MATCH(I761,Parámetros!$A$14:$A$21,0))),Parámetros!$B$5))</f>
        <v/>
      </c>
      <c r="Q761" s="29" t="str">
        <f aca="false">IF(O761="","",(O761-P761)*100)</f>
        <v/>
      </c>
      <c r="R761" s="30" t="str">
        <f aca="false">IF(O761="","",MAX(0,M761*(P761-O761)))</f>
        <v/>
      </c>
      <c r="S761" s="31" t="str">
        <f aca="false">IF(OR(L761="",L761=0,N761=""),"",N761/1000/L761)</f>
        <v/>
      </c>
      <c r="T761" s="27"/>
      <c r="U761" s="27"/>
      <c r="V761" s="27"/>
      <c r="W761" s="27"/>
      <c r="X761" s="27"/>
      <c r="Y761" s="27"/>
      <c r="Z761" s="27"/>
      <c r="AA761" s="25"/>
      <c r="AB761" s="27"/>
      <c r="AC761" s="30" t="str">
        <f aca="false">IF(M761="","",IF(AB761="",M761*Parámetros!$B$6,AB761))</f>
        <v/>
      </c>
      <c r="AD761" s="30" t="str">
        <f aca="false">IF(M761="","",SUM(T761:Z761)+AC761)</f>
        <v/>
      </c>
      <c r="AE761" s="30" t="str">
        <f aca="false">IF(OR(M761="",N761=""),"",M761-N761)</f>
        <v/>
      </c>
      <c r="AF761" s="30" t="str">
        <f aca="false">IF(AE761="","",AE761-AD761)</f>
        <v/>
      </c>
      <c r="AG761" s="28" t="str">
        <f aca="false">IF(OR(AF761="",M761=0),"",AF761/M761)</f>
        <v/>
      </c>
      <c r="AH761" s="32" t="str">
        <f aca="false">IF(OR(AE761="",N761=0),"",AE761/(N761/1000))</f>
        <v/>
      </c>
      <c r="AI761" s="30" t="str">
        <f aca="false">IF(O761="","",M761*P761)</f>
        <v/>
      </c>
      <c r="AJ761" s="11" t="str">
        <f aca="false">IF(O761="","",IF(O761&gt;1,"Error: rend &gt; 100 %",IF(SUM(T761:Z761)=0,"Falta registrar pérdidas",IF(ABS(AG761)&gt;Parámetros!$B$7,"Revisar balance",IF(O761&lt;P761,"Bajo meta","OK")))))</f>
        <v/>
      </c>
      <c r="AK761" s="33"/>
      <c r="AL761" s="10"/>
      <c r="AM761" s="33"/>
      <c r="AN761" s="33"/>
      <c r="AO761" s="10"/>
    </row>
    <row r="762" customFormat="false" ht="15" hidden="false" customHeight="false" outlineLevel="0" collapsed="false">
      <c r="A762" s="22"/>
      <c r="B762" s="23" t="str">
        <f aca="false">IF(A762="","",YEAR(A762-WEEKDAY(A762,2)+4))</f>
        <v/>
      </c>
      <c r="C762" s="23" t="str">
        <f aca="false">IF(A762="","",WEEKNUM(A762,21))</f>
        <v/>
      </c>
      <c r="D762" s="24" t="str">
        <f aca="false">IF(A762="","",DATE(YEAR(A762),MONTH(A762),1))</f>
        <v/>
      </c>
      <c r="E762" s="10"/>
      <c r="F762" s="25"/>
      <c r="G762" s="25"/>
      <c r="H762" s="10"/>
      <c r="I762" s="10"/>
      <c r="J762" s="26"/>
      <c r="K762" s="25"/>
      <c r="L762" s="26"/>
      <c r="M762" s="27"/>
      <c r="N762" s="27"/>
      <c r="O762" s="28" t="str">
        <f aca="false">IF(OR(M762="",M762=0,N762=""),"",N762/M762)</f>
        <v/>
      </c>
      <c r="P762" s="28" t="str">
        <f aca="false">IF(M762="","",IFERROR(IF(INDEX(Parámetros!$B$14:$B$21,MATCH(I762,Parámetros!$A$14:$A$21,0))="",Parámetros!$B$5,INDEX(Parámetros!$B$14:$B$21,MATCH(I762,Parámetros!$A$14:$A$21,0))),Parámetros!$B$5))</f>
        <v/>
      </c>
      <c r="Q762" s="29" t="str">
        <f aca="false">IF(O762="","",(O762-P762)*100)</f>
        <v/>
      </c>
      <c r="R762" s="30" t="str">
        <f aca="false">IF(O762="","",MAX(0,M762*(P762-O762)))</f>
        <v/>
      </c>
      <c r="S762" s="31" t="str">
        <f aca="false">IF(OR(L762="",L762=0,N762=""),"",N762/1000/L762)</f>
        <v/>
      </c>
      <c r="T762" s="27"/>
      <c r="U762" s="27"/>
      <c r="V762" s="27"/>
      <c r="W762" s="27"/>
      <c r="X762" s="27"/>
      <c r="Y762" s="27"/>
      <c r="Z762" s="27"/>
      <c r="AA762" s="25"/>
      <c r="AB762" s="27"/>
      <c r="AC762" s="30" t="str">
        <f aca="false">IF(M762="","",IF(AB762="",M762*Parámetros!$B$6,AB762))</f>
        <v/>
      </c>
      <c r="AD762" s="30" t="str">
        <f aca="false">IF(M762="","",SUM(T762:Z762)+AC762)</f>
        <v/>
      </c>
      <c r="AE762" s="30" t="str">
        <f aca="false">IF(OR(M762="",N762=""),"",M762-N762)</f>
        <v/>
      </c>
      <c r="AF762" s="30" t="str">
        <f aca="false">IF(AE762="","",AE762-AD762)</f>
        <v/>
      </c>
      <c r="AG762" s="28" t="str">
        <f aca="false">IF(OR(AF762="",M762=0),"",AF762/M762)</f>
        <v/>
      </c>
      <c r="AH762" s="32" t="str">
        <f aca="false">IF(OR(AE762="",N762=0),"",AE762/(N762/1000))</f>
        <v/>
      </c>
      <c r="AI762" s="30" t="str">
        <f aca="false">IF(O762="","",M762*P762)</f>
        <v/>
      </c>
      <c r="AJ762" s="11" t="str">
        <f aca="false">IF(O762="","",IF(O762&gt;1,"Error: rend &gt; 100 %",IF(SUM(T762:Z762)=0,"Falta registrar pérdidas",IF(ABS(AG762)&gt;Parámetros!$B$7,"Revisar balance",IF(O762&lt;P762,"Bajo meta","OK")))))</f>
        <v/>
      </c>
      <c r="AK762" s="33"/>
      <c r="AL762" s="10"/>
      <c r="AM762" s="33"/>
      <c r="AN762" s="33"/>
      <c r="AO762" s="10"/>
    </row>
    <row r="763" customFormat="false" ht="15" hidden="false" customHeight="false" outlineLevel="0" collapsed="false">
      <c r="A763" s="22"/>
      <c r="B763" s="23" t="str">
        <f aca="false">IF(A763="","",YEAR(A763-WEEKDAY(A763,2)+4))</f>
        <v/>
      </c>
      <c r="C763" s="23" t="str">
        <f aca="false">IF(A763="","",WEEKNUM(A763,21))</f>
        <v/>
      </c>
      <c r="D763" s="24" t="str">
        <f aca="false">IF(A763="","",DATE(YEAR(A763),MONTH(A763),1))</f>
        <v/>
      </c>
      <c r="E763" s="10"/>
      <c r="F763" s="25"/>
      <c r="G763" s="25"/>
      <c r="H763" s="10"/>
      <c r="I763" s="10"/>
      <c r="J763" s="26"/>
      <c r="K763" s="25"/>
      <c r="L763" s="26"/>
      <c r="M763" s="27"/>
      <c r="N763" s="27"/>
      <c r="O763" s="28" t="str">
        <f aca="false">IF(OR(M763="",M763=0,N763=""),"",N763/M763)</f>
        <v/>
      </c>
      <c r="P763" s="28" t="str">
        <f aca="false">IF(M763="","",IFERROR(IF(INDEX(Parámetros!$B$14:$B$21,MATCH(I763,Parámetros!$A$14:$A$21,0))="",Parámetros!$B$5,INDEX(Parámetros!$B$14:$B$21,MATCH(I763,Parámetros!$A$14:$A$21,0))),Parámetros!$B$5))</f>
        <v/>
      </c>
      <c r="Q763" s="29" t="str">
        <f aca="false">IF(O763="","",(O763-P763)*100)</f>
        <v/>
      </c>
      <c r="R763" s="30" t="str">
        <f aca="false">IF(O763="","",MAX(0,M763*(P763-O763)))</f>
        <v/>
      </c>
      <c r="S763" s="31" t="str">
        <f aca="false">IF(OR(L763="",L763=0,N763=""),"",N763/1000/L763)</f>
        <v/>
      </c>
      <c r="T763" s="27"/>
      <c r="U763" s="27"/>
      <c r="V763" s="27"/>
      <c r="W763" s="27"/>
      <c r="X763" s="27"/>
      <c r="Y763" s="27"/>
      <c r="Z763" s="27"/>
      <c r="AA763" s="25"/>
      <c r="AB763" s="27"/>
      <c r="AC763" s="30" t="str">
        <f aca="false">IF(M763="","",IF(AB763="",M763*Parámetros!$B$6,AB763))</f>
        <v/>
      </c>
      <c r="AD763" s="30" t="str">
        <f aca="false">IF(M763="","",SUM(T763:Z763)+AC763)</f>
        <v/>
      </c>
      <c r="AE763" s="30" t="str">
        <f aca="false">IF(OR(M763="",N763=""),"",M763-N763)</f>
        <v/>
      </c>
      <c r="AF763" s="30" t="str">
        <f aca="false">IF(AE763="","",AE763-AD763)</f>
        <v/>
      </c>
      <c r="AG763" s="28" t="str">
        <f aca="false">IF(OR(AF763="",M763=0),"",AF763/M763)</f>
        <v/>
      </c>
      <c r="AH763" s="32" t="str">
        <f aca="false">IF(OR(AE763="",N763=0),"",AE763/(N763/1000))</f>
        <v/>
      </c>
      <c r="AI763" s="30" t="str">
        <f aca="false">IF(O763="","",M763*P763)</f>
        <v/>
      </c>
      <c r="AJ763" s="11" t="str">
        <f aca="false">IF(O763="","",IF(O763&gt;1,"Error: rend &gt; 100 %",IF(SUM(T763:Z763)=0,"Falta registrar pérdidas",IF(ABS(AG763)&gt;Parámetros!$B$7,"Revisar balance",IF(O763&lt;P763,"Bajo meta","OK")))))</f>
        <v/>
      </c>
      <c r="AK763" s="33"/>
      <c r="AL763" s="10"/>
      <c r="AM763" s="33"/>
      <c r="AN763" s="33"/>
      <c r="AO763" s="10"/>
    </row>
    <row r="764" customFormat="false" ht="15" hidden="false" customHeight="false" outlineLevel="0" collapsed="false">
      <c r="A764" s="22"/>
      <c r="B764" s="23" t="str">
        <f aca="false">IF(A764="","",YEAR(A764-WEEKDAY(A764,2)+4))</f>
        <v/>
      </c>
      <c r="C764" s="23" t="str">
        <f aca="false">IF(A764="","",WEEKNUM(A764,21))</f>
        <v/>
      </c>
      <c r="D764" s="24" t="str">
        <f aca="false">IF(A764="","",DATE(YEAR(A764),MONTH(A764),1))</f>
        <v/>
      </c>
      <c r="E764" s="10"/>
      <c r="F764" s="25"/>
      <c r="G764" s="25"/>
      <c r="H764" s="10"/>
      <c r="I764" s="10"/>
      <c r="J764" s="26"/>
      <c r="K764" s="25"/>
      <c r="L764" s="26"/>
      <c r="M764" s="27"/>
      <c r="N764" s="27"/>
      <c r="O764" s="28" t="str">
        <f aca="false">IF(OR(M764="",M764=0,N764=""),"",N764/M764)</f>
        <v/>
      </c>
      <c r="P764" s="28" t="str">
        <f aca="false">IF(M764="","",IFERROR(IF(INDEX(Parámetros!$B$14:$B$21,MATCH(I764,Parámetros!$A$14:$A$21,0))="",Parámetros!$B$5,INDEX(Parámetros!$B$14:$B$21,MATCH(I764,Parámetros!$A$14:$A$21,0))),Parámetros!$B$5))</f>
        <v/>
      </c>
      <c r="Q764" s="29" t="str">
        <f aca="false">IF(O764="","",(O764-P764)*100)</f>
        <v/>
      </c>
      <c r="R764" s="30" t="str">
        <f aca="false">IF(O764="","",MAX(0,M764*(P764-O764)))</f>
        <v/>
      </c>
      <c r="S764" s="31" t="str">
        <f aca="false">IF(OR(L764="",L764=0,N764=""),"",N764/1000/L764)</f>
        <v/>
      </c>
      <c r="T764" s="27"/>
      <c r="U764" s="27"/>
      <c r="V764" s="27"/>
      <c r="W764" s="27"/>
      <c r="X764" s="27"/>
      <c r="Y764" s="27"/>
      <c r="Z764" s="27"/>
      <c r="AA764" s="25"/>
      <c r="AB764" s="27"/>
      <c r="AC764" s="30" t="str">
        <f aca="false">IF(M764="","",IF(AB764="",M764*Parámetros!$B$6,AB764))</f>
        <v/>
      </c>
      <c r="AD764" s="30" t="str">
        <f aca="false">IF(M764="","",SUM(T764:Z764)+AC764)</f>
        <v/>
      </c>
      <c r="AE764" s="30" t="str">
        <f aca="false">IF(OR(M764="",N764=""),"",M764-N764)</f>
        <v/>
      </c>
      <c r="AF764" s="30" t="str">
        <f aca="false">IF(AE764="","",AE764-AD764)</f>
        <v/>
      </c>
      <c r="AG764" s="28" t="str">
        <f aca="false">IF(OR(AF764="",M764=0),"",AF764/M764)</f>
        <v/>
      </c>
      <c r="AH764" s="32" t="str">
        <f aca="false">IF(OR(AE764="",N764=0),"",AE764/(N764/1000))</f>
        <v/>
      </c>
      <c r="AI764" s="30" t="str">
        <f aca="false">IF(O764="","",M764*P764)</f>
        <v/>
      </c>
      <c r="AJ764" s="11" t="str">
        <f aca="false">IF(O764="","",IF(O764&gt;1,"Error: rend &gt; 100 %",IF(SUM(T764:Z764)=0,"Falta registrar pérdidas",IF(ABS(AG764)&gt;Parámetros!$B$7,"Revisar balance",IF(O764&lt;P764,"Bajo meta","OK")))))</f>
        <v/>
      </c>
      <c r="AK764" s="33"/>
      <c r="AL764" s="10"/>
      <c r="AM764" s="33"/>
      <c r="AN764" s="33"/>
      <c r="AO764" s="10"/>
    </row>
    <row r="765" customFormat="false" ht="15" hidden="false" customHeight="false" outlineLevel="0" collapsed="false">
      <c r="A765" s="22"/>
      <c r="B765" s="23" t="str">
        <f aca="false">IF(A765="","",YEAR(A765-WEEKDAY(A765,2)+4))</f>
        <v/>
      </c>
      <c r="C765" s="23" t="str">
        <f aca="false">IF(A765="","",WEEKNUM(A765,21))</f>
        <v/>
      </c>
      <c r="D765" s="24" t="str">
        <f aca="false">IF(A765="","",DATE(YEAR(A765),MONTH(A765),1))</f>
        <v/>
      </c>
      <c r="E765" s="10"/>
      <c r="F765" s="25"/>
      <c r="G765" s="25"/>
      <c r="H765" s="10"/>
      <c r="I765" s="10"/>
      <c r="J765" s="26"/>
      <c r="K765" s="25"/>
      <c r="L765" s="26"/>
      <c r="M765" s="27"/>
      <c r="N765" s="27"/>
      <c r="O765" s="28" t="str">
        <f aca="false">IF(OR(M765="",M765=0,N765=""),"",N765/M765)</f>
        <v/>
      </c>
      <c r="P765" s="28" t="str">
        <f aca="false">IF(M765="","",IFERROR(IF(INDEX(Parámetros!$B$14:$B$21,MATCH(I765,Parámetros!$A$14:$A$21,0))="",Parámetros!$B$5,INDEX(Parámetros!$B$14:$B$21,MATCH(I765,Parámetros!$A$14:$A$21,0))),Parámetros!$B$5))</f>
        <v/>
      </c>
      <c r="Q765" s="29" t="str">
        <f aca="false">IF(O765="","",(O765-P765)*100)</f>
        <v/>
      </c>
      <c r="R765" s="30" t="str">
        <f aca="false">IF(O765="","",MAX(0,M765*(P765-O765)))</f>
        <v/>
      </c>
      <c r="S765" s="31" t="str">
        <f aca="false">IF(OR(L765="",L765=0,N765=""),"",N765/1000/L765)</f>
        <v/>
      </c>
      <c r="T765" s="27"/>
      <c r="U765" s="27"/>
      <c r="V765" s="27"/>
      <c r="W765" s="27"/>
      <c r="X765" s="27"/>
      <c r="Y765" s="27"/>
      <c r="Z765" s="27"/>
      <c r="AA765" s="25"/>
      <c r="AB765" s="27"/>
      <c r="AC765" s="30" t="str">
        <f aca="false">IF(M765="","",IF(AB765="",M765*Parámetros!$B$6,AB765))</f>
        <v/>
      </c>
      <c r="AD765" s="30" t="str">
        <f aca="false">IF(M765="","",SUM(T765:Z765)+AC765)</f>
        <v/>
      </c>
      <c r="AE765" s="30" t="str">
        <f aca="false">IF(OR(M765="",N765=""),"",M765-N765)</f>
        <v/>
      </c>
      <c r="AF765" s="30" t="str">
        <f aca="false">IF(AE765="","",AE765-AD765)</f>
        <v/>
      </c>
      <c r="AG765" s="28" t="str">
        <f aca="false">IF(OR(AF765="",M765=0),"",AF765/M765)</f>
        <v/>
      </c>
      <c r="AH765" s="32" t="str">
        <f aca="false">IF(OR(AE765="",N765=0),"",AE765/(N765/1000))</f>
        <v/>
      </c>
      <c r="AI765" s="30" t="str">
        <f aca="false">IF(O765="","",M765*P765)</f>
        <v/>
      </c>
      <c r="AJ765" s="11" t="str">
        <f aca="false">IF(O765="","",IF(O765&gt;1,"Error: rend &gt; 100 %",IF(SUM(T765:Z765)=0,"Falta registrar pérdidas",IF(ABS(AG765)&gt;Parámetros!$B$7,"Revisar balance",IF(O765&lt;P765,"Bajo meta","OK")))))</f>
        <v/>
      </c>
      <c r="AK765" s="33"/>
      <c r="AL765" s="10"/>
      <c r="AM765" s="33"/>
      <c r="AN765" s="33"/>
      <c r="AO765" s="10"/>
    </row>
    <row r="766" customFormat="false" ht="15" hidden="false" customHeight="false" outlineLevel="0" collapsed="false">
      <c r="A766" s="22"/>
      <c r="B766" s="23" t="str">
        <f aca="false">IF(A766="","",YEAR(A766-WEEKDAY(A766,2)+4))</f>
        <v/>
      </c>
      <c r="C766" s="23" t="str">
        <f aca="false">IF(A766="","",WEEKNUM(A766,21))</f>
        <v/>
      </c>
      <c r="D766" s="24" t="str">
        <f aca="false">IF(A766="","",DATE(YEAR(A766),MONTH(A766),1))</f>
        <v/>
      </c>
      <c r="E766" s="10"/>
      <c r="F766" s="25"/>
      <c r="G766" s="25"/>
      <c r="H766" s="10"/>
      <c r="I766" s="10"/>
      <c r="J766" s="26"/>
      <c r="K766" s="25"/>
      <c r="L766" s="26"/>
      <c r="M766" s="27"/>
      <c r="N766" s="27"/>
      <c r="O766" s="28" t="str">
        <f aca="false">IF(OR(M766="",M766=0,N766=""),"",N766/M766)</f>
        <v/>
      </c>
      <c r="P766" s="28" t="str">
        <f aca="false">IF(M766="","",IFERROR(IF(INDEX(Parámetros!$B$14:$B$21,MATCH(I766,Parámetros!$A$14:$A$21,0))="",Parámetros!$B$5,INDEX(Parámetros!$B$14:$B$21,MATCH(I766,Parámetros!$A$14:$A$21,0))),Parámetros!$B$5))</f>
        <v/>
      </c>
      <c r="Q766" s="29" t="str">
        <f aca="false">IF(O766="","",(O766-P766)*100)</f>
        <v/>
      </c>
      <c r="R766" s="30" t="str">
        <f aca="false">IF(O766="","",MAX(0,M766*(P766-O766)))</f>
        <v/>
      </c>
      <c r="S766" s="31" t="str">
        <f aca="false">IF(OR(L766="",L766=0,N766=""),"",N766/1000/L766)</f>
        <v/>
      </c>
      <c r="T766" s="27"/>
      <c r="U766" s="27"/>
      <c r="V766" s="27"/>
      <c r="W766" s="27"/>
      <c r="X766" s="27"/>
      <c r="Y766" s="27"/>
      <c r="Z766" s="27"/>
      <c r="AA766" s="25"/>
      <c r="AB766" s="27"/>
      <c r="AC766" s="30" t="str">
        <f aca="false">IF(M766="","",IF(AB766="",M766*Parámetros!$B$6,AB766))</f>
        <v/>
      </c>
      <c r="AD766" s="30" t="str">
        <f aca="false">IF(M766="","",SUM(T766:Z766)+AC766)</f>
        <v/>
      </c>
      <c r="AE766" s="30" t="str">
        <f aca="false">IF(OR(M766="",N766=""),"",M766-N766)</f>
        <v/>
      </c>
      <c r="AF766" s="30" t="str">
        <f aca="false">IF(AE766="","",AE766-AD766)</f>
        <v/>
      </c>
      <c r="AG766" s="28" t="str">
        <f aca="false">IF(OR(AF766="",M766=0),"",AF766/M766)</f>
        <v/>
      </c>
      <c r="AH766" s="32" t="str">
        <f aca="false">IF(OR(AE766="",N766=0),"",AE766/(N766/1000))</f>
        <v/>
      </c>
      <c r="AI766" s="30" t="str">
        <f aca="false">IF(O766="","",M766*P766)</f>
        <v/>
      </c>
      <c r="AJ766" s="11" t="str">
        <f aca="false">IF(O766="","",IF(O766&gt;1,"Error: rend &gt; 100 %",IF(SUM(T766:Z766)=0,"Falta registrar pérdidas",IF(ABS(AG766)&gt;Parámetros!$B$7,"Revisar balance",IF(O766&lt;P766,"Bajo meta","OK")))))</f>
        <v/>
      </c>
      <c r="AK766" s="33"/>
      <c r="AL766" s="10"/>
      <c r="AM766" s="33"/>
      <c r="AN766" s="33"/>
      <c r="AO766" s="10"/>
    </row>
    <row r="767" customFormat="false" ht="15" hidden="false" customHeight="false" outlineLevel="0" collapsed="false">
      <c r="A767" s="22"/>
      <c r="B767" s="23" t="str">
        <f aca="false">IF(A767="","",YEAR(A767-WEEKDAY(A767,2)+4))</f>
        <v/>
      </c>
      <c r="C767" s="23" t="str">
        <f aca="false">IF(A767="","",WEEKNUM(A767,21))</f>
        <v/>
      </c>
      <c r="D767" s="24" t="str">
        <f aca="false">IF(A767="","",DATE(YEAR(A767),MONTH(A767),1))</f>
        <v/>
      </c>
      <c r="E767" s="10"/>
      <c r="F767" s="25"/>
      <c r="G767" s="25"/>
      <c r="H767" s="10"/>
      <c r="I767" s="10"/>
      <c r="J767" s="26"/>
      <c r="K767" s="25"/>
      <c r="L767" s="26"/>
      <c r="M767" s="27"/>
      <c r="N767" s="27"/>
      <c r="O767" s="28" t="str">
        <f aca="false">IF(OR(M767="",M767=0,N767=""),"",N767/M767)</f>
        <v/>
      </c>
      <c r="P767" s="28" t="str">
        <f aca="false">IF(M767="","",IFERROR(IF(INDEX(Parámetros!$B$14:$B$21,MATCH(I767,Parámetros!$A$14:$A$21,0))="",Parámetros!$B$5,INDEX(Parámetros!$B$14:$B$21,MATCH(I767,Parámetros!$A$14:$A$21,0))),Parámetros!$B$5))</f>
        <v/>
      </c>
      <c r="Q767" s="29" t="str">
        <f aca="false">IF(O767="","",(O767-P767)*100)</f>
        <v/>
      </c>
      <c r="R767" s="30" t="str">
        <f aca="false">IF(O767="","",MAX(0,M767*(P767-O767)))</f>
        <v/>
      </c>
      <c r="S767" s="31" t="str">
        <f aca="false">IF(OR(L767="",L767=0,N767=""),"",N767/1000/L767)</f>
        <v/>
      </c>
      <c r="T767" s="27"/>
      <c r="U767" s="27"/>
      <c r="V767" s="27"/>
      <c r="W767" s="27"/>
      <c r="X767" s="27"/>
      <c r="Y767" s="27"/>
      <c r="Z767" s="27"/>
      <c r="AA767" s="25"/>
      <c r="AB767" s="27"/>
      <c r="AC767" s="30" t="str">
        <f aca="false">IF(M767="","",IF(AB767="",M767*Parámetros!$B$6,AB767))</f>
        <v/>
      </c>
      <c r="AD767" s="30" t="str">
        <f aca="false">IF(M767="","",SUM(T767:Z767)+AC767)</f>
        <v/>
      </c>
      <c r="AE767" s="30" t="str">
        <f aca="false">IF(OR(M767="",N767=""),"",M767-N767)</f>
        <v/>
      </c>
      <c r="AF767" s="30" t="str">
        <f aca="false">IF(AE767="","",AE767-AD767)</f>
        <v/>
      </c>
      <c r="AG767" s="28" t="str">
        <f aca="false">IF(OR(AF767="",M767=0),"",AF767/M767)</f>
        <v/>
      </c>
      <c r="AH767" s="32" t="str">
        <f aca="false">IF(OR(AE767="",N767=0),"",AE767/(N767/1000))</f>
        <v/>
      </c>
      <c r="AI767" s="30" t="str">
        <f aca="false">IF(O767="","",M767*P767)</f>
        <v/>
      </c>
      <c r="AJ767" s="11" t="str">
        <f aca="false">IF(O767="","",IF(O767&gt;1,"Error: rend &gt; 100 %",IF(SUM(T767:Z767)=0,"Falta registrar pérdidas",IF(ABS(AG767)&gt;Parámetros!$B$7,"Revisar balance",IF(O767&lt;P767,"Bajo meta","OK")))))</f>
        <v/>
      </c>
      <c r="AK767" s="33"/>
      <c r="AL767" s="10"/>
      <c r="AM767" s="33"/>
      <c r="AN767" s="33"/>
      <c r="AO767" s="10"/>
    </row>
    <row r="768" customFormat="false" ht="15" hidden="false" customHeight="false" outlineLevel="0" collapsed="false">
      <c r="A768" s="22"/>
      <c r="B768" s="23" t="str">
        <f aca="false">IF(A768="","",YEAR(A768-WEEKDAY(A768,2)+4))</f>
        <v/>
      </c>
      <c r="C768" s="23" t="str">
        <f aca="false">IF(A768="","",WEEKNUM(A768,21))</f>
        <v/>
      </c>
      <c r="D768" s="24" t="str">
        <f aca="false">IF(A768="","",DATE(YEAR(A768),MONTH(A768),1))</f>
        <v/>
      </c>
      <c r="E768" s="10"/>
      <c r="F768" s="25"/>
      <c r="G768" s="25"/>
      <c r="H768" s="10"/>
      <c r="I768" s="10"/>
      <c r="J768" s="26"/>
      <c r="K768" s="25"/>
      <c r="L768" s="26"/>
      <c r="M768" s="27"/>
      <c r="N768" s="27"/>
      <c r="O768" s="28" t="str">
        <f aca="false">IF(OR(M768="",M768=0,N768=""),"",N768/M768)</f>
        <v/>
      </c>
      <c r="P768" s="28" t="str">
        <f aca="false">IF(M768="","",IFERROR(IF(INDEX(Parámetros!$B$14:$B$21,MATCH(I768,Parámetros!$A$14:$A$21,0))="",Parámetros!$B$5,INDEX(Parámetros!$B$14:$B$21,MATCH(I768,Parámetros!$A$14:$A$21,0))),Parámetros!$B$5))</f>
        <v/>
      </c>
      <c r="Q768" s="29" t="str">
        <f aca="false">IF(O768="","",(O768-P768)*100)</f>
        <v/>
      </c>
      <c r="R768" s="30" t="str">
        <f aca="false">IF(O768="","",MAX(0,M768*(P768-O768)))</f>
        <v/>
      </c>
      <c r="S768" s="31" t="str">
        <f aca="false">IF(OR(L768="",L768=0,N768=""),"",N768/1000/L768)</f>
        <v/>
      </c>
      <c r="T768" s="27"/>
      <c r="U768" s="27"/>
      <c r="V768" s="27"/>
      <c r="W768" s="27"/>
      <c r="X768" s="27"/>
      <c r="Y768" s="27"/>
      <c r="Z768" s="27"/>
      <c r="AA768" s="25"/>
      <c r="AB768" s="27"/>
      <c r="AC768" s="30" t="str">
        <f aca="false">IF(M768="","",IF(AB768="",M768*Parámetros!$B$6,AB768))</f>
        <v/>
      </c>
      <c r="AD768" s="30" t="str">
        <f aca="false">IF(M768="","",SUM(T768:Z768)+AC768)</f>
        <v/>
      </c>
      <c r="AE768" s="30" t="str">
        <f aca="false">IF(OR(M768="",N768=""),"",M768-N768)</f>
        <v/>
      </c>
      <c r="AF768" s="30" t="str">
        <f aca="false">IF(AE768="","",AE768-AD768)</f>
        <v/>
      </c>
      <c r="AG768" s="28" t="str">
        <f aca="false">IF(OR(AF768="",M768=0),"",AF768/M768)</f>
        <v/>
      </c>
      <c r="AH768" s="32" t="str">
        <f aca="false">IF(OR(AE768="",N768=0),"",AE768/(N768/1000))</f>
        <v/>
      </c>
      <c r="AI768" s="30" t="str">
        <f aca="false">IF(O768="","",M768*P768)</f>
        <v/>
      </c>
      <c r="AJ768" s="11" t="str">
        <f aca="false">IF(O768="","",IF(O768&gt;1,"Error: rend &gt; 100 %",IF(SUM(T768:Z768)=0,"Falta registrar pérdidas",IF(ABS(AG768)&gt;Parámetros!$B$7,"Revisar balance",IF(O768&lt;P768,"Bajo meta","OK")))))</f>
        <v/>
      </c>
      <c r="AK768" s="33"/>
      <c r="AL768" s="10"/>
      <c r="AM768" s="33"/>
      <c r="AN768" s="33"/>
      <c r="AO768" s="10"/>
    </row>
    <row r="769" customFormat="false" ht="15" hidden="false" customHeight="false" outlineLevel="0" collapsed="false">
      <c r="A769" s="22"/>
      <c r="B769" s="23" t="str">
        <f aca="false">IF(A769="","",YEAR(A769-WEEKDAY(A769,2)+4))</f>
        <v/>
      </c>
      <c r="C769" s="23" t="str">
        <f aca="false">IF(A769="","",WEEKNUM(A769,21))</f>
        <v/>
      </c>
      <c r="D769" s="24" t="str">
        <f aca="false">IF(A769="","",DATE(YEAR(A769),MONTH(A769),1))</f>
        <v/>
      </c>
      <c r="E769" s="10"/>
      <c r="F769" s="25"/>
      <c r="G769" s="25"/>
      <c r="H769" s="10"/>
      <c r="I769" s="10"/>
      <c r="J769" s="26"/>
      <c r="K769" s="25"/>
      <c r="L769" s="26"/>
      <c r="M769" s="27"/>
      <c r="N769" s="27"/>
      <c r="O769" s="28" t="str">
        <f aca="false">IF(OR(M769="",M769=0,N769=""),"",N769/M769)</f>
        <v/>
      </c>
      <c r="P769" s="28" t="str">
        <f aca="false">IF(M769="","",IFERROR(IF(INDEX(Parámetros!$B$14:$B$21,MATCH(I769,Parámetros!$A$14:$A$21,0))="",Parámetros!$B$5,INDEX(Parámetros!$B$14:$B$21,MATCH(I769,Parámetros!$A$14:$A$21,0))),Parámetros!$B$5))</f>
        <v/>
      </c>
      <c r="Q769" s="29" t="str">
        <f aca="false">IF(O769="","",(O769-P769)*100)</f>
        <v/>
      </c>
      <c r="R769" s="30" t="str">
        <f aca="false">IF(O769="","",MAX(0,M769*(P769-O769)))</f>
        <v/>
      </c>
      <c r="S769" s="31" t="str">
        <f aca="false">IF(OR(L769="",L769=0,N769=""),"",N769/1000/L769)</f>
        <v/>
      </c>
      <c r="T769" s="27"/>
      <c r="U769" s="27"/>
      <c r="V769" s="27"/>
      <c r="W769" s="27"/>
      <c r="X769" s="27"/>
      <c r="Y769" s="27"/>
      <c r="Z769" s="27"/>
      <c r="AA769" s="25"/>
      <c r="AB769" s="27"/>
      <c r="AC769" s="30" t="str">
        <f aca="false">IF(M769="","",IF(AB769="",M769*Parámetros!$B$6,AB769))</f>
        <v/>
      </c>
      <c r="AD769" s="30" t="str">
        <f aca="false">IF(M769="","",SUM(T769:Z769)+AC769)</f>
        <v/>
      </c>
      <c r="AE769" s="30" t="str">
        <f aca="false">IF(OR(M769="",N769=""),"",M769-N769)</f>
        <v/>
      </c>
      <c r="AF769" s="30" t="str">
        <f aca="false">IF(AE769="","",AE769-AD769)</f>
        <v/>
      </c>
      <c r="AG769" s="28" t="str">
        <f aca="false">IF(OR(AF769="",M769=0),"",AF769/M769)</f>
        <v/>
      </c>
      <c r="AH769" s="32" t="str">
        <f aca="false">IF(OR(AE769="",N769=0),"",AE769/(N769/1000))</f>
        <v/>
      </c>
      <c r="AI769" s="30" t="str">
        <f aca="false">IF(O769="","",M769*P769)</f>
        <v/>
      </c>
      <c r="AJ769" s="11" t="str">
        <f aca="false">IF(O769="","",IF(O769&gt;1,"Error: rend &gt; 100 %",IF(SUM(T769:Z769)=0,"Falta registrar pérdidas",IF(ABS(AG769)&gt;Parámetros!$B$7,"Revisar balance",IF(O769&lt;P769,"Bajo meta","OK")))))</f>
        <v/>
      </c>
      <c r="AK769" s="33"/>
      <c r="AL769" s="10"/>
      <c r="AM769" s="33"/>
      <c r="AN769" s="33"/>
      <c r="AO769" s="10"/>
    </row>
    <row r="770" customFormat="false" ht="15" hidden="false" customHeight="false" outlineLevel="0" collapsed="false">
      <c r="A770" s="22"/>
      <c r="B770" s="23" t="str">
        <f aca="false">IF(A770="","",YEAR(A770-WEEKDAY(A770,2)+4))</f>
        <v/>
      </c>
      <c r="C770" s="23" t="str">
        <f aca="false">IF(A770="","",WEEKNUM(A770,21))</f>
        <v/>
      </c>
      <c r="D770" s="24" t="str">
        <f aca="false">IF(A770="","",DATE(YEAR(A770),MONTH(A770),1))</f>
        <v/>
      </c>
      <c r="E770" s="10"/>
      <c r="F770" s="25"/>
      <c r="G770" s="25"/>
      <c r="H770" s="10"/>
      <c r="I770" s="10"/>
      <c r="J770" s="26"/>
      <c r="K770" s="25"/>
      <c r="L770" s="26"/>
      <c r="M770" s="27"/>
      <c r="N770" s="27"/>
      <c r="O770" s="28" t="str">
        <f aca="false">IF(OR(M770="",M770=0,N770=""),"",N770/M770)</f>
        <v/>
      </c>
      <c r="P770" s="28" t="str">
        <f aca="false">IF(M770="","",IFERROR(IF(INDEX(Parámetros!$B$14:$B$21,MATCH(I770,Parámetros!$A$14:$A$21,0))="",Parámetros!$B$5,INDEX(Parámetros!$B$14:$B$21,MATCH(I770,Parámetros!$A$14:$A$21,0))),Parámetros!$B$5))</f>
        <v/>
      </c>
      <c r="Q770" s="29" t="str">
        <f aca="false">IF(O770="","",(O770-P770)*100)</f>
        <v/>
      </c>
      <c r="R770" s="30" t="str">
        <f aca="false">IF(O770="","",MAX(0,M770*(P770-O770)))</f>
        <v/>
      </c>
      <c r="S770" s="31" t="str">
        <f aca="false">IF(OR(L770="",L770=0,N770=""),"",N770/1000/L770)</f>
        <v/>
      </c>
      <c r="T770" s="27"/>
      <c r="U770" s="27"/>
      <c r="V770" s="27"/>
      <c r="W770" s="27"/>
      <c r="X770" s="27"/>
      <c r="Y770" s="27"/>
      <c r="Z770" s="27"/>
      <c r="AA770" s="25"/>
      <c r="AB770" s="27"/>
      <c r="AC770" s="30" t="str">
        <f aca="false">IF(M770="","",IF(AB770="",M770*Parámetros!$B$6,AB770))</f>
        <v/>
      </c>
      <c r="AD770" s="30" t="str">
        <f aca="false">IF(M770="","",SUM(T770:Z770)+AC770)</f>
        <v/>
      </c>
      <c r="AE770" s="30" t="str">
        <f aca="false">IF(OR(M770="",N770=""),"",M770-N770)</f>
        <v/>
      </c>
      <c r="AF770" s="30" t="str">
        <f aca="false">IF(AE770="","",AE770-AD770)</f>
        <v/>
      </c>
      <c r="AG770" s="28" t="str">
        <f aca="false">IF(OR(AF770="",M770=0),"",AF770/M770)</f>
        <v/>
      </c>
      <c r="AH770" s="32" t="str">
        <f aca="false">IF(OR(AE770="",N770=0),"",AE770/(N770/1000))</f>
        <v/>
      </c>
      <c r="AI770" s="30" t="str">
        <f aca="false">IF(O770="","",M770*P770)</f>
        <v/>
      </c>
      <c r="AJ770" s="11" t="str">
        <f aca="false">IF(O770="","",IF(O770&gt;1,"Error: rend &gt; 100 %",IF(SUM(T770:Z770)=0,"Falta registrar pérdidas",IF(ABS(AG770)&gt;Parámetros!$B$7,"Revisar balance",IF(O770&lt;P770,"Bajo meta","OK")))))</f>
        <v/>
      </c>
      <c r="AK770" s="33"/>
      <c r="AL770" s="10"/>
      <c r="AM770" s="33"/>
      <c r="AN770" s="33"/>
      <c r="AO770" s="10"/>
    </row>
    <row r="771" customFormat="false" ht="15" hidden="false" customHeight="false" outlineLevel="0" collapsed="false">
      <c r="A771" s="22"/>
      <c r="B771" s="23" t="str">
        <f aca="false">IF(A771="","",YEAR(A771-WEEKDAY(A771,2)+4))</f>
        <v/>
      </c>
      <c r="C771" s="23" t="str">
        <f aca="false">IF(A771="","",WEEKNUM(A771,21))</f>
        <v/>
      </c>
      <c r="D771" s="24" t="str">
        <f aca="false">IF(A771="","",DATE(YEAR(A771),MONTH(A771),1))</f>
        <v/>
      </c>
      <c r="E771" s="10"/>
      <c r="F771" s="25"/>
      <c r="G771" s="25"/>
      <c r="H771" s="10"/>
      <c r="I771" s="10"/>
      <c r="J771" s="26"/>
      <c r="K771" s="25"/>
      <c r="L771" s="26"/>
      <c r="M771" s="27"/>
      <c r="N771" s="27"/>
      <c r="O771" s="28" t="str">
        <f aca="false">IF(OR(M771="",M771=0,N771=""),"",N771/M771)</f>
        <v/>
      </c>
      <c r="P771" s="28" t="str">
        <f aca="false">IF(M771="","",IFERROR(IF(INDEX(Parámetros!$B$14:$B$21,MATCH(I771,Parámetros!$A$14:$A$21,0))="",Parámetros!$B$5,INDEX(Parámetros!$B$14:$B$21,MATCH(I771,Parámetros!$A$14:$A$21,0))),Parámetros!$B$5))</f>
        <v/>
      </c>
      <c r="Q771" s="29" t="str">
        <f aca="false">IF(O771="","",(O771-P771)*100)</f>
        <v/>
      </c>
      <c r="R771" s="30" t="str">
        <f aca="false">IF(O771="","",MAX(0,M771*(P771-O771)))</f>
        <v/>
      </c>
      <c r="S771" s="31" t="str">
        <f aca="false">IF(OR(L771="",L771=0,N771=""),"",N771/1000/L771)</f>
        <v/>
      </c>
      <c r="T771" s="27"/>
      <c r="U771" s="27"/>
      <c r="V771" s="27"/>
      <c r="W771" s="27"/>
      <c r="X771" s="27"/>
      <c r="Y771" s="27"/>
      <c r="Z771" s="27"/>
      <c r="AA771" s="25"/>
      <c r="AB771" s="27"/>
      <c r="AC771" s="30" t="str">
        <f aca="false">IF(M771="","",IF(AB771="",M771*Parámetros!$B$6,AB771))</f>
        <v/>
      </c>
      <c r="AD771" s="30" t="str">
        <f aca="false">IF(M771="","",SUM(T771:Z771)+AC771)</f>
        <v/>
      </c>
      <c r="AE771" s="30" t="str">
        <f aca="false">IF(OR(M771="",N771=""),"",M771-N771)</f>
        <v/>
      </c>
      <c r="AF771" s="30" t="str">
        <f aca="false">IF(AE771="","",AE771-AD771)</f>
        <v/>
      </c>
      <c r="AG771" s="28" t="str">
        <f aca="false">IF(OR(AF771="",M771=0),"",AF771/M771)</f>
        <v/>
      </c>
      <c r="AH771" s="32" t="str">
        <f aca="false">IF(OR(AE771="",N771=0),"",AE771/(N771/1000))</f>
        <v/>
      </c>
      <c r="AI771" s="30" t="str">
        <f aca="false">IF(O771="","",M771*P771)</f>
        <v/>
      </c>
      <c r="AJ771" s="11" t="str">
        <f aca="false">IF(O771="","",IF(O771&gt;1,"Error: rend &gt; 100 %",IF(SUM(T771:Z771)=0,"Falta registrar pérdidas",IF(ABS(AG771)&gt;Parámetros!$B$7,"Revisar balance",IF(O771&lt;P771,"Bajo meta","OK")))))</f>
        <v/>
      </c>
      <c r="AK771" s="33"/>
      <c r="AL771" s="10"/>
      <c r="AM771" s="33"/>
      <c r="AN771" s="33"/>
      <c r="AO771" s="10"/>
    </row>
    <row r="772" customFormat="false" ht="15" hidden="false" customHeight="false" outlineLevel="0" collapsed="false">
      <c r="A772" s="22"/>
      <c r="B772" s="23" t="str">
        <f aca="false">IF(A772="","",YEAR(A772-WEEKDAY(A772,2)+4))</f>
        <v/>
      </c>
      <c r="C772" s="23" t="str">
        <f aca="false">IF(A772="","",WEEKNUM(A772,21))</f>
        <v/>
      </c>
      <c r="D772" s="24" t="str">
        <f aca="false">IF(A772="","",DATE(YEAR(A772),MONTH(A772),1))</f>
        <v/>
      </c>
      <c r="E772" s="10"/>
      <c r="F772" s="25"/>
      <c r="G772" s="25"/>
      <c r="H772" s="10"/>
      <c r="I772" s="10"/>
      <c r="J772" s="26"/>
      <c r="K772" s="25"/>
      <c r="L772" s="26"/>
      <c r="M772" s="27"/>
      <c r="N772" s="27"/>
      <c r="O772" s="28" t="str">
        <f aca="false">IF(OR(M772="",M772=0,N772=""),"",N772/M772)</f>
        <v/>
      </c>
      <c r="P772" s="28" t="str">
        <f aca="false">IF(M772="","",IFERROR(IF(INDEX(Parámetros!$B$14:$B$21,MATCH(I772,Parámetros!$A$14:$A$21,0))="",Parámetros!$B$5,INDEX(Parámetros!$B$14:$B$21,MATCH(I772,Parámetros!$A$14:$A$21,0))),Parámetros!$B$5))</f>
        <v/>
      </c>
      <c r="Q772" s="29" t="str">
        <f aca="false">IF(O772="","",(O772-P772)*100)</f>
        <v/>
      </c>
      <c r="R772" s="30" t="str">
        <f aca="false">IF(O772="","",MAX(0,M772*(P772-O772)))</f>
        <v/>
      </c>
      <c r="S772" s="31" t="str">
        <f aca="false">IF(OR(L772="",L772=0,N772=""),"",N772/1000/L772)</f>
        <v/>
      </c>
      <c r="T772" s="27"/>
      <c r="U772" s="27"/>
      <c r="V772" s="27"/>
      <c r="W772" s="27"/>
      <c r="X772" s="27"/>
      <c r="Y772" s="27"/>
      <c r="Z772" s="27"/>
      <c r="AA772" s="25"/>
      <c r="AB772" s="27"/>
      <c r="AC772" s="30" t="str">
        <f aca="false">IF(M772="","",IF(AB772="",M772*Parámetros!$B$6,AB772))</f>
        <v/>
      </c>
      <c r="AD772" s="30" t="str">
        <f aca="false">IF(M772="","",SUM(T772:Z772)+AC772)</f>
        <v/>
      </c>
      <c r="AE772" s="30" t="str">
        <f aca="false">IF(OR(M772="",N772=""),"",M772-N772)</f>
        <v/>
      </c>
      <c r="AF772" s="30" t="str">
        <f aca="false">IF(AE772="","",AE772-AD772)</f>
        <v/>
      </c>
      <c r="AG772" s="28" t="str">
        <f aca="false">IF(OR(AF772="",M772=0),"",AF772/M772)</f>
        <v/>
      </c>
      <c r="AH772" s="32" t="str">
        <f aca="false">IF(OR(AE772="",N772=0),"",AE772/(N772/1000))</f>
        <v/>
      </c>
      <c r="AI772" s="30" t="str">
        <f aca="false">IF(O772="","",M772*P772)</f>
        <v/>
      </c>
      <c r="AJ772" s="11" t="str">
        <f aca="false">IF(O772="","",IF(O772&gt;1,"Error: rend &gt; 100 %",IF(SUM(T772:Z772)=0,"Falta registrar pérdidas",IF(ABS(AG772)&gt;Parámetros!$B$7,"Revisar balance",IF(O772&lt;P772,"Bajo meta","OK")))))</f>
        <v/>
      </c>
      <c r="AK772" s="33"/>
      <c r="AL772" s="10"/>
      <c r="AM772" s="33"/>
      <c r="AN772" s="33"/>
      <c r="AO772" s="10"/>
    </row>
    <row r="773" customFormat="false" ht="15" hidden="false" customHeight="false" outlineLevel="0" collapsed="false">
      <c r="A773" s="22"/>
      <c r="B773" s="23" t="str">
        <f aca="false">IF(A773="","",YEAR(A773-WEEKDAY(A773,2)+4))</f>
        <v/>
      </c>
      <c r="C773" s="23" t="str">
        <f aca="false">IF(A773="","",WEEKNUM(A773,21))</f>
        <v/>
      </c>
      <c r="D773" s="24" t="str">
        <f aca="false">IF(A773="","",DATE(YEAR(A773),MONTH(A773),1))</f>
        <v/>
      </c>
      <c r="E773" s="10"/>
      <c r="F773" s="25"/>
      <c r="G773" s="25"/>
      <c r="H773" s="10"/>
      <c r="I773" s="10"/>
      <c r="J773" s="26"/>
      <c r="K773" s="25"/>
      <c r="L773" s="26"/>
      <c r="M773" s="27"/>
      <c r="N773" s="27"/>
      <c r="O773" s="28" t="str">
        <f aca="false">IF(OR(M773="",M773=0,N773=""),"",N773/M773)</f>
        <v/>
      </c>
      <c r="P773" s="28" t="str">
        <f aca="false">IF(M773="","",IFERROR(IF(INDEX(Parámetros!$B$14:$B$21,MATCH(I773,Parámetros!$A$14:$A$21,0))="",Parámetros!$B$5,INDEX(Parámetros!$B$14:$B$21,MATCH(I773,Parámetros!$A$14:$A$21,0))),Parámetros!$B$5))</f>
        <v/>
      </c>
      <c r="Q773" s="29" t="str">
        <f aca="false">IF(O773="","",(O773-P773)*100)</f>
        <v/>
      </c>
      <c r="R773" s="30" t="str">
        <f aca="false">IF(O773="","",MAX(0,M773*(P773-O773)))</f>
        <v/>
      </c>
      <c r="S773" s="31" t="str">
        <f aca="false">IF(OR(L773="",L773=0,N773=""),"",N773/1000/L773)</f>
        <v/>
      </c>
      <c r="T773" s="27"/>
      <c r="U773" s="27"/>
      <c r="V773" s="27"/>
      <c r="W773" s="27"/>
      <c r="X773" s="27"/>
      <c r="Y773" s="27"/>
      <c r="Z773" s="27"/>
      <c r="AA773" s="25"/>
      <c r="AB773" s="27"/>
      <c r="AC773" s="30" t="str">
        <f aca="false">IF(M773="","",IF(AB773="",M773*Parámetros!$B$6,AB773))</f>
        <v/>
      </c>
      <c r="AD773" s="30" t="str">
        <f aca="false">IF(M773="","",SUM(T773:Z773)+AC773)</f>
        <v/>
      </c>
      <c r="AE773" s="30" t="str">
        <f aca="false">IF(OR(M773="",N773=""),"",M773-N773)</f>
        <v/>
      </c>
      <c r="AF773" s="30" t="str">
        <f aca="false">IF(AE773="","",AE773-AD773)</f>
        <v/>
      </c>
      <c r="AG773" s="28" t="str">
        <f aca="false">IF(OR(AF773="",M773=0),"",AF773/M773)</f>
        <v/>
      </c>
      <c r="AH773" s="32" t="str">
        <f aca="false">IF(OR(AE773="",N773=0),"",AE773/(N773/1000))</f>
        <v/>
      </c>
      <c r="AI773" s="30" t="str">
        <f aca="false">IF(O773="","",M773*P773)</f>
        <v/>
      </c>
      <c r="AJ773" s="11" t="str">
        <f aca="false">IF(O773="","",IF(O773&gt;1,"Error: rend &gt; 100 %",IF(SUM(T773:Z773)=0,"Falta registrar pérdidas",IF(ABS(AG773)&gt;Parámetros!$B$7,"Revisar balance",IF(O773&lt;P773,"Bajo meta","OK")))))</f>
        <v/>
      </c>
      <c r="AK773" s="33"/>
      <c r="AL773" s="10"/>
      <c r="AM773" s="33"/>
      <c r="AN773" s="33"/>
      <c r="AO773" s="10"/>
    </row>
    <row r="774" customFormat="false" ht="15" hidden="false" customHeight="false" outlineLevel="0" collapsed="false">
      <c r="A774" s="22"/>
      <c r="B774" s="23" t="str">
        <f aca="false">IF(A774="","",YEAR(A774-WEEKDAY(A774,2)+4))</f>
        <v/>
      </c>
      <c r="C774" s="23" t="str">
        <f aca="false">IF(A774="","",WEEKNUM(A774,21))</f>
        <v/>
      </c>
      <c r="D774" s="24" t="str">
        <f aca="false">IF(A774="","",DATE(YEAR(A774),MONTH(A774),1))</f>
        <v/>
      </c>
      <c r="E774" s="10"/>
      <c r="F774" s="25"/>
      <c r="G774" s="25"/>
      <c r="H774" s="10"/>
      <c r="I774" s="10"/>
      <c r="J774" s="26"/>
      <c r="K774" s="25"/>
      <c r="L774" s="26"/>
      <c r="M774" s="27"/>
      <c r="N774" s="27"/>
      <c r="O774" s="28" t="str">
        <f aca="false">IF(OR(M774="",M774=0,N774=""),"",N774/M774)</f>
        <v/>
      </c>
      <c r="P774" s="28" t="str">
        <f aca="false">IF(M774="","",IFERROR(IF(INDEX(Parámetros!$B$14:$B$21,MATCH(I774,Parámetros!$A$14:$A$21,0))="",Parámetros!$B$5,INDEX(Parámetros!$B$14:$B$21,MATCH(I774,Parámetros!$A$14:$A$21,0))),Parámetros!$B$5))</f>
        <v/>
      </c>
      <c r="Q774" s="29" t="str">
        <f aca="false">IF(O774="","",(O774-P774)*100)</f>
        <v/>
      </c>
      <c r="R774" s="30" t="str">
        <f aca="false">IF(O774="","",MAX(0,M774*(P774-O774)))</f>
        <v/>
      </c>
      <c r="S774" s="31" t="str">
        <f aca="false">IF(OR(L774="",L774=0,N774=""),"",N774/1000/L774)</f>
        <v/>
      </c>
      <c r="T774" s="27"/>
      <c r="U774" s="27"/>
      <c r="V774" s="27"/>
      <c r="W774" s="27"/>
      <c r="X774" s="27"/>
      <c r="Y774" s="27"/>
      <c r="Z774" s="27"/>
      <c r="AA774" s="25"/>
      <c r="AB774" s="27"/>
      <c r="AC774" s="30" t="str">
        <f aca="false">IF(M774="","",IF(AB774="",M774*Parámetros!$B$6,AB774))</f>
        <v/>
      </c>
      <c r="AD774" s="30" t="str">
        <f aca="false">IF(M774="","",SUM(T774:Z774)+AC774)</f>
        <v/>
      </c>
      <c r="AE774" s="30" t="str">
        <f aca="false">IF(OR(M774="",N774=""),"",M774-N774)</f>
        <v/>
      </c>
      <c r="AF774" s="30" t="str">
        <f aca="false">IF(AE774="","",AE774-AD774)</f>
        <v/>
      </c>
      <c r="AG774" s="28" t="str">
        <f aca="false">IF(OR(AF774="",M774=0),"",AF774/M774)</f>
        <v/>
      </c>
      <c r="AH774" s="32" t="str">
        <f aca="false">IF(OR(AE774="",N774=0),"",AE774/(N774/1000))</f>
        <v/>
      </c>
      <c r="AI774" s="30" t="str">
        <f aca="false">IF(O774="","",M774*P774)</f>
        <v/>
      </c>
      <c r="AJ774" s="11" t="str">
        <f aca="false">IF(O774="","",IF(O774&gt;1,"Error: rend &gt; 100 %",IF(SUM(T774:Z774)=0,"Falta registrar pérdidas",IF(ABS(AG774)&gt;Parámetros!$B$7,"Revisar balance",IF(O774&lt;P774,"Bajo meta","OK")))))</f>
        <v/>
      </c>
      <c r="AK774" s="33"/>
      <c r="AL774" s="10"/>
      <c r="AM774" s="33"/>
      <c r="AN774" s="33"/>
      <c r="AO774" s="10"/>
    </row>
    <row r="775" customFormat="false" ht="15" hidden="false" customHeight="false" outlineLevel="0" collapsed="false">
      <c r="A775" s="22"/>
      <c r="B775" s="23" t="str">
        <f aca="false">IF(A775="","",YEAR(A775-WEEKDAY(A775,2)+4))</f>
        <v/>
      </c>
      <c r="C775" s="23" t="str">
        <f aca="false">IF(A775="","",WEEKNUM(A775,21))</f>
        <v/>
      </c>
      <c r="D775" s="24" t="str">
        <f aca="false">IF(A775="","",DATE(YEAR(A775),MONTH(A775),1))</f>
        <v/>
      </c>
      <c r="E775" s="10"/>
      <c r="F775" s="25"/>
      <c r="G775" s="25"/>
      <c r="H775" s="10"/>
      <c r="I775" s="10"/>
      <c r="J775" s="26"/>
      <c r="K775" s="25"/>
      <c r="L775" s="26"/>
      <c r="M775" s="27"/>
      <c r="N775" s="27"/>
      <c r="O775" s="28" t="str">
        <f aca="false">IF(OR(M775="",M775=0,N775=""),"",N775/M775)</f>
        <v/>
      </c>
      <c r="P775" s="28" t="str">
        <f aca="false">IF(M775="","",IFERROR(IF(INDEX(Parámetros!$B$14:$B$21,MATCH(I775,Parámetros!$A$14:$A$21,0))="",Parámetros!$B$5,INDEX(Parámetros!$B$14:$B$21,MATCH(I775,Parámetros!$A$14:$A$21,0))),Parámetros!$B$5))</f>
        <v/>
      </c>
      <c r="Q775" s="29" t="str">
        <f aca="false">IF(O775="","",(O775-P775)*100)</f>
        <v/>
      </c>
      <c r="R775" s="30" t="str">
        <f aca="false">IF(O775="","",MAX(0,M775*(P775-O775)))</f>
        <v/>
      </c>
      <c r="S775" s="31" t="str">
        <f aca="false">IF(OR(L775="",L775=0,N775=""),"",N775/1000/L775)</f>
        <v/>
      </c>
      <c r="T775" s="27"/>
      <c r="U775" s="27"/>
      <c r="V775" s="27"/>
      <c r="W775" s="27"/>
      <c r="X775" s="27"/>
      <c r="Y775" s="27"/>
      <c r="Z775" s="27"/>
      <c r="AA775" s="25"/>
      <c r="AB775" s="27"/>
      <c r="AC775" s="30" t="str">
        <f aca="false">IF(M775="","",IF(AB775="",M775*Parámetros!$B$6,AB775))</f>
        <v/>
      </c>
      <c r="AD775" s="30" t="str">
        <f aca="false">IF(M775="","",SUM(T775:Z775)+AC775)</f>
        <v/>
      </c>
      <c r="AE775" s="30" t="str">
        <f aca="false">IF(OR(M775="",N775=""),"",M775-N775)</f>
        <v/>
      </c>
      <c r="AF775" s="30" t="str">
        <f aca="false">IF(AE775="","",AE775-AD775)</f>
        <v/>
      </c>
      <c r="AG775" s="28" t="str">
        <f aca="false">IF(OR(AF775="",M775=0),"",AF775/M775)</f>
        <v/>
      </c>
      <c r="AH775" s="32" t="str">
        <f aca="false">IF(OR(AE775="",N775=0),"",AE775/(N775/1000))</f>
        <v/>
      </c>
      <c r="AI775" s="30" t="str">
        <f aca="false">IF(O775="","",M775*P775)</f>
        <v/>
      </c>
      <c r="AJ775" s="11" t="str">
        <f aca="false">IF(O775="","",IF(O775&gt;1,"Error: rend &gt; 100 %",IF(SUM(T775:Z775)=0,"Falta registrar pérdidas",IF(ABS(AG775)&gt;Parámetros!$B$7,"Revisar balance",IF(O775&lt;P775,"Bajo meta","OK")))))</f>
        <v/>
      </c>
      <c r="AK775" s="33"/>
      <c r="AL775" s="10"/>
      <c r="AM775" s="33"/>
      <c r="AN775" s="33"/>
      <c r="AO775" s="10"/>
    </row>
    <row r="776" customFormat="false" ht="15" hidden="false" customHeight="false" outlineLevel="0" collapsed="false">
      <c r="A776" s="22"/>
      <c r="B776" s="23" t="str">
        <f aca="false">IF(A776="","",YEAR(A776-WEEKDAY(A776,2)+4))</f>
        <v/>
      </c>
      <c r="C776" s="23" t="str">
        <f aca="false">IF(A776="","",WEEKNUM(A776,21))</f>
        <v/>
      </c>
      <c r="D776" s="24" t="str">
        <f aca="false">IF(A776="","",DATE(YEAR(A776),MONTH(A776),1))</f>
        <v/>
      </c>
      <c r="E776" s="10"/>
      <c r="F776" s="25"/>
      <c r="G776" s="25"/>
      <c r="H776" s="10"/>
      <c r="I776" s="10"/>
      <c r="J776" s="26"/>
      <c r="K776" s="25"/>
      <c r="L776" s="26"/>
      <c r="M776" s="27"/>
      <c r="N776" s="27"/>
      <c r="O776" s="28" t="str">
        <f aca="false">IF(OR(M776="",M776=0,N776=""),"",N776/M776)</f>
        <v/>
      </c>
      <c r="P776" s="28" t="str">
        <f aca="false">IF(M776="","",IFERROR(IF(INDEX(Parámetros!$B$14:$B$21,MATCH(I776,Parámetros!$A$14:$A$21,0))="",Parámetros!$B$5,INDEX(Parámetros!$B$14:$B$21,MATCH(I776,Parámetros!$A$14:$A$21,0))),Parámetros!$B$5))</f>
        <v/>
      </c>
      <c r="Q776" s="29" t="str">
        <f aca="false">IF(O776="","",(O776-P776)*100)</f>
        <v/>
      </c>
      <c r="R776" s="30" t="str">
        <f aca="false">IF(O776="","",MAX(0,M776*(P776-O776)))</f>
        <v/>
      </c>
      <c r="S776" s="31" t="str">
        <f aca="false">IF(OR(L776="",L776=0,N776=""),"",N776/1000/L776)</f>
        <v/>
      </c>
      <c r="T776" s="27"/>
      <c r="U776" s="27"/>
      <c r="V776" s="27"/>
      <c r="W776" s="27"/>
      <c r="X776" s="27"/>
      <c r="Y776" s="27"/>
      <c r="Z776" s="27"/>
      <c r="AA776" s="25"/>
      <c r="AB776" s="27"/>
      <c r="AC776" s="30" t="str">
        <f aca="false">IF(M776="","",IF(AB776="",M776*Parámetros!$B$6,AB776))</f>
        <v/>
      </c>
      <c r="AD776" s="30" t="str">
        <f aca="false">IF(M776="","",SUM(T776:Z776)+AC776)</f>
        <v/>
      </c>
      <c r="AE776" s="30" t="str">
        <f aca="false">IF(OR(M776="",N776=""),"",M776-N776)</f>
        <v/>
      </c>
      <c r="AF776" s="30" t="str">
        <f aca="false">IF(AE776="","",AE776-AD776)</f>
        <v/>
      </c>
      <c r="AG776" s="28" t="str">
        <f aca="false">IF(OR(AF776="",M776=0),"",AF776/M776)</f>
        <v/>
      </c>
      <c r="AH776" s="32" t="str">
        <f aca="false">IF(OR(AE776="",N776=0),"",AE776/(N776/1000))</f>
        <v/>
      </c>
      <c r="AI776" s="30" t="str">
        <f aca="false">IF(O776="","",M776*P776)</f>
        <v/>
      </c>
      <c r="AJ776" s="11" t="str">
        <f aca="false">IF(O776="","",IF(O776&gt;1,"Error: rend &gt; 100 %",IF(SUM(T776:Z776)=0,"Falta registrar pérdidas",IF(ABS(AG776)&gt;Parámetros!$B$7,"Revisar balance",IF(O776&lt;P776,"Bajo meta","OK")))))</f>
        <v/>
      </c>
      <c r="AK776" s="33"/>
      <c r="AL776" s="10"/>
      <c r="AM776" s="33"/>
      <c r="AN776" s="33"/>
      <c r="AO776" s="10"/>
    </row>
    <row r="777" customFormat="false" ht="15" hidden="false" customHeight="false" outlineLevel="0" collapsed="false">
      <c r="A777" s="22"/>
      <c r="B777" s="23" t="str">
        <f aca="false">IF(A777="","",YEAR(A777-WEEKDAY(A777,2)+4))</f>
        <v/>
      </c>
      <c r="C777" s="23" t="str">
        <f aca="false">IF(A777="","",WEEKNUM(A777,21))</f>
        <v/>
      </c>
      <c r="D777" s="24" t="str">
        <f aca="false">IF(A777="","",DATE(YEAR(A777),MONTH(A777),1))</f>
        <v/>
      </c>
      <c r="E777" s="10"/>
      <c r="F777" s="25"/>
      <c r="G777" s="25"/>
      <c r="H777" s="10"/>
      <c r="I777" s="10"/>
      <c r="J777" s="26"/>
      <c r="K777" s="25"/>
      <c r="L777" s="26"/>
      <c r="M777" s="27"/>
      <c r="N777" s="27"/>
      <c r="O777" s="28" t="str">
        <f aca="false">IF(OR(M777="",M777=0,N777=""),"",N777/M777)</f>
        <v/>
      </c>
      <c r="P777" s="28" t="str">
        <f aca="false">IF(M777="","",IFERROR(IF(INDEX(Parámetros!$B$14:$B$21,MATCH(I777,Parámetros!$A$14:$A$21,0))="",Parámetros!$B$5,INDEX(Parámetros!$B$14:$B$21,MATCH(I777,Parámetros!$A$14:$A$21,0))),Parámetros!$B$5))</f>
        <v/>
      </c>
      <c r="Q777" s="29" t="str">
        <f aca="false">IF(O777="","",(O777-P777)*100)</f>
        <v/>
      </c>
      <c r="R777" s="30" t="str">
        <f aca="false">IF(O777="","",MAX(0,M777*(P777-O777)))</f>
        <v/>
      </c>
      <c r="S777" s="31" t="str">
        <f aca="false">IF(OR(L777="",L777=0,N777=""),"",N777/1000/L777)</f>
        <v/>
      </c>
      <c r="T777" s="27"/>
      <c r="U777" s="27"/>
      <c r="V777" s="27"/>
      <c r="W777" s="27"/>
      <c r="X777" s="27"/>
      <c r="Y777" s="27"/>
      <c r="Z777" s="27"/>
      <c r="AA777" s="25"/>
      <c r="AB777" s="27"/>
      <c r="AC777" s="30" t="str">
        <f aca="false">IF(M777="","",IF(AB777="",M777*Parámetros!$B$6,AB777))</f>
        <v/>
      </c>
      <c r="AD777" s="30" t="str">
        <f aca="false">IF(M777="","",SUM(T777:Z777)+AC777)</f>
        <v/>
      </c>
      <c r="AE777" s="30" t="str">
        <f aca="false">IF(OR(M777="",N777=""),"",M777-N777)</f>
        <v/>
      </c>
      <c r="AF777" s="30" t="str">
        <f aca="false">IF(AE777="","",AE777-AD777)</f>
        <v/>
      </c>
      <c r="AG777" s="28" t="str">
        <f aca="false">IF(OR(AF777="",M777=0),"",AF777/M777)</f>
        <v/>
      </c>
      <c r="AH777" s="32" t="str">
        <f aca="false">IF(OR(AE777="",N777=0),"",AE777/(N777/1000))</f>
        <v/>
      </c>
      <c r="AI777" s="30" t="str">
        <f aca="false">IF(O777="","",M777*P777)</f>
        <v/>
      </c>
      <c r="AJ777" s="11" t="str">
        <f aca="false">IF(O777="","",IF(O777&gt;1,"Error: rend &gt; 100 %",IF(SUM(T777:Z777)=0,"Falta registrar pérdidas",IF(ABS(AG777)&gt;Parámetros!$B$7,"Revisar balance",IF(O777&lt;P777,"Bajo meta","OK")))))</f>
        <v/>
      </c>
      <c r="AK777" s="33"/>
      <c r="AL777" s="10"/>
      <c r="AM777" s="33"/>
      <c r="AN777" s="33"/>
      <c r="AO777" s="10"/>
    </row>
    <row r="778" customFormat="false" ht="15" hidden="false" customHeight="false" outlineLevel="0" collapsed="false">
      <c r="A778" s="22"/>
      <c r="B778" s="23" t="str">
        <f aca="false">IF(A778="","",YEAR(A778-WEEKDAY(A778,2)+4))</f>
        <v/>
      </c>
      <c r="C778" s="23" t="str">
        <f aca="false">IF(A778="","",WEEKNUM(A778,21))</f>
        <v/>
      </c>
      <c r="D778" s="24" t="str">
        <f aca="false">IF(A778="","",DATE(YEAR(A778),MONTH(A778),1))</f>
        <v/>
      </c>
      <c r="E778" s="10"/>
      <c r="F778" s="25"/>
      <c r="G778" s="25"/>
      <c r="H778" s="10"/>
      <c r="I778" s="10"/>
      <c r="J778" s="26"/>
      <c r="K778" s="25"/>
      <c r="L778" s="26"/>
      <c r="M778" s="27"/>
      <c r="N778" s="27"/>
      <c r="O778" s="28" t="str">
        <f aca="false">IF(OR(M778="",M778=0,N778=""),"",N778/M778)</f>
        <v/>
      </c>
      <c r="P778" s="28" t="str">
        <f aca="false">IF(M778="","",IFERROR(IF(INDEX(Parámetros!$B$14:$B$21,MATCH(I778,Parámetros!$A$14:$A$21,0))="",Parámetros!$B$5,INDEX(Parámetros!$B$14:$B$21,MATCH(I778,Parámetros!$A$14:$A$21,0))),Parámetros!$B$5))</f>
        <v/>
      </c>
      <c r="Q778" s="29" t="str">
        <f aca="false">IF(O778="","",(O778-P778)*100)</f>
        <v/>
      </c>
      <c r="R778" s="30" t="str">
        <f aca="false">IF(O778="","",MAX(0,M778*(P778-O778)))</f>
        <v/>
      </c>
      <c r="S778" s="31" t="str">
        <f aca="false">IF(OR(L778="",L778=0,N778=""),"",N778/1000/L778)</f>
        <v/>
      </c>
      <c r="T778" s="27"/>
      <c r="U778" s="27"/>
      <c r="V778" s="27"/>
      <c r="W778" s="27"/>
      <c r="X778" s="27"/>
      <c r="Y778" s="27"/>
      <c r="Z778" s="27"/>
      <c r="AA778" s="25"/>
      <c r="AB778" s="27"/>
      <c r="AC778" s="30" t="str">
        <f aca="false">IF(M778="","",IF(AB778="",M778*Parámetros!$B$6,AB778))</f>
        <v/>
      </c>
      <c r="AD778" s="30" t="str">
        <f aca="false">IF(M778="","",SUM(T778:Z778)+AC778)</f>
        <v/>
      </c>
      <c r="AE778" s="30" t="str">
        <f aca="false">IF(OR(M778="",N778=""),"",M778-N778)</f>
        <v/>
      </c>
      <c r="AF778" s="30" t="str">
        <f aca="false">IF(AE778="","",AE778-AD778)</f>
        <v/>
      </c>
      <c r="AG778" s="28" t="str">
        <f aca="false">IF(OR(AF778="",M778=0),"",AF778/M778)</f>
        <v/>
      </c>
      <c r="AH778" s="32" t="str">
        <f aca="false">IF(OR(AE778="",N778=0),"",AE778/(N778/1000))</f>
        <v/>
      </c>
      <c r="AI778" s="30" t="str">
        <f aca="false">IF(O778="","",M778*P778)</f>
        <v/>
      </c>
      <c r="AJ778" s="11" t="str">
        <f aca="false">IF(O778="","",IF(O778&gt;1,"Error: rend &gt; 100 %",IF(SUM(T778:Z778)=0,"Falta registrar pérdidas",IF(ABS(AG778)&gt;Parámetros!$B$7,"Revisar balance",IF(O778&lt;P778,"Bajo meta","OK")))))</f>
        <v/>
      </c>
      <c r="AK778" s="33"/>
      <c r="AL778" s="10"/>
      <c r="AM778" s="33"/>
      <c r="AN778" s="33"/>
      <c r="AO778" s="10"/>
    </row>
    <row r="779" customFormat="false" ht="15" hidden="false" customHeight="false" outlineLevel="0" collapsed="false">
      <c r="A779" s="22"/>
      <c r="B779" s="23" t="str">
        <f aca="false">IF(A779="","",YEAR(A779-WEEKDAY(A779,2)+4))</f>
        <v/>
      </c>
      <c r="C779" s="23" t="str">
        <f aca="false">IF(A779="","",WEEKNUM(A779,21))</f>
        <v/>
      </c>
      <c r="D779" s="24" t="str">
        <f aca="false">IF(A779="","",DATE(YEAR(A779),MONTH(A779),1))</f>
        <v/>
      </c>
      <c r="E779" s="10"/>
      <c r="F779" s="25"/>
      <c r="G779" s="25"/>
      <c r="H779" s="10"/>
      <c r="I779" s="10"/>
      <c r="J779" s="26"/>
      <c r="K779" s="25"/>
      <c r="L779" s="26"/>
      <c r="M779" s="27"/>
      <c r="N779" s="27"/>
      <c r="O779" s="28" t="str">
        <f aca="false">IF(OR(M779="",M779=0,N779=""),"",N779/M779)</f>
        <v/>
      </c>
      <c r="P779" s="28" t="str">
        <f aca="false">IF(M779="","",IFERROR(IF(INDEX(Parámetros!$B$14:$B$21,MATCH(I779,Parámetros!$A$14:$A$21,0))="",Parámetros!$B$5,INDEX(Parámetros!$B$14:$B$21,MATCH(I779,Parámetros!$A$14:$A$21,0))),Parámetros!$B$5))</f>
        <v/>
      </c>
      <c r="Q779" s="29" t="str">
        <f aca="false">IF(O779="","",(O779-P779)*100)</f>
        <v/>
      </c>
      <c r="R779" s="30" t="str">
        <f aca="false">IF(O779="","",MAX(0,M779*(P779-O779)))</f>
        <v/>
      </c>
      <c r="S779" s="31" t="str">
        <f aca="false">IF(OR(L779="",L779=0,N779=""),"",N779/1000/L779)</f>
        <v/>
      </c>
      <c r="T779" s="27"/>
      <c r="U779" s="27"/>
      <c r="V779" s="27"/>
      <c r="W779" s="27"/>
      <c r="X779" s="27"/>
      <c r="Y779" s="27"/>
      <c r="Z779" s="27"/>
      <c r="AA779" s="25"/>
      <c r="AB779" s="27"/>
      <c r="AC779" s="30" t="str">
        <f aca="false">IF(M779="","",IF(AB779="",M779*Parámetros!$B$6,AB779))</f>
        <v/>
      </c>
      <c r="AD779" s="30" t="str">
        <f aca="false">IF(M779="","",SUM(T779:Z779)+AC779)</f>
        <v/>
      </c>
      <c r="AE779" s="30" t="str">
        <f aca="false">IF(OR(M779="",N779=""),"",M779-N779)</f>
        <v/>
      </c>
      <c r="AF779" s="30" t="str">
        <f aca="false">IF(AE779="","",AE779-AD779)</f>
        <v/>
      </c>
      <c r="AG779" s="28" t="str">
        <f aca="false">IF(OR(AF779="",M779=0),"",AF779/M779)</f>
        <v/>
      </c>
      <c r="AH779" s="32" t="str">
        <f aca="false">IF(OR(AE779="",N779=0),"",AE779/(N779/1000))</f>
        <v/>
      </c>
      <c r="AI779" s="30" t="str">
        <f aca="false">IF(O779="","",M779*P779)</f>
        <v/>
      </c>
      <c r="AJ779" s="11" t="str">
        <f aca="false">IF(O779="","",IF(O779&gt;1,"Error: rend &gt; 100 %",IF(SUM(T779:Z779)=0,"Falta registrar pérdidas",IF(ABS(AG779)&gt;Parámetros!$B$7,"Revisar balance",IF(O779&lt;P779,"Bajo meta","OK")))))</f>
        <v/>
      </c>
      <c r="AK779" s="33"/>
      <c r="AL779" s="10"/>
      <c r="AM779" s="33"/>
      <c r="AN779" s="33"/>
      <c r="AO779" s="10"/>
    </row>
    <row r="780" customFormat="false" ht="15" hidden="false" customHeight="false" outlineLevel="0" collapsed="false">
      <c r="A780" s="22"/>
      <c r="B780" s="23" t="str">
        <f aca="false">IF(A780="","",YEAR(A780-WEEKDAY(A780,2)+4))</f>
        <v/>
      </c>
      <c r="C780" s="23" t="str">
        <f aca="false">IF(A780="","",WEEKNUM(A780,21))</f>
        <v/>
      </c>
      <c r="D780" s="24" t="str">
        <f aca="false">IF(A780="","",DATE(YEAR(A780),MONTH(A780),1))</f>
        <v/>
      </c>
      <c r="E780" s="10"/>
      <c r="F780" s="25"/>
      <c r="G780" s="25"/>
      <c r="H780" s="10"/>
      <c r="I780" s="10"/>
      <c r="J780" s="26"/>
      <c r="K780" s="25"/>
      <c r="L780" s="26"/>
      <c r="M780" s="27"/>
      <c r="N780" s="27"/>
      <c r="O780" s="28" t="str">
        <f aca="false">IF(OR(M780="",M780=0,N780=""),"",N780/M780)</f>
        <v/>
      </c>
      <c r="P780" s="28" t="str">
        <f aca="false">IF(M780="","",IFERROR(IF(INDEX(Parámetros!$B$14:$B$21,MATCH(I780,Parámetros!$A$14:$A$21,0))="",Parámetros!$B$5,INDEX(Parámetros!$B$14:$B$21,MATCH(I780,Parámetros!$A$14:$A$21,0))),Parámetros!$B$5))</f>
        <v/>
      </c>
      <c r="Q780" s="29" t="str">
        <f aca="false">IF(O780="","",(O780-P780)*100)</f>
        <v/>
      </c>
      <c r="R780" s="30" t="str">
        <f aca="false">IF(O780="","",MAX(0,M780*(P780-O780)))</f>
        <v/>
      </c>
      <c r="S780" s="31" t="str">
        <f aca="false">IF(OR(L780="",L780=0,N780=""),"",N780/1000/L780)</f>
        <v/>
      </c>
      <c r="T780" s="27"/>
      <c r="U780" s="27"/>
      <c r="V780" s="27"/>
      <c r="W780" s="27"/>
      <c r="X780" s="27"/>
      <c r="Y780" s="27"/>
      <c r="Z780" s="27"/>
      <c r="AA780" s="25"/>
      <c r="AB780" s="27"/>
      <c r="AC780" s="30" t="str">
        <f aca="false">IF(M780="","",IF(AB780="",M780*Parámetros!$B$6,AB780))</f>
        <v/>
      </c>
      <c r="AD780" s="30" t="str">
        <f aca="false">IF(M780="","",SUM(T780:Z780)+AC780)</f>
        <v/>
      </c>
      <c r="AE780" s="30" t="str">
        <f aca="false">IF(OR(M780="",N780=""),"",M780-N780)</f>
        <v/>
      </c>
      <c r="AF780" s="30" t="str">
        <f aca="false">IF(AE780="","",AE780-AD780)</f>
        <v/>
      </c>
      <c r="AG780" s="28" t="str">
        <f aca="false">IF(OR(AF780="",M780=0),"",AF780/M780)</f>
        <v/>
      </c>
      <c r="AH780" s="32" t="str">
        <f aca="false">IF(OR(AE780="",N780=0),"",AE780/(N780/1000))</f>
        <v/>
      </c>
      <c r="AI780" s="30" t="str">
        <f aca="false">IF(O780="","",M780*P780)</f>
        <v/>
      </c>
      <c r="AJ780" s="11" t="str">
        <f aca="false">IF(O780="","",IF(O780&gt;1,"Error: rend &gt; 100 %",IF(SUM(T780:Z780)=0,"Falta registrar pérdidas",IF(ABS(AG780)&gt;Parámetros!$B$7,"Revisar balance",IF(O780&lt;P780,"Bajo meta","OK")))))</f>
        <v/>
      </c>
      <c r="AK780" s="33"/>
      <c r="AL780" s="10"/>
      <c r="AM780" s="33"/>
      <c r="AN780" s="33"/>
      <c r="AO780" s="10"/>
    </row>
    <row r="781" customFormat="false" ht="15" hidden="false" customHeight="false" outlineLevel="0" collapsed="false">
      <c r="A781" s="22"/>
      <c r="B781" s="23" t="str">
        <f aca="false">IF(A781="","",YEAR(A781-WEEKDAY(A781,2)+4))</f>
        <v/>
      </c>
      <c r="C781" s="23" t="str">
        <f aca="false">IF(A781="","",WEEKNUM(A781,21))</f>
        <v/>
      </c>
      <c r="D781" s="24" t="str">
        <f aca="false">IF(A781="","",DATE(YEAR(A781),MONTH(A781),1))</f>
        <v/>
      </c>
      <c r="E781" s="10"/>
      <c r="F781" s="25"/>
      <c r="G781" s="25"/>
      <c r="H781" s="10"/>
      <c r="I781" s="10"/>
      <c r="J781" s="26"/>
      <c r="K781" s="25"/>
      <c r="L781" s="26"/>
      <c r="M781" s="27"/>
      <c r="N781" s="27"/>
      <c r="O781" s="28" t="str">
        <f aca="false">IF(OR(M781="",M781=0,N781=""),"",N781/M781)</f>
        <v/>
      </c>
      <c r="P781" s="28" t="str">
        <f aca="false">IF(M781="","",IFERROR(IF(INDEX(Parámetros!$B$14:$B$21,MATCH(I781,Parámetros!$A$14:$A$21,0))="",Parámetros!$B$5,INDEX(Parámetros!$B$14:$B$21,MATCH(I781,Parámetros!$A$14:$A$21,0))),Parámetros!$B$5))</f>
        <v/>
      </c>
      <c r="Q781" s="29" t="str">
        <f aca="false">IF(O781="","",(O781-P781)*100)</f>
        <v/>
      </c>
      <c r="R781" s="30" t="str">
        <f aca="false">IF(O781="","",MAX(0,M781*(P781-O781)))</f>
        <v/>
      </c>
      <c r="S781" s="31" t="str">
        <f aca="false">IF(OR(L781="",L781=0,N781=""),"",N781/1000/L781)</f>
        <v/>
      </c>
      <c r="T781" s="27"/>
      <c r="U781" s="27"/>
      <c r="V781" s="27"/>
      <c r="W781" s="27"/>
      <c r="X781" s="27"/>
      <c r="Y781" s="27"/>
      <c r="Z781" s="27"/>
      <c r="AA781" s="25"/>
      <c r="AB781" s="27"/>
      <c r="AC781" s="30" t="str">
        <f aca="false">IF(M781="","",IF(AB781="",M781*Parámetros!$B$6,AB781))</f>
        <v/>
      </c>
      <c r="AD781" s="30" t="str">
        <f aca="false">IF(M781="","",SUM(T781:Z781)+AC781)</f>
        <v/>
      </c>
      <c r="AE781" s="30" t="str">
        <f aca="false">IF(OR(M781="",N781=""),"",M781-N781)</f>
        <v/>
      </c>
      <c r="AF781" s="30" t="str">
        <f aca="false">IF(AE781="","",AE781-AD781)</f>
        <v/>
      </c>
      <c r="AG781" s="28" t="str">
        <f aca="false">IF(OR(AF781="",M781=0),"",AF781/M781)</f>
        <v/>
      </c>
      <c r="AH781" s="32" t="str">
        <f aca="false">IF(OR(AE781="",N781=0),"",AE781/(N781/1000))</f>
        <v/>
      </c>
      <c r="AI781" s="30" t="str">
        <f aca="false">IF(O781="","",M781*P781)</f>
        <v/>
      </c>
      <c r="AJ781" s="11" t="str">
        <f aca="false">IF(O781="","",IF(O781&gt;1,"Error: rend &gt; 100 %",IF(SUM(T781:Z781)=0,"Falta registrar pérdidas",IF(ABS(AG781)&gt;Parámetros!$B$7,"Revisar balance",IF(O781&lt;P781,"Bajo meta","OK")))))</f>
        <v/>
      </c>
      <c r="AK781" s="33"/>
      <c r="AL781" s="10"/>
      <c r="AM781" s="33"/>
      <c r="AN781" s="33"/>
      <c r="AO781" s="10"/>
    </row>
    <row r="782" customFormat="false" ht="15" hidden="false" customHeight="false" outlineLevel="0" collapsed="false">
      <c r="A782" s="22"/>
      <c r="B782" s="23" t="str">
        <f aca="false">IF(A782="","",YEAR(A782-WEEKDAY(A782,2)+4))</f>
        <v/>
      </c>
      <c r="C782" s="23" t="str">
        <f aca="false">IF(A782="","",WEEKNUM(A782,21))</f>
        <v/>
      </c>
      <c r="D782" s="24" t="str">
        <f aca="false">IF(A782="","",DATE(YEAR(A782),MONTH(A782),1))</f>
        <v/>
      </c>
      <c r="E782" s="10"/>
      <c r="F782" s="25"/>
      <c r="G782" s="25"/>
      <c r="H782" s="10"/>
      <c r="I782" s="10"/>
      <c r="J782" s="26"/>
      <c r="K782" s="25"/>
      <c r="L782" s="26"/>
      <c r="M782" s="27"/>
      <c r="N782" s="27"/>
      <c r="O782" s="28" t="str">
        <f aca="false">IF(OR(M782="",M782=0,N782=""),"",N782/M782)</f>
        <v/>
      </c>
      <c r="P782" s="28" t="str">
        <f aca="false">IF(M782="","",IFERROR(IF(INDEX(Parámetros!$B$14:$B$21,MATCH(I782,Parámetros!$A$14:$A$21,0))="",Parámetros!$B$5,INDEX(Parámetros!$B$14:$B$21,MATCH(I782,Parámetros!$A$14:$A$21,0))),Parámetros!$B$5))</f>
        <v/>
      </c>
      <c r="Q782" s="29" t="str">
        <f aca="false">IF(O782="","",(O782-P782)*100)</f>
        <v/>
      </c>
      <c r="R782" s="30" t="str">
        <f aca="false">IF(O782="","",MAX(0,M782*(P782-O782)))</f>
        <v/>
      </c>
      <c r="S782" s="31" t="str">
        <f aca="false">IF(OR(L782="",L782=0,N782=""),"",N782/1000/L782)</f>
        <v/>
      </c>
      <c r="T782" s="27"/>
      <c r="U782" s="27"/>
      <c r="V782" s="27"/>
      <c r="W782" s="27"/>
      <c r="X782" s="27"/>
      <c r="Y782" s="27"/>
      <c r="Z782" s="27"/>
      <c r="AA782" s="25"/>
      <c r="AB782" s="27"/>
      <c r="AC782" s="30" t="str">
        <f aca="false">IF(M782="","",IF(AB782="",M782*Parámetros!$B$6,AB782))</f>
        <v/>
      </c>
      <c r="AD782" s="30" t="str">
        <f aca="false">IF(M782="","",SUM(T782:Z782)+AC782)</f>
        <v/>
      </c>
      <c r="AE782" s="30" t="str">
        <f aca="false">IF(OR(M782="",N782=""),"",M782-N782)</f>
        <v/>
      </c>
      <c r="AF782" s="30" t="str">
        <f aca="false">IF(AE782="","",AE782-AD782)</f>
        <v/>
      </c>
      <c r="AG782" s="28" t="str">
        <f aca="false">IF(OR(AF782="",M782=0),"",AF782/M782)</f>
        <v/>
      </c>
      <c r="AH782" s="32" t="str">
        <f aca="false">IF(OR(AE782="",N782=0),"",AE782/(N782/1000))</f>
        <v/>
      </c>
      <c r="AI782" s="30" t="str">
        <f aca="false">IF(O782="","",M782*P782)</f>
        <v/>
      </c>
      <c r="AJ782" s="11" t="str">
        <f aca="false">IF(O782="","",IF(O782&gt;1,"Error: rend &gt; 100 %",IF(SUM(T782:Z782)=0,"Falta registrar pérdidas",IF(ABS(AG782)&gt;Parámetros!$B$7,"Revisar balance",IF(O782&lt;P782,"Bajo meta","OK")))))</f>
        <v/>
      </c>
      <c r="AK782" s="33"/>
      <c r="AL782" s="10"/>
      <c r="AM782" s="33"/>
      <c r="AN782" s="33"/>
      <c r="AO782" s="10"/>
    </row>
    <row r="783" customFormat="false" ht="15" hidden="false" customHeight="false" outlineLevel="0" collapsed="false">
      <c r="A783" s="22"/>
      <c r="B783" s="23" t="str">
        <f aca="false">IF(A783="","",YEAR(A783-WEEKDAY(A783,2)+4))</f>
        <v/>
      </c>
      <c r="C783" s="23" t="str">
        <f aca="false">IF(A783="","",WEEKNUM(A783,21))</f>
        <v/>
      </c>
      <c r="D783" s="24" t="str">
        <f aca="false">IF(A783="","",DATE(YEAR(A783),MONTH(A783),1))</f>
        <v/>
      </c>
      <c r="E783" s="10"/>
      <c r="F783" s="25"/>
      <c r="G783" s="25"/>
      <c r="H783" s="10"/>
      <c r="I783" s="10"/>
      <c r="J783" s="26"/>
      <c r="K783" s="25"/>
      <c r="L783" s="26"/>
      <c r="M783" s="27"/>
      <c r="N783" s="27"/>
      <c r="O783" s="28" t="str">
        <f aca="false">IF(OR(M783="",M783=0,N783=""),"",N783/M783)</f>
        <v/>
      </c>
      <c r="P783" s="28" t="str">
        <f aca="false">IF(M783="","",IFERROR(IF(INDEX(Parámetros!$B$14:$B$21,MATCH(I783,Parámetros!$A$14:$A$21,0))="",Parámetros!$B$5,INDEX(Parámetros!$B$14:$B$21,MATCH(I783,Parámetros!$A$14:$A$21,0))),Parámetros!$B$5))</f>
        <v/>
      </c>
      <c r="Q783" s="29" t="str">
        <f aca="false">IF(O783="","",(O783-P783)*100)</f>
        <v/>
      </c>
      <c r="R783" s="30" t="str">
        <f aca="false">IF(O783="","",MAX(0,M783*(P783-O783)))</f>
        <v/>
      </c>
      <c r="S783" s="31" t="str">
        <f aca="false">IF(OR(L783="",L783=0,N783=""),"",N783/1000/L783)</f>
        <v/>
      </c>
      <c r="T783" s="27"/>
      <c r="U783" s="27"/>
      <c r="V783" s="27"/>
      <c r="W783" s="27"/>
      <c r="X783" s="27"/>
      <c r="Y783" s="27"/>
      <c r="Z783" s="27"/>
      <c r="AA783" s="25"/>
      <c r="AB783" s="27"/>
      <c r="AC783" s="30" t="str">
        <f aca="false">IF(M783="","",IF(AB783="",M783*Parámetros!$B$6,AB783))</f>
        <v/>
      </c>
      <c r="AD783" s="30" t="str">
        <f aca="false">IF(M783="","",SUM(T783:Z783)+AC783)</f>
        <v/>
      </c>
      <c r="AE783" s="30" t="str">
        <f aca="false">IF(OR(M783="",N783=""),"",M783-N783)</f>
        <v/>
      </c>
      <c r="AF783" s="30" t="str">
        <f aca="false">IF(AE783="","",AE783-AD783)</f>
        <v/>
      </c>
      <c r="AG783" s="28" t="str">
        <f aca="false">IF(OR(AF783="",M783=0),"",AF783/M783)</f>
        <v/>
      </c>
      <c r="AH783" s="32" t="str">
        <f aca="false">IF(OR(AE783="",N783=0),"",AE783/(N783/1000))</f>
        <v/>
      </c>
      <c r="AI783" s="30" t="str">
        <f aca="false">IF(O783="","",M783*P783)</f>
        <v/>
      </c>
      <c r="AJ783" s="11" t="str">
        <f aca="false">IF(O783="","",IF(O783&gt;1,"Error: rend &gt; 100 %",IF(SUM(T783:Z783)=0,"Falta registrar pérdidas",IF(ABS(AG783)&gt;Parámetros!$B$7,"Revisar balance",IF(O783&lt;P783,"Bajo meta","OK")))))</f>
        <v/>
      </c>
      <c r="AK783" s="33"/>
      <c r="AL783" s="10"/>
      <c r="AM783" s="33"/>
      <c r="AN783" s="33"/>
      <c r="AO783" s="10"/>
    </row>
    <row r="784" customFormat="false" ht="15" hidden="false" customHeight="false" outlineLevel="0" collapsed="false">
      <c r="A784" s="22"/>
      <c r="B784" s="23" t="str">
        <f aca="false">IF(A784="","",YEAR(A784-WEEKDAY(A784,2)+4))</f>
        <v/>
      </c>
      <c r="C784" s="23" t="str">
        <f aca="false">IF(A784="","",WEEKNUM(A784,21))</f>
        <v/>
      </c>
      <c r="D784" s="24" t="str">
        <f aca="false">IF(A784="","",DATE(YEAR(A784),MONTH(A784),1))</f>
        <v/>
      </c>
      <c r="E784" s="10"/>
      <c r="F784" s="25"/>
      <c r="G784" s="25"/>
      <c r="H784" s="10"/>
      <c r="I784" s="10"/>
      <c r="J784" s="26"/>
      <c r="K784" s="25"/>
      <c r="L784" s="26"/>
      <c r="M784" s="27"/>
      <c r="N784" s="27"/>
      <c r="O784" s="28" t="str">
        <f aca="false">IF(OR(M784="",M784=0,N784=""),"",N784/M784)</f>
        <v/>
      </c>
      <c r="P784" s="28" t="str">
        <f aca="false">IF(M784="","",IFERROR(IF(INDEX(Parámetros!$B$14:$B$21,MATCH(I784,Parámetros!$A$14:$A$21,0))="",Parámetros!$B$5,INDEX(Parámetros!$B$14:$B$21,MATCH(I784,Parámetros!$A$14:$A$21,0))),Parámetros!$B$5))</f>
        <v/>
      </c>
      <c r="Q784" s="29" t="str">
        <f aca="false">IF(O784="","",(O784-P784)*100)</f>
        <v/>
      </c>
      <c r="R784" s="30" t="str">
        <f aca="false">IF(O784="","",MAX(0,M784*(P784-O784)))</f>
        <v/>
      </c>
      <c r="S784" s="31" t="str">
        <f aca="false">IF(OR(L784="",L784=0,N784=""),"",N784/1000/L784)</f>
        <v/>
      </c>
      <c r="T784" s="27"/>
      <c r="U784" s="27"/>
      <c r="V784" s="27"/>
      <c r="W784" s="27"/>
      <c r="X784" s="27"/>
      <c r="Y784" s="27"/>
      <c r="Z784" s="27"/>
      <c r="AA784" s="25"/>
      <c r="AB784" s="27"/>
      <c r="AC784" s="30" t="str">
        <f aca="false">IF(M784="","",IF(AB784="",M784*Parámetros!$B$6,AB784))</f>
        <v/>
      </c>
      <c r="AD784" s="30" t="str">
        <f aca="false">IF(M784="","",SUM(T784:Z784)+AC784)</f>
        <v/>
      </c>
      <c r="AE784" s="30" t="str">
        <f aca="false">IF(OR(M784="",N784=""),"",M784-N784)</f>
        <v/>
      </c>
      <c r="AF784" s="30" t="str">
        <f aca="false">IF(AE784="","",AE784-AD784)</f>
        <v/>
      </c>
      <c r="AG784" s="28" t="str">
        <f aca="false">IF(OR(AF784="",M784=0),"",AF784/M784)</f>
        <v/>
      </c>
      <c r="AH784" s="32" t="str">
        <f aca="false">IF(OR(AE784="",N784=0),"",AE784/(N784/1000))</f>
        <v/>
      </c>
      <c r="AI784" s="30" t="str">
        <f aca="false">IF(O784="","",M784*P784)</f>
        <v/>
      </c>
      <c r="AJ784" s="11" t="str">
        <f aca="false">IF(O784="","",IF(O784&gt;1,"Error: rend &gt; 100 %",IF(SUM(T784:Z784)=0,"Falta registrar pérdidas",IF(ABS(AG784)&gt;Parámetros!$B$7,"Revisar balance",IF(O784&lt;P784,"Bajo meta","OK")))))</f>
        <v/>
      </c>
      <c r="AK784" s="33"/>
      <c r="AL784" s="10"/>
      <c r="AM784" s="33"/>
      <c r="AN784" s="33"/>
      <c r="AO784" s="10"/>
    </row>
    <row r="785" customFormat="false" ht="15" hidden="false" customHeight="false" outlineLevel="0" collapsed="false">
      <c r="A785" s="22"/>
      <c r="B785" s="23" t="str">
        <f aca="false">IF(A785="","",YEAR(A785-WEEKDAY(A785,2)+4))</f>
        <v/>
      </c>
      <c r="C785" s="23" t="str">
        <f aca="false">IF(A785="","",WEEKNUM(A785,21))</f>
        <v/>
      </c>
      <c r="D785" s="24" t="str">
        <f aca="false">IF(A785="","",DATE(YEAR(A785),MONTH(A785),1))</f>
        <v/>
      </c>
      <c r="E785" s="10"/>
      <c r="F785" s="25"/>
      <c r="G785" s="25"/>
      <c r="H785" s="10"/>
      <c r="I785" s="10"/>
      <c r="J785" s="26"/>
      <c r="K785" s="25"/>
      <c r="L785" s="26"/>
      <c r="M785" s="27"/>
      <c r="N785" s="27"/>
      <c r="O785" s="28" t="str">
        <f aca="false">IF(OR(M785="",M785=0,N785=""),"",N785/M785)</f>
        <v/>
      </c>
      <c r="P785" s="28" t="str">
        <f aca="false">IF(M785="","",IFERROR(IF(INDEX(Parámetros!$B$14:$B$21,MATCH(I785,Parámetros!$A$14:$A$21,0))="",Parámetros!$B$5,INDEX(Parámetros!$B$14:$B$21,MATCH(I785,Parámetros!$A$14:$A$21,0))),Parámetros!$B$5))</f>
        <v/>
      </c>
      <c r="Q785" s="29" t="str">
        <f aca="false">IF(O785="","",(O785-P785)*100)</f>
        <v/>
      </c>
      <c r="R785" s="30" t="str">
        <f aca="false">IF(O785="","",MAX(0,M785*(P785-O785)))</f>
        <v/>
      </c>
      <c r="S785" s="31" t="str">
        <f aca="false">IF(OR(L785="",L785=0,N785=""),"",N785/1000/L785)</f>
        <v/>
      </c>
      <c r="T785" s="27"/>
      <c r="U785" s="27"/>
      <c r="V785" s="27"/>
      <c r="W785" s="27"/>
      <c r="X785" s="27"/>
      <c r="Y785" s="27"/>
      <c r="Z785" s="27"/>
      <c r="AA785" s="25"/>
      <c r="AB785" s="27"/>
      <c r="AC785" s="30" t="str">
        <f aca="false">IF(M785="","",IF(AB785="",M785*Parámetros!$B$6,AB785))</f>
        <v/>
      </c>
      <c r="AD785" s="30" t="str">
        <f aca="false">IF(M785="","",SUM(T785:Z785)+AC785)</f>
        <v/>
      </c>
      <c r="AE785" s="30" t="str">
        <f aca="false">IF(OR(M785="",N785=""),"",M785-N785)</f>
        <v/>
      </c>
      <c r="AF785" s="30" t="str">
        <f aca="false">IF(AE785="","",AE785-AD785)</f>
        <v/>
      </c>
      <c r="AG785" s="28" t="str">
        <f aca="false">IF(OR(AF785="",M785=0),"",AF785/M785)</f>
        <v/>
      </c>
      <c r="AH785" s="32" t="str">
        <f aca="false">IF(OR(AE785="",N785=0),"",AE785/(N785/1000))</f>
        <v/>
      </c>
      <c r="AI785" s="30" t="str">
        <f aca="false">IF(O785="","",M785*P785)</f>
        <v/>
      </c>
      <c r="AJ785" s="11" t="str">
        <f aca="false">IF(O785="","",IF(O785&gt;1,"Error: rend &gt; 100 %",IF(SUM(T785:Z785)=0,"Falta registrar pérdidas",IF(ABS(AG785)&gt;Parámetros!$B$7,"Revisar balance",IF(O785&lt;P785,"Bajo meta","OK")))))</f>
        <v/>
      </c>
      <c r="AK785" s="33"/>
      <c r="AL785" s="10"/>
      <c r="AM785" s="33"/>
      <c r="AN785" s="33"/>
      <c r="AO785" s="10"/>
    </row>
    <row r="786" customFormat="false" ht="15" hidden="false" customHeight="false" outlineLevel="0" collapsed="false">
      <c r="A786" s="22"/>
      <c r="B786" s="23" t="str">
        <f aca="false">IF(A786="","",YEAR(A786-WEEKDAY(A786,2)+4))</f>
        <v/>
      </c>
      <c r="C786" s="23" t="str">
        <f aca="false">IF(A786="","",WEEKNUM(A786,21))</f>
        <v/>
      </c>
      <c r="D786" s="24" t="str">
        <f aca="false">IF(A786="","",DATE(YEAR(A786),MONTH(A786),1))</f>
        <v/>
      </c>
      <c r="E786" s="10"/>
      <c r="F786" s="25"/>
      <c r="G786" s="25"/>
      <c r="H786" s="10"/>
      <c r="I786" s="10"/>
      <c r="J786" s="26"/>
      <c r="K786" s="25"/>
      <c r="L786" s="26"/>
      <c r="M786" s="27"/>
      <c r="N786" s="27"/>
      <c r="O786" s="28" t="str">
        <f aca="false">IF(OR(M786="",M786=0,N786=""),"",N786/M786)</f>
        <v/>
      </c>
      <c r="P786" s="28" t="str">
        <f aca="false">IF(M786="","",IFERROR(IF(INDEX(Parámetros!$B$14:$B$21,MATCH(I786,Parámetros!$A$14:$A$21,0))="",Parámetros!$B$5,INDEX(Parámetros!$B$14:$B$21,MATCH(I786,Parámetros!$A$14:$A$21,0))),Parámetros!$B$5))</f>
        <v/>
      </c>
      <c r="Q786" s="29" t="str">
        <f aca="false">IF(O786="","",(O786-P786)*100)</f>
        <v/>
      </c>
      <c r="R786" s="30" t="str">
        <f aca="false">IF(O786="","",MAX(0,M786*(P786-O786)))</f>
        <v/>
      </c>
      <c r="S786" s="31" t="str">
        <f aca="false">IF(OR(L786="",L786=0,N786=""),"",N786/1000/L786)</f>
        <v/>
      </c>
      <c r="T786" s="27"/>
      <c r="U786" s="27"/>
      <c r="V786" s="27"/>
      <c r="W786" s="27"/>
      <c r="X786" s="27"/>
      <c r="Y786" s="27"/>
      <c r="Z786" s="27"/>
      <c r="AA786" s="25"/>
      <c r="AB786" s="27"/>
      <c r="AC786" s="30" t="str">
        <f aca="false">IF(M786="","",IF(AB786="",M786*Parámetros!$B$6,AB786))</f>
        <v/>
      </c>
      <c r="AD786" s="30" t="str">
        <f aca="false">IF(M786="","",SUM(T786:Z786)+AC786)</f>
        <v/>
      </c>
      <c r="AE786" s="30" t="str">
        <f aca="false">IF(OR(M786="",N786=""),"",M786-N786)</f>
        <v/>
      </c>
      <c r="AF786" s="30" t="str">
        <f aca="false">IF(AE786="","",AE786-AD786)</f>
        <v/>
      </c>
      <c r="AG786" s="28" t="str">
        <f aca="false">IF(OR(AF786="",M786=0),"",AF786/M786)</f>
        <v/>
      </c>
      <c r="AH786" s="32" t="str">
        <f aca="false">IF(OR(AE786="",N786=0),"",AE786/(N786/1000))</f>
        <v/>
      </c>
      <c r="AI786" s="30" t="str">
        <f aca="false">IF(O786="","",M786*P786)</f>
        <v/>
      </c>
      <c r="AJ786" s="11" t="str">
        <f aca="false">IF(O786="","",IF(O786&gt;1,"Error: rend &gt; 100 %",IF(SUM(T786:Z786)=0,"Falta registrar pérdidas",IF(ABS(AG786)&gt;Parámetros!$B$7,"Revisar balance",IF(O786&lt;P786,"Bajo meta","OK")))))</f>
        <v/>
      </c>
      <c r="AK786" s="33"/>
      <c r="AL786" s="10"/>
      <c r="AM786" s="33"/>
      <c r="AN786" s="33"/>
      <c r="AO786" s="10"/>
    </row>
    <row r="787" customFormat="false" ht="15" hidden="false" customHeight="false" outlineLevel="0" collapsed="false">
      <c r="A787" s="22"/>
      <c r="B787" s="23" t="str">
        <f aca="false">IF(A787="","",YEAR(A787-WEEKDAY(A787,2)+4))</f>
        <v/>
      </c>
      <c r="C787" s="23" t="str">
        <f aca="false">IF(A787="","",WEEKNUM(A787,21))</f>
        <v/>
      </c>
      <c r="D787" s="24" t="str">
        <f aca="false">IF(A787="","",DATE(YEAR(A787),MONTH(A787),1))</f>
        <v/>
      </c>
      <c r="E787" s="10"/>
      <c r="F787" s="25"/>
      <c r="G787" s="25"/>
      <c r="H787" s="10"/>
      <c r="I787" s="10"/>
      <c r="J787" s="26"/>
      <c r="K787" s="25"/>
      <c r="L787" s="26"/>
      <c r="M787" s="27"/>
      <c r="N787" s="27"/>
      <c r="O787" s="28" t="str">
        <f aca="false">IF(OR(M787="",M787=0,N787=""),"",N787/M787)</f>
        <v/>
      </c>
      <c r="P787" s="28" t="str">
        <f aca="false">IF(M787="","",IFERROR(IF(INDEX(Parámetros!$B$14:$B$21,MATCH(I787,Parámetros!$A$14:$A$21,0))="",Parámetros!$B$5,INDEX(Parámetros!$B$14:$B$21,MATCH(I787,Parámetros!$A$14:$A$21,0))),Parámetros!$B$5))</f>
        <v/>
      </c>
      <c r="Q787" s="29" t="str">
        <f aca="false">IF(O787="","",(O787-P787)*100)</f>
        <v/>
      </c>
      <c r="R787" s="30" t="str">
        <f aca="false">IF(O787="","",MAX(0,M787*(P787-O787)))</f>
        <v/>
      </c>
      <c r="S787" s="31" t="str">
        <f aca="false">IF(OR(L787="",L787=0,N787=""),"",N787/1000/L787)</f>
        <v/>
      </c>
      <c r="T787" s="27"/>
      <c r="U787" s="27"/>
      <c r="V787" s="27"/>
      <c r="W787" s="27"/>
      <c r="X787" s="27"/>
      <c r="Y787" s="27"/>
      <c r="Z787" s="27"/>
      <c r="AA787" s="25"/>
      <c r="AB787" s="27"/>
      <c r="AC787" s="30" t="str">
        <f aca="false">IF(M787="","",IF(AB787="",M787*Parámetros!$B$6,AB787))</f>
        <v/>
      </c>
      <c r="AD787" s="30" t="str">
        <f aca="false">IF(M787="","",SUM(T787:Z787)+AC787)</f>
        <v/>
      </c>
      <c r="AE787" s="30" t="str">
        <f aca="false">IF(OR(M787="",N787=""),"",M787-N787)</f>
        <v/>
      </c>
      <c r="AF787" s="30" t="str">
        <f aca="false">IF(AE787="","",AE787-AD787)</f>
        <v/>
      </c>
      <c r="AG787" s="28" t="str">
        <f aca="false">IF(OR(AF787="",M787=0),"",AF787/M787)</f>
        <v/>
      </c>
      <c r="AH787" s="32" t="str">
        <f aca="false">IF(OR(AE787="",N787=0),"",AE787/(N787/1000))</f>
        <v/>
      </c>
      <c r="AI787" s="30" t="str">
        <f aca="false">IF(O787="","",M787*P787)</f>
        <v/>
      </c>
      <c r="AJ787" s="11" t="str">
        <f aca="false">IF(O787="","",IF(O787&gt;1,"Error: rend &gt; 100 %",IF(SUM(T787:Z787)=0,"Falta registrar pérdidas",IF(ABS(AG787)&gt;Parámetros!$B$7,"Revisar balance",IF(O787&lt;P787,"Bajo meta","OK")))))</f>
        <v/>
      </c>
      <c r="AK787" s="33"/>
      <c r="AL787" s="10"/>
      <c r="AM787" s="33"/>
      <c r="AN787" s="33"/>
      <c r="AO787" s="10"/>
    </row>
    <row r="788" customFormat="false" ht="15" hidden="false" customHeight="false" outlineLevel="0" collapsed="false">
      <c r="A788" s="22"/>
      <c r="B788" s="23" t="str">
        <f aca="false">IF(A788="","",YEAR(A788-WEEKDAY(A788,2)+4))</f>
        <v/>
      </c>
      <c r="C788" s="23" t="str">
        <f aca="false">IF(A788="","",WEEKNUM(A788,21))</f>
        <v/>
      </c>
      <c r="D788" s="24" t="str">
        <f aca="false">IF(A788="","",DATE(YEAR(A788),MONTH(A788),1))</f>
        <v/>
      </c>
      <c r="E788" s="10"/>
      <c r="F788" s="25"/>
      <c r="G788" s="25"/>
      <c r="H788" s="10"/>
      <c r="I788" s="10"/>
      <c r="J788" s="26"/>
      <c r="K788" s="25"/>
      <c r="L788" s="26"/>
      <c r="M788" s="27"/>
      <c r="N788" s="27"/>
      <c r="O788" s="28" t="str">
        <f aca="false">IF(OR(M788="",M788=0,N788=""),"",N788/M788)</f>
        <v/>
      </c>
      <c r="P788" s="28" t="str">
        <f aca="false">IF(M788="","",IFERROR(IF(INDEX(Parámetros!$B$14:$B$21,MATCH(I788,Parámetros!$A$14:$A$21,0))="",Parámetros!$B$5,INDEX(Parámetros!$B$14:$B$21,MATCH(I788,Parámetros!$A$14:$A$21,0))),Parámetros!$B$5))</f>
        <v/>
      </c>
      <c r="Q788" s="29" t="str">
        <f aca="false">IF(O788="","",(O788-P788)*100)</f>
        <v/>
      </c>
      <c r="R788" s="30" t="str">
        <f aca="false">IF(O788="","",MAX(0,M788*(P788-O788)))</f>
        <v/>
      </c>
      <c r="S788" s="31" t="str">
        <f aca="false">IF(OR(L788="",L788=0,N788=""),"",N788/1000/L788)</f>
        <v/>
      </c>
      <c r="T788" s="27"/>
      <c r="U788" s="27"/>
      <c r="V788" s="27"/>
      <c r="W788" s="27"/>
      <c r="X788" s="27"/>
      <c r="Y788" s="27"/>
      <c r="Z788" s="27"/>
      <c r="AA788" s="25"/>
      <c r="AB788" s="27"/>
      <c r="AC788" s="30" t="str">
        <f aca="false">IF(M788="","",IF(AB788="",M788*Parámetros!$B$6,AB788))</f>
        <v/>
      </c>
      <c r="AD788" s="30" t="str">
        <f aca="false">IF(M788="","",SUM(T788:Z788)+AC788)</f>
        <v/>
      </c>
      <c r="AE788" s="30" t="str">
        <f aca="false">IF(OR(M788="",N788=""),"",M788-N788)</f>
        <v/>
      </c>
      <c r="AF788" s="30" t="str">
        <f aca="false">IF(AE788="","",AE788-AD788)</f>
        <v/>
      </c>
      <c r="AG788" s="28" t="str">
        <f aca="false">IF(OR(AF788="",M788=0),"",AF788/M788)</f>
        <v/>
      </c>
      <c r="AH788" s="32" t="str">
        <f aca="false">IF(OR(AE788="",N788=0),"",AE788/(N788/1000))</f>
        <v/>
      </c>
      <c r="AI788" s="30" t="str">
        <f aca="false">IF(O788="","",M788*P788)</f>
        <v/>
      </c>
      <c r="AJ788" s="11" t="str">
        <f aca="false">IF(O788="","",IF(O788&gt;1,"Error: rend &gt; 100 %",IF(SUM(T788:Z788)=0,"Falta registrar pérdidas",IF(ABS(AG788)&gt;Parámetros!$B$7,"Revisar balance",IF(O788&lt;P788,"Bajo meta","OK")))))</f>
        <v/>
      </c>
      <c r="AK788" s="33"/>
      <c r="AL788" s="10"/>
      <c r="AM788" s="33"/>
      <c r="AN788" s="33"/>
      <c r="AO788" s="10"/>
    </row>
    <row r="789" customFormat="false" ht="15" hidden="false" customHeight="false" outlineLevel="0" collapsed="false">
      <c r="A789" s="22"/>
      <c r="B789" s="23" t="str">
        <f aca="false">IF(A789="","",YEAR(A789-WEEKDAY(A789,2)+4))</f>
        <v/>
      </c>
      <c r="C789" s="23" t="str">
        <f aca="false">IF(A789="","",WEEKNUM(A789,21))</f>
        <v/>
      </c>
      <c r="D789" s="24" t="str">
        <f aca="false">IF(A789="","",DATE(YEAR(A789),MONTH(A789),1))</f>
        <v/>
      </c>
      <c r="E789" s="10"/>
      <c r="F789" s="25"/>
      <c r="G789" s="25"/>
      <c r="H789" s="10"/>
      <c r="I789" s="10"/>
      <c r="J789" s="26"/>
      <c r="K789" s="25"/>
      <c r="L789" s="26"/>
      <c r="M789" s="27"/>
      <c r="N789" s="27"/>
      <c r="O789" s="28" t="str">
        <f aca="false">IF(OR(M789="",M789=0,N789=""),"",N789/M789)</f>
        <v/>
      </c>
      <c r="P789" s="28" t="str">
        <f aca="false">IF(M789="","",IFERROR(IF(INDEX(Parámetros!$B$14:$B$21,MATCH(I789,Parámetros!$A$14:$A$21,0))="",Parámetros!$B$5,INDEX(Parámetros!$B$14:$B$21,MATCH(I789,Parámetros!$A$14:$A$21,0))),Parámetros!$B$5))</f>
        <v/>
      </c>
      <c r="Q789" s="29" t="str">
        <f aca="false">IF(O789="","",(O789-P789)*100)</f>
        <v/>
      </c>
      <c r="R789" s="30" t="str">
        <f aca="false">IF(O789="","",MAX(0,M789*(P789-O789)))</f>
        <v/>
      </c>
      <c r="S789" s="31" t="str">
        <f aca="false">IF(OR(L789="",L789=0,N789=""),"",N789/1000/L789)</f>
        <v/>
      </c>
      <c r="T789" s="27"/>
      <c r="U789" s="27"/>
      <c r="V789" s="27"/>
      <c r="W789" s="27"/>
      <c r="X789" s="27"/>
      <c r="Y789" s="27"/>
      <c r="Z789" s="27"/>
      <c r="AA789" s="25"/>
      <c r="AB789" s="27"/>
      <c r="AC789" s="30" t="str">
        <f aca="false">IF(M789="","",IF(AB789="",M789*Parámetros!$B$6,AB789))</f>
        <v/>
      </c>
      <c r="AD789" s="30" t="str">
        <f aca="false">IF(M789="","",SUM(T789:Z789)+AC789)</f>
        <v/>
      </c>
      <c r="AE789" s="30" t="str">
        <f aca="false">IF(OR(M789="",N789=""),"",M789-N789)</f>
        <v/>
      </c>
      <c r="AF789" s="30" t="str">
        <f aca="false">IF(AE789="","",AE789-AD789)</f>
        <v/>
      </c>
      <c r="AG789" s="28" t="str">
        <f aca="false">IF(OR(AF789="",M789=0),"",AF789/M789)</f>
        <v/>
      </c>
      <c r="AH789" s="32" t="str">
        <f aca="false">IF(OR(AE789="",N789=0),"",AE789/(N789/1000))</f>
        <v/>
      </c>
      <c r="AI789" s="30" t="str">
        <f aca="false">IF(O789="","",M789*P789)</f>
        <v/>
      </c>
      <c r="AJ789" s="11" t="str">
        <f aca="false">IF(O789="","",IF(O789&gt;1,"Error: rend &gt; 100 %",IF(SUM(T789:Z789)=0,"Falta registrar pérdidas",IF(ABS(AG789)&gt;Parámetros!$B$7,"Revisar balance",IF(O789&lt;P789,"Bajo meta","OK")))))</f>
        <v/>
      </c>
      <c r="AK789" s="33"/>
      <c r="AL789" s="10"/>
      <c r="AM789" s="33"/>
      <c r="AN789" s="33"/>
      <c r="AO789" s="10"/>
    </row>
    <row r="790" customFormat="false" ht="15" hidden="false" customHeight="false" outlineLevel="0" collapsed="false">
      <c r="A790" s="22"/>
      <c r="B790" s="23" t="str">
        <f aca="false">IF(A790="","",YEAR(A790-WEEKDAY(A790,2)+4))</f>
        <v/>
      </c>
      <c r="C790" s="23" t="str">
        <f aca="false">IF(A790="","",WEEKNUM(A790,21))</f>
        <v/>
      </c>
      <c r="D790" s="24" t="str">
        <f aca="false">IF(A790="","",DATE(YEAR(A790),MONTH(A790),1))</f>
        <v/>
      </c>
      <c r="E790" s="10"/>
      <c r="F790" s="25"/>
      <c r="G790" s="25"/>
      <c r="H790" s="10"/>
      <c r="I790" s="10"/>
      <c r="J790" s="26"/>
      <c r="K790" s="25"/>
      <c r="L790" s="26"/>
      <c r="M790" s="27"/>
      <c r="N790" s="27"/>
      <c r="O790" s="28" t="str">
        <f aca="false">IF(OR(M790="",M790=0,N790=""),"",N790/M790)</f>
        <v/>
      </c>
      <c r="P790" s="28" t="str">
        <f aca="false">IF(M790="","",IFERROR(IF(INDEX(Parámetros!$B$14:$B$21,MATCH(I790,Parámetros!$A$14:$A$21,0))="",Parámetros!$B$5,INDEX(Parámetros!$B$14:$B$21,MATCH(I790,Parámetros!$A$14:$A$21,0))),Parámetros!$B$5))</f>
        <v/>
      </c>
      <c r="Q790" s="29" t="str">
        <f aca="false">IF(O790="","",(O790-P790)*100)</f>
        <v/>
      </c>
      <c r="R790" s="30" t="str">
        <f aca="false">IF(O790="","",MAX(0,M790*(P790-O790)))</f>
        <v/>
      </c>
      <c r="S790" s="31" t="str">
        <f aca="false">IF(OR(L790="",L790=0,N790=""),"",N790/1000/L790)</f>
        <v/>
      </c>
      <c r="T790" s="27"/>
      <c r="U790" s="27"/>
      <c r="V790" s="27"/>
      <c r="W790" s="27"/>
      <c r="X790" s="27"/>
      <c r="Y790" s="27"/>
      <c r="Z790" s="27"/>
      <c r="AA790" s="25"/>
      <c r="AB790" s="27"/>
      <c r="AC790" s="30" t="str">
        <f aca="false">IF(M790="","",IF(AB790="",M790*Parámetros!$B$6,AB790))</f>
        <v/>
      </c>
      <c r="AD790" s="30" t="str">
        <f aca="false">IF(M790="","",SUM(T790:Z790)+AC790)</f>
        <v/>
      </c>
      <c r="AE790" s="30" t="str">
        <f aca="false">IF(OR(M790="",N790=""),"",M790-N790)</f>
        <v/>
      </c>
      <c r="AF790" s="30" t="str">
        <f aca="false">IF(AE790="","",AE790-AD790)</f>
        <v/>
      </c>
      <c r="AG790" s="28" t="str">
        <f aca="false">IF(OR(AF790="",M790=0),"",AF790/M790)</f>
        <v/>
      </c>
      <c r="AH790" s="32" t="str">
        <f aca="false">IF(OR(AE790="",N790=0),"",AE790/(N790/1000))</f>
        <v/>
      </c>
      <c r="AI790" s="30" t="str">
        <f aca="false">IF(O790="","",M790*P790)</f>
        <v/>
      </c>
      <c r="AJ790" s="11" t="str">
        <f aca="false">IF(O790="","",IF(O790&gt;1,"Error: rend &gt; 100 %",IF(SUM(T790:Z790)=0,"Falta registrar pérdidas",IF(ABS(AG790)&gt;Parámetros!$B$7,"Revisar balance",IF(O790&lt;P790,"Bajo meta","OK")))))</f>
        <v/>
      </c>
      <c r="AK790" s="33"/>
      <c r="AL790" s="10"/>
      <c r="AM790" s="33"/>
      <c r="AN790" s="33"/>
      <c r="AO790" s="10"/>
    </row>
    <row r="791" customFormat="false" ht="15" hidden="false" customHeight="false" outlineLevel="0" collapsed="false">
      <c r="A791" s="22"/>
      <c r="B791" s="23" t="str">
        <f aca="false">IF(A791="","",YEAR(A791-WEEKDAY(A791,2)+4))</f>
        <v/>
      </c>
      <c r="C791" s="23" t="str">
        <f aca="false">IF(A791="","",WEEKNUM(A791,21))</f>
        <v/>
      </c>
      <c r="D791" s="24" t="str">
        <f aca="false">IF(A791="","",DATE(YEAR(A791),MONTH(A791),1))</f>
        <v/>
      </c>
      <c r="E791" s="10"/>
      <c r="F791" s="25"/>
      <c r="G791" s="25"/>
      <c r="H791" s="10"/>
      <c r="I791" s="10"/>
      <c r="J791" s="26"/>
      <c r="K791" s="25"/>
      <c r="L791" s="26"/>
      <c r="M791" s="27"/>
      <c r="N791" s="27"/>
      <c r="O791" s="28" t="str">
        <f aca="false">IF(OR(M791="",M791=0,N791=""),"",N791/M791)</f>
        <v/>
      </c>
      <c r="P791" s="28" t="str">
        <f aca="false">IF(M791="","",IFERROR(IF(INDEX(Parámetros!$B$14:$B$21,MATCH(I791,Parámetros!$A$14:$A$21,0))="",Parámetros!$B$5,INDEX(Parámetros!$B$14:$B$21,MATCH(I791,Parámetros!$A$14:$A$21,0))),Parámetros!$B$5))</f>
        <v/>
      </c>
      <c r="Q791" s="29" t="str">
        <f aca="false">IF(O791="","",(O791-P791)*100)</f>
        <v/>
      </c>
      <c r="R791" s="30" t="str">
        <f aca="false">IF(O791="","",MAX(0,M791*(P791-O791)))</f>
        <v/>
      </c>
      <c r="S791" s="31" t="str">
        <f aca="false">IF(OR(L791="",L791=0,N791=""),"",N791/1000/L791)</f>
        <v/>
      </c>
      <c r="T791" s="27"/>
      <c r="U791" s="27"/>
      <c r="V791" s="27"/>
      <c r="W791" s="27"/>
      <c r="X791" s="27"/>
      <c r="Y791" s="27"/>
      <c r="Z791" s="27"/>
      <c r="AA791" s="25"/>
      <c r="AB791" s="27"/>
      <c r="AC791" s="30" t="str">
        <f aca="false">IF(M791="","",IF(AB791="",M791*Parámetros!$B$6,AB791))</f>
        <v/>
      </c>
      <c r="AD791" s="30" t="str">
        <f aca="false">IF(M791="","",SUM(T791:Z791)+AC791)</f>
        <v/>
      </c>
      <c r="AE791" s="30" t="str">
        <f aca="false">IF(OR(M791="",N791=""),"",M791-N791)</f>
        <v/>
      </c>
      <c r="AF791" s="30" t="str">
        <f aca="false">IF(AE791="","",AE791-AD791)</f>
        <v/>
      </c>
      <c r="AG791" s="28" t="str">
        <f aca="false">IF(OR(AF791="",M791=0),"",AF791/M791)</f>
        <v/>
      </c>
      <c r="AH791" s="32" t="str">
        <f aca="false">IF(OR(AE791="",N791=0),"",AE791/(N791/1000))</f>
        <v/>
      </c>
      <c r="AI791" s="30" t="str">
        <f aca="false">IF(O791="","",M791*P791)</f>
        <v/>
      </c>
      <c r="AJ791" s="11" t="str">
        <f aca="false">IF(O791="","",IF(O791&gt;1,"Error: rend &gt; 100 %",IF(SUM(T791:Z791)=0,"Falta registrar pérdidas",IF(ABS(AG791)&gt;Parámetros!$B$7,"Revisar balance",IF(O791&lt;P791,"Bajo meta","OK")))))</f>
        <v/>
      </c>
      <c r="AK791" s="33"/>
      <c r="AL791" s="10"/>
      <c r="AM791" s="33"/>
      <c r="AN791" s="33"/>
      <c r="AO791" s="10"/>
    </row>
    <row r="792" customFormat="false" ht="15" hidden="false" customHeight="false" outlineLevel="0" collapsed="false">
      <c r="A792" s="22"/>
      <c r="B792" s="23" t="str">
        <f aca="false">IF(A792="","",YEAR(A792-WEEKDAY(A792,2)+4))</f>
        <v/>
      </c>
      <c r="C792" s="23" t="str">
        <f aca="false">IF(A792="","",WEEKNUM(A792,21))</f>
        <v/>
      </c>
      <c r="D792" s="24" t="str">
        <f aca="false">IF(A792="","",DATE(YEAR(A792),MONTH(A792),1))</f>
        <v/>
      </c>
      <c r="E792" s="10"/>
      <c r="F792" s="25"/>
      <c r="G792" s="25"/>
      <c r="H792" s="10"/>
      <c r="I792" s="10"/>
      <c r="J792" s="26"/>
      <c r="K792" s="25"/>
      <c r="L792" s="26"/>
      <c r="M792" s="27"/>
      <c r="N792" s="27"/>
      <c r="O792" s="28" t="str">
        <f aca="false">IF(OR(M792="",M792=0,N792=""),"",N792/M792)</f>
        <v/>
      </c>
      <c r="P792" s="28" t="str">
        <f aca="false">IF(M792="","",IFERROR(IF(INDEX(Parámetros!$B$14:$B$21,MATCH(I792,Parámetros!$A$14:$A$21,0))="",Parámetros!$B$5,INDEX(Parámetros!$B$14:$B$21,MATCH(I792,Parámetros!$A$14:$A$21,0))),Parámetros!$B$5))</f>
        <v/>
      </c>
      <c r="Q792" s="29" t="str">
        <f aca="false">IF(O792="","",(O792-P792)*100)</f>
        <v/>
      </c>
      <c r="R792" s="30" t="str">
        <f aca="false">IF(O792="","",MAX(0,M792*(P792-O792)))</f>
        <v/>
      </c>
      <c r="S792" s="31" t="str">
        <f aca="false">IF(OR(L792="",L792=0,N792=""),"",N792/1000/L792)</f>
        <v/>
      </c>
      <c r="T792" s="27"/>
      <c r="U792" s="27"/>
      <c r="V792" s="27"/>
      <c r="W792" s="27"/>
      <c r="X792" s="27"/>
      <c r="Y792" s="27"/>
      <c r="Z792" s="27"/>
      <c r="AA792" s="25"/>
      <c r="AB792" s="27"/>
      <c r="AC792" s="30" t="str">
        <f aca="false">IF(M792="","",IF(AB792="",M792*Parámetros!$B$6,AB792))</f>
        <v/>
      </c>
      <c r="AD792" s="30" t="str">
        <f aca="false">IF(M792="","",SUM(T792:Z792)+AC792)</f>
        <v/>
      </c>
      <c r="AE792" s="30" t="str">
        <f aca="false">IF(OR(M792="",N792=""),"",M792-N792)</f>
        <v/>
      </c>
      <c r="AF792" s="30" t="str">
        <f aca="false">IF(AE792="","",AE792-AD792)</f>
        <v/>
      </c>
      <c r="AG792" s="28" t="str">
        <f aca="false">IF(OR(AF792="",M792=0),"",AF792/M792)</f>
        <v/>
      </c>
      <c r="AH792" s="32" t="str">
        <f aca="false">IF(OR(AE792="",N792=0),"",AE792/(N792/1000))</f>
        <v/>
      </c>
      <c r="AI792" s="30" t="str">
        <f aca="false">IF(O792="","",M792*P792)</f>
        <v/>
      </c>
      <c r="AJ792" s="11" t="str">
        <f aca="false">IF(O792="","",IF(O792&gt;1,"Error: rend &gt; 100 %",IF(SUM(T792:Z792)=0,"Falta registrar pérdidas",IF(ABS(AG792)&gt;Parámetros!$B$7,"Revisar balance",IF(O792&lt;P792,"Bajo meta","OK")))))</f>
        <v/>
      </c>
      <c r="AK792" s="33"/>
      <c r="AL792" s="10"/>
      <c r="AM792" s="33"/>
      <c r="AN792" s="33"/>
      <c r="AO792" s="10"/>
    </row>
    <row r="793" customFormat="false" ht="15" hidden="false" customHeight="false" outlineLevel="0" collapsed="false">
      <c r="A793" s="22"/>
      <c r="B793" s="23" t="str">
        <f aca="false">IF(A793="","",YEAR(A793-WEEKDAY(A793,2)+4))</f>
        <v/>
      </c>
      <c r="C793" s="23" t="str">
        <f aca="false">IF(A793="","",WEEKNUM(A793,21))</f>
        <v/>
      </c>
      <c r="D793" s="24" t="str">
        <f aca="false">IF(A793="","",DATE(YEAR(A793),MONTH(A793),1))</f>
        <v/>
      </c>
      <c r="E793" s="10"/>
      <c r="F793" s="25"/>
      <c r="G793" s="25"/>
      <c r="H793" s="10"/>
      <c r="I793" s="10"/>
      <c r="J793" s="26"/>
      <c r="K793" s="25"/>
      <c r="L793" s="26"/>
      <c r="M793" s="27"/>
      <c r="N793" s="27"/>
      <c r="O793" s="28" t="str">
        <f aca="false">IF(OR(M793="",M793=0,N793=""),"",N793/M793)</f>
        <v/>
      </c>
      <c r="P793" s="28" t="str">
        <f aca="false">IF(M793="","",IFERROR(IF(INDEX(Parámetros!$B$14:$B$21,MATCH(I793,Parámetros!$A$14:$A$21,0))="",Parámetros!$B$5,INDEX(Parámetros!$B$14:$B$21,MATCH(I793,Parámetros!$A$14:$A$21,0))),Parámetros!$B$5))</f>
        <v/>
      </c>
      <c r="Q793" s="29" t="str">
        <f aca="false">IF(O793="","",(O793-P793)*100)</f>
        <v/>
      </c>
      <c r="R793" s="30" t="str">
        <f aca="false">IF(O793="","",MAX(0,M793*(P793-O793)))</f>
        <v/>
      </c>
      <c r="S793" s="31" t="str">
        <f aca="false">IF(OR(L793="",L793=0,N793=""),"",N793/1000/L793)</f>
        <v/>
      </c>
      <c r="T793" s="27"/>
      <c r="U793" s="27"/>
      <c r="V793" s="27"/>
      <c r="W793" s="27"/>
      <c r="X793" s="27"/>
      <c r="Y793" s="27"/>
      <c r="Z793" s="27"/>
      <c r="AA793" s="25"/>
      <c r="AB793" s="27"/>
      <c r="AC793" s="30" t="str">
        <f aca="false">IF(M793="","",IF(AB793="",M793*Parámetros!$B$6,AB793))</f>
        <v/>
      </c>
      <c r="AD793" s="30" t="str">
        <f aca="false">IF(M793="","",SUM(T793:Z793)+AC793)</f>
        <v/>
      </c>
      <c r="AE793" s="30" t="str">
        <f aca="false">IF(OR(M793="",N793=""),"",M793-N793)</f>
        <v/>
      </c>
      <c r="AF793" s="30" t="str">
        <f aca="false">IF(AE793="","",AE793-AD793)</f>
        <v/>
      </c>
      <c r="AG793" s="28" t="str">
        <f aca="false">IF(OR(AF793="",M793=0),"",AF793/M793)</f>
        <v/>
      </c>
      <c r="AH793" s="32" t="str">
        <f aca="false">IF(OR(AE793="",N793=0),"",AE793/(N793/1000))</f>
        <v/>
      </c>
      <c r="AI793" s="30" t="str">
        <f aca="false">IF(O793="","",M793*P793)</f>
        <v/>
      </c>
      <c r="AJ793" s="11" t="str">
        <f aca="false">IF(O793="","",IF(O793&gt;1,"Error: rend &gt; 100 %",IF(SUM(T793:Z793)=0,"Falta registrar pérdidas",IF(ABS(AG793)&gt;Parámetros!$B$7,"Revisar balance",IF(O793&lt;P793,"Bajo meta","OK")))))</f>
        <v/>
      </c>
      <c r="AK793" s="33"/>
      <c r="AL793" s="10"/>
      <c r="AM793" s="33"/>
      <c r="AN793" s="33"/>
      <c r="AO793" s="10"/>
    </row>
    <row r="794" customFormat="false" ht="15" hidden="false" customHeight="false" outlineLevel="0" collapsed="false">
      <c r="A794" s="22"/>
      <c r="B794" s="23" t="str">
        <f aca="false">IF(A794="","",YEAR(A794-WEEKDAY(A794,2)+4))</f>
        <v/>
      </c>
      <c r="C794" s="23" t="str">
        <f aca="false">IF(A794="","",WEEKNUM(A794,21))</f>
        <v/>
      </c>
      <c r="D794" s="24" t="str">
        <f aca="false">IF(A794="","",DATE(YEAR(A794),MONTH(A794),1))</f>
        <v/>
      </c>
      <c r="E794" s="10"/>
      <c r="F794" s="25"/>
      <c r="G794" s="25"/>
      <c r="H794" s="10"/>
      <c r="I794" s="10"/>
      <c r="J794" s="26"/>
      <c r="K794" s="25"/>
      <c r="L794" s="26"/>
      <c r="M794" s="27"/>
      <c r="N794" s="27"/>
      <c r="O794" s="28" t="str">
        <f aca="false">IF(OR(M794="",M794=0,N794=""),"",N794/M794)</f>
        <v/>
      </c>
      <c r="P794" s="28" t="str">
        <f aca="false">IF(M794="","",IFERROR(IF(INDEX(Parámetros!$B$14:$B$21,MATCH(I794,Parámetros!$A$14:$A$21,0))="",Parámetros!$B$5,INDEX(Parámetros!$B$14:$B$21,MATCH(I794,Parámetros!$A$14:$A$21,0))),Parámetros!$B$5))</f>
        <v/>
      </c>
      <c r="Q794" s="29" t="str">
        <f aca="false">IF(O794="","",(O794-P794)*100)</f>
        <v/>
      </c>
      <c r="R794" s="30" t="str">
        <f aca="false">IF(O794="","",MAX(0,M794*(P794-O794)))</f>
        <v/>
      </c>
      <c r="S794" s="31" t="str">
        <f aca="false">IF(OR(L794="",L794=0,N794=""),"",N794/1000/L794)</f>
        <v/>
      </c>
      <c r="T794" s="27"/>
      <c r="U794" s="27"/>
      <c r="V794" s="27"/>
      <c r="W794" s="27"/>
      <c r="X794" s="27"/>
      <c r="Y794" s="27"/>
      <c r="Z794" s="27"/>
      <c r="AA794" s="25"/>
      <c r="AB794" s="27"/>
      <c r="AC794" s="30" t="str">
        <f aca="false">IF(M794="","",IF(AB794="",M794*Parámetros!$B$6,AB794))</f>
        <v/>
      </c>
      <c r="AD794" s="30" t="str">
        <f aca="false">IF(M794="","",SUM(T794:Z794)+AC794)</f>
        <v/>
      </c>
      <c r="AE794" s="30" t="str">
        <f aca="false">IF(OR(M794="",N794=""),"",M794-N794)</f>
        <v/>
      </c>
      <c r="AF794" s="30" t="str">
        <f aca="false">IF(AE794="","",AE794-AD794)</f>
        <v/>
      </c>
      <c r="AG794" s="28" t="str">
        <f aca="false">IF(OR(AF794="",M794=0),"",AF794/M794)</f>
        <v/>
      </c>
      <c r="AH794" s="32" t="str">
        <f aca="false">IF(OR(AE794="",N794=0),"",AE794/(N794/1000))</f>
        <v/>
      </c>
      <c r="AI794" s="30" t="str">
        <f aca="false">IF(O794="","",M794*P794)</f>
        <v/>
      </c>
      <c r="AJ794" s="11" t="str">
        <f aca="false">IF(O794="","",IF(O794&gt;1,"Error: rend &gt; 100 %",IF(SUM(T794:Z794)=0,"Falta registrar pérdidas",IF(ABS(AG794)&gt;Parámetros!$B$7,"Revisar balance",IF(O794&lt;P794,"Bajo meta","OK")))))</f>
        <v/>
      </c>
      <c r="AK794" s="33"/>
      <c r="AL794" s="10"/>
      <c r="AM794" s="33"/>
      <c r="AN794" s="33"/>
      <c r="AO794" s="10"/>
    </row>
    <row r="795" customFormat="false" ht="15" hidden="false" customHeight="false" outlineLevel="0" collapsed="false">
      <c r="A795" s="22"/>
      <c r="B795" s="23" t="str">
        <f aca="false">IF(A795="","",YEAR(A795-WEEKDAY(A795,2)+4))</f>
        <v/>
      </c>
      <c r="C795" s="23" t="str">
        <f aca="false">IF(A795="","",WEEKNUM(A795,21))</f>
        <v/>
      </c>
      <c r="D795" s="24" t="str">
        <f aca="false">IF(A795="","",DATE(YEAR(A795),MONTH(A795),1))</f>
        <v/>
      </c>
      <c r="E795" s="10"/>
      <c r="F795" s="25"/>
      <c r="G795" s="25"/>
      <c r="H795" s="10"/>
      <c r="I795" s="10"/>
      <c r="J795" s="26"/>
      <c r="K795" s="25"/>
      <c r="L795" s="26"/>
      <c r="M795" s="27"/>
      <c r="N795" s="27"/>
      <c r="O795" s="28" t="str">
        <f aca="false">IF(OR(M795="",M795=0,N795=""),"",N795/M795)</f>
        <v/>
      </c>
      <c r="P795" s="28" t="str">
        <f aca="false">IF(M795="","",IFERROR(IF(INDEX(Parámetros!$B$14:$B$21,MATCH(I795,Parámetros!$A$14:$A$21,0))="",Parámetros!$B$5,INDEX(Parámetros!$B$14:$B$21,MATCH(I795,Parámetros!$A$14:$A$21,0))),Parámetros!$B$5))</f>
        <v/>
      </c>
      <c r="Q795" s="29" t="str">
        <f aca="false">IF(O795="","",(O795-P795)*100)</f>
        <v/>
      </c>
      <c r="R795" s="30" t="str">
        <f aca="false">IF(O795="","",MAX(0,M795*(P795-O795)))</f>
        <v/>
      </c>
      <c r="S795" s="31" t="str">
        <f aca="false">IF(OR(L795="",L795=0,N795=""),"",N795/1000/L795)</f>
        <v/>
      </c>
      <c r="T795" s="27"/>
      <c r="U795" s="27"/>
      <c r="V795" s="27"/>
      <c r="W795" s="27"/>
      <c r="X795" s="27"/>
      <c r="Y795" s="27"/>
      <c r="Z795" s="27"/>
      <c r="AA795" s="25"/>
      <c r="AB795" s="27"/>
      <c r="AC795" s="30" t="str">
        <f aca="false">IF(M795="","",IF(AB795="",M795*Parámetros!$B$6,AB795))</f>
        <v/>
      </c>
      <c r="AD795" s="30" t="str">
        <f aca="false">IF(M795="","",SUM(T795:Z795)+AC795)</f>
        <v/>
      </c>
      <c r="AE795" s="30" t="str">
        <f aca="false">IF(OR(M795="",N795=""),"",M795-N795)</f>
        <v/>
      </c>
      <c r="AF795" s="30" t="str">
        <f aca="false">IF(AE795="","",AE795-AD795)</f>
        <v/>
      </c>
      <c r="AG795" s="28" t="str">
        <f aca="false">IF(OR(AF795="",M795=0),"",AF795/M795)</f>
        <v/>
      </c>
      <c r="AH795" s="32" t="str">
        <f aca="false">IF(OR(AE795="",N795=0),"",AE795/(N795/1000))</f>
        <v/>
      </c>
      <c r="AI795" s="30" t="str">
        <f aca="false">IF(O795="","",M795*P795)</f>
        <v/>
      </c>
      <c r="AJ795" s="11" t="str">
        <f aca="false">IF(O795="","",IF(O795&gt;1,"Error: rend &gt; 100 %",IF(SUM(T795:Z795)=0,"Falta registrar pérdidas",IF(ABS(AG795)&gt;Parámetros!$B$7,"Revisar balance",IF(O795&lt;P795,"Bajo meta","OK")))))</f>
        <v/>
      </c>
      <c r="AK795" s="33"/>
      <c r="AL795" s="10"/>
      <c r="AM795" s="33"/>
      <c r="AN795" s="33"/>
      <c r="AO795" s="10"/>
    </row>
    <row r="796" customFormat="false" ht="15" hidden="false" customHeight="false" outlineLevel="0" collapsed="false">
      <c r="A796" s="22"/>
      <c r="B796" s="23" t="str">
        <f aca="false">IF(A796="","",YEAR(A796-WEEKDAY(A796,2)+4))</f>
        <v/>
      </c>
      <c r="C796" s="23" t="str">
        <f aca="false">IF(A796="","",WEEKNUM(A796,21))</f>
        <v/>
      </c>
      <c r="D796" s="24" t="str">
        <f aca="false">IF(A796="","",DATE(YEAR(A796),MONTH(A796),1))</f>
        <v/>
      </c>
      <c r="E796" s="10"/>
      <c r="F796" s="25"/>
      <c r="G796" s="25"/>
      <c r="H796" s="10"/>
      <c r="I796" s="10"/>
      <c r="J796" s="26"/>
      <c r="K796" s="25"/>
      <c r="L796" s="26"/>
      <c r="M796" s="27"/>
      <c r="N796" s="27"/>
      <c r="O796" s="28" t="str">
        <f aca="false">IF(OR(M796="",M796=0,N796=""),"",N796/M796)</f>
        <v/>
      </c>
      <c r="P796" s="28" t="str">
        <f aca="false">IF(M796="","",IFERROR(IF(INDEX(Parámetros!$B$14:$B$21,MATCH(I796,Parámetros!$A$14:$A$21,0))="",Parámetros!$B$5,INDEX(Parámetros!$B$14:$B$21,MATCH(I796,Parámetros!$A$14:$A$21,0))),Parámetros!$B$5))</f>
        <v/>
      </c>
      <c r="Q796" s="29" t="str">
        <f aca="false">IF(O796="","",(O796-P796)*100)</f>
        <v/>
      </c>
      <c r="R796" s="30" t="str">
        <f aca="false">IF(O796="","",MAX(0,M796*(P796-O796)))</f>
        <v/>
      </c>
      <c r="S796" s="31" t="str">
        <f aca="false">IF(OR(L796="",L796=0,N796=""),"",N796/1000/L796)</f>
        <v/>
      </c>
      <c r="T796" s="27"/>
      <c r="U796" s="27"/>
      <c r="V796" s="27"/>
      <c r="W796" s="27"/>
      <c r="X796" s="27"/>
      <c r="Y796" s="27"/>
      <c r="Z796" s="27"/>
      <c r="AA796" s="25"/>
      <c r="AB796" s="27"/>
      <c r="AC796" s="30" t="str">
        <f aca="false">IF(M796="","",IF(AB796="",M796*Parámetros!$B$6,AB796))</f>
        <v/>
      </c>
      <c r="AD796" s="30" t="str">
        <f aca="false">IF(M796="","",SUM(T796:Z796)+AC796)</f>
        <v/>
      </c>
      <c r="AE796" s="30" t="str">
        <f aca="false">IF(OR(M796="",N796=""),"",M796-N796)</f>
        <v/>
      </c>
      <c r="AF796" s="30" t="str">
        <f aca="false">IF(AE796="","",AE796-AD796)</f>
        <v/>
      </c>
      <c r="AG796" s="28" t="str">
        <f aca="false">IF(OR(AF796="",M796=0),"",AF796/M796)</f>
        <v/>
      </c>
      <c r="AH796" s="32" t="str">
        <f aca="false">IF(OR(AE796="",N796=0),"",AE796/(N796/1000))</f>
        <v/>
      </c>
      <c r="AI796" s="30" t="str">
        <f aca="false">IF(O796="","",M796*P796)</f>
        <v/>
      </c>
      <c r="AJ796" s="11" t="str">
        <f aca="false">IF(O796="","",IF(O796&gt;1,"Error: rend &gt; 100 %",IF(SUM(T796:Z796)=0,"Falta registrar pérdidas",IF(ABS(AG796)&gt;Parámetros!$B$7,"Revisar balance",IF(O796&lt;P796,"Bajo meta","OK")))))</f>
        <v/>
      </c>
      <c r="AK796" s="33"/>
      <c r="AL796" s="10"/>
      <c r="AM796" s="33"/>
      <c r="AN796" s="33"/>
      <c r="AO796" s="10"/>
    </row>
    <row r="797" customFormat="false" ht="15" hidden="false" customHeight="false" outlineLevel="0" collapsed="false">
      <c r="A797" s="22"/>
      <c r="B797" s="23" t="str">
        <f aca="false">IF(A797="","",YEAR(A797-WEEKDAY(A797,2)+4))</f>
        <v/>
      </c>
      <c r="C797" s="23" t="str">
        <f aca="false">IF(A797="","",WEEKNUM(A797,21))</f>
        <v/>
      </c>
      <c r="D797" s="24" t="str">
        <f aca="false">IF(A797="","",DATE(YEAR(A797),MONTH(A797),1))</f>
        <v/>
      </c>
      <c r="E797" s="10"/>
      <c r="F797" s="25"/>
      <c r="G797" s="25"/>
      <c r="H797" s="10"/>
      <c r="I797" s="10"/>
      <c r="J797" s="26"/>
      <c r="K797" s="25"/>
      <c r="L797" s="26"/>
      <c r="M797" s="27"/>
      <c r="N797" s="27"/>
      <c r="O797" s="28" t="str">
        <f aca="false">IF(OR(M797="",M797=0,N797=""),"",N797/M797)</f>
        <v/>
      </c>
      <c r="P797" s="28" t="str">
        <f aca="false">IF(M797="","",IFERROR(IF(INDEX(Parámetros!$B$14:$B$21,MATCH(I797,Parámetros!$A$14:$A$21,0))="",Parámetros!$B$5,INDEX(Parámetros!$B$14:$B$21,MATCH(I797,Parámetros!$A$14:$A$21,0))),Parámetros!$B$5))</f>
        <v/>
      </c>
      <c r="Q797" s="29" t="str">
        <f aca="false">IF(O797="","",(O797-P797)*100)</f>
        <v/>
      </c>
      <c r="R797" s="30" t="str">
        <f aca="false">IF(O797="","",MAX(0,M797*(P797-O797)))</f>
        <v/>
      </c>
      <c r="S797" s="31" t="str">
        <f aca="false">IF(OR(L797="",L797=0,N797=""),"",N797/1000/L797)</f>
        <v/>
      </c>
      <c r="T797" s="27"/>
      <c r="U797" s="27"/>
      <c r="V797" s="27"/>
      <c r="W797" s="27"/>
      <c r="X797" s="27"/>
      <c r="Y797" s="27"/>
      <c r="Z797" s="27"/>
      <c r="AA797" s="25"/>
      <c r="AB797" s="27"/>
      <c r="AC797" s="30" t="str">
        <f aca="false">IF(M797="","",IF(AB797="",M797*Parámetros!$B$6,AB797))</f>
        <v/>
      </c>
      <c r="AD797" s="30" t="str">
        <f aca="false">IF(M797="","",SUM(T797:Z797)+AC797)</f>
        <v/>
      </c>
      <c r="AE797" s="30" t="str">
        <f aca="false">IF(OR(M797="",N797=""),"",M797-N797)</f>
        <v/>
      </c>
      <c r="AF797" s="30" t="str">
        <f aca="false">IF(AE797="","",AE797-AD797)</f>
        <v/>
      </c>
      <c r="AG797" s="28" t="str">
        <f aca="false">IF(OR(AF797="",M797=0),"",AF797/M797)</f>
        <v/>
      </c>
      <c r="AH797" s="32" t="str">
        <f aca="false">IF(OR(AE797="",N797=0),"",AE797/(N797/1000))</f>
        <v/>
      </c>
      <c r="AI797" s="30" t="str">
        <f aca="false">IF(O797="","",M797*P797)</f>
        <v/>
      </c>
      <c r="AJ797" s="11" t="str">
        <f aca="false">IF(O797="","",IF(O797&gt;1,"Error: rend &gt; 100 %",IF(SUM(T797:Z797)=0,"Falta registrar pérdidas",IF(ABS(AG797)&gt;Parámetros!$B$7,"Revisar balance",IF(O797&lt;P797,"Bajo meta","OK")))))</f>
        <v/>
      </c>
      <c r="AK797" s="33"/>
      <c r="AL797" s="10"/>
      <c r="AM797" s="33"/>
      <c r="AN797" s="33"/>
      <c r="AO797" s="10"/>
    </row>
    <row r="798" customFormat="false" ht="15" hidden="false" customHeight="false" outlineLevel="0" collapsed="false">
      <c r="A798" s="22"/>
      <c r="B798" s="23" t="str">
        <f aca="false">IF(A798="","",YEAR(A798-WEEKDAY(A798,2)+4))</f>
        <v/>
      </c>
      <c r="C798" s="23" t="str">
        <f aca="false">IF(A798="","",WEEKNUM(A798,21))</f>
        <v/>
      </c>
      <c r="D798" s="24" t="str">
        <f aca="false">IF(A798="","",DATE(YEAR(A798),MONTH(A798),1))</f>
        <v/>
      </c>
      <c r="E798" s="10"/>
      <c r="F798" s="25"/>
      <c r="G798" s="25"/>
      <c r="H798" s="10"/>
      <c r="I798" s="10"/>
      <c r="J798" s="26"/>
      <c r="K798" s="25"/>
      <c r="L798" s="26"/>
      <c r="M798" s="27"/>
      <c r="N798" s="27"/>
      <c r="O798" s="28" t="str">
        <f aca="false">IF(OR(M798="",M798=0,N798=""),"",N798/M798)</f>
        <v/>
      </c>
      <c r="P798" s="28" t="str">
        <f aca="false">IF(M798="","",IFERROR(IF(INDEX(Parámetros!$B$14:$B$21,MATCH(I798,Parámetros!$A$14:$A$21,0))="",Parámetros!$B$5,INDEX(Parámetros!$B$14:$B$21,MATCH(I798,Parámetros!$A$14:$A$21,0))),Parámetros!$B$5))</f>
        <v/>
      </c>
      <c r="Q798" s="29" t="str">
        <f aca="false">IF(O798="","",(O798-P798)*100)</f>
        <v/>
      </c>
      <c r="R798" s="30" t="str">
        <f aca="false">IF(O798="","",MAX(0,M798*(P798-O798)))</f>
        <v/>
      </c>
      <c r="S798" s="31" t="str">
        <f aca="false">IF(OR(L798="",L798=0,N798=""),"",N798/1000/L798)</f>
        <v/>
      </c>
      <c r="T798" s="27"/>
      <c r="U798" s="27"/>
      <c r="V798" s="27"/>
      <c r="W798" s="27"/>
      <c r="X798" s="27"/>
      <c r="Y798" s="27"/>
      <c r="Z798" s="27"/>
      <c r="AA798" s="25"/>
      <c r="AB798" s="27"/>
      <c r="AC798" s="30" t="str">
        <f aca="false">IF(M798="","",IF(AB798="",M798*Parámetros!$B$6,AB798))</f>
        <v/>
      </c>
      <c r="AD798" s="30" t="str">
        <f aca="false">IF(M798="","",SUM(T798:Z798)+AC798)</f>
        <v/>
      </c>
      <c r="AE798" s="30" t="str">
        <f aca="false">IF(OR(M798="",N798=""),"",M798-N798)</f>
        <v/>
      </c>
      <c r="AF798" s="30" t="str">
        <f aca="false">IF(AE798="","",AE798-AD798)</f>
        <v/>
      </c>
      <c r="AG798" s="28" t="str">
        <f aca="false">IF(OR(AF798="",M798=0),"",AF798/M798)</f>
        <v/>
      </c>
      <c r="AH798" s="32" t="str">
        <f aca="false">IF(OR(AE798="",N798=0),"",AE798/(N798/1000))</f>
        <v/>
      </c>
      <c r="AI798" s="30" t="str">
        <f aca="false">IF(O798="","",M798*P798)</f>
        <v/>
      </c>
      <c r="AJ798" s="11" t="str">
        <f aca="false">IF(O798="","",IF(O798&gt;1,"Error: rend &gt; 100 %",IF(SUM(T798:Z798)=0,"Falta registrar pérdidas",IF(ABS(AG798)&gt;Parámetros!$B$7,"Revisar balance",IF(O798&lt;P798,"Bajo meta","OK")))))</f>
        <v/>
      </c>
      <c r="AK798" s="33"/>
      <c r="AL798" s="10"/>
      <c r="AM798" s="33"/>
      <c r="AN798" s="33"/>
      <c r="AO798" s="10"/>
    </row>
    <row r="799" customFormat="false" ht="15" hidden="false" customHeight="false" outlineLevel="0" collapsed="false">
      <c r="A799" s="22"/>
      <c r="B799" s="23" t="str">
        <f aca="false">IF(A799="","",YEAR(A799-WEEKDAY(A799,2)+4))</f>
        <v/>
      </c>
      <c r="C799" s="23" t="str">
        <f aca="false">IF(A799="","",WEEKNUM(A799,21))</f>
        <v/>
      </c>
      <c r="D799" s="24" t="str">
        <f aca="false">IF(A799="","",DATE(YEAR(A799),MONTH(A799),1))</f>
        <v/>
      </c>
      <c r="E799" s="10"/>
      <c r="F799" s="25"/>
      <c r="G799" s="25"/>
      <c r="H799" s="10"/>
      <c r="I799" s="10"/>
      <c r="J799" s="26"/>
      <c r="K799" s="25"/>
      <c r="L799" s="26"/>
      <c r="M799" s="27"/>
      <c r="N799" s="27"/>
      <c r="O799" s="28" t="str">
        <f aca="false">IF(OR(M799="",M799=0,N799=""),"",N799/M799)</f>
        <v/>
      </c>
      <c r="P799" s="28" t="str">
        <f aca="false">IF(M799="","",IFERROR(IF(INDEX(Parámetros!$B$14:$B$21,MATCH(I799,Parámetros!$A$14:$A$21,0))="",Parámetros!$B$5,INDEX(Parámetros!$B$14:$B$21,MATCH(I799,Parámetros!$A$14:$A$21,0))),Parámetros!$B$5))</f>
        <v/>
      </c>
      <c r="Q799" s="29" t="str">
        <f aca="false">IF(O799="","",(O799-P799)*100)</f>
        <v/>
      </c>
      <c r="R799" s="30" t="str">
        <f aca="false">IF(O799="","",MAX(0,M799*(P799-O799)))</f>
        <v/>
      </c>
      <c r="S799" s="31" t="str">
        <f aca="false">IF(OR(L799="",L799=0,N799=""),"",N799/1000/L799)</f>
        <v/>
      </c>
      <c r="T799" s="27"/>
      <c r="U799" s="27"/>
      <c r="V799" s="27"/>
      <c r="W799" s="27"/>
      <c r="X799" s="27"/>
      <c r="Y799" s="27"/>
      <c r="Z799" s="27"/>
      <c r="AA799" s="25"/>
      <c r="AB799" s="27"/>
      <c r="AC799" s="30" t="str">
        <f aca="false">IF(M799="","",IF(AB799="",M799*Parámetros!$B$6,AB799))</f>
        <v/>
      </c>
      <c r="AD799" s="30" t="str">
        <f aca="false">IF(M799="","",SUM(T799:Z799)+AC799)</f>
        <v/>
      </c>
      <c r="AE799" s="30" t="str">
        <f aca="false">IF(OR(M799="",N799=""),"",M799-N799)</f>
        <v/>
      </c>
      <c r="AF799" s="30" t="str">
        <f aca="false">IF(AE799="","",AE799-AD799)</f>
        <v/>
      </c>
      <c r="AG799" s="28" t="str">
        <f aca="false">IF(OR(AF799="",M799=0),"",AF799/M799)</f>
        <v/>
      </c>
      <c r="AH799" s="32" t="str">
        <f aca="false">IF(OR(AE799="",N799=0),"",AE799/(N799/1000))</f>
        <v/>
      </c>
      <c r="AI799" s="30" t="str">
        <f aca="false">IF(O799="","",M799*P799)</f>
        <v/>
      </c>
      <c r="AJ799" s="11" t="str">
        <f aca="false">IF(O799="","",IF(O799&gt;1,"Error: rend &gt; 100 %",IF(SUM(T799:Z799)=0,"Falta registrar pérdidas",IF(ABS(AG799)&gt;Parámetros!$B$7,"Revisar balance",IF(O799&lt;P799,"Bajo meta","OK")))))</f>
        <v/>
      </c>
      <c r="AK799" s="33"/>
      <c r="AL799" s="10"/>
      <c r="AM799" s="33"/>
      <c r="AN799" s="33"/>
      <c r="AO799" s="10"/>
    </row>
    <row r="800" customFormat="false" ht="15" hidden="false" customHeight="false" outlineLevel="0" collapsed="false">
      <c r="A800" s="22"/>
      <c r="B800" s="23" t="str">
        <f aca="false">IF(A800="","",YEAR(A800-WEEKDAY(A800,2)+4))</f>
        <v/>
      </c>
      <c r="C800" s="23" t="str">
        <f aca="false">IF(A800="","",WEEKNUM(A800,21))</f>
        <v/>
      </c>
      <c r="D800" s="24" t="str">
        <f aca="false">IF(A800="","",DATE(YEAR(A800),MONTH(A800),1))</f>
        <v/>
      </c>
      <c r="E800" s="10"/>
      <c r="F800" s="25"/>
      <c r="G800" s="25"/>
      <c r="H800" s="10"/>
      <c r="I800" s="10"/>
      <c r="J800" s="26"/>
      <c r="K800" s="25"/>
      <c r="L800" s="26"/>
      <c r="M800" s="27"/>
      <c r="N800" s="27"/>
      <c r="O800" s="28" t="str">
        <f aca="false">IF(OR(M800="",M800=0,N800=""),"",N800/M800)</f>
        <v/>
      </c>
      <c r="P800" s="28" t="str">
        <f aca="false">IF(M800="","",IFERROR(IF(INDEX(Parámetros!$B$14:$B$21,MATCH(I800,Parámetros!$A$14:$A$21,0))="",Parámetros!$B$5,INDEX(Parámetros!$B$14:$B$21,MATCH(I800,Parámetros!$A$14:$A$21,0))),Parámetros!$B$5))</f>
        <v/>
      </c>
      <c r="Q800" s="29" t="str">
        <f aca="false">IF(O800="","",(O800-P800)*100)</f>
        <v/>
      </c>
      <c r="R800" s="30" t="str">
        <f aca="false">IF(O800="","",MAX(0,M800*(P800-O800)))</f>
        <v/>
      </c>
      <c r="S800" s="31" t="str">
        <f aca="false">IF(OR(L800="",L800=0,N800=""),"",N800/1000/L800)</f>
        <v/>
      </c>
      <c r="T800" s="27"/>
      <c r="U800" s="27"/>
      <c r="V800" s="27"/>
      <c r="W800" s="27"/>
      <c r="X800" s="27"/>
      <c r="Y800" s="27"/>
      <c r="Z800" s="27"/>
      <c r="AA800" s="25"/>
      <c r="AB800" s="27"/>
      <c r="AC800" s="30" t="str">
        <f aca="false">IF(M800="","",IF(AB800="",M800*Parámetros!$B$6,AB800))</f>
        <v/>
      </c>
      <c r="AD800" s="30" t="str">
        <f aca="false">IF(M800="","",SUM(T800:Z800)+AC800)</f>
        <v/>
      </c>
      <c r="AE800" s="30" t="str">
        <f aca="false">IF(OR(M800="",N800=""),"",M800-N800)</f>
        <v/>
      </c>
      <c r="AF800" s="30" t="str">
        <f aca="false">IF(AE800="","",AE800-AD800)</f>
        <v/>
      </c>
      <c r="AG800" s="28" t="str">
        <f aca="false">IF(OR(AF800="",M800=0),"",AF800/M800)</f>
        <v/>
      </c>
      <c r="AH800" s="32" t="str">
        <f aca="false">IF(OR(AE800="",N800=0),"",AE800/(N800/1000))</f>
        <v/>
      </c>
      <c r="AI800" s="30" t="str">
        <f aca="false">IF(O800="","",M800*P800)</f>
        <v/>
      </c>
      <c r="AJ800" s="11" t="str">
        <f aca="false">IF(O800="","",IF(O800&gt;1,"Error: rend &gt; 100 %",IF(SUM(T800:Z800)=0,"Falta registrar pérdidas",IF(ABS(AG800)&gt;Parámetros!$B$7,"Revisar balance",IF(O800&lt;P800,"Bajo meta","OK")))))</f>
        <v/>
      </c>
      <c r="AK800" s="33"/>
      <c r="AL800" s="10"/>
      <c r="AM800" s="33"/>
      <c r="AN800" s="33"/>
      <c r="AO800" s="10"/>
    </row>
    <row r="801" customFormat="false" ht="15" hidden="false" customHeight="false" outlineLevel="0" collapsed="false">
      <c r="A801" s="22"/>
      <c r="B801" s="23" t="str">
        <f aca="false">IF(A801="","",YEAR(A801-WEEKDAY(A801,2)+4))</f>
        <v/>
      </c>
      <c r="C801" s="23" t="str">
        <f aca="false">IF(A801="","",WEEKNUM(A801,21))</f>
        <v/>
      </c>
      <c r="D801" s="24" t="str">
        <f aca="false">IF(A801="","",DATE(YEAR(A801),MONTH(A801),1))</f>
        <v/>
      </c>
      <c r="E801" s="10"/>
      <c r="F801" s="25"/>
      <c r="G801" s="25"/>
      <c r="H801" s="10"/>
      <c r="I801" s="10"/>
      <c r="J801" s="26"/>
      <c r="K801" s="25"/>
      <c r="L801" s="26"/>
      <c r="M801" s="27"/>
      <c r="N801" s="27"/>
      <c r="O801" s="28" t="str">
        <f aca="false">IF(OR(M801="",M801=0,N801=""),"",N801/M801)</f>
        <v/>
      </c>
      <c r="P801" s="28" t="str">
        <f aca="false">IF(M801="","",IFERROR(IF(INDEX(Parámetros!$B$14:$B$21,MATCH(I801,Parámetros!$A$14:$A$21,0))="",Parámetros!$B$5,INDEX(Parámetros!$B$14:$B$21,MATCH(I801,Parámetros!$A$14:$A$21,0))),Parámetros!$B$5))</f>
        <v/>
      </c>
      <c r="Q801" s="29" t="str">
        <f aca="false">IF(O801="","",(O801-P801)*100)</f>
        <v/>
      </c>
      <c r="R801" s="30" t="str">
        <f aca="false">IF(O801="","",MAX(0,M801*(P801-O801)))</f>
        <v/>
      </c>
      <c r="S801" s="31" t="str">
        <f aca="false">IF(OR(L801="",L801=0,N801=""),"",N801/1000/L801)</f>
        <v/>
      </c>
      <c r="T801" s="27"/>
      <c r="U801" s="27"/>
      <c r="V801" s="27"/>
      <c r="W801" s="27"/>
      <c r="X801" s="27"/>
      <c r="Y801" s="27"/>
      <c r="Z801" s="27"/>
      <c r="AA801" s="25"/>
      <c r="AB801" s="27"/>
      <c r="AC801" s="30" t="str">
        <f aca="false">IF(M801="","",IF(AB801="",M801*Parámetros!$B$6,AB801))</f>
        <v/>
      </c>
      <c r="AD801" s="30" t="str">
        <f aca="false">IF(M801="","",SUM(T801:Z801)+AC801)</f>
        <v/>
      </c>
      <c r="AE801" s="30" t="str">
        <f aca="false">IF(OR(M801="",N801=""),"",M801-N801)</f>
        <v/>
      </c>
      <c r="AF801" s="30" t="str">
        <f aca="false">IF(AE801="","",AE801-AD801)</f>
        <v/>
      </c>
      <c r="AG801" s="28" t="str">
        <f aca="false">IF(OR(AF801="",M801=0),"",AF801/M801)</f>
        <v/>
      </c>
      <c r="AH801" s="32" t="str">
        <f aca="false">IF(OR(AE801="",N801=0),"",AE801/(N801/1000))</f>
        <v/>
      </c>
      <c r="AI801" s="30" t="str">
        <f aca="false">IF(O801="","",M801*P801)</f>
        <v/>
      </c>
      <c r="AJ801" s="11" t="str">
        <f aca="false">IF(O801="","",IF(O801&gt;1,"Error: rend &gt; 100 %",IF(SUM(T801:Z801)=0,"Falta registrar pérdidas",IF(ABS(AG801)&gt;Parámetros!$B$7,"Revisar balance",IF(O801&lt;P801,"Bajo meta","OK")))))</f>
        <v/>
      </c>
      <c r="AK801" s="33"/>
      <c r="AL801" s="10"/>
      <c r="AM801" s="33"/>
      <c r="AN801" s="33"/>
      <c r="AO801" s="10"/>
    </row>
    <row r="802" customFormat="false" ht="15" hidden="false" customHeight="false" outlineLevel="0" collapsed="false">
      <c r="A802" s="22"/>
      <c r="B802" s="23" t="str">
        <f aca="false">IF(A802="","",YEAR(A802-WEEKDAY(A802,2)+4))</f>
        <v/>
      </c>
      <c r="C802" s="23" t="str">
        <f aca="false">IF(A802="","",WEEKNUM(A802,21))</f>
        <v/>
      </c>
      <c r="D802" s="24" t="str">
        <f aca="false">IF(A802="","",DATE(YEAR(A802),MONTH(A802),1))</f>
        <v/>
      </c>
      <c r="E802" s="10"/>
      <c r="F802" s="25"/>
      <c r="G802" s="25"/>
      <c r="H802" s="10"/>
      <c r="I802" s="10"/>
      <c r="J802" s="26"/>
      <c r="K802" s="25"/>
      <c r="L802" s="26"/>
      <c r="M802" s="27"/>
      <c r="N802" s="27"/>
      <c r="O802" s="28" t="str">
        <f aca="false">IF(OR(M802="",M802=0,N802=""),"",N802/M802)</f>
        <v/>
      </c>
      <c r="P802" s="28" t="str">
        <f aca="false">IF(M802="","",IFERROR(IF(INDEX(Parámetros!$B$14:$B$21,MATCH(I802,Parámetros!$A$14:$A$21,0))="",Parámetros!$B$5,INDEX(Parámetros!$B$14:$B$21,MATCH(I802,Parámetros!$A$14:$A$21,0))),Parámetros!$B$5))</f>
        <v/>
      </c>
      <c r="Q802" s="29" t="str">
        <f aca="false">IF(O802="","",(O802-P802)*100)</f>
        <v/>
      </c>
      <c r="R802" s="30" t="str">
        <f aca="false">IF(O802="","",MAX(0,M802*(P802-O802)))</f>
        <v/>
      </c>
      <c r="S802" s="31" t="str">
        <f aca="false">IF(OR(L802="",L802=0,N802=""),"",N802/1000/L802)</f>
        <v/>
      </c>
      <c r="T802" s="27"/>
      <c r="U802" s="27"/>
      <c r="V802" s="27"/>
      <c r="W802" s="27"/>
      <c r="X802" s="27"/>
      <c r="Y802" s="27"/>
      <c r="Z802" s="27"/>
      <c r="AA802" s="25"/>
      <c r="AB802" s="27"/>
      <c r="AC802" s="30" t="str">
        <f aca="false">IF(M802="","",IF(AB802="",M802*Parámetros!$B$6,AB802))</f>
        <v/>
      </c>
      <c r="AD802" s="30" t="str">
        <f aca="false">IF(M802="","",SUM(T802:Z802)+AC802)</f>
        <v/>
      </c>
      <c r="AE802" s="30" t="str">
        <f aca="false">IF(OR(M802="",N802=""),"",M802-N802)</f>
        <v/>
      </c>
      <c r="AF802" s="30" t="str">
        <f aca="false">IF(AE802="","",AE802-AD802)</f>
        <v/>
      </c>
      <c r="AG802" s="28" t="str">
        <f aca="false">IF(OR(AF802="",M802=0),"",AF802/M802)</f>
        <v/>
      </c>
      <c r="AH802" s="32" t="str">
        <f aca="false">IF(OR(AE802="",N802=0),"",AE802/(N802/1000))</f>
        <v/>
      </c>
      <c r="AI802" s="30" t="str">
        <f aca="false">IF(O802="","",M802*P802)</f>
        <v/>
      </c>
      <c r="AJ802" s="11" t="str">
        <f aca="false">IF(O802="","",IF(O802&gt;1,"Error: rend &gt; 100 %",IF(SUM(T802:Z802)=0,"Falta registrar pérdidas",IF(ABS(AG802)&gt;Parámetros!$B$7,"Revisar balance",IF(O802&lt;P802,"Bajo meta","OK")))))</f>
        <v/>
      </c>
      <c r="AK802" s="33"/>
      <c r="AL802" s="10"/>
      <c r="AM802" s="33"/>
      <c r="AN802" s="33"/>
      <c r="AO802" s="10"/>
    </row>
    <row r="803" customFormat="false" ht="15" hidden="false" customHeight="false" outlineLevel="0" collapsed="false">
      <c r="A803" s="22"/>
      <c r="B803" s="23" t="str">
        <f aca="false">IF(A803="","",YEAR(A803-WEEKDAY(A803,2)+4))</f>
        <v/>
      </c>
      <c r="C803" s="23" t="str">
        <f aca="false">IF(A803="","",WEEKNUM(A803,21))</f>
        <v/>
      </c>
      <c r="D803" s="24" t="str">
        <f aca="false">IF(A803="","",DATE(YEAR(A803),MONTH(A803),1))</f>
        <v/>
      </c>
      <c r="E803" s="10"/>
      <c r="F803" s="25"/>
      <c r="G803" s="25"/>
      <c r="H803" s="10"/>
      <c r="I803" s="10"/>
      <c r="J803" s="26"/>
      <c r="K803" s="25"/>
      <c r="L803" s="26"/>
      <c r="M803" s="27"/>
      <c r="N803" s="27"/>
      <c r="O803" s="28" t="str">
        <f aca="false">IF(OR(M803="",M803=0,N803=""),"",N803/M803)</f>
        <v/>
      </c>
      <c r="P803" s="28" t="str">
        <f aca="false">IF(M803="","",IFERROR(IF(INDEX(Parámetros!$B$14:$B$21,MATCH(I803,Parámetros!$A$14:$A$21,0))="",Parámetros!$B$5,INDEX(Parámetros!$B$14:$B$21,MATCH(I803,Parámetros!$A$14:$A$21,0))),Parámetros!$B$5))</f>
        <v/>
      </c>
      <c r="Q803" s="29" t="str">
        <f aca="false">IF(O803="","",(O803-P803)*100)</f>
        <v/>
      </c>
      <c r="R803" s="30" t="str">
        <f aca="false">IF(O803="","",MAX(0,M803*(P803-O803)))</f>
        <v/>
      </c>
      <c r="S803" s="31" t="str">
        <f aca="false">IF(OR(L803="",L803=0,N803=""),"",N803/1000/L803)</f>
        <v/>
      </c>
      <c r="T803" s="27"/>
      <c r="U803" s="27"/>
      <c r="V803" s="27"/>
      <c r="W803" s="27"/>
      <c r="X803" s="27"/>
      <c r="Y803" s="27"/>
      <c r="Z803" s="27"/>
      <c r="AA803" s="25"/>
      <c r="AB803" s="27"/>
      <c r="AC803" s="30" t="str">
        <f aca="false">IF(M803="","",IF(AB803="",M803*Parámetros!$B$6,AB803))</f>
        <v/>
      </c>
      <c r="AD803" s="30" t="str">
        <f aca="false">IF(M803="","",SUM(T803:Z803)+AC803)</f>
        <v/>
      </c>
      <c r="AE803" s="30" t="str">
        <f aca="false">IF(OR(M803="",N803=""),"",M803-N803)</f>
        <v/>
      </c>
      <c r="AF803" s="30" t="str">
        <f aca="false">IF(AE803="","",AE803-AD803)</f>
        <v/>
      </c>
      <c r="AG803" s="28" t="str">
        <f aca="false">IF(OR(AF803="",M803=0),"",AF803/M803)</f>
        <v/>
      </c>
      <c r="AH803" s="32" t="str">
        <f aca="false">IF(OR(AE803="",N803=0),"",AE803/(N803/1000))</f>
        <v/>
      </c>
      <c r="AI803" s="30" t="str">
        <f aca="false">IF(O803="","",M803*P803)</f>
        <v/>
      </c>
      <c r="AJ803" s="11" t="str">
        <f aca="false">IF(O803="","",IF(O803&gt;1,"Error: rend &gt; 100 %",IF(SUM(T803:Z803)=0,"Falta registrar pérdidas",IF(ABS(AG803)&gt;Parámetros!$B$7,"Revisar balance",IF(O803&lt;P803,"Bajo meta","OK")))))</f>
        <v/>
      </c>
      <c r="AK803" s="33"/>
      <c r="AL803" s="10"/>
      <c r="AM803" s="33"/>
      <c r="AN803" s="33"/>
      <c r="AO803" s="10"/>
    </row>
    <row r="804" customFormat="false" ht="15" hidden="false" customHeight="false" outlineLevel="0" collapsed="false">
      <c r="A804" s="22"/>
      <c r="B804" s="23" t="str">
        <f aca="false">IF(A804="","",YEAR(A804-WEEKDAY(A804,2)+4))</f>
        <v/>
      </c>
      <c r="C804" s="23" t="str">
        <f aca="false">IF(A804="","",WEEKNUM(A804,21))</f>
        <v/>
      </c>
      <c r="D804" s="24" t="str">
        <f aca="false">IF(A804="","",DATE(YEAR(A804),MONTH(A804),1))</f>
        <v/>
      </c>
      <c r="E804" s="10"/>
      <c r="F804" s="25"/>
      <c r="G804" s="25"/>
      <c r="H804" s="10"/>
      <c r="I804" s="10"/>
      <c r="J804" s="26"/>
      <c r="K804" s="25"/>
      <c r="L804" s="26"/>
      <c r="M804" s="27"/>
      <c r="N804" s="27"/>
      <c r="O804" s="28" t="str">
        <f aca="false">IF(OR(M804="",M804=0,N804=""),"",N804/M804)</f>
        <v/>
      </c>
      <c r="P804" s="28" t="str">
        <f aca="false">IF(M804="","",IFERROR(IF(INDEX(Parámetros!$B$14:$B$21,MATCH(I804,Parámetros!$A$14:$A$21,0))="",Parámetros!$B$5,INDEX(Parámetros!$B$14:$B$21,MATCH(I804,Parámetros!$A$14:$A$21,0))),Parámetros!$B$5))</f>
        <v/>
      </c>
      <c r="Q804" s="29" t="str">
        <f aca="false">IF(O804="","",(O804-P804)*100)</f>
        <v/>
      </c>
      <c r="R804" s="30" t="str">
        <f aca="false">IF(O804="","",MAX(0,M804*(P804-O804)))</f>
        <v/>
      </c>
      <c r="S804" s="31" t="str">
        <f aca="false">IF(OR(L804="",L804=0,N804=""),"",N804/1000/L804)</f>
        <v/>
      </c>
      <c r="T804" s="27"/>
      <c r="U804" s="27"/>
      <c r="V804" s="27"/>
      <c r="W804" s="27"/>
      <c r="X804" s="27"/>
      <c r="Y804" s="27"/>
      <c r="Z804" s="27"/>
      <c r="AA804" s="25"/>
      <c r="AB804" s="27"/>
      <c r="AC804" s="30" t="str">
        <f aca="false">IF(M804="","",IF(AB804="",M804*Parámetros!$B$6,AB804))</f>
        <v/>
      </c>
      <c r="AD804" s="30" t="str">
        <f aca="false">IF(M804="","",SUM(T804:Z804)+AC804)</f>
        <v/>
      </c>
      <c r="AE804" s="30" t="str">
        <f aca="false">IF(OR(M804="",N804=""),"",M804-N804)</f>
        <v/>
      </c>
      <c r="AF804" s="30" t="str">
        <f aca="false">IF(AE804="","",AE804-AD804)</f>
        <v/>
      </c>
      <c r="AG804" s="28" t="str">
        <f aca="false">IF(OR(AF804="",M804=0),"",AF804/M804)</f>
        <v/>
      </c>
      <c r="AH804" s="32" t="str">
        <f aca="false">IF(OR(AE804="",N804=0),"",AE804/(N804/1000))</f>
        <v/>
      </c>
      <c r="AI804" s="30" t="str">
        <f aca="false">IF(O804="","",M804*P804)</f>
        <v/>
      </c>
      <c r="AJ804" s="11" t="str">
        <f aca="false">IF(O804="","",IF(O804&gt;1,"Error: rend &gt; 100 %",IF(SUM(T804:Z804)=0,"Falta registrar pérdidas",IF(ABS(AG804)&gt;Parámetros!$B$7,"Revisar balance",IF(O804&lt;P804,"Bajo meta","OK")))))</f>
        <v/>
      </c>
      <c r="AK804" s="33"/>
      <c r="AL804" s="10"/>
      <c r="AM804" s="33"/>
      <c r="AN804" s="33"/>
      <c r="AO804" s="10"/>
    </row>
    <row r="805" customFormat="false" ht="15" hidden="false" customHeight="false" outlineLevel="0" collapsed="false">
      <c r="A805" s="22"/>
      <c r="B805" s="23" t="str">
        <f aca="false">IF(A805="","",YEAR(A805-WEEKDAY(A805,2)+4))</f>
        <v/>
      </c>
      <c r="C805" s="23" t="str">
        <f aca="false">IF(A805="","",WEEKNUM(A805,21))</f>
        <v/>
      </c>
      <c r="D805" s="24" t="str">
        <f aca="false">IF(A805="","",DATE(YEAR(A805),MONTH(A805),1))</f>
        <v/>
      </c>
      <c r="E805" s="10"/>
      <c r="F805" s="25"/>
      <c r="G805" s="25"/>
      <c r="H805" s="10"/>
      <c r="I805" s="10"/>
      <c r="J805" s="26"/>
      <c r="K805" s="25"/>
      <c r="L805" s="26"/>
      <c r="M805" s="27"/>
      <c r="N805" s="27"/>
      <c r="O805" s="28" t="str">
        <f aca="false">IF(OR(M805="",M805=0,N805=""),"",N805/M805)</f>
        <v/>
      </c>
      <c r="P805" s="28" t="str">
        <f aca="false">IF(M805="","",IFERROR(IF(INDEX(Parámetros!$B$14:$B$21,MATCH(I805,Parámetros!$A$14:$A$21,0))="",Parámetros!$B$5,INDEX(Parámetros!$B$14:$B$21,MATCH(I805,Parámetros!$A$14:$A$21,0))),Parámetros!$B$5))</f>
        <v/>
      </c>
      <c r="Q805" s="29" t="str">
        <f aca="false">IF(O805="","",(O805-P805)*100)</f>
        <v/>
      </c>
      <c r="R805" s="30" t="str">
        <f aca="false">IF(O805="","",MAX(0,M805*(P805-O805)))</f>
        <v/>
      </c>
      <c r="S805" s="31" t="str">
        <f aca="false">IF(OR(L805="",L805=0,N805=""),"",N805/1000/L805)</f>
        <v/>
      </c>
      <c r="T805" s="27"/>
      <c r="U805" s="27"/>
      <c r="V805" s="27"/>
      <c r="W805" s="27"/>
      <c r="X805" s="27"/>
      <c r="Y805" s="27"/>
      <c r="Z805" s="27"/>
      <c r="AA805" s="25"/>
      <c r="AB805" s="27"/>
      <c r="AC805" s="30" t="str">
        <f aca="false">IF(M805="","",IF(AB805="",M805*Parámetros!$B$6,AB805))</f>
        <v/>
      </c>
      <c r="AD805" s="30" t="str">
        <f aca="false">IF(M805="","",SUM(T805:Z805)+AC805)</f>
        <v/>
      </c>
      <c r="AE805" s="30" t="str">
        <f aca="false">IF(OR(M805="",N805=""),"",M805-N805)</f>
        <v/>
      </c>
      <c r="AF805" s="30" t="str">
        <f aca="false">IF(AE805="","",AE805-AD805)</f>
        <v/>
      </c>
      <c r="AG805" s="28" t="str">
        <f aca="false">IF(OR(AF805="",M805=0),"",AF805/M805)</f>
        <v/>
      </c>
      <c r="AH805" s="32" t="str">
        <f aca="false">IF(OR(AE805="",N805=0),"",AE805/(N805/1000))</f>
        <v/>
      </c>
      <c r="AI805" s="30" t="str">
        <f aca="false">IF(O805="","",M805*P805)</f>
        <v/>
      </c>
      <c r="AJ805" s="11" t="str">
        <f aca="false">IF(O805="","",IF(O805&gt;1,"Error: rend &gt; 100 %",IF(SUM(T805:Z805)=0,"Falta registrar pérdidas",IF(ABS(AG805)&gt;Parámetros!$B$7,"Revisar balance",IF(O805&lt;P805,"Bajo meta","OK")))))</f>
        <v/>
      </c>
      <c r="AK805" s="33"/>
      <c r="AL805" s="10"/>
      <c r="AM805" s="33"/>
      <c r="AN805" s="33"/>
      <c r="AO805" s="10"/>
    </row>
    <row r="806" customFormat="false" ht="15" hidden="false" customHeight="false" outlineLevel="0" collapsed="false">
      <c r="A806" s="22"/>
      <c r="B806" s="23" t="str">
        <f aca="false">IF(A806="","",YEAR(A806-WEEKDAY(A806,2)+4))</f>
        <v/>
      </c>
      <c r="C806" s="23" t="str">
        <f aca="false">IF(A806="","",WEEKNUM(A806,21))</f>
        <v/>
      </c>
      <c r="D806" s="24" t="str">
        <f aca="false">IF(A806="","",DATE(YEAR(A806),MONTH(A806),1))</f>
        <v/>
      </c>
      <c r="E806" s="10"/>
      <c r="F806" s="25"/>
      <c r="G806" s="25"/>
      <c r="H806" s="10"/>
      <c r="I806" s="10"/>
      <c r="J806" s="26"/>
      <c r="K806" s="25"/>
      <c r="L806" s="26"/>
      <c r="M806" s="27"/>
      <c r="N806" s="27"/>
      <c r="O806" s="28" t="str">
        <f aca="false">IF(OR(M806="",M806=0,N806=""),"",N806/M806)</f>
        <v/>
      </c>
      <c r="P806" s="28" t="str">
        <f aca="false">IF(M806="","",IFERROR(IF(INDEX(Parámetros!$B$14:$B$21,MATCH(I806,Parámetros!$A$14:$A$21,0))="",Parámetros!$B$5,INDEX(Parámetros!$B$14:$B$21,MATCH(I806,Parámetros!$A$14:$A$21,0))),Parámetros!$B$5))</f>
        <v/>
      </c>
      <c r="Q806" s="29" t="str">
        <f aca="false">IF(O806="","",(O806-P806)*100)</f>
        <v/>
      </c>
      <c r="R806" s="30" t="str">
        <f aca="false">IF(O806="","",MAX(0,M806*(P806-O806)))</f>
        <v/>
      </c>
      <c r="S806" s="31" t="str">
        <f aca="false">IF(OR(L806="",L806=0,N806=""),"",N806/1000/L806)</f>
        <v/>
      </c>
      <c r="T806" s="27"/>
      <c r="U806" s="27"/>
      <c r="V806" s="27"/>
      <c r="W806" s="27"/>
      <c r="X806" s="27"/>
      <c r="Y806" s="27"/>
      <c r="Z806" s="27"/>
      <c r="AA806" s="25"/>
      <c r="AB806" s="27"/>
      <c r="AC806" s="30" t="str">
        <f aca="false">IF(M806="","",IF(AB806="",M806*Parámetros!$B$6,AB806))</f>
        <v/>
      </c>
      <c r="AD806" s="30" t="str">
        <f aca="false">IF(M806="","",SUM(T806:Z806)+AC806)</f>
        <v/>
      </c>
      <c r="AE806" s="30" t="str">
        <f aca="false">IF(OR(M806="",N806=""),"",M806-N806)</f>
        <v/>
      </c>
      <c r="AF806" s="30" t="str">
        <f aca="false">IF(AE806="","",AE806-AD806)</f>
        <v/>
      </c>
      <c r="AG806" s="28" t="str">
        <f aca="false">IF(OR(AF806="",M806=0),"",AF806/M806)</f>
        <v/>
      </c>
      <c r="AH806" s="32" t="str">
        <f aca="false">IF(OR(AE806="",N806=0),"",AE806/(N806/1000))</f>
        <v/>
      </c>
      <c r="AI806" s="30" t="str">
        <f aca="false">IF(O806="","",M806*P806)</f>
        <v/>
      </c>
      <c r="AJ806" s="11" t="str">
        <f aca="false">IF(O806="","",IF(O806&gt;1,"Error: rend &gt; 100 %",IF(SUM(T806:Z806)=0,"Falta registrar pérdidas",IF(ABS(AG806)&gt;Parámetros!$B$7,"Revisar balance",IF(O806&lt;P806,"Bajo meta","OK")))))</f>
        <v/>
      </c>
      <c r="AK806" s="33"/>
      <c r="AL806" s="10"/>
      <c r="AM806" s="33"/>
      <c r="AN806" s="33"/>
      <c r="AO806" s="10"/>
    </row>
    <row r="807" customFormat="false" ht="15" hidden="false" customHeight="false" outlineLevel="0" collapsed="false">
      <c r="A807" s="22"/>
      <c r="B807" s="23" t="str">
        <f aca="false">IF(A807="","",YEAR(A807-WEEKDAY(A807,2)+4))</f>
        <v/>
      </c>
      <c r="C807" s="23" t="str">
        <f aca="false">IF(A807="","",WEEKNUM(A807,21))</f>
        <v/>
      </c>
      <c r="D807" s="24" t="str">
        <f aca="false">IF(A807="","",DATE(YEAR(A807),MONTH(A807),1))</f>
        <v/>
      </c>
      <c r="E807" s="10"/>
      <c r="F807" s="25"/>
      <c r="G807" s="25"/>
      <c r="H807" s="10"/>
      <c r="I807" s="10"/>
      <c r="J807" s="26"/>
      <c r="K807" s="25"/>
      <c r="L807" s="26"/>
      <c r="M807" s="27"/>
      <c r="N807" s="27"/>
      <c r="O807" s="28" t="str">
        <f aca="false">IF(OR(M807="",M807=0,N807=""),"",N807/M807)</f>
        <v/>
      </c>
      <c r="P807" s="28" t="str">
        <f aca="false">IF(M807="","",IFERROR(IF(INDEX(Parámetros!$B$14:$B$21,MATCH(I807,Parámetros!$A$14:$A$21,0))="",Parámetros!$B$5,INDEX(Parámetros!$B$14:$B$21,MATCH(I807,Parámetros!$A$14:$A$21,0))),Parámetros!$B$5))</f>
        <v/>
      </c>
      <c r="Q807" s="29" t="str">
        <f aca="false">IF(O807="","",(O807-P807)*100)</f>
        <v/>
      </c>
      <c r="R807" s="30" t="str">
        <f aca="false">IF(O807="","",MAX(0,M807*(P807-O807)))</f>
        <v/>
      </c>
      <c r="S807" s="31" t="str">
        <f aca="false">IF(OR(L807="",L807=0,N807=""),"",N807/1000/L807)</f>
        <v/>
      </c>
      <c r="T807" s="27"/>
      <c r="U807" s="27"/>
      <c r="V807" s="27"/>
      <c r="W807" s="27"/>
      <c r="X807" s="27"/>
      <c r="Y807" s="27"/>
      <c r="Z807" s="27"/>
      <c r="AA807" s="25"/>
      <c r="AB807" s="27"/>
      <c r="AC807" s="30" t="str">
        <f aca="false">IF(M807="","",IF(AB807="",M807*Parámetros!$B$6,AB807))</f>
        <v/>
      </c>
      <c r="AD807" s="30" t="str">
        <f aca="false">IF(M807="","",SUM(T807:Z807)+AC807)</f>
        <v/>
      </c>
      <c r="AE807" s="30" t="str">
        <f aca="false">IF(OR(M807="",N807=""),"",M807-N807)</f>
        <v/>
      </c>
      <c r="AF807" s="30" t="str">
        <f aca="false">IF(AE807="","",AE807-AD807)</f>
        <v/>
      </c>
      <c r="AG807" s="28" t="str">
        <f aca="false">IF(OR(AF807="",M807=0),"",AF807/M807)</f>
        <v/>
      </c>
      <c r="AH807" s="32" t="str">
        <f aca="false">IF(OR(AE807="",N807=0),"",AE807/(N807/1000))</f>
        <v/>
      </c>
      <c r="AI807" s="30" t="str">
        <f aca="false">IF(O807="","",M807*P807)</f>
        <v/>
      </c>
      <c r="AJ807" s="11" t="str">
        <f aca="false">IF(O807="","",IF(O807&gt;1,"Error: rend &gt; 100 %",IF(SUM(T807:Z807)=0,"Falta registrar pérdidas",IF(ABS(AG807)&gt;Parámetros!$B$7,"Revisar balance",IF(O807&lt;P807,"Bajo meta","OK")))))</f>
        <v/>
      </c>
      <c r="AK807" s="33"/>
      <c r="AL807" s="10"/>
      <c r="AM807" s="33"/>
      <c r="AN807" s="33"/>
      <c r="AO807" s="10"/>
    </row>
    <row r="808" customFormat="false" ht="15" hidden="false" customHeight="false" outlineLevel="0" collapsed="false">
      <c r="A808" s="22"/>
      <c r="B808" s="23" t="str">
        <f aca="false">IF(A808="","",YEAR(A808-WEEKDAY(A808,2)+4))</f>
        <v/>
      </c>
      <c r="C808" s="23" t="str">
        <f aca="false">IF(A808="","",WEEKNUM(A808,21))</f>
        <v/>
      </c>
      <c r="D808" s="24" t="str">
        <f aca="false">IF(A808="","",DATE(YEAR(A808),MONTH(A808),1))</f>
        <v/>
      </c>
      <c r="E808" s="10"/>
      <c r="F808" s="25"/>
      <c r="G808" s="25"/>
      <c r="H808" s="10"/>
      <c r="I808" s="10"/>
      <c r="J808" s="26"/>
      <c r="K808" s="25"/>
      <c r="L808" s="26"/>
      <c r="M808" s="27"/>
      <c r="N808" s="27"/>
      <c r="O808" s="28" t="str">
        <f aca="false">IF(OR(M808="",M808=0,N808=""),"",N808/M808)</f>
        <v/>
      </c>
      <c r="P808" s="28" t="str">
        <f aca="false">IF(M808="","",IFERROR(IF(INDEX(Parámetros!$B$14:$B$21,MATCH(I808,Parámetros!$A$14:$A$21,0))="",Parámetros!$B$5,INDEX(Parámetros!$B$14:$B$21,MATCH(I808,Parámetros!$A$14:$A$21,0))),Parámetros!$B$5))</f>
        <v/>
      </c>
      <c r="Q808" s="29" t="str">
        <f aca="false">IF(O808="","",(O808-P808)*100)</f>
        <v/>
      </c>
      <c r="R808" s="30" t="str">
        <f aca="false">IF(O808="","",MAX(0,M808*(P808-O808)))</f>
        <v/>
      </c>
      <c r="S808" s="31" t="str">
        <f aca="false">IF(OR(L808="",L808=0,N808=""),"",N808/1000/L808)</f>
        <v/>
      </c>
      <c r="T808" s="27"/>
      <c r="U808" s="27"/>
      <c r="V808" s="27"/>
      <c r="W808" s="27"/>
      <c r="X808" s="27"/>
      <c r="Y808" s="27"/>
      <c r="Z808" s="27"/>
      <c r="AA808" s="25"/>
      <c r="AB808" s="27"/>
      <c r="AC808" s="30" t="str">
        <f aca="false">IF(M808="","",IF(AB808="",M808*Parámetros!$B$6,AB808))</f>
        <v/>
      </c>
      <c r="AD808" s="30" t="str">
        <f aca="false">IF(M808="","",SUM(T808:Z808)+AC808)</f>
        <v/>
      </c>
      <c r="AE808" s="30" t="str">
        <f aca="false">IF(OR(M808="",N808=""),"",M808-N808)</f>
        <v/>
      </c>
      <c r="AF808" s="30" t="str">
        <f aca="false">IF(AE808="","",AE808-AD808)</f>
        <v/>
      </c>
      <c r="AG808" s="28" t="str">
        <f aca="false">IF(OR(AF808="",M808=0),"",AF808/M808)</f>
        <v/>
      </c>
      <c r="AH808" s="32" t="str">
        <f aca="false">IF(OR(AE808="",N808=0),"",AE808/(N808/1000))</f>
        <v/>
      </c>
      <c r="AI808" s="30" t="str">
        <f aca="false">IF(O808="","",M808*P808)</f>
        <v/>
      </c>
      <c r="AJ808" s="11" t="str">
        <f aca="false">IF(O808="","",IF(O808&gt;1,"Error: rend &gt; 100 %",IF(SUM(T808:Z808)=0,"Falta registrar pérdidas",IF(ABS(AG808)&gt;Parámetros!$B$7,"Revisar balance",IF(O808&lt;P808,"Bajo meta","OK")))))</f>
        <v/>
      </c>
      <c r="AK808" s="33"/>
      <c r="AL808" s="10"/>
      <c r="AM808" s="33"/>
      <c r="AN808" s="33"/>
      <c r="AO808" s="10"/>
    </row>
    <row r="809" customFormat="false" ht="15" hidden="false" customHeight="false" outlineLevel="0" collapsed="false">
      <c r="A809" s="22"/>
      <c r="B809" s="23" t="str">
        <f aca="false">IF(A809="","",YEAR(A809-WEEKDAY(A809,2)+4))</f>
        <v/>
      </c>
      <c r="C809" s="23" t="str">
        <f aca="false">IF(A809="","",WEEKNUM(A809,21))</f>
        <v/>
      </c>
      <c r="D809" s="24" t="str">
        <f aca="false">IF(A809="","",DATE(YEAR(A809),MONTH(A809),1))</f>
        <v/>
      </c>
      <c r="E809" s="10"/>
      <c r="F809" s="25"/>
      <c r="G809" s="25"/>
      <c r="H809" s="10"/>
      <c r="I809" s="10"/>
      <c r="J809" s="26"/>
      <c r="K809" s="25"/>
      <c r="L809" s="26"/>
      <c r="M809" s="27"/>
      <c r="N809" s="27"/>
      <c r="O809" s="28" t="str">
        <f aca="false">IF(OR(M809="",M809=0,N809=""),"",N809/M809)</f>
        <v/>
      </c>
      <c r="P809" s="28" t="str">
        <f aca="false">IF(M809="","",IFERROR(IF(INDEX(Parámetros!$B$14:$B$21,MATCH(I809,Parámetros!$A$14:$A$21,0))="",Parámetros!$B$5,INDEX(Parámetros!$B$14:$B$21,MATCH(I809,Parámetros!$A$14:$A$21,0))),Parámetros!$B$5))</f>
        <v/>
      </c>
      <c r="Q809" s="29" t="str">
        <f aca="false">IF(O809="","",(O809-P809)*100)</f>
        <v/>
      </c>
      <c r="R809" s="30" t="str">
        <f aca="false">IF(O809="","",MAX(0,M809*(P809-O809)))</f>
        <v/>
      </c>
      <c r="S809" s="31" t="str">
        <f aca="false">IF(OR(L809="",L809=0,N809=""),"",N809/1000/L809)</f>
        <v/>
      </c>
      <c r="T809" s="27"/>
      <c r="U809" s="27"/>
      <c r="V809" s="27"/>
      <c r="W809" s="27"/>
      <c r="X809" s="27"/>
      <c r="Y809" s="27"/>
      <c r="Z809" s="27"/>
      <c r="AA809" s="25"/>
      <c r="AB809" s="27"/>
      <c r="AC809" s="30" t="str">
        <f aca="false">IF(M809="","",IF(AB809="",M809*Parámetros!$B$6,AB809))</f>
        <v/>
      </c>
      <c r="AD809" s="30" t="str">
        <f aca="false">IF(M809="","",SUM(T809:Z809)+AC809)</f>
        <v/>
      </c>
      <c r="AE809" s="30" t="str">
        <f aca="false">IF(OR(M809="",N809=""),"",M809-N809)</f>
        <v/>
      </c>
      <c r="AF809" s="30" t="str">
        <f aca="false">IF(AE809="","",AE809-AD809)</f>
        <v/>
      </c>
      <c r="AG809" s="28" t="str">
        <f aca="false">IF(OR(AF809="",M809=0),"",AF809/M809)</f>
        <v/>
      </c>
      <c r="AH809" s="32" t="str">
        <f aca="false">IF(OR(AE809="",N809=0),"",AE809/(N809/1000))</f>
        <v/>
      </c>
      <c r="AI809" s="30" t="str">
        <f aca="false">IF(O809="","",M809*P809)</f>
        <v/>
      </c>
      <c r="AJ809" s="11" t="str">
        <f aca="false">IF(O809="","",IF(O809&gt;1,"Error: rend &gt; 100 %",IF(SUM(T809:Z809)=0,"Falta registrar pérdidas",IF(ABS(AG809)&gt;Parámetros!$B$7,"Revisar balance",IF(O809&lt;P809,"Bajo meta","OK")))))</f>
        <v/>
      </c>
      <c r="AK809" s="33"/>
      <c r="AL809" s="10"/>
      <c r="AM809" s="33"/>
      <c r="AN809" s="33"/>
      <c r="AO809" s="10"/>
    </row>
    <row r="810" customFormat="false" ht="15" hidden="false" customHeight="false" outlineLevel="0" collapsed="false">
      <c r="A810" s="22"/>
      <c r="B810" s="23" t="str">
        <f aca="false">IF(A810="","",YEAR(A810-WEEKDAY(A810,2)+4))</f>
        <v/>
      </c>
      <c r="C810" s="23" t="str">
        <f aca="false">IF(A810="","",WEEKNUM(A810,21))</f>
        <v/>
      </c>
      <c r="D810" s="24" t="str">
        <f aca="false">IF(A810="","",DATE(YEAR(A810),MONTH(A810),1))</f>
        <v/>
      </c>
      <c r="E810" s="10"/>
      <c r="F810" s="25"/>
      <c r="G810" s="25"/>
      <c r="H810" s="10"/>
      <c r="I810" s="10"/>
      <c r="J810" s="26"/>
      <c r="K810" s="25"/>
      <c r="L810" s="26"/>
      <c r="M810" s="27"/>
      <c r="N810" s="27"/>
      <c r="O810" s="28" t="str">
        <f aca="false">IF(OR(M810="",M810=0,N810=""),"",N810/M810)</f>
        <v/>
      </c>
      <c r="P810" s="28" t="str">
        <f aca="false">IF(M810="","",IFERROR(IF(INDEX(Parámetros!$B$14:$B$21,MATCH(I810,Parámetros!$A$14:$A$21,0))="",Parámetros!$B$5,INDEX(Parámetros!$B$14:$B$21,MATCH(I810,Parámetros!$A$14:$A$21,0))),Parámetros!$B$5))</f>
        <v/>
      </c>
      <c r="Q810" s="29" t="str">
        <f aca="false">IF(O810="","",(O810-P810)*100)</f>
        <v/>
      </c>
      <c r="R810" s="30" t="str">
        <f aca="false">IF(O810="","",MAX(0,M810*(P810-O810)))</f>
        <v/>
      </c>
      <c r="S810" s="31" t="str">
        <f aca="false">IF(OR(L810="",L810=0,N810=""),"",N810/1000/L810)</f>
        <v/>
      </c>
      <c r="T810" s="27"/>
      <c r="U810" s="27"/>
      <c r="V810" s="27"/>
      <c r="W810" s="27"/>
      <c r="X810" s="27"/>
      <c r="Y810" s="27"/>
      <c r="Z810" s="27"/>
      <c r="AA810" s="25"/>
      <c r="AB810" s="27"/>
      <c r="AC810" s="30" t="str">
        <f aca="false">IF(M810="","",IF(AB810="",M810*Parámetros!$B$6,AB810))</f>
        <v/>
      </c>
      <c r="AD810" s="30" t="str">
        <f aca="false">IF(M810="","",SUM(T810:Z810)+AC810)</f>
        <v/>
      </c>
      <c r="AE810" s="30" t="str">
        <f aca="false">IF(OR(M810="",N810=""),"",M810-N810)</f>
        <v/>
      </c>
      <c r="AF810" s="30" t="str">
        <f aca="false">IF(AE810="","",AE810-AD810)</f>
        <v/>
      </c>
      <c r="AG810" s="28" t="str">
        <f aca="false">IF(OR(AF810="",M810=0),"",AF810/M810)</f>
        <v/>
      </c>
      <c r="AH810" s="32" t="str">
        <f aca="false">IF(OR(AE810="",N810=0),"",AE810/(N810/1000))</f>
        <v/>
      </c>
      <c r="AI810" s="30" t="str">
        <f aca="false">IF(O810="","",M810*P810)</f>
        <v/>
      </c>
      <c r="AJ810" s="11" t="str">
        <f aca="false">IF(O810="","",IF(O810&gt;1,"Error: rend &gt; 100 %",IF(SUM(T810:Z810)=0,"Falta registrar pérdidas",IF(ABS(AG810)&gt;Parámetros!$B$7,"Revisar balance",IF(O810&lt;P810,"Bajo meta","OK")))))</f>
        <v/>
      </c>
      <c r="AK810" s="33"/>
      <c r="AL810" s="10"/>
      <c r="AM810" s="33"/>
      <c r="AN810" s="33"/>
      <c r="AO810" s="10"/>
    </row>
    <row r="811" customFormat="false" ht="15" hidden="false" customHeight="false" outlineLevel="0" collapsed="false">
      <c r="A811" s="22"/>
      <c r="B811" s="23" t="str">
        <f aca="false">IF(A811="","",YEAR(A811-WEEKDAY(A811,2)+4))</f>
        <v/>
      </c>
      <c r="C811" s="23" t="str">
        <f aca="false">IF(A811="","",WEEKNUM(A811,21))</f>
        <v/>
      </c>
      <c r="D811" s="24" t="str">
        <f aca="false">IF(A811="","",DATE(YEAR(A811),MONTH(A811),1))</f>
        <v/>
      </c>
      <c r="E811" s="10"/>
      <c r="F811" s="25"/>
      <c r="G811" s="25"/>
      <c r="H811" s="10"/>
      <c r="I811" s="10"/>
      <c r="J811" s="26"/>
      <c r="K811" s="25"/>
      <c r="L811" s="26"/>
      <c r="M811" s="27"/>
      <c r="N811" s="27"/>
      <c r="O811" s="28" t="str">
        <f aca="false">IF(OR(M811="",M811=0,N811=""),"",N811/M811)</f>
        <v/>
      </c>
      <c r="P811" s="28" t="str">
        <f aca="false">IF(M811="","",IFERROR(IF(INDEX(Parámetros!$B$14:$B$21,MATCH(I811,Parámetros!$A$14:$A$21,0))="",Parámetros!$B$5,INDEX(Parámetros!$B$14:$B$21,MATCH(I811,Parámetros!$A$14:$A$21,0))),Parámetros!$B$5))</f>
        <v/>
      </c>
      <c r="Q811" s="29" t="str">
        <f aca="false">IF(O811="","",(O811-P811)*100)</f>
        <v/>
      </c>
      <c r="R811" s="30" t="str">
        <f aca="false">IF(O811="","",MAX(0,M811*(P811-O811)))</f>
        <v/>
      </c>
      <c r="S811" s="31" t="str">
        <f aca="false">IF(OR(L811="",L811=0,N811=""),"",N811/1000/L811)</f>
        <v/>
      </c>
      <c r="T811" s="27"/>
      <c r="U811" s="27"/>
      <c r="V811" s="27"/>
      <c r="W811" s="27"/>
      <c r="X811" s="27"/>
      <c r="Y811" s="27"/>
      <c r="Z811" s="27"/>
      <c r="AA811" s="25"/>
      <c r="AB811" s="27"/>
      <c r="AC811" s="30" t="str">
        <f aca="false">IF(M811="","",IF(AB811="",M811*Parámetros!$B$6,AB811))</f>
        <v/>
      </c>
      <c r="AD811" s="30" t="str">
        <f aca="false">IF(M811="","",SUM(T811:Z811)+AC811)</f>
        <v/>
      </c>
      <c r="AE811" s="30" t="str">
        <f aca="false">IF(OR(M811="",N811=""),"",M811-N811)</f>
        <v/>
      </c>
      <c r="AF811" s="30" t="str">
        <f aca="false">IF(AE811="","",AE811-AD811)</f>
        <v/>
      </c>
      <c r="AG811" s="28" t="str">
        <f aca="false">IF(OR(AF811="",M811=0),"",AF811/M811)</f>
        <v/>
      </c>
      <c r="AH811" s="32" t="str">
        <f aca="false">IF(OR(AE811="",N811=0),"",AE811/(N811/1000))</f>
        <v/>
      </c>
      <c r="AI811" s="30" t="str">
        <f aca="false">IF(O811="","",M811*P811)</f>
        <v/>
      </c>
      <c r="AJ811" s="11" t="str">
        <f aca="false">IF(O811="","",IF(O811&gt;1,"Error: rend &gt; 100 %",IF(SUM(T811:Z811)=0,"Falta registrar pérdidas",IF(ABS(AG811)&gt;Parámetros!$B$7,"Revisar balance",IF(O811&lt;P811,"Bajo meta","OK")))))</f>
        <v/>
      </c>
      <c r="AK811" s="33"/>
      <c r="AL811" s="10"/>
      <c r="AM811" s="33"/>
      <c r="AN811" s="33"/>
      <c r="AO811" s="10"/>
    </row>
    <row r="812" customFormat="false" ht="15" hidden="false" customHeight="false" outlineLevel="0" collapsed="false">
      <c r="A812" s="22"/>
      <c r="B812" s="23" t="str">
        <f aca="false">IF(A812="","",YEAR(A812-WEEKDAY(A812,2)+4))</f>
        <v/>
      </c>
      <c r="C812" s="23" t="str">
        <f aca="false">IF(A812="","",WEEKNUM(A812,21))</f>
        <v/>
      </c>
      <c r="D812" s="24" t="str">
        <f aca="false">IF(A812="","",DATE(YEAR(A812),MONTH(A812),1))</f>
        <v/>
      </c>
      <c r="E812" s="10"/>
      <c r="F812" s="25"/>
      <c r="G812" s="25"/>
      <c r="H812" s="10"/>
      <c r="I812" s="10"/>
      <c r="J812" s="26"/>
      <c r="K812" s="25"/>
      <c r="L812" s="26"/>
      <c r="M812" s="27"/>
      <c r="N812" s="27"/>
      <c r="O812" s="28" t="str">
        <f aca="false">IF(OR(M812="",M812=0,N812=""),"",N812/M812)</f>
        <v/>
      </c>
      <c r="P812" s="28" t="str">
        <f aca="false">IF(M812="","",IFERROR(IF(INDEX(Parámetros!$B$14:$B$21,MATCH(I812,Parámetros!$A$14:$A$21,0))="",Parámetros!$B$5,INDEX(Parámetros!$B$14:$B$21,MATCH(I812,Parámetros!$A$14:$A$21,0))),Parámetros!$B$5))</f>
        <v/>
      </c>
      <c r="Q812" s="29" t="str">
        <f aca="false">IF(O812="","",(O812-P812)*100)</f>
        <v/>
      </c>
      <c r="R812" s="30" t="str">
        <f aca="false">IF(O812="","",MAX(0,M812*(P812-O812)))</f>
        <v/>
      </c>
      <c r="S812" s="31" t="str">
        <f aca="false">IF(OR(L812="",L812=0,N812=""),"",N812/1000/L812)</f>
        <v/>
      </c>
      <c r="T812" s="27"/>
      <c r="U812" s="27"/>
      <c r="V812" s="27"/>
      <c r="W812" s="27"/>
      <c r="X812" s="27"/>
      <c r="Y812" s="27"/>
      <c r="Z812" s="27"/>
      <c r="AA812" s="25"/>
      <c r="AB812" s="27"/>
      <c r="AC812" s="30" t="str">
        <f aca="false">IF(M812="","",IF(AB812="",M812*Parámetros!$B$6,AB812))</f>
        <v/>
      </c>
      <c r="AD812" s="30" t="str">
        <f aca="false">IF(M812="","",SUM(T812:Z812)+AC812)</f>
        <v/>
      </c>
      <c r="AE812" s="30" t="str">
        <f aca="false">IF(OR(M812="",N812=""),"",M812-N812)</f>
        <v/>
      </c>
      <c r="AF812" s="30" t="str">
        <f aca="false">IF(AE812="","",AE812-AD812)</f>
        <v/>
      </c>
      <c r="AG812" s="28" t="str">
        <f aca="false">IF(OR(AF812="",M812=0),"",AF812/M812)</f>
        <v/>
      </c>
      <c r="AH812" s="32" t="str">
        <f aca="false">IF(OR(AE812="",N812=0),"",AE812/(N812/1000))</f>
        <v/>
      </c>
      <c r="AI812" s="30" t="str">
        <f aca="false">IF(O812="","",M812*P812)</f>
        <v/>
      </c>
      <c r="AJ812" s="11" t="str">
        <f aca="false">IF(O812="","",IF(O812&gt;1,"Error: rend &gt; 100 %",IF(SUM(T812:Z812)=0,"Falta registrar pérdidas",IF(ABS(AG812)&gt;Parámetros!$B$7,"Revisar balance",IF(O812&lt;P812,"Bajo meta","OK")))))</f>
        <v/>
      </c>
      <c r="AK812" s="33"/>
      <c r="AL812" s="10"/>
      <c r="AM812" s="33"/>
      <c r="AN812" s="33"/>
      <c r="AO812" s="10"/>
    </row>
    <row r="813" customFormat="false" ht="15" hidden="false" customHeight="false" outlineLevel="0" collapsed="false">
      <c r="A813" s="22"/>
      <c r="B813" s="23" t="str">
        <f aca="false">IF(A813="","",YEAR(A813-WEEKDAY(A813,2)+4))</f>
        <v/>
      </c>
      <c r="C813" s="23" t="str">
        <f aca="false">IF(A813="","",WEEKNUM(A813,21))</f>
        <v/>
      </c>
      <c r="D813" s="24" t="str">
        <f aca="false">IF(A813="","",DATE(YEAR(A813),MONTH(A813),1))</f>
        <v/>
      </c>
      <c r="E813" s="10"/>
      <c r="F813" s="25"/>
      <c r="G813" s="25"/>
      <c r="H813" s="10"/>
      <c r="I813" s="10"/>
      <c r="J813" s="26"/>
      <c r="K813" s="25"/>
      <c r="L813" s="26"/>
      <c r="M813" s="27"/>
      <c r="N813" s="27"/>
      <c r="O813" s="28" t="str">
        <f aca="false">IF(OR(M813="",M813=0,N813=""),"",N813/M813)</f>
        <v/>
      </c>
      <c r="P813" s="28" t="str">
        <f aca="false">IF(M813="","",IFERROR(IF(INDEX(Parámetros!$B$14:$B$21,MATCH(I813,Parámetros!$A$14:$A$21,0))="",Parámetros!$B$5,INDEX(Parámetros!$B$14:$B$21,MATCH(I813,Parámetros!$A$14:$A$21,0))),Parámetros!$B$5))</f>
        <v/>
      </c>
      <c r="Q813" s="29" t="str">
        <f aca="false">IF(O813="","",(O813-P813)*100)</f>
        <v/>
      </c>
      <c r="R813" s="30" t="str">
        <f aca="false">IF(O813="","",MAX(0,M813*(P813-O813)))</f>
        <v/>
      </c>
      <c r="S813" s="31" t="str">
        <f aca="false">IF(OR(L813="",L813=0,N813=""),"",N813/1000/L813)</f>
        <v/>
      </c>
      <c r="T813" s="27"/>
      <c r="U813" s="27"/>
      <c r="V813" s="27"/>
      <c r="W813" s="27"/>
      <c r="X813" s="27"/>
      <c r="Y813" s="27"/>
      <c r="Z813" s="27"/>
      <c r="AA813" s="25"/>
      <c r="AB813" s="27"/>
      <c r="AC813" s="30" t="str">
        <f aca="false">IF(M813="","",IF(AB813="",M813*Parámetros!$B$6,AB813))</f>
        <v/>
      </c>
      <c r="AD813" s="30" t="str">
        <f aca="false">IF(M813="","",SUM(T813:Z813)+AC813)</f>
        <v/>
      </c>
      <c r="AE813" s="30" t="str">
        <f aca="false">IF(OR(M813="",N813=""),"",M813-N813)</f>
        <v/>
      </c>
      <c r="AF813" s="30" t="str">
        <f aca="false">IF(AE813="","",AE813-AD813)</f>
        <v/>
      </c>
      <c r="AG813" s="28" t="str">
        <f aca="false">IF(OR(AF813="",M813=0),"",AF813/M813)</f>
        <v/>
      </c>
      <c r="AH813" s="32" t="str">
        <f aca="false">IF(OR(AE813="",N813=0),"",AE813/(N813/1000))</f>
        <v/>
      </c>
      <c r="AI813" s="30" t="str">
        <f aca="false">IF(O813="","",M813*P813)</f>
        <v/>
      </c>
      <c r="AJ813" s="11" t="str">
        <f aca="false">IF(O813="","",IF(O813&gt;1,"Error: rend &gt; 100 %",IF(SUM(T813:Z813)=0,"Falta registrar pérdidas",IF(ABS(AG813)&gt;Parámetros!$B$7,"Revisar balance",IF(O813&lt;P813,"Bajo meta","OK")))))</f>
        <v/>
      </c>
      <c r="AK813" s="33"/>
      <c r="AL813" s="10"/>
      <c r="AM813" s="33"/>
      <c r="AN813" s="33"/>
      <c r="AO813" s="10"/>
    </row>
    <row r="814" customFormat="false" ht="15" hidden="false" customHeight="false" outlineLevel="0" collapsed="false">
      <c r="A814" s="22"/>
      <c r="B814" s="23" t="str">
        <f aca="false">IF(A814="","",YEAR(A814-WEEKDAY(A814,2)+4))</f>
        <v/>
      </c>
      <c r="C814" s="23" t="str">
        <f aca="false">IF(A814="","",WEEKNUM(A814,21))</f>
        <v/>
      </c>
      <c r="D814" s="24" t="str">
        <f aca="false">IF(A814="","",DATE(YEAR(A814),MONTH(A814),1))</f>
        <v/>
      </c>
      <c r="E814" s="10"/>
      <c r="F814" s="25"/>
      <c r="G814" s="25"/>
      <c r="H814" s="10"/>
      <c r="I814" s="10"/>
      <c r="J814" s="26"/>
      <c r="K814" s="25"/>
      <c r="L814" s="26"/>
      <c r="M814" s="27"/>
      <c r="N814" s="27"/>
      <c r="O814" s="28" t="str">
        <f aca="false">IF(OR(M814="",M814=0,N814=""),"",N814/M814)</f>
        <v/>
      </c>
      <c r="P814" s="28" t="str">
        <f aca="false">IF(M814="","",IFERROR(IF(INDEX(Parámetros!$B$14:$B$21,MATCH(I814,Parámetros!$A$14:$A$21,0))="",Parámetros!$B$5,INDEX(Parámetros!$B$14:$B$21,MATCH(I814,Parámetros!$A$14:$A$21,0))),Parámetros!$B$5))</f>
        <v/>
      </c>
      <c r="Q814" s="29" t="str">
        <f aca="false">IF(O814="","",(O814-P814)*100)</f>
        <v/>
      </c>
      <c r="R814" s="30" t="str">
        <f aca="false">IF(O814="","",MAX(0,M814*(P814-O814)))</f>
        <v/>
      </c>
      <c r="S814" s="31" t="str">
        <f aca="false">IF(OR(L814="",L814=0,N814=""),"",N814/1000/L814)</f>
        <v/>
      </c>
      <c r="T814" s="27"/>
      <c r="U814" s="27"/>
      <c r="V814" s="27"/>
      <c r="W814" s="27"/>
      <c r="X814" s="27"/>
      <c r="Y814" s="27"/>
      <c r="Z814" s="27"/>
      <c r="AA814" s="25"/>
      <c r="AB814" s="27"/>
      <c r="AC814" s="30" t="str">
        <f aca="false">IF(M814="","",IF(AB814="",M814*Parámetros!$B$6,AB814))</f>
        <v/>
      </c>
      <c r="AD814" s="30" t="str">
        <f aca="false">IF(M814="","",SUM(T814:Z814)+AC814)</f>
        <v/>
      </c>
      <c r="AE814" s="30" t="str">
        <f aca="false">IF(OR(M814="",N814=""),"",M814-N814)</f>
        <v/>
      </c>
      <c r="AF814" s="30" t="str">
        <f aca="false">IF(AE814="","",AE814-AD814)</f>
        <v/>
      </c>
      <c r="AG814" s="28" t="str">
        <f aca="false">IF(OR(AF814="",M814=0),"",AF814/M814)</f>
        <v/>
      </c>
      <c r="AH814" s="32" t="str">
        <f aca="false">IF(OR(AE814="",N814=0),"",AE814/(N814/1000))</f>
        <v/>
      </c>
      <c r="AI814" s="30" t="str">
        <f aca="false">IF(O814="","",M814*P814)</f>
        <v/>
      </c>
      <c r="AJ814" s="11" t="str">
        <f aca="false">IF(O814="","",IF(O814&gt;1,"Error: rend &gt; 100 %",IF(SUM(T814:Z814)=0,"Falta registrar pérdidas",IF(ABS(AG814)&gt;Parámetros!$B$7,"Revisar balance",IF(O814&lt;P814,"Bajo meta","OK")))))</f>
        <v/>
      </c>
      <c r="AK814" s="33"/>
      <c r="AL814" s="10"/>
      <c r="AM814" s="33"/>
      <c r="AN814" s="33"/>
      <c r="AO814" s="10"/>
    </row>
    <row r="815" customFormat="false" ht="15" hidden="false" customHeight="false" outlineLevel="0" collapsed="false">
      <c r="A815" s="22"/>
      <c r="B815" s="23" t="str">
        <f aca="false">IF(A815="","",YEAR(A815-WEEKDAY(A815,2)+4))</f>
        <v/>
      </c>
      <c r="C815" s="23" t="str">
        <f aca="false">IF(A815="","",WEEKNUM(A815,21))</f>
        <v/>
      </c>
      <c r="D815" s="24" t="str">
        <f aca="false">IF(A815="","",DATE(YEAR(A815),MONTH(A815),1))</f>
        <v/>
      </c>
      <c r="E815" s="10"/>
      <c r="F815" s="25"/>
      <c r="G815" s="25"/>
      <c r="H815" s="10"/>
      <c r="I815" s="10"/>
      <c r="J815" s="26"/>
      <c r="K815" s="25"/>
      <c r="L815" s="26"/>
      <c r="M815" s="27"/>
      <c r="N815" s="27"/>
      <c r="O815" s="28" t="str">
        <f aca="false">IF(OR(M815="",M815=0,N815=""),"",N815/M815)</f>
        <v/>
      </c>
      <c r="P815" s="28" t="str">
        <f aca="false">IF(M815="","",IFERROR(IF(INDEX(Parámetros!$B$14:$B$21,MATCH(I815,Parámetros!$A$14:$A$21,0))="",Parámetros!$B$5,INDEX(Parámetros!$B$14:$B$21,MATCH(I815,Parámetros!$A$14:$A$21,0))),Parámetros!$B$5))</f>
        <v/>
      </c>
      <c r="Q815" s="29" t="str">
        <f aca="false">IF(O815="","",(O815-P815)*100)</f>
        <v/>
      </c>
      <c r="R815" s="30" t="str">
        <f aca="false">IF(O815="","",MAX(0,M815*(P815-O815)))</f>
        <v/>
      </c>
      <c r="S815" s="31" t="str">
        <f aca="false">IF(OR(L815="",L815=0,N815=""),"",N815/1000/L815)</f>
        <v/>
      </c>
      <c r="T815" s="27"/>
      <c r="U815" s="27"/>
      <c r="V815" s="27"/>
      <c r="W815" s="27"/>
      <c r="X815" s="27"/>
      <c r="Y815" s="27"/>
      <c r="Z815" s="27"/>
      <c r="AA815" s="25"/>
      <c r="AB815" s="27"/>
      <c r="AC815" s="30" t="str">
        <f aca="false">IF(M815="","",IF(AB815="",M815*Parámetros!$B$6,AB815))</f>
        <v/>
      </c>
      <c r="AD815" s="30" t="str">
        <f aca="false">IF(M815="","",SUM(T815:Z815)+AC815)</f>
        <v/>
      </c>
      <c r="AE815" s="30" t="str">
        <f aca="false">IF(OR(M815="",N815=""),"",M815-N815)</f>
        <v/>
      </c>
      <c r="AF815" s="30" t="str">
        <f aca="false">IF(AE815="","",AE815-AD815)</f>
        <v/>
      </c>
      <c r="AG815" s="28" t="str">
        <f aca="false">IF(OR(AF815="",M815=0),"",AF815/M815)</f>
        <v/>
      </c>
      <c r="AH815" s="32" t="str">
        <f aca="false">IF(OR(AE815="",N815=0),"",AE815/(N815/1000))</f>
        <v/>
      </c>
      <c r="AI815" s="30" t="str">
        <f aca="false">IF(O815="","",M815*P815)</f>
        <v/>
      </c>
      <c r="AJ815" s="11" t="str">
        <f aca="false">IF(O815="","",IF(O815&gt;1,"Error: rend &gt; 100 %",IF(SUM(T815:Z815)=0,"Falta registrar pérdidas",IF(ABS(AG815)&gt;Parámetros!$B$7,"Revisar balance",IF(O815&lt;P815,"Bajo meta","OK")))))</f>
        <v/>
      </c>
      <c r="AK815" s="33"/>
      <c r="AL815" s="10"/>
      <c r="AM815" s="33"/>
      <c r="AN815" s="33"/>
      <c r="AO815" s="10"/>
    </row>
    <row r="816" customFormat="false" ht="15" hidden="false" customHeight="false" outlineLevel="0" collapsed="false">
      <c r="A816" s="22"/>
      <c r="B816" s="23" t="str">
        <f aca="false">IF(A816="","",YEAR(A816-WEEKDAY(A816,2)+4))</f>
        <v/>
      </c>
      <c r="C816" s="23" t="str">
        <f aca="false">IF(A816="","",WEEKNUM(A816,21))</f>
        <v/>
      </c>
      <c r="D816" s="24" t="str">
        <f aca="false">IF(A816="","",DATE(YEAR(A816),MONTH(A816),1))</f>
        <v/>
      </c>
      <c r="E816" s="10"/>
      <c r="F816" s="25"/>
      <c r="G816" s="25"/>
      <c r="H816" s="10"/>
      <c r="I816" s="10"/>
      <c r="J816" s="26"/>
      <c r="K816" s="25"/>
      <c r="L816" s="26"/>
      <c r="M816" s="27"/>
      <c r="N816" s="27"/>
      <c r="O816" s="28" t="str">
        <f aca="false">IF(OR(M816="",M816=0,N816=""),"",N816/M816)</f>
        <v/>
      </c>
      <c r="P816" s="28" t="str">
        <f aca="false">IF(M816="","",IFERROR(IF(INDEX(Parámetros!$B$14:$B$21,MATCH(I816,Parámetros!$A$14:$A$21,0))="",Parámetros!$B$5,INDEX(Parámetros!$B$14:$B$21,MATCH(I816,Parámetros!$A$14:$A$21,0))),Parámetros!$B$5))</f>
        <v/>
      </c>
      <c r="Q816" s="29" t="str">
        <f aca="false">IF(O816="","",(O816-P816)*100)</f>
        <v/>
      </c>
      <c r="R816" s="30" t="str">
        <f aca="false">IF(O816="","",MAX(0,M816*(P816-O816)))</f>
        <v/>
      </c>
      <c r="S816" s="31" t="str">
        <f aca="false">IF(OR(L816="",L816=0,N816=""),"",N816/1000/L816)</f>
        <v/>
      </c>
      <c r="T816" s="27"/>
      <c r="U816" s="27"/>
      <c r="V816" s="27"/>
      <c r="W816" s="27"/>
      <c r="X816" s="27"/>
      <c r="Y816" s="27"/>
      <c r="Z816" s="27"/>
      <c r="AA816" s="25"/>
      <c r="AB816" s="27"/>
      <c r="AC816" s="30" t="str">
        <f aca="false">IF(M816="","",IF(AB816="",M816*Parámetros!$B$6,AB816))</f>
        <v/>
      </c>
      <c r="AD816" s="30" t="str">
        <f aca="false">IF(M816="","",SUM(T816:Z816)+AC816)</f>
        <v/>
      </c>
      <c r="AE816" s="30" t="str">
        <f aca="false">IF(OR(M816="",N816=""),"",M816-N816)</f>
        <v/>
      </c>
      <c r="AF816" s="30" t="str">
        <f aca="false">IF(AE816="","",AE816-AD816)</f>
        <v/>
      </c>
      <c r="AG816" s="28" t="str">
        <f aca="false">IF(OR(AF816="",M816=0),"",AF816/M816)</f>
        <v/>
      </c>
      <c r="AH816" s="32" t="str">
        <f aca="false">IF(OR(AE816="",N816=0),"",AE816/(N816/1000))</f>
        <v/>
      </c>
      <c r="AI816" s="30" t="str">
        <f aca="false">IF(O816="","",M816*P816)</f>
        <v/>
      </c>
      <c r="AJ816" s="11" t="str">
        <f aca="false">IF(O816="","",IF(O816&gt;1,"Error: rend &gt; 100 %",IF(SUM(T816:Z816)=0,"Falta registrar pérdidas",IF(ABS(AG816)&gt;Parámetros!$B$7,"Revisar balance",IF(O816&lt;P816,"Bajo meta","OK")))))</f>
        <v/>
      </c>
      <c r="AK816" s="33"/>
      <c r="AL816" s="10"/>
      <c r="AM816" s="33"/>
      <c r="AN816" s="33"/>
      <c r="AO816" s="10"/>
    </row>
    <row r="817" customFormat="false" ht="15" hidden="false" customHeight="false" outlineLevel="0" collapsed="false">
      <c r="A817" s="22"/>
      <c r="B817" s="23" t="str">
        <f aca="false">IF(A817="","",YEAR(A817-WEEKDAY(A817,2)+4))</f>
        <v/>
      </c>
      <c r="C817" s="23" t="str">
        <f aca="false">IF(A817="","",WEEKNUM(A817,21))</f>
        <v/>
      </c>
      <c r="D817" s="24" t="str">
        <f aca="false">IF(A817="","",DATE(YEAR(A817),MONTH(A817),1))</f>
        <v/>
      </c>
      <c r="E817" s="10"/>
      <c r="F817" s="25"/>
      <c r="G817" s="25"/>
      <c r="H817" s="10"/>
      <c r="I817" s="10"/>
      <c r="J817" s="26"/>
      <c r="K817" s="25"/>
      <c r="L817" s="26"/>
      <c r="M817" s="27"/>
      <c r="N817" s="27"/>
      <c r="O817" s="28" t="str">
        <f aca="false">IF(OR(M817="",M817=0,N817=""),"",N817/M817)</f>
        <v/>
      </c>
      <c r="P817" s="28" t="str">
        <f aca="false">IF(M817="","",IFERROR(IF(INDEX(Parámetros!$B$14:$B$21,MATCH(I817,Parámetros!$A$14:$A$21,0))="",Parámetros!$B$5,INDEX(Parámetros!$B$14:$B$21,MATCH(I817,Parámetros!$A$14:$A$21,0))),Parámetros!$B$5))</f>
        <v/>
      </c>
      <c r="Q817" s="29" t="str">
        <f aca="false">IF(O817="","",(O817-P817)*100)</f>
        <v/>
      </c>
      <c r="R817" s="30" t="str">
        <f aca="false">IF(O817="","",MAX(0,M817*(P817-O817)))</f>
        <v/>
      </c>
      <c r="S817" s="31" t="str">
        <f aca="false">IF(OR(L817="",L817=0,N817=""),"",N817/1000/L817)</f>
        <v/>
      </c>
      <c r="T817" s="27"/>
      <c r="U817" s="27"/>
      <c r="V817" s="27"/>
      <c r="W817" s="27"/>
      <c r="X817" s="27"/>
      <c r="Y817" s="27"/>
      <c r="Z817" s="27"/>
      <c r="AA817" s="25"/>
      <c r="AB817" s="27"/>
      <c r="AC817" s="30" t="str">
        <f aca="false">IF(M817="","",IF(AB817="",M817*Parámetros!$B$6,AB817))</f>
        <v/>
      </c>
      <c r="AD817" s="30" t="str">
        <f aca="false">IF(M817="","",SUM(T817:Z817)+AC817)</f>
        <v/>
      </c>
      <c r="AE817" s="30" t="str">
        <f aca="false">IF(OR(M817="",N817=""),"",M817-N817)</f>
        <v/>
      </c>
      <c r="AF817" s="30" t="str">
        <f aca="false">IF(AE817="","",AE817-AD817)</f>
        <v/>
      </c>
      <c r="AG817" s="28" t="str">
        <f aca="false">IF(OR(AF817="",M817=0),"",AF817/M817)</f>
        <v/>
      </c>
      <c r="AH817" s="32" t="str">
        <f aca="false">IF(OR(AE817="",N817=0),"",AE817/(N817/1000))</f>
        <v/>
      </c>
      <c r="AI817" s="30" t="str">
        <f aca="false">IF(O817="","",M817*P817)</f>
        <v/>
      </c>
      <c r="AJ817" s="11" t="str">
        <f aca="false">IF(O817="","",IF(O817&gt;1,"Error: rend &gt; 100 %",IF(SUM(T817:Z817)=0,"Falta registrar pérdidas",IF(ABS(AG817)&gt;Parámetros!$B$7,"Revisar balance",IF(O817&lt;P817,"Bajo meta","OK")))))</f>
        <v/>
      </c>
      <c r="AK817" s="33"/>
      <c r="AL817" s="10"/>
      <c r="AM817" s="33"/>
      <c r="AN817" s="33"/>
      <c r="AO817" s="10"/>
    </row>
    <row r="818" customFormat="false" ht="15" hidden="false" customHeight="false" outlineLevel="0" collapsed="false">
      <c r="A818" s="22"/>
      <c r="B818" s="23" t="str">
        <f aca="false">IF(A818="","",YEAR(A818-WEEKDAY(A818,2)+4))</f>
        <v/>
      </c>
      <c r="C818" s="23" t="str">
        <f aca="false">IF(A818="","",WEEKNUM(A818,21))</f>
        <v/>
      </c>
      <c r="D818" s="24" t="str">
        <f aca="false">IF(A818="","",DATE(YEAR(A818),MONTH(A818),1))</f>
        <v/>
      </c>
      <c r="E818" s="10"/>
      <c r="F818" s="25"/>
      <c r="G818" s="25"/>
      <c r="H818" s="10"/>
      <c r="I818" s="10"/>
      <c r="J818" s="26"/>
      <c r="K818" s="25"/>
      <c r="L818" s="26"/>
      <c r="M818" s="27"/>
      <c r="N818" s="27"/>
      <c r="O818" s="28" t="str">
        <f aca="false">IF(OR(M818="",M818=0,N818=""),"",N818/M818)</f>
        <v/>
      </c>
      <c r="P818" s="28" t="str">
        <f aca="false">IF(M818="","",IFERROR(IF(INDEX(Parámetros!$B$14:$B$21,MATCH(I818,Parámetros!$A$14:$A$21,0))="",Parámetros!$B$5,INDEX(Parámetros!$B$14:$B$21,MATCH(I818,Parámetros!$A$14:$A$21,0))),Parámetros!$B$5))</f>
        <v/>
      </c>
      <c r="Q818" s="29" t="str">
        <f aca="false">IF(O818="","",(O818-P818)*100)</f>
        <v/>
      </c>
      <c r="R818" s="30" t="str">
        <f aca="false">IF(O818="","",MAX(0,M818*(P818-O818)))</f>
        <v/>
      </c>
      <c r="S818" s="31" t="str">
        <f aca="false">IF(OR(L818="",L818=0,N818=""),"",N818/1000/L818)</f>
        <v/>
      </c>
      <c r="T818" s="27"/>
      <c r="U818" s="27"/>
      <c r="V818" s="27"/>
      <c r="W818" s="27"/>
      <c r="X818" s="27"/>
      <c r="Y818" s="27"/>
      <c r="Z818" s="27"/>
      <c r="AA818" s="25"/>
      <c r="AB818" s="27"/>
      <c r="AC818" s="30" t="str">
        <f aca="false">IF(M818="","",IF(AB818="",M818*Parámetros!$B$6,AB818))</f>
        <v/>
      </c>
      <c r="AD818" s="30" t="str">
        <f aca="false">IF(M818="","",SUM(T818:Z818)+AC818)</f>
        <v/>
      </c>
      <c r="AE818" s="30" t="str">
        <f aca="false">IF(OR(M818="",N818=""),"",M818-N818)</f>
        <v/>
      </c>
      <c r="AF818" s="30" t="str">
        <f aca="false">IF(AE818="","",AE818-AD818)</f>
        <v/>
      </c>
      <c r="AG818" s="28" t="str">
        <f aca="false">IF(OR(AF818="",M818=0),"",AF818/M818)</f>
        <v/>
      </c>
      <c r="AH818" s="32" t="str">
        <f aca="false">IF(OR(AE818="",N818=0),"",AE818/(N818/1000))</f>
        <v/>
      </c>
      <c r="AI818" s="30" t="str">
        <f aca="false">IF(O818="","",M818*P818)</f>
        <v/>
      </c>
      <c r="AJ818" s="11" t="str">
        <f aca="false">IF(O818="","",IF(O818&gt;1,"Error: rend &gt; 100 %",IF(SUM(T818:Z818)=0,"Falta registrar pérdidas",IF(ABS(AG818)&gt;Parámetros!$B$7,"Revisar balance",IF(O818&lt;P818,"Bajo meta","OK")))))</f>
        <v/>
      </c>
      <c r="AK818" s="33"/>
      <c r="AL818" s="10"/>
      <c r="AM818" s="33"/>
      <c r="AN818" s="33"/>
      <c r="AO818" s="10"/>
    </row>
    <row r="819" customFormat="false" ht="15" hidden="false" customHeight="false" outlineLevel="0" collapsed="false">
      <c r="A819" s="22"/>
      <c r="B819" s="23" t="str">
        <f aca="false">IF(A819="","",YEAR(A819-WEEKDAY(A819,2)+4))</f>
        <v/>
      </c>
      <c r="C819" s="23" t="str">
        <f aca="false">IF(A819="","",WEEKNUM(A819,21))</f>
        <v/>
      </c>
      <c r="D819" s="24" t="str">
        <f aca="false">IF(A819="","",DATE(YEAR(A819),MONTH(A819),1))</f>
        <v/>
      </c>
      <c r="E819" s="10"/>
      <c r="F819" s="25"/>
      <c r="G819" s="25"/>
      <c r="H819" s="10"/>
      <c r="I819" s="10"/>
      <c r="J819" s="26"/>
      <c r="K819" s="25"/>
      <c r="L819" s="26"/>
      <c r="M819" s="27"/>
      <c r="N819" s="27"/>
      <c r="O819" s="28" t="str">
        <f aca="false">IF(OR(M819="",M819=0,N819=""),"",N819/M819)</f>
        <v/>
      </c>
      <c r="P819" s="28" t="str">
        <f aca="false">IF(M819="","",IFERROR(IF(INDEX(Parámetros!$B$14:$B$21,MATCH(I819,Parámetros!$A$14:$A$21,0))="",Parámetros!$B$5,INDEX(Parámetros!$B$14:$B$21,MATCH(I819,Parámetros!$A$14:$A$21,0))),Parámetros!$B$5))</f>
        <v/>
      </c>
      <c r="Q819" s="29" t="str">
        <f aca="false">IF(O819="","",(O819-P819)*100)</f>
        <v/>
      </c>
      <c r="R819" s="30" t="str">
        <f aca="false">IF(O819="","",MAX(0,M819*(P819-O819)))</f>
        <v/>
      </c>
      <c r="S819" s="31" t="str">
        <f aca="false">IF(OR(L819="",L819=0,N819=""),"",N819/1000/L819)</f>
        <v/>
      </c>
      <c r="T819" s="27"/>
      <c r="U819" s="27"/>
      <c r="V819" s="27"/>
      <c r="W819" s="27"/>
      <c r="X819" s="27"/>
      <c r="Y819" s="27"/>
      <c r="Z819" s="27"/>
      <c r="AA819" s="25"/>
      <c r="AB819" s="27"/>
      <c r="AC819" s="30" t="str">
        <f aca="false">IF(M819="","",IF(AB819="",M819*Parámetros!$B$6,AB819))</f>
        <v/>
      </c>
      <c r="AD819" s="30" t="str">
        <f aca="false">IF(M819="","",SUM(T819:Z819)+AC819)</f>
        <v/>
      </c>
      <c r="AE819" s="30" t="str">
        <f aca="false">IF(OR(M819="",N819=""),"",M819-N819)</f>
        <v/>
      </c>
      <c r="AF819" s="30" t="str">
        <f aca="false">IF(AE819="","",AE819-AD819)</f>
        <v/>
      </c>
      <c r="AG819" s="28" t="str">
        <f aca="false">IF(OR(AF819="",M819=0),"",AF819/M819)</f>
        <v/>
      </c>
      <c r="AH819" s="32" t="str">
        <f aca="false">IF(OR(AE819="",N819=0),"",AE819/(N819/1000))</f>
        <v/>
      </c>
      <c r="AI819" s="30" t="str">
        <f aca="false">IF(O819="","",M819*P819)</f>
        <v/>
      </c>
      <c r="AJ819" s="11" t="str">
        <f aca="false">IF(O819="","",IF(O819&gt;1,"Error: rend &gt; 100 %",IF(SUM(T819:Z819)=0,"Falta registrar pérdidas",IF(ABS(AG819)&gt;Parámetros!$B$7,"Revisar balance",IF(O819&lt;P819,"Bajo meta","OK")))))</f>
        <v/>
      </c>
      <c r="AK819" s="33"/>
      <c r="AL819" s="10"/>
      <c r="AM819" s="33"/>
      <c r="AN819" s="33"/>
      <c r="AO819" s="10"/>
    </row>
    <row r="820" customFormat="false" ht="15" hidden="false" customHeight="false" outlineLevel="0" collapsed="false">
      <c r="A820" s="22"/>
      <c r="B820" s="23" t="str">
        <f aca="false">IF(A820="","",YEAR(A820-WEEKDAY(A820,2)+4))</f>
        <v/>
      </c>
      <c r="C820" s="23" t="str">
        <f aca="false">IF(A820="","",WEEKNUM(A820,21))</f>
        <v/>
      </c>
      <c r="D820" s="24" t="str">
        <f aca="false">IF(A820="","",DATE(YEAR(A820),MONTH(A820),1))</f>
        <v/>
      </c>
      <c r="E820" s="10"/>
      <c r="F820" s="25"/>
      <c r="G820" s="25"/>
      <c r="H820" s="10"/>
      <c r="I820" s="10"/>
      <c r="J820" s="26"/>
      <c r="K820" s="25"/>
      <c r="L820" s="26"/>
      <c r="M820" s="27"/>
      <c r="N820" s="27"/>
      <c r="O820" s="28" t="str">
        <f aca="false">IF(OR(M820="",M820=0,N820=""),"",N820/M820)</f>
        <v/>
      </c>
      <c r="P820" s="28" t="str">
        <f aca="false">IF(M820="","",IFERROR(IF(INDEX(Parámetros!$B$14:$B$21,MATCH(I820,Parámetros!$A$14:$A$21,0))="",Parámetros!$B$5,INDEX(Parámetros!$B$14:$B$21,MATCH(I820,Parámetros!$A$14:$A$21,0))),Parámetros!$B$5))</f>
        <v/>
      </c>
      <c r="Q820" s="29" t="str">
        <f aca="false">IF(O820="","",(O820-P820)*100)</f>
        <v/>
      </c>
      <c r="R820" s="30" t="str">
        <f aca="false">IF(O820="","",MAX(0,M820*(P820-O820)))</f>
        <v/>
      </c>
      <c r="S820" s="31" t="str">
        <f aca="false">IF(OR(L820="",L820=0,N820=""),"",N820/1000/L820)</f>
        <v/>
      </c>
      <c r="T820" s="27"/>
      <c r="U820" s="27"/>
      <c r="V820" s="27"/>
      <c r="W820" s="27"/>
      <c r="X820" s="27"/>
      <c r="Y820" s="27"/>
      <c r="Z820" s="27"/>
      <c r="AA820" s="25"/>
      <c r="AB820" s="27"/>
      <c r="AC820" s="30" t="str">
        <f aca="false">IF(M820="","",IF(AB820="",M820*Parámetros!$B$6,AB820))</f>
        <v/>
      </c>
      <c r="AD820" s="30" t="str">
        <f aca="false">IF(M820="","",SUM(T820:Z820)+AC820)</f>
        <v/>
      </c>
      <c r="AE820" s="30" t="str">
        <f aca="false">IF(OR(M820="",N820=""),"",M820-N820)</f>
        <v/>
      </c>
      <c r="AF820" s="30" t="str">
        <f aca="false">IF(AE820="","",AE820-AD820)</f>
        <v/>
      </c>
      <c r="AG820" s="28" t="str">
        <f aca="false">IF(OR(AF820="",M820=0),"",AF820/M820)</f>
        <v/>
      </c>
      <c r="AH820" s="32" t="str">
        <f aca="false">IF(OR(AE820="",N820=0),"",AE820/(N820/1000))</f>
        <v/>
      </c>
      <c r="AI820" s="30" t="str">
        <f aca="false">IF(O820="","",M820*P820)</f>
        <v/>
      </c>
      <c r="AJ820" s="11" t="str">
        <f aca="false">IF(O820="","",IF(O820&gt;1,"Error: rend &gt; 100 %",IF(SUM(T820:Z820)=0,"Falta registrar pérdidas",IF(ABS(AG820)&gt;Parámetros!$B$7,"Revisar balance",IF(O820&lt;P820,"Bajo meta","OK")))))</f>
        <v/>
      </c>
      <c r="AK820" s="33"/>
      <c r="AL820" s="10"/>
      <c r="AM820" s="33"/>
      <c r="AN820" s="33"/>
      <c r="AO820" s="10"/>
    </row>
    <row r="821" customFormat="false" ht="15" hidden="false" customHeight="false" outlineLevel="0" collapsed="false">
      <c r="A821" s="22"/>
      <c r="B821" s="23" t="str">
        <f aca="false">IF(A821="","",YEAR(A821-WEEKDAY(A821,2)+4))</f>
        <v/>
      </c>
      <c r="C821" s="23" t="str">
        <f aca="false">IF(A821="","",WEEKNUM(A821,21))</f>
        <v/>
      </c>
      <c r="D821" s="24" t="str">
        <f aca="false">IF(A821="","",DATE(YEAR(A821),MONTH(A821),1))</f>
        <v/>
      </c>
      <c r="E821" s="10"/>
      <c r="F821" s="25"/>
      <c r="G821" s="25"/>
      <c r="H821" s="10"/>
      <c r="I821" s="10"/>
      <c r="J821" s="26"/>
      <c r="K821" s="25"/>
      <c r="L821" s="26"/>
      <c r="M821" s="27"/>
      <c r="N821" s="27"/>
      <c r="O821" s="28" t="str">
        <f aca="false">IF(OR(M821="",M821=0,N821=""),"",N821/M821)</f>
        <v/>
      </c>
      <c r="P821" s="28" t="str">
        <f aca="false">IF(M821="","",IFERROR(IF(INDEX(Parámetros!$B$14:$B$21,MATCH(I821,Parámetros!$A$14:$A$21,0))="",Parámetros!$B$5,INDEX(Parámetros!$B$14:$B$21,MATCH(I821,Parámetros!$A$14:$A$21,0))),Parámetros!$B$5))</f>
        <v/>
      </c>
      <c r="Q821" s="29" t="str">
        <f aca="false">IF(O821="","",(O821-P821)*100)</f>
        <v/>
      </c>
      <c r="R821" s="30" t="str">
        <f aca="false">IF(O821="","",MAX(0,M821*(P821-O821)))</f>
        <v/>
      </c>
      <c r="S821" s="31" t="str">
        <f aca="false">IF(OR(L821="",L821=0,N821=""),"",N821/1000/L821)</f>
        <v/>
      </c>
      <c r="T821" s="27"/>
      <c r="U821" s="27"/>
      <c r="V821" s="27"/>
      <c r="W821" s="27"/>
      <c r="X821" s="27"/>
      <c r="Y821" s="27"/>
      <c r="Z821" s="27"/>
      <c r="AA821" s="25"/>
      <c r="AB821" s="27"/>
      <c r="AC821" s="30" t="str">
        <f aca="false">IF(M821="","",IF(AB821="",M821*Parámetros!$B$6,AB821))</f>
        <v/>
      </c>
      <c r="AD821" s="30" t="str">
        <f aca="false">IF(M821="","",SUM(T821:Z821)+AC821)</f>
        <v/>
      </c>
      <c r="AE821" s="30" t="str">
        <f aca="false">IF(OR(M821="",N821=""),"",M821-N821)</f>
        <v/>
      </c>
      <c r="AF821" s="30" t="str">
        <f aca="false">IF(AE821="","",AE821-AD821)</f>
        <v/>
      </c>
      <c r="AG821" s="28" t="str">
        <f aca="false">IF(OR(AF821="",M821=0),"",AF821/M821)</f>
        <v/>
      </c>
      <c r="AH821" s="32" t="str">
        <f aca="false">IF(OR(AE821="",N821=0),"",AE821/(N821/1000))</f>
        <v/>
      </c>
      <c r="AI821" s="30" t="str">
        <f aca="false">IF(O821="","",M821*P821)</f>
        <v/>
      </c>
      <c r="AJ821" s="11" t="str">
        <f aca="false">IF(O821="","",IF(O821&gt;1,"Error: rend &gt; 100 %",IF(SUM(T821:Z821)=0,"Falta registrar pérdidas",IF(ABS(AG821)&gt;Parámetros!$B$7,"Revisar balance",IF(O821&lt;P821,"Bajo meta","OK")))))</f>
        <v/>
      </c>
      <c r="AK821" s="33"/>
      <c r="AL821" s="10"/>
      <c r="AM821" s="33"/>
      <c r="AN821" s="33"/>
      <c r="AO821" s="10"/>
    </row>
    <row r="822" customFormat="false" ht="15" hidden="false" customHeight="false" outlineLevel="0" collapsed="false">
      <c r="A822" s="22"/>
      <c r="B822" s="23" t="str">
        <f aca="false">IF(A822="","",YEAR(A822-WEEKDAY(A822,2)+4))</f>
        <v/>
      </c>
      <c r="C822" s="23" t="str">
        <f aca="false">IF(A822="","",WEEKNUM(A822,21))</f>
        <v/>
      </c>
      <c r="D822" s="24" t="str">
        <f aca="false">IF(A822="","",DATE(YEAR(A822),MONTH(A822),1))</f>
        <v/>
      </c>
      <c r="E822" s="10"/>
      <c r="F822" s="25"/>
      <c r="G822" s="25"/>
      <c r="H822" s="10"/>
      <c r="I822" s="10"/>
      <c r="J822" s="26"/>
      <c r="K822" s="25"/>
      <c r="L822" s="26"/>
      <c r="M822" s="27"/>
      <c r="N822" s="27"/>
      <c r="O822" s="28" t="str">
        <f aca="false">IF(OR(M822="",M822=0,N822=""),"",N822/M822)</f>
        <v/>
      </c>
      <c r="P822" s="28" t="str">
        <f aca="false">IF(M822="","",IFERROR(IF(INDEX(Parámetros!$B$14:$B$21,MATCH(I822,Parámetros!$A$14:$A$21,0))="",Parámetros!$B$5,INDEX(Parámetros!$B$14:$B$21,MATCH(I822,Parámetros!$A$14:$A$21,0))),Parámetros!$B$5))</f>
        <v/>
      </c>
      <c r="Q822" s="29" t="str">
        <f aca="false">IF(O822="","",(O822-P822)*100)</f>
        <v/>
      </c>
      <c r="R822" s="30" t="str">
        <f aca="false">IF(O822="","",MAX(0,M822*(P822-O822)))</f>
        <v/>
      </c>
      <c r="S822" s="31" t="str">
        <f aca="false">IF(OR(L822="",L822=0,N822=""),"",N822/1000/L822)</f>
        <v/>
      </c>
      <c r="T822" s="27"/>
      <c r="U822" s="27"/>
      <c r="V822" s="27"/>
      <c r="W822" s="27"/>
      <c r="X822" s="27"/>
      <c r="Y822" s="27"/>
      <c r="Z822" s="27"/>
      <c r="AA822" s="25"/>
      <c r="AB822" s="27"/>
      <c r="AC822" s="30" t="str">
        <f aca="false">IF(M822="","",IF(AB822="",M822*Parámetros!$B$6,AB822))</f>
        <v/>
      </c>
      <c r="AD822" s="30" t="str">
        <f aca="false">IF(M822="","",SUM(T822:Z822)+AC822)</f>
        <v/>
      </c>
      <c r="AE822" s="30" t="str">
        <f aca="false">IF(OR(M822="",N822=""),"",M822-N822)</f>
        <v/>
      </c>
      <c r="AF822" s="30" t="str">
        <f aca="false">IF(AE822="","",AE822-AD822)</f>
        <v/>
      </c>
      <c r="AG822" s="28" t="str">
        <f aca="false">IF(OR(AF822="",M822=0),"",AF822/M822)</f>
        <v/>
      </c>
      <c r="AH822" s="32" t="str">
        <f aca="false">IF(OR(AE822="",N822=0),"",AE822/(N822/1000))</f>
        <v/>
      </c>
      <c r="AI822" s="30" t="str">
        <f aca="false">IF(O822="","",M822*P822)</f>
        <v/>
      </c>
      <c r="AJ822" s="11" t="str">
        <f aca="false">IF(O822="","",IF(O822&gt;1,"Error: rend &gt; 100 %",IF(SUM(T822:Z822)=0,"Falta registrar pérdidas",IF(ABS(AG822)&gt;Parámetros!$B$7,"Revisar balance",IF(O822&lt;P822,"Bajo meta","OK")))))</f>
        <v/>
      </c>
      <c r="AK822" s="33"/>
      <c r="AL822" s="10"/>
      <c r="AM822" s="33"/>
      <c r="AN822" s="33"/>
      <c r="AO822" s="10"/>
    </row>
    <row r="823" customFormat="false" ht="15" hidden="false" customHeight="false" outlineLevel="0" collapsed="false">
      <c r="A823" s="22"/>
      <c r="B823" s="23" t="str">
        <f aca="false">IF(A823="","",YEAR(A823-WEEKDAY(A823,2)+4))</f>
        <v/>
      </c>
      <c r="C823" s="23" t="str">
        <f aca="false">IF(A823="","",WEEKNUM(A823,21))</f>
        <v/>
      </c>
      <c r="D823" s="24" t="str">
        <f aca="false">IF(A823="","",DATE(YEAR(A823),MONTH(A823),1))</f>
        <v/>
      </c>
      <c r="E823" s="10"/>
      <c r="F823" s="25"/>
      <c r="G823" s="25"/>
      <c r="H823" s="10"/>
      <c r="I823" s="10"/>
      <c r="J823" s="26"/>
      <c r="K823" s="25"/>
      <c r="L823" s="26"/>
      <c r="M823" s="27"/>
      <c r="N823" s="27"/>
      <c r="O823" s="28" t="str">
        <f aca="false">IF(OR(M823="",M823=0,N823=""),"",N823/M823)</f>
        <v/>
      </c>
      <c r="P823" s="28" t="str">
        <f aca="false">IF(M823="","",IFERROR(IF(INDEX(Parámetros!$B$14:$B$21,MATCH(I823,Parámetros!$A$14:$A$21,0))="",Parámetros!$B$5,INDEX(Parámetros!$B$14:$B$21,MATCH(I823,Parámetros!$A$14:$A$21,0))),Parámetros!$B$5))</f>
        <v/>
      </c>
      <c r="Q823" s="29" t="str">
        <f aca="false">IF(O823="","",(O823-P823)*100)</f>
        <v/>
      </c>
      <c r="R823" s="30" t="str">
        <f aca="false">IF(O823="","",MAX(0,M823*(P823-O823)))</f>
        <v/>
      </c>
      <c r="S823" s="31" t="str">
        <f aca="false">IF(OR(L823="",L823=0,N823=""),"",N823/1000/L823)</f>
        <v/>
      </c>
      <c r="T823" s="27"/>
      <c r="U823" s="27"/>
      <c r="V823" s="27"/>
      <c r="W823" s="27"/>
      <c r="X823" s="27"/>
      <c r="Y823" s="27"/>
      <c r="Z823" s="27"/>
      <c r="AA823" s="25"/>
      <c r="AB823" s="27"/>
      <c r="AC823" s="30" t="str">
        <f aca="false">IF(M823="","",IF(AB823="",M823*Parámetros!$B$6,AB823))</f>
        <v/>
      </c>
      <c r="AD823" s="30" t="str">
        <f aca="false">IF(M823="","",SUM(T823:Z823)+AC823)</f>
        <v/>
      </c>
      <c r="AE823" s="30" t="str">
        <f aca="false">IF(OR(M823="",N823=""),"",M823-N823)</f>
        <v/>
      </c>
      <c r="AF823" s="30" t="str">
        <f aca="false">IF(AE823="","",AE823-AD823)</f>
        <v/>
      </c>
      <c r="AG823" s="28" t="str">
        <f aca="false">IF(OR(AF823="",M823=0),"",AF823/M823)</f>
        <v/>
      </c>
      <c r="AH823" s="32" t="str">
        <f aca="false">IF(OR(AE823="",N823=0),"",AE823/(N823/1000))</f>
        <v/>
      </c>
      <c r="AI823" s="30" t="str">
        <f aca="false">IF(O823="","",M823*P823)</f>
        <v/>
      </c>
      <c r="AJ823" s="11" t="str">
        <f aca="false">IF(O823="","",IF(O823&gt;1,"Error: rend &gt; 100 %",IF(SUM(T823:Z823)=0,"Falta registrar pérdidas",IF(ABS(AG823)&gt;Parámetros!$B$7,"Revisar balance",IF(O823&lt;P823,"Bajo meta","OK")))))</f>
        <v/>
      </c>
      <c r="AK823" s="33"/>
      <c r="AL823" s="10"/>
      <c r="AM823" s="33"/>
      <c r="AN823" s="33"/>
      <c r="AO823" s="10"/>
    </row>
    <row r="824" customFormat="false" ht="15" hidden="false" customHeight="false" outlineLevel="0" collapsed="false">
      <c r="A824" s="22"/>
      <c r="B824" s="23" t="str">
        <f aca="false">IF(A824="","",YEAR(A824-WEEKDAY(A824,2)+4))</f>
        <v/>
      </c>
      <c r="C824" s="23" t="str">
        <f aca="false">IF(A824="","",WEEKNUM(A824,21))</f>
        <v/>
      </c>
      <c r="D824" s="24" t="str">
        <f aca="false">IF(A824="","",DATE(YEAR(A824),MONTH(A824),1))</f>
        <v/>
      </c>
      <c r="E824" s="10"/>
      <c r="F824" s="25"/>
      <c r="G824" s="25"/>
      <c r="H824" s="10"/>
      <c r="I824" s="10"/>
      <c r="J824" s="26"/>
      <c r="K824" s="25"/>
      <c r="L824" s="26"/>
      <c r="M824" s="27"/>
      <c r="N824" s="27"/>
      <c r="O824" s="28" t="str">
        <f aca="false">IF(OR(M824="",M824=0,N824=""),"",N824/M824)</f>
        <v/>
      </c>
      <c r="P824" s="28" t="str">
        <f aca="false">IF(M824="","",IFERROR(IF(INDEX(Parámetros!$B$14:$B$21,MATCH(I824,Parámetros!$A$14:$A$21,0))="",Parámetros!$B$5,INDEX(Parámetros!$B$14:$B$21,MATCH(I824,Parámetros!$A$14:$A$21,0))),Parámetros!$B$5))</f>
        <v/>
      </c>
      <c r="Q824" s="29" t="str">
        <f aca="false">IF(O824="","",(O824-P824)*100)</f>
        <v/>
      </c>
      <c r="R824" s="30" t="str">
        <f aca="false">IF(O824="","",MAX(0,M824*(P824-O824)))</f>
        <v/>
      </c>
      <c r="S824" s="31" t="str">
        <f aca="false">IF(OR(L824="",L824=0,N824=""),"",N824/1000/L824)</f>
        <v/>
      </c>
      <c r="T824" s="27"/>
      <c r="U824" s="27"/>
      <c r="V824" s="27"/>
      <c r="W824" s="27"/>
      <c r="X824" s="27"/>
      <c r="Y824" s="27"/>
      <c r="Z824" s="27"/>
      <c r="AA824" s="25"/>
      <c r="AB824" s="27"/>
      <c r="AC824" s="30" t="str">
        <f aca="false">IF(M824="","",IF(AB824="",M824*Parámetros!$B$6,AB824))</f>
        <v/>
      </c>
      <c r="AD824" s="30" t="str">
        <f aca="false">IF(M824="","",SUM(T824:Z824)+AC824)</f>
        <v/>
      </c>
      <c r="AE824" s="30" t="str">
        <f aca="false">IF(OR(M824="",N824=""),"",M824-N824)</f>
        <v/>
      </c>
      <c r="AF824" s="30" t="str">
        <f aca="false">IF(AE824="","",AE824-AD824)</f>
        <v/>
      </c>
      <c r="AG824" s="28" t="str">
        <f aca="false">IF(OR(AF824="",M824=0),"",AF824/M824)</f>
        <v/>
      </c>
      <c r="AH824" s="32" t="str">
        <f aca="false">IF(OR(AE824="",N824=0),"",AE824/(N824/1000))</f>
        <v/>
      </c>
      <c r="AI824" s="30" t="str">
        <f aca="false">IF(O824="","",M824*P824)</f>
        <v/>
      </c>
      <c r="AJ824" s="11" t="str">
        <f aca="false">IF(O824="","",IF(O824&gt;1,"Error: rend &gt; 100 %",IF(SUM(T824:Z824)=0,"Falta registrar pérdidas",IF(ABS(AG824)&gt;Parámetros!$B$7,"Revisar balance",IF(O824&lt;P824,"Bajo meta","OK")))))</f>
        <v/>
      </c>
      <c r="AK824" s="33"/>
      <c r="AL824" s="10"/>
      <c r="AM824" s="33"/>
      <c r="AN824" s="33"/>
      <c r="AO824" s="10"/>
    </row>
    <row r="825" customFormat="false" ht="15" hidden="false" customHeight="false" outlineLevel="0" collapsed="false">
      <c r="A825" s="22"/>
      <c r="B825" s="23" t="str">
        <f aca="false">IF(A825="","",YEAR(A825-WEEKDAY(A825,2)+4))</f>
        <v/>
      </c>
      <c r="C825" s="23" t="str">
        <f aca="false">IF(A825="","",WEEKNUM(A825,21))</f>
        <v/>
      </c>
      <c r="D825" s="24" t="str">
        <f aca="false">IF(A825="","",DATE(YEAR(A825),MONTH(A825),1))</f>
        <v/>
      </c>
      <c r="E825" s="10"/>
      <c r="F825" s="25"/>
      <c r="G825" s="25"/>
      <c r="H825" s="10"/>
      <c r="I825" s="10"/>
      <c r="J825" s="26"/>
      <c r="K825" s="25"/>
      <c r="L825" s="26"/>
      <c r="M825" s="27"/>
      <c r="N825" s="27"/>
      <c r="O825" s="28" t="str">
        <f aca="false">IF(OR(M825="",M825=0,N825=""),"",N825/M825)</f>
        <v/>
      </c>
      <c r="P825" s="28" t="str">
        <f aca="false">IF(M825="","",IFERROR(IF(INDEX(Parámetros!$B$14:$B$21,MATCH(I825,Parámetros!$A$14:$A$21,0))="",Parámetros!$B$5,INDEX(Parámetros!$B$14:$B$21,MATCH(I825,Parámetros!$A$14:$A$21,0))),Parámetros!$B$5))</f>
        <v/>
      </c>
      <c r="Q825" s="29" t="str">
        <f aca="false">IF(O825="","",(O825-P825)*100)</f>
        <v/>
      </c>
      <c r="R825" s="30" t="str">
        <f aca="false">IF(O825="","",MAX(0,M825*(P825-O825)))</f>
        <v/>
      </c>
      <c r="S825" s="31" t="str">
        <f aca="false">IF(OR(L825="",L825=0,N825=""),"",N825/1000/L825)</f>
        <v/>
      </c>
      <c r="T825" s="27"/>
      <c r="U825" s="27"/>
      <c r="V825" s="27"/>
      <c r="W825" s="27"/>
      <c r="X825" s="27"/>
      <c r="Y825" s="27"/>
      <c r="Z825" s="27"/>
      <c r="AA825" s="25"/>
      <c r="AB825" s="27"/>
      <c r="AC825" s="30" t="str">
        <f aca="false">IF(M825="","",IF(AB825="",M825*Parámetros!$B$6,AB825))</f>
        <v/>
      </c>
      <c r="AD825" s="30" t="str">
        <f aca="false">IF(M825="","",SUM(T825:Z825)+AC825)</f>
        <v/>
      </c>
      <c r="AE825" s="30" t="str">
        <f aca="false">IF(OR(M825="",N825=""),"",M825-N825)</f>
        <v/>
      </c>
      <c r="AF825" s="30" t="str">
        <f aca="false">IF(AE825="","",AE825-AD825)</f>
        <v/>
      </c>
      <c r="AG825" s="28" t="str">
        <f aca="false">IF(OR(AF825="",M825=0),"",AF825/M825)</f>
        <v/>
      </c>
      <c r="AH825" s="32" t="str">
        <f aca="false">IF(OR(AE825="",N825=0),"",AE825/(N825/1000))</f>
        <v/>
      </c>
      <c r="AI825" s="30" t="str">
        <f aca="false">IF(O825="","",M825*P825)</f>
        <v/>
      </c>
      <c r="AJ825" s="11" t="str">
        <f aca="false">IF(O825="","",IF(O825&gt;1,"Error: rend &gt; 100 %",IF(SUM(T825:Z825)=0,"Falta registrar pérdidas",IF(ABS(AG825)&gt;Parámetros!$B$7,"Revisar balance",IF(O825&lt;P825,"Bajo meta","OK")))))</f>
        <v/>
      </c>
      <c r="AK825" s="33"/>
      <c r="AL825" s="10"/>
      <c r="AM825" s="33"/>
      <c r="AN825" s="33"/>
      <c r="AO825" s="10"/>
    </row>
    <row r="826" customFormat="false" ht="15" hidden="false" customHeight="false" outlineLevel="0" collapsed="false">
      <c r="A826" s="22"/>
      <c r="B826" s="23" t="str">
        <f aca="false">IF(A826="","",YEAR(A826-WEEKDAY(A826,2)+4))</f>
        <v/>
      </c>
      <c r="C826" s="23" t="str">
        <f aca="false">IF(A826="","",WEEKNUM(A826,21))</f>
        <v/>
      </c>
      <c r="D826" s="24" t="str">
        <f aca="false">IF(A826="","",DATE(YEAR(A826),MONTH(A826),1))</f>
        <v/>
      </c>
      <c r="E826" s="10"/>
      <c r="F826" s="25"/>
      <c r="G826" s="25"/>
      <c r="H826" s="10"/>
      <c r="I826" s="10"/>
      <c r="J826" s="26"/>
      <c r="K826" s="25"/>
      <c r="L826" s="26"/>
      <c r="M826" s="27"/>
      <c r="N826" s="27"/>
      <c r="O826" s="28" t="str">
        <f aca="false">IF(OR(M826="",M826=0,N826=""),"",N826/M826)</f>
        <v/>
      </c>
      <c r="P826" s="28" t="str">
        <f aca="false">IF(M826="","",IFERROR(IF(INDEX(Parámetros!$B$14:$B$21,MATCH(I826,Parámetros!$A$14:$A$21,0))="",Parámetros!$B$5,INDEX(Parámetros!$B$14:$B$21,MATCH(I826,Parámetros!$A$14:$A$21,0))),Parámetros!$B$5))</f>
        <v/>
      </c>
      <c r="Q826" s="29" t="str">
        <f aca="false">IF(O826="","",(O826-P826)*100)</f>
        <v/>
      </c>
      <c r="R826" s="30" t="str">
        <f aca="false">IF(O826="","",MAX(0,M826*(P826-O826)))</f>
        <v/>
      </c>
      <c r="S826" s="31" t="str">
        <f aca="false">IF(OR(L826="",L826=0,N826=""),"",N826/1000/L826)</f>
        <v/>
      </c>
      <c r="T826" s="27"/>
      <c r="U826" s="27"/>
      <c r="V826" s="27"/>
      <c r="W826" s="27"/>
      <c r="X826" s="27"/>
      <c r="Y826" s="27"/>
      <c r="Z826" s="27"/>
      <c r="AA826" s="25"/>
      <c r="AB826" s="27"/>
      <c r="AC826" s="30" t="str">
        <f aca="false">IF(M826="","",IF(AB826="",M826*Parámetros!$B$6,AB826))</f>
        <v/>
      </c>
      <c r="AD826" s="30" t="str">
        <f aca="false">IF(M826="","",SUM(T826:Z826)+AC826)</f>
        <v/>
      </c>
      <c r="AE826" s="30" t="str">
        <f aca="false">IF(OR(M826="",N826=""),"",M826-N826)</f>
        <v/>
      </c>
      <c r="AF826" s="30" t="str">
        <f aca="false">IF(AE826="","",AE826-AD826)</f>
        <v/>
      </c>
      <c r="AG826" s="28" t="str">
        <f aca="false">IF(OR(AF826="",M826=0),"",AF826/M826)</f>
        <v/>
      </c>
      <c r="AH826" s="32" t="str">
        <f aca="false">IF(OR(AE826="",N826=0),"",AE826/(N826/1000))</f>
        <v/>
      </c>
      <c r="AI826" s="30" t="str">
        <f aca="false">IF(O826="","",M826*P826)</f>
        <v/>
      </c>
      <c r="AJ826" s="11" t="str">
        <f aca="false">IF(O826="","",IF(O826&gt;1,"Error: rend &gt; 100 %",IF(SUM(T826:Z826)=0,"Falta registrar pérdidas",IF(ABS(AG826)&gt;Parámetros!$B$7,"Revisar balance",IF(O826&lt;P826,"Bajo meta","OK")))))</f>
        <v/>
      </c>
      <c r="AK826" s="33"/>
      <c r="AL826" s="10"/>
      <c r="AM826" s="33"/>
      <c r="AN826" s="33"/>
      <c r="AO826" s="10"/>
    </row>
    <row r="827" customFormat="false" ht="15" hidden="false" customHeight="false" outlineLevel="0" collapsed="false">
      <c r="A827" s="22"/>
      <c r="B827" s="23" t="str">
        <f aca="false">IF(A827="","",YEAR(A827-WEEKDAY(A827,2)+4))</f>
        <v/>
      </c>
      <c r="C827" s="23" t="str">
        <f aca="false">IF(A827="","",WEEKNUM(A827,21))</f>
        <v/>
      </c>
      <c r="D827" s="24" t="str">
        <f aca="false">IF(A827="","",DATE(YEAR(A827),MONTH(A827),1))</f>
        <v/>
      </c>
      <c r="E827" s="10"/>
      <c r="F827" s="25"/>
      <c r="G827" s="25"/>
      <c r="H827" s="10"/>
      <c r="I827" s="10"/>
      <c r="J827" s="26"/>
      <c r="K827" s="25"/>
      <c r="L827" s="26"/>
      <c r="M827" s="27"/>
      <c r="N827" s="27"/>
      <c r="O827" s="28" t="str">
        <f aca="false">IF(OR(M827="",M827=0,N827=""),"",N827/M827)</f>
        <v/>
      </c>
      <c r="P827" s="28" t="str">
        <f aca="false">IF(M827="","",IFERROR(IF(INDEX(Parámetros!$B$14:$B$21,MATCH(I827,Parámetros!$A$14:$A$21,0))="",Parámetros!$B$5,INDEX(Parámetros!$B$14:$B$21,MATCH(I827,Parámetros!$A$14:$A$21,0))),Parámetros!$B$5))</f>
        <v/>
      </c>
      <c r="Q827" s="29" t="str">
        <f aca="false">IF(O827="","",(O827-P827)*100)</f>
        <v/>
      </c>
      <c r="R827" s="30" t="str">
        <f aca="false">IF(O827="","",MAX(0,M827*(P827-O827)))</f>
        <v/>
      </c>
      <c r="S827" s="31" t="str">
        <f aca="false">IF(OR(L827="",L827=0,N827=""),"",N827/1000/L827)</f>
        <v/>
      </c>
      <c r="T827" s="27"/>
      <c r="U827" s="27"/>
      <c r="V827" s="27"/>
      <c r="W827" s="27"/>
      <c r="X827" s="27"/>
      <c r="Y827" s="27"/>
      <c r="Z827" s="27"/>
      <c r="AA827" s="25"/>
      <c r="AB827" s="27"/>
      <c r="AC827" s="30" t="str">
        <f aca="false">IF(M827="","",IF(AB827="",M827*Parámetros!$B$6,AB827))</f>
        <v/>
      </c>
      <c r="AD827" s="30" t="str">
        <f aca="false">IF(M827="","",SUM(T827:Z827)+AC827)</f>
        <v/>
      </c>
      <c r="AE827" s="30" t="str">
        <f aca="false">IF(OR(M827="",N827=""),"",M827-N827)</f>
        <v/>
      </c>
      <c r="AF827" s="30" t="str">
        <f aca="false">IF(AE827="","",AE827-AD827)</f>
        <v/>
      </c>
      <c r="AG827" s="28" t="str">
        <f aca="false">IF(OR(AF827="",M827=0),"",AF827/M827)</f>
        <v/>
      </c>
      <c r="AH827" s="32" t="str">
        <f aca="false">IF(OR(AE827="",N827=0),"",AE827/(N827/1000))</f>
        <v/>
      </c>
      <c r="AI827" s="30" t="str">
        <f aca="false">IF(O827="","",M827*P827)</f>
        <v/>
      </c>
      <c r="AJ827" s="11" t="str">
        <f aca="false">IF(O827="","",IF(O827&gt;1,"Error: rend &gt; 100 %",IF(SUM(T827:Z827)=0,"Falta registrar pérdidas",IF(ABS(AG827)&gt;Parámetros!$B$7,"Revisar balance",IF(O827&lt;P827,"Bajo meta","OK")))))</f>
        <v/>
      </c>
      <c r="AK827" s="33"/>
      <c r="AL827" s="10"/>
      <c r="AM827" s="33"/>
      <c r="AN827" s="33"/>
      <c r="AO827" s="10"/>
    </row>
    <row r="828" customFormat="false" ht="15" hidden="false" customHeight="false" outlineLevel="0" collapsed="false">
      <c r="A828" s="22"/>
      <c r="B828" s="23" t="str">
        <f aca="false">IF(A828="","",YEAR(A828-WEEKDAY(A828,2)+4))</f>
        <v/>
      </c>
      <c r="C828" s="23" t="str">
        <f aca="false">IF(A828="","",WEEKNUM(A828,21))</f>
        <v/>
      </c>
      <c r="D828" s="24" t="str">
        <f aca="false">IF(A828="","",DATE(YEAR(A828),MONTH(A828),1))</f>
        <v/>
      </c>
      <c r="E828" s="10"/>
      <c r="F828" s="25"/>
      <c r="G828" s="25"/>
      <c r="H828" s="10"/>
      <c r="I828" s="10"/>
      <c r="J828" s="26"/>
      <c r="K828" s="25"/>
      <c r="L828" s="26"/>
      <c r="M828" s="27"/>
      <c r="N828" s="27"/>
      <c r="O828" s="28" t="str">
        <f aca="false">IF(OR(M828="",M828=0,N828=""),"",N828/M828)</f>
        <v/>
      </c>
      <c r="P828" s="28" t="str">
        <f aca="false">IF(M828="","",IFERROR(IF(INDEX(Parámetros!$B$14:$B$21,MATCH(I828,Parámetros!$A$14:$A$21,0))="",Parámetros!$B$5,INDEX(Parámetros!$B$14:$B$21,MATCH(I828,Parámetros!$A$14:$A$21,0))),Parámetros!$B$5))</f>
        <v/>
      </c>
      <c r="Q828" s="29" t="str">
        <f aca="false">IF(O828="","",(O828-P828)*100)</f>
        <v/>
      </c>
      <c r="R828" s="30" t="str">
        <f aca="false">IF(O828="","",MAX(0,M828*(P828-O828)))</f>
        <v/>
      </c>
      <c r="S828" s="31" t="str">
        <f aca="false">IF(OR(L828="",L828=0,N828=""),"",N828/1000/L828)</f>
        <v/>
      </c>
      <c r="T828" s="27"/>
      <c r="U828" s="27"/>
      <c r="V828" s="27"/>
      <c r="W828" s="27"/>
      <c r="X828" s="27"/>
      <c r="Y828" s="27"/>
      <c r="Z828" s="27"/>
      <c r="AA828" s="25"/>
      <c r="AB828" s="27"/>
      <c r="AC828" s="30" t="str">
        <f aca="false">IF(M828="","",IF(AB828="",M828*Parámetros!$B$6,AB828))</f>
        <v/>
      </c>
      <c r="AD828" s="30" t="str">
        <f aca="false">IF(M828="","",SUM(T828:Z828)+AC828)</f>
        <v/>
      </c>
      <c r="AE828" s="30" t="str">
        <f aca="false">IF(OR(M828="",N828=""),"",M828-N828)</f>
        <v/>
      </c>
      <c r="AF828" s="30" t="str">
        <f aca="false">IF(AE828="","",AE828-AD828)</f>
        <v/>
      </c>
      <c r="AG828" s="28" t="str">
        <f aca="false">IF(OR(AF828="",M828=0),"",AF828/M828)</f>
        <v/>
      </c>
      <c r="AH828" s="32" t="str">
        <f aca="false">IF(OR(AE828="",N828=0),"",AE828/(N828/1000))</f>
        <v/>
      </c>
      <c r="AI828" s="30" t="str">
        <f aca="false">IF(O828="","",M828*P828)</f>
        <v/>
      </c>
      <c r="AJ828" s="11" t="str">
        <f aca="false">IF(O828="","",IF(O828&gt;1,"Error: rend &gt; 100 %",IF(SUM(T828:Z828)=0,"Falta registrar pérdidas",IF(ABS(AG828)&gt;Parámetros!$B$7,"Revisar balance",IF(O828&lt;P828,"Bajo meta","OK")))))</f>
        <v/>
      </c>
      <c r="AK828" s="33"/>
      <c r="AL828" s="10"/>
      <c r="AM828" s="33"/>
      <c r="AN828" s="33"/>
      <c r="AO828" s="10"/>
    </row>
    <row r="829" customFormat="false" ht="15" hidden="false" customHeight="false" outlineLevel="0" collapsed="false">
      <c r="A829" s="22"/>
      <c r="B829" s="23" t="str">
        <f aca="false">IF(A829="","",YEAR(A829-WEEKDAY(A829,2)+4))</f>
        <v/>
      </c>
      <c r="C829" s="23" t="str">
        <f aca="false">IF(A829="","",WEEKNUM(A829,21))</f>
        <v/>
      </c>
      <c r="D829" s="24" t="str">
        <f aca="false">IF(A829="","",DATE(YEAR(A829),MONTH(A829),1))</f>
        <v/>
      </c>
      <c r="E829" s="10"/>
      <c r="F829" s="25"/>
      <c r="G829" s="25"/>
      <c r="H829" s="10"/>
      <c r="I829" s="10"/>
      <c r="J829" s="26"/>
      <c r="K829" s="25"/>
      <c r="L829" s="26"/>
      <c r="M829" s="27"/>
      <c r="N829" s="27"/>
      <c r="O829" s="28" t="str">
        <f aca="false">IF(OR(M829="",M829=0,N829=""),"",N829/M829)</f>
        <v/>
      </c>
      <c r="P829" s="28" t="str">
        <f aca="false">IF(M829="","",IFERROR(IF(INDEX(Parámetros!$B$14:$B$21,MATCH(I829,Parámetros!$A$14:$A$21,0))="",Parámetros!$B$5,INDEX(Parámetros!$B$14:$B$21,MATCH(I829,Parámetros!$A$14:$A$21,0))),Parámetros!$B$5))</f>
        <v/>
      </c>
      <c r="Q829" s="29" t="str">
        <f aca="false">IF(O829="","",(O829-P829)*100)</f>
        <v/>
      </c>
      <c r="R829" s="30" t="str">
        <f aca="false">IF(O829="","",MAX(0,M829*(P829-O829)))</f>
        <v/>
      </c>
      <c r="S829" s="31" t="str">
        <f aca="false">IF(OR(L829="",L829=0,N829=""),"",N829/1000/L829)</f>
        <v/>
      </c>
      <c r="T829" s="27"/>
      <c r="U829" s="27"/>
      <c r="V829" s="27"/>
      <c r="W829" s="27"/>
      <c r="X829" s="27"/>
      <c r="Y829" s="27"/>
      <c r="Z829" s="27"/>
      <c r="AA829" s="25"/>
      <c r="AB829" s="27"/>
      <c r="AC829" s="30" t="str">
        <f aca="false">IF(M829="","",IF(AB829="",M829*Parámetros!$B$6,AB829))</f>
        <v/>
      </c>
      <c r="AD829" s="30" t="str">
        <f aca="false">IF(M829="","",SUM(T829:Z829)+AC829)</f>
        <v/>
      </c>
      <c r="AE829" s="30" t="str">
        <f aca="false">IF(OR(M829="",N829=""),"",M829-N829)</f>
        <v/>
      </c>
      <c r="AF829" s="30" t="str">
        <f aca="false">IF(AE829="","",AE829-AD829)</f>
        <v/>
      </c>
      <c r="AG829" s="28" t="str">
        <f aca="false">IF(OR(AF829="",M829=0),"",AF829/M829)</f>
        <v/>
      </c>
      <c r="AH829" s="32" t="str">
        <f aca="false">IF(OR(AE829="",N829=0),"",AE829/(N829/1000))</f>
        <v/>
      </c>
      <c r="AI829" s="30" t="str">
        <f aca="false">IF(O829="","",M829*P829)</f>
        <v/>
      </c>
      <c r="AJ829" s="11" t="str">
        <f aca="false">IF(O829="","",IF(O829&gt;1,"Error: rend &gt; 100 %",IF(SUM(T829:Z829)=0,"Falta registrar pérdidas",IF(ABS(AG829)&gt;Parámetros!$B$7,"Revisar balance",IF(O829&lt;P829,"Bajo meta","OK")))))</f>
        <v/>
      </c>
      <c r="AK829" s="33"/>
      <c r="AL829" s="10"/>
      <c r="AM829" s="33"/>
      <c r="AN829" s="33"/>
      <c r="AO829" s="10"/>
    </row>
    <row r="830" customFormat="false" ht="15" hidden="false" customHeight="false" outlineLevel="0" collapsed="false">
      <c r="A830" s="22"/>
      <c r="B830" s="23" t="str">
        <f aca="false">IF(A830="","",YEAR(A830-WEEKDAY(A830,2)+4))</f>
        <v/>
      </c>
      <c r="C830" s="23" t="str">
        <f aca="false">IF(A830="","",WEEKNUM(A830,21))</f>
        <v/>
      </c>
      <c r="D830" s="24" t="str">
        <f aca="false">IF(A830="","",DATE(YEAR(A830),MONTH(A830),1))</f>
        <v/>
      </c>
      <c r="E830" s="10"/>
      <c r="F830" s="25"/>
      <c r="G830" s="25"/>
      <c r="H830" s="10"/>
      <c r="I830" s="10"/>
      <c r="J830" s="26"/>
      <c r="K830" s="25"/>
      <c r="L830" s="26"/>
      <c r="M830" s="27"/>
      <c r="N830" s="27"/>
      <c r="O830" s="28" t="str">
        <f aca="false">IF(OR(M830="",M830=0,N830=""),"",N830/M830)</f>
        <v/>
      </c>
      <c r="P830" s="28" t="str">
        <f aca="false">IF(M830="","",IFERROR(IF(INDEX(Parámetros!$B$14:$B$21,MATCH(I830,Parámetros!$A$14:$A$21,0))="",Parámetros!$B$5,INDEX(Parámetros!$B$14:$B$21,MATCH(I830,Parámetros!$A$14:$A$21,0))),Parámetros!$B$5))</f>
        <v/>
      </c>
      <c r="Q830" s="29" t="str">
        <f aca="false">IF(O830="","",(O830-P830)*100)</f>
        <v/>
      </c>
      <c r="R830" s="30" t="str">
        <f aca="false">IF(O830="","",MAX(0,M830*(P830-O830)))</f>
        <v/>
      </c>
      <c r="S830" s="31" t="str">
        <f aca="false">IF(OR(L830="",L830=0,N830=""),"",N830/1000/L830)</f>
        <v/>
      </c>
      <c r="T830" s="27"/>
      <c r="U830" s="27"/>
      <c r="V830" s="27"/>
      <c r="W830" s="27"/>
      <c r="X830" s="27"/>
      <c r="Y830" s="27"/>
      <c r="Z830" s="27"/>
      <c r="AA830" s="25"/>
      <c r="AB830" s="27"/>
      <c r="AC830" s="30" t="str">
        <f aca="false">IF(M830="","",IF(AB830="",M830*Parámetros!$B$6,AB830))</f>
        <v/>
      </c>
      <c r="AD830" s="30" t="str">
        <f aca="false">IF(M830="","",SUM(T830:Z830)+AC830)</f>
        <v/>
      </c>
      <c r="AE830" s="30" t="str">
        <f aca="false">IF(OR(M830="",N830=""),"",M830-N830)</f>
        <v/>
      </c>
      <c r="AF830" s="30" t="str">
        <f aca="false">IF(AE830="","",AE830-AD830)</f>
        <v/>
      </c>
      <c r="AG830" s="28" t="str">
        <f aca="false">IF(OR(AF830="",M830=0),"",AF830/M830)</f>
        <v/>
      </c>
      <c r="AH830" s="32" t="str">
        <f aca="false">IF(OR(AE830="",N830=0),"",AE830/(N830/1000))</f>
        <v/>
      </c>
      <c r="AI830" s="30" t="str">
        <f aca="false">IF(O830="","",M830*P830)</f>
        <v/>
      </c>
      <c r="AJ830" s="11" t="str">
        <f aca="false">IF(O830="","",IF(O830&gt;1,"Error: rend &gt; 100 %",IF(SUM(T830:Z830)=0,"Falta registrar pérdidas",IF(ABS(AG830)&gt;Parámetros!$B$7,"Revisar balance",IF(O830&lt;P830,"Bajo meta","OK")))))</f>
        <v/>
      </c>
      <c r="AK830" s="33"/>
      <c r="AL830" s="10"/>
      <c r="AM830" s="33"/>
      <c r="AN830" s="33"/>
      <c r="AO830" s="10"/>
    </row>
    <row r="831" customFormat="false" ht="15" hidden="false" customHeight="false" outlineLevel="0" collapsed="false">
      <c r="A831" s="22"/>
      <c r="B831" s="23" t="str">
        <f aca="false">IF(A831="","",YEAR(A831-WEEKDAY(A831,2)+4))</f>
        <v/>
      </c>
      <c r="C831" s="23" t="str">
        <f aca="false">IF(A831="","",WEEKNUM(A831,21))</f>
        <v/>
      </c>
      <c r="D831" s="24" t="str">
        <f aca="false">IF(A831="","",DATE(YEAR(A831),MONTH(A831),1))</f>
        <v/>
      </c>
      <c r="E831" s="10"/>
      <c r="F831" s="25"/>
      <c r="G831" s="25"/>
      <c r="H831" s="10"/>
      <c r="I831" s="10"/>
      <c r="J831" s="26"/>
      <c r="K831" s="25"/>
      <c r="L831" s="26"/>
      <c r="M831" s="27"/>
      <c r="N831" s="27"/>
      <c r="O831" s="28" t="str">
        <f aca="false">IF(OR(M831="",M831=0,N831=""),"",N831/M831)</f>
        <v/>
      </c>
      <c r="P831" s="28" t="str">
        <f aca="false">IF(M831="","",IFERROR(IF(INDEX(Parámetros!$B$14:$B$21,MATCH(I831,Parámetros!$A$14:$A$21,0))="",Parámetros!$B$5,INDEX(Parámetros!$B$14:$B$21,MATCH(I831,Parámetros!$A$14:$A$21,0))),Parámetros!$B$5))</f>
        <v/>
      </c>
      <c r="Q831" s="29" t="str">
        <f aca="false">IF(O831="","",(O831-P831)*100)</f>
        <v/>
      </c>
      <c r="R831" s="30" t="str">
        <f aca="false">IF(O831="","",MAX(0,M831*(P831-O831)))</f>
        <v/>
      </c>
      <c r="S831" s="31" t="str">
        <f aca="false">IF(OR(L831="",L831=0,N831=""),"",N831/1000/L831)</f>
        <v/>
      </c>
      <c r="T831" s="27"/>
      <c r="U831" s="27"/>
      <c r="V831" s="27"/>
      <c r="W831" s="27"/>
      <c r="X831" s="27"/>
      <c r="Y831" s="27"/>
      <c r="Z831" s="27"/>
      <c r="AA831" s="25"/>
      <c r="AB831" s="27"/>
      <c r="AC831" s="30" t="str">
        <f aca="false">IF(M831="","",IF(AB831="",M831*Parámetros!$B$6,AB831))</f>
        <v/>
      </c>
      <c r="AD831" s="30" t="str">
        <f aca="false">IF(M831="","",SUM(T831:Z831)+AC831)</f>
        <v/>
      </c>
      <c r="AE831" s="30" t="str">
        <f aca="false">IF(OR(M831="",N831=""),"",M831-N831)</f>
        <v/>
      </c>
      <c r="AF831" s="30" t="str">
        <f aca="false">IF(AE831="","",AE831-AD831)</f>
        <v/>
      </c>
      <c r="AG831" s="28" t="str">
        <f aca="false">IF(OR(AF831="",M831=0),"",AF831/M831)</f>
        <v/>
      </c>
      <c r="AH831" s="32" t="str">
        <f aca="false">IF(OR(AE831="",N831=0),"",AE831/(N831/1000))</f>
        <v/>
      </c>
      <c r="AI831" s="30" t="str">
        <f aca="false">IF(O831="","",M831*P831)</f>
        <v/>
      </c>
      <c r="AJ831" s="11" t="str">
        <f aca="false">IF(O831="","",IF(O831&gt;1,"Error: rend &gt; 100 %",IF(SUM(T831:Z831)=0,"Falta registrar pérdidas",IF(ABS(AG831)&gt;Parámetros!$B$7,"Revisar balance",IF(O831&lt;P831,"Bajo meta","OK")))))</f>
        <v/>
      </c>
      <c r="AK831" s="33"/>
      <c r="AL831" s="10"/>
      <c r="AM831" s="33"/>
      <c r="AN831" s="33"/>
      <c r="AO831" s="10"/>
    </row>
    <row r="832" customFormat="false" ht="15" hidden="false" customHeight="false" outlineLevel="0" collapsed="false">
      <c r="A832" s="22"/>
      <c r="B832" s="23" t="str">
        <f aca="false">IF(A832="","",YEAR(A832-WEEKDAY(A832,2)+4))</f>
        <v/>
      </c>
      <c r="C832" s="23" t="str">
        <f aca="false">IF(A832="","",WEEKNUM(A832,21))</f>
        <v/>
      </c>
      <c r="D832" s="24" t="str">
        <f aca="false">IF(A832="","",DATE(YEAR(A832),MONTH(A832),1))</f>
        <v/>
      </c>
      <c r="E832" s="10"/>
      <c r="F832" s="25"/>
      <c r="G832" s="25"/>
      <c r="H832" s="10"/>
      <c r="I832" s="10"/>
      <c r="J832" s="26"/>
      <c r="K832" s="25"/>
      <c r="L832" s="26"/>
      <c r="M832" s="27"/>
      <c r="N832" s="27"/>
      <c r="O832" s="28" t="str">
        <f aca="false">IF(OR(M832="",M832=0,N832=""),"",N832/M832)</f>
        <v/>
      </c>
      <c r="P832" s="28" t="str">
        <f aca="false">IF(M832="","",IFERROR(IF(INDEX(Parámetros!$B$14:$B$21,MATCH(I832,Parámetros!$A$14:$A$21,0))="",Parámetros!$B$5,INDEX(Parámetros!$B$14:$B$21,MATCH(I832,Parámetros!$A$14:$A$21,0))),Parámetros!$B$5))</f>
        <v/>
      </c>
      <c r="Q832" s="29" t="str">
        <f aca="false">IF(O832="","",(O832-P832)*100)</f>
        <v/>
      </c>
      <c r="R832" s="30" t="str">
        <f aca="false">IF(O832="","",MAX(0,M832*(P832-O832)))</f>
        <v/>
      </c>
      <c r="S832" s="31" t="str">
        <f aca="false">IF(OR(L832="",L832=0,N832=""),"",N832/1000/L832)</f>
        <v/>
      </c>
      <c r="T832" s="27"/>
      <c r="U832" s="27"/>
      <c r="V832" s="27"/>
      <c r="W832" s="27"/>
      <c r="X832" s="27"/>
      <c r="Y832" s="27"/>
      <c r="Z832" s="27"/>
      <c r="AA832" s="25"/>
      <c r="AB832" s="27"/>
      <c r="AC832" s="30" t="str">
        <f aca="false">IF(M832="","",IF(AB832="",M832*Parámetros!$B$6,AB832))</f>
        <v/>
      </c>
      <c r="AD832" s="30" t="str">
        <f aca="false">IF(M832="","",SUM(T832:Z832)+AC832)</f>
        <v/>
      </c>
      <c r="AE832" s="30" t="str">
        <f aca="false">IF(OR(M832="",N832=""),"",M832-N832)</f>
        <v/>
      </c>
      <c r="AF832" s="30" t="str">
        <f aca="false">IF(AE832="","",AE832-AD832)</f>
        <v/>
      </c>
      <c r="AG832" s="28" t="str">
        <f aca="false">IF(OR(AF832="",M832=0),"",AF832/M832)</f>
        <v/>
      </c>
      <c r="AH832" s="32" t="str">
        <f aca="false">IF(OR(AE832="",N832=0),"",AE832/(N832/1000))</f>
        <v/>
      </c>
      <c r="AI832" s="30" t="str">
        <f aca="false">IF(O832="","",M832*P832)</f>
        <v/>
      </c>
      <c r="AJ832" s="11" t="str">
        <f aca="false">IF(O832="","",IF(O832&gt;1,"Error: rend &gt; 100 %",IF(SUM(T832:Z832)=0,"Falta registrar pérdidas",IF(ABS(AG832)&gt;Parámetros!$B$7,"Revisar balance",IF(O832&lt;P832,"Bajo meta","OK")))))</f>
        <v/>
      </c>
      <c r="AK832" s="33"/>
      <c r="AL832" s="10"/>
      <c r="AM832" s="33"/>
      <c r="AN832" s="33"/>
      <c r="AO832" s="10"/>
    </row>
    <row r="833" customFormat="false" ht="15" hidden="false" customHeight="false" outlineLevel="0" collapsed="false">
      <c r="A833" s="22"/>
      <c r="B833" s="23" t="str">
        <f aca="false">IF(A833="","",YEAR(A833-WEEKDAY(A833,2)+4))</f>
        <v/>
      </c>
      <c r="C833" s="23" t="str">
        <f aca="false">IF(A833="","",WEEKNUM(A833,21))</f>
        <v/>
      </c>
      <c r="D833" s="24" t="str">
        <f aca="false">IF(A833="","",DATE(YEAR(A833),MONTH(A833),1))</f>
        <v/>
      </c>
      <c r="E833" s="10"/>
      <c r="F833" s="25"/>
      <c r="G833" s="25"/>
      <c r="H833" s="10"/>
      <c r="I833" s="10"/>
      <c r="J833" s="26"/>
      <c r="K833" s="25"/>
      <c r="L833" s="26"/>
      <c r="M833" s="27"/>
      <c r="N833" s="27"/>
      <c r="O833" s="28" t="str">
        <f aca="false">IF(OR(M833="",M833=0,N833=""),"",N833/M833)</f>
        <v/>
      </c>
      <c r="P833" s="28" t="str">
        <f aca="false">IF(M833="","",IFERROR(IF(INDEX(Parámetros!$B$14:$B$21,MATCH(I833,Parámetros!$A$14:$A$21,0))="",Parámetros!$B$5,INDEX(Parámetros!$B$14:$B$21,MATCH(I833,Parámetros!$A$14:$A$21,0))),Parámetros!$B$5))</f>
        <v/>
      </c>
      <c r="Q833" s="29" t="str">
        <f aca="false">IF(O833="","",(O833-P833)*100)</f>
        <v/>
      </c>
      <c r="R833" s="30" t="str">
        <f aca="false">IF(O833="","",MAX(0,M833*(P833-O833)))</f>
        <v/>
      </c>
      <c r="S833" s="31" t="str">
        <f aca="false">IF(OR(L833="",L833=0,N833=""),"",N833/1000/L833)</f>
        <v/>
      </c>
      <c r="T833" s="27"/>
      <c r="U833" s="27"/>
      <c r="V833" s="27"/>
      <c r="W833" s="27"/>
      <c r="X833" s="27"/>
      <c r="Y833" s="27"/>
      <c r="Z833" s="27"/>
      <c r="AA833" s="25"/>
      <c r="AB833" s="27"/>
      <c r="AC833" s="30" t="str">
        <f aca="false">IF(M833="","",IF(AB833="",M833*Parámetros!$B$6,AB833))</f>
        <v/>
      </c>
      <c r="AD833" s="30" t="str">
        <f aca="false">IF(M833="","",SUM(T833:Z833)+AC833)</f>
        <v/>
      </c>
      <c r="AE833" s="30" t="str">
        <f aca="false">IF(OR(M833="",N833=""),"",M833-N833)</f>
        <v/>
      </c>
      <c r="AF833" s="30" t="str">
        <f aca="false">IF(AE833="","",AE833-AD833)</f>
        <v/>
      </c>
      <c r="AG833" s="28" t="str">
        <f aca="false">IF(OR(AF833="",M833=0),"",AF833/M833)</f>
        <v/>
      </c>
      <c r="AH833" s="32" t="str">
        <f aca="false">IF(OR(AE833="",N833=0),"",AE833/(N833/1000))</f>
        <v/>
      </c>
      <c r="AI833" s="30" t="str">
        <f aca="false">IF(O833="","",M833*P833)</f>
        <v/>
      </c>
      <c r="AJ833" s="11" t="str">
        <f aca="false">IF(O833="","",IF(O833&gt;1,"Error: rend &gt; 100 %",IF(SUM(T833:Z833)=0,"Falta registrar pérdidas",IF(ABS(AG833)&gt;Parámetros!$B$7,"Revisar balance",IF(O833&lt;P833,"Bajo meta","OK")))))</f>
        <v/>
      </c>
      <c r="AK833" s="33"/>
      <c r="AL833" s="10"/>
      <c r="AM833" s="33"/>
      <c r="AN833" s="33"/>
      <c r="AO833" s="10"/>
    </row>
    <row r="834" customFormat="false" ht="15" hidden="false" customHeight="false" outlineLevel="0" collapsed="false">
      <c r="A834" s="22"/>
      <c r="B834" s="23" t="str">
        <f aca="false">IF(A834="","",YEAR(A834-WEEKDAY(A834,2)+4))</f>
        <v/>
      </c>
      <c r="C834" s="23" t="str">
        <f aca="false">IF(A834="","",WEEKNUM(A834,21))</f>
        <v/>
      </c>
      <c r="D834" s="24" t="str">
        <f aca="false">IF(A834="","",DATE(YEAR(A834),MONTH(A834),1))</f>
        <v/>
      </c>
      <c r="E834" s="10"/>
      <c r="F834" s="25"/>
      <c r="G834" s="25"/>
      <c r="H834" s="10"/>
      <c r="I834" s="10"/>
      <c r="J834" s="26"/>
      <c r="K834" s="25"/>
      <c r="L834" s="26"/>
      <c r="M834" s="27"/>
      <c r="N834" s="27"/>
      <c r="O834" s="28" t="str">
        <f aca="false">IF(OR(M834="",M834=0,N834=""),"",N834/M834)</f>
        <v/>
      </c>
      <c r="P834" s="28" t="str">
        <f aca="false">IF(M834="","",IFERROR(IF(INDEX(Parámetros!$B$14:$B$21,MATCH(I834,Parámetros!$A$14:$A$21,0))="",Parámetros!$B$5,INDEX(Parámetros!$B$14:$B$21,MATCH(I834,Parámetros!$A$14:$A$21,0))),Parámetros!$B$5))</f>
        <v/>
      </c>
      <c r="Q834" s="29" t="str">
        <f aca="false">IF(O834="","",(O834-P834)*100)</f>
        <v/>
      </c>
      <c r="R834" s="30" t="str">
        <f aca="false">IF(O834="","",MAX(0,M834*(P834-O834)))</f>
        <v/>
      </c>
      <c r="S834" s="31" t="str">
        <f aca="false">IF(OR(L834="",L834=0,N834=""),"",N834/1000/L834)</f>
        <v/>
      </c>
      <c r="T834" s="27"/>
      <c r="U834" s="27"/>
      <c r="V834" s="27"/>
      <c r="W834" s="27"/>
      <c r="X834" s="27"/>
      <c r="Y834" s="27"/>
      <c r="Z834" s="27"/>
      <c r="AA834" s="25"/>
      <c r="AB834" s="27"/>
      <c r="AC834" s="30" t="str">
        <f aca="false">IF(M834="","",IF(AB834="",M834*Parámetros!$B$6,AB834))</f>
        <v/>
      </c>
      <c r="AD834" s="30" t="str">
        <f aca="false">IF(M834="","",SUM(T834:Z834)+AC834)</f>
        <v/>
      </c>
      <c r="AE834" s="30" t="str">
        <f aca="false">IF(OR(M834="",N834=""),"",M834-N834)</f>
        <v/>
      </c>
      <c r="AF834" s="30" t="str">
        <f aca="false">IF(AE834="","",AE834-AD834)</f>
        <v/>
      </c>
      <c r="AG834" s="28" t="str">
        <f aca="false">IF(OR(AF834="",M834=0),"",AF834/M834)</f>
        <v/>
      </c>
      <c r="AH834" s="32" t="str">
        <f aca="false">IF(OR(AE834="",N834=0),"",AE834/(N834/1000))</f>
        <v/>
      </c>
      <c r="AI834" s="30" t="str">
        <f aca="false">IF(O834="","",M834*P834)</f>
        <v/>
      </c>
      <c r="AJ834" s="11" t="str">
        <f aca="false">IF(O834="","",IF(O834&gt;1,"Error: rend &gt; 100 %",IF(SUM(T834:Z834)=0,"Falta registrar pérdidas",IF(ABS(AG834)&gt;Parámetros!$B$7,"Revisar balance",IF(O834&lt;P834,"Bajo meta","OK")))))</f>
        <v/>
      </c>
      <c r="AK834" s="33"/>
      <c r="AL834" s="10"/>
      <c r="AM834" s="33"/>
      <c r="AN834" s="33"/>
      <c r="AO834" s="10"/>
    </row>
    <row r="835" customFormat="false" ht="15" hidden="false" customHeight="false" outlineLevel="0" collapsed="false">
      <c r="A835" s="22"/>
      <c r="B835" s="23" t="str">
        <f aca="false">IF(A835="","",YEAR(A835-WEEKDAY(A835,2)+4))</f>
        <v/>
      </c>
      <c r="C835" s="23" t="str">
        <f aca="false">IF(A835="","",WEEKNUM(A835,21))</f>
        <v/>
      </c>
      <c r="D835" s="24" t="str">
        <f aca="false">IF(A835="","",DATE(YEAR(A835),MONTH(A835),1))</f>
        <v/>
      </c>
      <c r="E835" s="10"/>
      <c r="F835" s="25"/>
      <c r="G835" s="25"/>
      <c r="H835" s="10"/>
      <c r="I835" s="10"/>
      <c r="J835" s="26"/>
      <c r="K835" s="25"/>
      <c r="L835" s="26"/>
      <c r="M835" s="27"/>
      <c r="N835" s="27"/>
      <c r="O835" s="28" t="str">
        <f aca="false">IF(OR(M835="",M835=0,N835=""),"",N835/M835)</f>
        <v/>
      </c>
      <c r="P835" s="28" t="str">
        <f aca="false">IF(M835="","",IFERROR(IF(INDEX(Parámetros!$B$14:$B$21,MATCH(I835,Parámetros!$A$14:$A$21,0))="",Parámetros!$B$5,INDEX(Parámetros!$B$14:$B$21,MATCH(I835,Parámetros!$A$14:$A$21,0))),Parámetros!$B$5))</f>
        <v/>
      </c>
      <c r="Q835" s="29" t="str">
        <f aca="false">IF(O835="","",(O835-P835)*100)</f>
        <v/>
      </c>
      <c r="R835" s="30" t="str">
        <f aca="false">IF(O835="","",MAX(0,M835*(P835-O835)))</f>
        <v/>
      </c>
      <c r="S835" s="31" t="str">
        <f aca="false">IF(OR(L835="",L835=0,N835=""),"",N835/1000/L835)</f>
        <v/>
      </c>
      <c r="T835" s="27"/>
      <c r="U835" s="27"/>
      <c r="V835" s="27"/>
      <c r="W835" s="27"/>
      <c r="X835" s="27"/>
      <c r="Y835" s="27"/>
      <c r="Z835" s="27"/>
      <c r="AA835" s="25"/>
      <c r="AB835" s="27"/>
      <c r="AC835" s="30" t="str">
        <f aca="false">IF(M835="","",IF(AB835="",M835*Parámetros!$B$6,AB835))</f>
        <v/>
      </c>
      <c r="AD835" s="30" t="str">
        <f aca="false">IF(M835="","",SUM(T835:Z835)+AC835)</f>
        <v/>
      </c>
      <c r="AE835" s="30" t="str">
        <f aca="false">IF(OR(M835="",N835=""),"",M835-N835)</f>
        <v/>
      </c>
      <c r="AF835" s="30" t="str">
        <f aca="false">IF(AE835="","",AE835-AD835)</f>
        <v/>
      </c>
      <c r="AG835" s="28" t="str">
        <f aca="false">IF(OR(AF835="",M835=0),"",AF835/M835)</f>
        <v/>
      </c>
      <c r="AH835" s="32" t="str">
        <f aca="false">IF(OR(AE835="",N835=0),"",AE835/(N835/1000))</f>
        <v/>
      </c>
      <c r="AI835" s="30" t="str">
        <f aca="false">IF(O835="","",M835*P835)</f>
        <v/>
      </c>
      <c r="AJ835" s="11" t="str">
        <f aca="false">IF(O835="","",IF(O835&gt;1,"Error: rend &gt; 100 %",IF(SUM(T835:Z835)=0,"Falta registrar pérdidas",IF(ABS(AG835)&gt;Parámetros!$B$7,"Revisar balance",IF(O835&lt;P835,"Bajo meta","OK")))))</f>
        <v/>
      </c>
      <c r="AK835" s="33"/>
      <c r="AL835" s="10"/>
      <c r="AM835" s="33"/>
      <c r="AN835" s="33"/>
      <c r="AO835" s="10"/>
    </row>
    <row r="836" customFormat="false" ht="15" hidden="false" customHeight="false" outlineLevel="0" collapsed="false">
      <c r="A836" s="22"/>
      <c r="B836" s="23" t="str">
        <f aca="false">IF(A836="","",YEAR(A836-WEEKDAY(A836,2)+4))</f>
        <v/>
      </c>
      <c r="C836" s="23" t="str">
        <f aca="false">IF(A836="","",WEEKNUM(A836,21))</f>
        <v/>
      </c>
      <c r="D836" s="24" t="str">
        <f aca="false">IF(A836="","",DATE(YEAR(A836),MONTH(A836),1))</f>
        <v/>
      </c>
      <c r="E836" s="10"/>
      <c r="F836" s="25"/>
      <c r="G836" s="25"/>
      <c r="H836" s="10"/>
      <c r="I836" s="10"/>
      <c r="J836" s="26"/>
      <c r="K836" s="25"/>
      <c r="L836" s="26"/>
      <c r="M836" s="27"/>
      <c r="N836" s="27"/>
      <c r="O836" s="28" t="str">
        <f aca="false">IF(OR(M836="",M836=0,N836=""),"",N836/M836)</f>
        <v/>
      </c>
      <c r="P836" s="28" t="str">
        <f aca="false">IF(M836="","",IFERROR(IF(INDEX(Parámetros!$B$14:$B$21,MATCH(I836,Parámetros!$A$14:$A$21,0))="",Parámetros!$B$5,INDEX(Parámetros!$B$14:$B$21,MATCH(I836,Parámetros!$A$14:$A$21,0))),Parámetros!$B$5))</f>
        <v/>
      </c>
      <c r="Q836" s="29" t="str">
        <f aca="false">IF(O836="","",(O836-P836)*100)</f>
        <v/>
      </c>
      <c r="R836" s="30" t="str">
        <f aca="false">IF(O836="","",MAX(0,M836*(P836-O836)))</f>
        <v/>
      </c>
      <c r="S836" s="31" t="str">
        <f aca="false">IF(OR(L836="",L836=0,N836=""),"",N836/1000/L836)</f>
        <v/>
      </c>
      <c r="T836" s="27"/>
      <c r="U836" s="27"/>
      <c r="V836" s="27"/>
      <c r="W836" s="27"/>
      <c r="X836" s="27"/>
      <c r="Y836" s="27"/>
      <c r="Z836" s="27"/>
      <c r="AA836" s="25"/>
      <c r="AB836" s="27"/>
      <c r="AC836" s="30" t="str">
        <f aca="false">IF(M836="","",IF(AB836="",M836*Parámetros!$B$6,AB836))</f>
        <v/>
      </c>
      <c r="AD836" s="30" t="str">
        <f aca="false">IF(M836="","",SUM(T836:Z836)+AC836)</f>
        <v/>
      </c>
      <c r="AE836" s="30" t="str">
        <f aca="false">IF(OR(M836="",N836=""),"",M836-N836)</f>
        <v/>
      </c>
      <c r="AF836" s="30" t="str">
        <f aca="false">IF(AE836="","",AE836-AD836)</f>
        <v/>
      </c>
      <c r="AG836" s="28" t="str">
        <f aca="false">IF(OR(AF836="",M836=0),"",AF836/M836)</f>
        <v/>
      </c>
      <c r="AH836" s="32" t="str">
        <f aca="false">IF(OR(AE836="",N836=0),"",AE836/(N836/1000))</f>
        <v/>
      </c>
      <c r="AI836" s="30" t="str">
        <f aca="false">IF(O836="","",M836*P836)</f>
        <v/>
      </c>
      <c r="AJ836" s="11" t="str">
        <f aca="false">IF(O836="","",IF(O836&gt;1,"Error: rend &gt; 100 %",IF(SUM(T836:Z836)=0,"Falta registrar pérdidas",IF(ABS(AG836)&gt;Parámetros!$B$7,"Revisar balance",IF(O836&lt;P836,"Bajo meta","OK")))))</f>
        <v/>
      </c>
      <c r="AK836" s="33"/>
      <c r="AL836" s="10"/>
      <c r="AM836" s="33"/>
      <c r="AN836" s="33"/>
      <c r="AO836" s="10"/>
    </row>
    <row r="837" customFormat="false" ht="15" hidden="false" customHeight="false" outlineLevel="0" collapsed="false">
      <c r="A837" s="22"/>
      <c r="B837" s="23" t="str">
        <f aca="false">IF(A837="","",YEAR(A837-WEEKDAY(A837,2)+4))</f>
        <v/>
      </c>
      <c r="C837" s="23" t="str">
        <f aca="false">IF(A837="","",WEEKNUM(A837,21))</f>
        <v/>
      </c>
      <c r="D837" s="24" t="str">
        <f aca="false">IF(A837="","",DATE(YEAR(A837),MONTH(A837),1))</f>
        <v/>
      </c>
      <c r="E837" s="10"/>
      <c r="F837" s="25"/>
      <c r="G837" s="25"/>
      <c r="H837" s="10"/>
      <c r="I837" s="10"/>
      <c r="J837" s="26"/>
      <c r="K837" s="25"/>
      <c r="L837" s="26"/>
      <c r="M837" s="27"/>
      <c r="N837" s="27"/>
      <c r="O837" s="28" t="str">
        <f aca="false">IF(OR(M837="",M837=0,N837=""),"",N837/M837)</f>
        <v/>
      </c>
      <c r="P837" s="28" t="str">
        <f aca="false">IF(M837="","",IFERROR(IF(INDEX(Parámetros!$B$14:$B$21,MATCH(I837,Parámetros!$A$14:$A$21,0))="",Parámetros!$B$5,INDEX(Parámetros!$B$14:$B$21,MATCH(I837,Parámetros!$A$14:$A$21,0))),Parámetros!$B$5))</f>
        <v/>
      </c>
      <c r="Q837" s="29" t="str">
        <f aca="false">IF(O837="","",(O837-P837)*100)</f>
        <v/>
      </c>
      <c r="R837" s="30" t="str">
        <f aca="false">IF(O837="","",MAX(0,M837*(P837-O837)))</f>
        <v/>
      </c>
      <c r="S837" s="31" t="str">
        <f aca="false">IF(OR(L837="",L837=0,N837=""),"",N837/1000/L837)</f>
        <v/>
      </c>
      <c r="T837" s="27"/>
      <c r="U837" s="27"/>
      <c r="V837" s="27"/>
      <c r="W837" s="27"/>
      <c r="X837" s="27"/>
      <c r="Y837" s="27"/>
      <c r="Z837" s="27"/>
      <c r="AA837" s="25"/>
      <c r="AB837" s="27"/>
      <c r="AC837" s="30" t="str">
        <f aca="false">IF(M837="","",IF(AB837="",M837*Parámetros!$B$6,AB837))</f>
        <v/>
      </c>
      <c r="AD837" s="30" t="str">
        <f aca="false">IF(M837="","",SUM(T837:Z837)+AC837)</f>
        <v/>
      </c>
      <c r="AE837" s="30" t="str">
        <f aca="false">IF(OR(M837="",N837=""),"",M837-N837)</f>
        <v/>
      </c>
      <c r="AF837" s="30" t="str">
        <f aca="false">IF(AE837="","",AE837-AD837)</f>
        <v/>
      </c>
      <c r="AG837" s="28" t="str">
        <f aca="false">IF(OR(AF837="",M837=0),"",AF837/M837)</f>
        <v/>
      </c>
      <c r="AH837" s="32" t="str">
        <f aca="false">IF(OR(AE837="",N837=0),"",AE837/(N837/1000))</f>
        <v/>
      </c>
      <c r="AI837" s="30" t="str">
        <f aca="false">IF(O837="","",M837*P837)</f>
        <v/>
      </c>
      <c r="AJ837" s="11" t="str">
        <f aca="false">IF(O837="","",IF(O837&gt;1,"Error: rend &gt; 100 %",IF(SUM(T837:Z837)=0,"Falta registrar pérdidas",IF(ABS(AG837)&gt;Parámetros!$B$7,"Revisar balance",IF(O837&lt;P837,"Bajo meta","OK")))))</f>
        <v/>
      </c>
      <c r="AK837" s="33"/>
      <c r="AL837" s="10"/>
      <c r="AM837" s="33"/>
      <c r="AN837" s="33"/>
      <c r="AO837" s="10"/>
    </row>
    <row r="838" customFormat="false" ht="15" hidden="false" customHeight="false" outlineLevel="0" collapsed="false">
      <c r="A838" s="22"/>
      <c r="B838" s="23" t="str">
        <f aca="false">IF(A838="","",YEAR(A838-WEEKDAY(A838,2)+4))</f>
        <v/>
      </c>
      <c r="C838" s="23" t="str">
        <f aca="false">IF(A838="","",WEEKNUM(A838,21))</f>
        <v/>
      </c>
      <c r="D838" s="24" t="str">
        <f aca="false">IF(A838="","",DATE(YEAR(A838),MONTH(A838),1))</f>
        <v/>
      </c>
      <c r="E838" s="10"/>
      <c r="F838" s="25"/>
      <c r="G838" s="25"/>
      <c r="H838" s="10"/>
      <c r="I838" s="10"/>
      <c r="J838" s="26"/>
      <c r="K838" s="25"/>
      <c r="L838" s="26"/>
      <c r="M838" s="27"/>
      <c r="N838" s="27"/>
      <c r="O838" s="28" t="str">
        <f aca="false">IF(OR(M838="",M838=0,N838=""),"",N838/M838)</f>
        <v/>
      </c>
      <c r="P838" s="28" t="str">
        <f aca="false">IF(M838="","",IFERROR(IF(INDEX(Parámetros!$B$14:$B$21,MATCH(I838,Parámetros!$A$14:$A$21,0))="",Parámetros!$B$5,INDEX(Parámetros!$B$14:$B$21,MATCH(I838,Parámetros!$A$14:$A$21,0))),Parámetros!$B$5))</f>
        <v/>
      </c>
      <c r="Q838" s="29" t="str">
        <f aca="false">IF(O838="","",(O838-P838)*100)</f>
        <v/>
      </c>
      <c r="R838" s="30" t="str">
        <f aca="false">IF(O838="","",MAX(0,M838*(P838-O838)))</f>
        <v/>
      </c>
      <c r="S838" s="31" t="str">
        <f aca="false">IF(OR(L838="",L838=0,N838=""),"",N838/1000/L838)</f>
        <v/>
      </c>
      <c r="T838" s="27"/>
      <c r="U838" s="27"/>
      <c r="V838" s="27"/>
      <c r="W838" s="27"/>
      <c r="X838" s="27"/>
      <c r="Y838" s="27"/>
      <c r="Z838" s="27"/>
      <c r="AA838" s="25"/>
      <c r="AB838" s="27"/>
      <c r="AC838" s="30" t="str">
        <f aca="false">IF(M838="","",IF(AB838="",M838*Parámetros!$B$6,AB838))</f>
        <v/>
      </c>
      <c r="AD838" s="30" t="str">
        <f aca="false">IF(M838="","",SUM(T838:Z838)+AC838)</f>
        <v/>
      </c>
      <c r="AE838" s="30" t="str">
        <f aca="false">IF(OR(M838="",N838=""),"",M838-N838)</f>
        <v/>
      </c>
      <c r="AF838" s="30" t="str">
        <f aca="false">IF(AE838="","",AE838-AD838)</f>
        <v/>
      </c>
      <c r="AG838" s="28" t="str">
        <f aca="false">IF(OR(AF838="",M838=0),"",AF838/M838)</f>
        <v/>
      </c>
      <c r="AH838" s="32" t="str">
        <f aca="false">IF(OR(AE838="",N838=0),"",AE838/(N838/1000))</f>
        <v/>
      </c>
      <c r="AI838" s="30" t="str">
        <f aca="false">IF(O838="","",M838*P838)</f>
        <v/>
      </c>
      <c r="AJ838" s="11" t="str">
        <f aca="false">IF(O838="","",IF(O838&gt;1,"Error: rend &gt; 100 %",IF(SUM(T838:Z838)=0,"Falta registrar pérdidas",IF(ABS(AG838)&gt;Parámetros!$B$7,"Revisar balance",IF(O838&lt;P838,"Bajo meta","OK")))))</f>
        <v/>
      </c>
      <c r="AK838" s="33"/>
      <c r="AL838" s="10"/>
      <c r="AM838" s="33"/>
      <c r="AN838" s="33"/>
      <c r="AO838" s="10"/>
    </row>
    <row r="839" customFormat="false" ht="15" hidden="false" customHeight="false" outlineLevel="0" collapsed="false">
      <c r="A839" s="22"/>
      <c r="B839" s="23" t="str">
        <f aca="false">IF(A839="","",YEAR(A839-WEEKDAY(A839,2)+4))</f>
        <v/>
      </c>
      <c r="C839" s="23" t="str">
        <f aca="false">IF(A839="","",WEEKNUM(A839,21))</f>
        <v/>
      </c>
      <c r="D839" s="24" t="str">
        <f aca="false">IF(A839="","",DATE(YEAR(A839),MONTH(A839),1))</f>
        <v/>
      </c>
      <c r="E839" s="10"/>
      <c r="F839" s="25"/>
      <c r="G839" s="25"/>
      <c r="H839" s="10"/>
      <c r="I839" s="10"/>
      <c r="J839" s="26"/>
      <c r="K839" s="25"/>
      <c r="L839" s="26"/>
      <c r="M839" s="27"/>
      <c r="N839" s="27"/>
      <c r="O839" s="28" t="str">
        <f aca="false">IF(OR(M839="",M839=0,N839=""),"",N839/M839)</f>
        <v/>
      </c>
      <c r="P839" s="28" t="str">
        <f aca="false">IF(M839="","",IFERROR(IF(INDEX(Parámetros!$B$14:$B$21,MATCH(I839,Parámetros!$A$14:$A$21,0))="",Parámetros!$B$5,INDEX(Parámetros!$B$14:$B$21,MATCH(I839,Parámetros!$A$14:$A$21,0))),Parámetros!$B$5))</f>
        <v/>
      </c>
      <c r="Q839" s="29" t="str">
        <f aca="false">IF(O839="","",(O839-P839)*100)</f>
        <v/>
      </c>
      <c r="R839" s="30" t="str">
        <f aca="false">IF(O839="","",MAX(0,M839*(P839-O839)))</f>
        <v/>
      </c>
      <c r="S839" s="31" t="str">
        <f aca="false">IF(OR(L839="",L839=0,N839=""),"",N839/1000/L839)</f>
        <v/>
      </c>
      <c r="T839" s="27"/>
      <c r="U839" s="27"/>
      <c r="V839" s="27"/>
      <c r="W839" s="27"/>
      <c r="X839" s="27"/>
      <c r="Y839" s="27"/>
      <c r="Z839" s="27"/>
      <c r="AA839" s="25"/>
      <c r="AB839" s="27"/>
      <c r="AC839" s="30" t="str">
        <f aca="false">IF(M839="","",IF(AB839="",M839*Parámetros!$B$6,AB839))</f>
        <v/>
      </c>
      <c r="AD839" s="30" t="str">
        <f aca="false">IF(M839="","",SUM(T839:Z839)+AC839)</f>
        <v/>
      </c>
      <c r="AE839" s="30" t="str">
        <f aca="false">IF(OR(M839="",N839=""),"",M839-N839)</f>
        <v/>
      </c>
      <c r="AF839" s="30" t="str">
        <f aca="false">IF(AE839="","",AE839-AD839)</f>
        <v/>
      </c>
      <c r="AG839" s="28" t="str">
        <f aca="false">IF(OR(AF839="",M839=0),"",AF839/M839)</f>
        <v/>
      </c>
      <c r="AH839" s="32" t="str">
        <f aca="false">IF(OR(AE839="",N839=0),"",AE839/(N839/1000))</f>
        <v/>
      </c>
      <c r="AI839" s="30" t="str">
        <f aca="false">IF(O839="","",M839*P839)</f>
        <v/>
      </c>
      <c r="AJ839" s="11" t="str">
        <f aca="false">IF(O839="","",IF(O839&gt;1,"Error: rend &gt; 100 %",IF(SUM(T839:Z839)=0,"Falta registrar pérdidas",IF(ABS(AG839)&gt;Parámetros!$B$7,"Revisar balance",IF(O839&lt;P839,"Bajo meta","OK")))))</f>
        <v/>
      </c>
      <c r="AK839" s="33"/>
      <c r="AL839" s="10"/>
      <c r="AM839" s="33"/>
      <c r="AN839" s="33"/>
      <c r="AO839" s="10"/>
    </row>
    <row r="840" customFormat="false" ht="15" hidden="false" customHeight="false" outlineLevel="0" collapsed="false">
      <c r="A840" s="22"/>
      <c r="B840" s="23" t="str">
        <f aca="false">IF(A840="","",YEAR(A840-WEEKDAY(A840,2)+4))</f>
        <v/>
      </c>
      <c r="C840" s="23" t="str">
        <f aca="false">IF(A840="","",WEEKNUM(A840,21))</f>
        <v/>
      </c>
      <c r="D840" s="24" t="str">
        <f aca="false">IF(A840="","",DATE(YEAR(A840),MONTH(A840),1))</f>
        <v/>
      </c>
      <c r="E840" s="10"/>
      <c r="F840" s="25"/>
      <c r="G840" s="25"/>
      <c r="H840" s="10"/>
      <c r="I840" s="10"/>
      <c r="J840" s="26"/>
      <c r="K840" s="25"/>
      <c r="L840" s="26"/>
      <c r="M840" s="27"/>
      <c r="N840" s="27"/>
      <c r="O840" s="28" t="str">
        <f aca="false">IF(OR(M840="",M840=0,N840=""),"",N840/M840)</f>
        <v/>
      </c>
      <c r="P840" s="28" t="str">
        <f aca="false">IF(M840="","",IFERROR(IF(INDEX(Parámetros!$B$14:$B$21,MATCH(I840,Parámetros!$A$14:$A$21,0))="",Parámetros!$B$5,INDEX(Parámetros!$B$14:$B$21,MATCH(I840,Parámetros!$A$14:$A$21,0))),Parámetros!$B$5))</f>
        <v/>
      </c>
      <c r="Q840" s="29" t="str">
        <f aca="false">IF(O840="","",(O840-P840)*100)</f>
        <v/>
      </c>
      <c r="R840" s="30" t="str">
        <f aca="false">IF(O840="","",MAX(0,M840*(P840-O840)))</f>
        <v/>
      </c>
      <c r="S840" s="31" t="str">
        <f aca="false">IF(OR(L840="",L840=0,N840=""),"",N840/1000/L840)</f>
        <v/>
      </c>
      <c r="T840" s="27"/>
      <c r="U840" s="27"/>
      <c r="V840" s="27"/>
      <c r="W840" s="27"/>
      <c r="X840" s="27"/>
      <c r="Y840" s="27"/>
      <c r="Z840" s="27"/>
      <c r="AA840" s="25"/>
      <c r="AB840" s="27"/>
      <c r="AC840" s="30" t="str">
        <f aca="false">IF(M840="","",IF(AB840="",M840*Parámetros!$B$6,AB840))</f>
        <v/>
      </c>
      <c r="AD840" s="30" t="str">
        <f aca="false">IF(M840="","",SUM(T840:Z840)+AC840)</f>
        <v/>
      </c>
      <c r="AE840" s="30" t="str">
        <f aca="false">IF(OR(M840="",N840=""),"",M840-N840)</f>
        <v/>
      </c>
      <c r="AF840" s="30" t="str">
        <f aca="false">IF(AE840="","",AE840-AD840)</f>
        <v/>
      </c>
      <c r="AG840" s="28" t="str">
        <f aca="false">IF(OR(AF840="",M840=0),"",AF840/M840)</f>
        <v/>
      </c>
      <c r="AH840" s="32" t="str">
        <f aca="false">IF(OR(AE840="",N840=0),"",AE840/(N840/1000))</f>
        <v/>
      </c>
      <c r="AI840" s="30" t="str">
        <f aca="false">IF(O840="","",M840*P840)</f>
        <v/>
      </c>
      <c r="AJ840" s="11" t="str">
        <f aca="false">IF(O840="","",IF(O840&gt;1,"Error: rend &gt; 100 %",IF(SUM(T840:Z840)=0,"Falta registrar pérdidas",IF(ABS(AG840)&gt;Parámetros!$B$7,"Revisar balance",IF(O840&lt;P840,"Bajo meta","OK")))))</f>
        <v/>
      </c>
      <c r="AK840" s="33"/>
      <c r="AL840" s="10"/>
      <c r="AM840" s="33"/>
      <c r="AN840" s="33"/>
      <c r="AO840" s="10"/>
    </row>
    <row r="841" customFormat="false" ht="15" hidden="false" customHeight="false" outlineLevel="0" collapsed="false">
      <c r="A841" s="22"/>
      <c r="B841" s="23" t="str">
        <f aca="false">IF(A841="","",YEAR(A841-WEEKDAY(A841,2)+4))</f>
        <v/>
      </c>
      <c r="C841" s="23" t="str">
        <f aca="false">IF(A841="","",WEEKNUM(A841,21))</f>
        <v/>
      </c>
      <c r="D841" s="24" t="str">
        <f aca="false">IF(A841="","",DATE(YEAR(A841),MONTH(A841),1))</f>
        <v/>
      </c>
      <c r="E841" s="10"/>
      <c r="F841" s="25"/>
      <c r="G841" s="25"/>
      <c r="H841" s="10"/>
      <c r="I841" s="10"/>
      <c r="J841" s="26"/>
      <c r="K841" s="25"/>
      <c r="L841" s="26"/>
      <c r="M841" s="27"/>
      <c r="N841" s="27"/>
      <c r="O841" s="28" t="str">
        <f aca="false">IF(OR(M841="",M841=0,N841=""),"",N841/M841)</f>
        <v/>
      </c>
      <c r="P841" s="28" t="str">
        <f aca="false">IF(M841="","",IFERROR(IF(INDEX(Parámetros!$B$14:$B$21,MATCH(I841,Parámetros!$A$14:$A$21,0))="",Parámetros!$B$5,INDEX(Parámetros!$B$14:$B$21,MATCH(I841,Parámetros!$A$14:$A$21,0))),Parámetros!$B$5))</f>
        <v/>
      </c>
      <c r="Q841" s="29" t="str">
        <f aca="false">IF(O841="","",(O841-P841)*100)</f>
        <v/>
      </c>
      <c r="R841" s="30" t="str">
        <f aca="false">IF(O841="","",MAX(0,M841*(P841-O841)))</f>
        <v/>
      </c>
      <c r="S841" s="31" t="str">
        <f aca="false">IF(OR(L841="",L841=0,N841=""),"",N841/1000/L841)</f>
        <v/>
      </c>
      <c r="T841" s="27"/>
      <c r="U841" s="27"/>
      <c r="V841" s="27"/>
      <c r="W841" s="27"/>
      <c r="X841" s="27"/>
      <c r="Y841" s="27"/>
      <c r="Z841" s="27"/>
      <c r="AA841" s="25"/>
      <c r="AB841" s="27"/>
      <c r="AC841" s="30" t="str">
        <f aca="false">IF(M841="","",IF(AB841="",M841*Parámetros!$B$6,AB841))</f>
        <v/>
      </c>
      <c r="AD841" s="30" t="str">
        <f aca="false">IF(M841="","",SUM(T841:Z841)+AC841)</f>
        <v/>
      </c>
      <c r="AE841" s="30" t="str">
        <f aca="false">IF(OR(M841="",N841=""),"",M841-N841)</f>
        <v/>
      </c>
      <c r="AF841" s="30" t="str">
        <f aca="false">IF(AE841="","",AE841-AD841)</f>
        <v/>
      </c>
      <c r="AG841" s="28" t="str">
        <f aca="false">IF(OR(AF841="",M841=0),"",AF841/M841)</f>
        <v/>
      </c>
      <c r="AH841" s="32" t="str">
        <f aca="false">IF(OR(AE841="",N841=0),"",AE841/(N841/1000))</f>
        <v/>
      </c>
      <c r="AI841" s="30" t="str">
        <f aca="false">IF(O841="","",M841*P841)</f>
        <v/>
      </c>
      <c r="AJ841" s="11" t="str">
        <f aca="false">IF(O841="","",IF(O841&gt;1,"Error: rend &gt; 100 %",IF(SUM(T841:Z841)=0,"Falta registrar pérdidas",IF(ABS(AG841)&gt;Parámetros!$B$7,"Revisar balance",IF(O841&lt;P841,"Bajo meta","OK")))))</f>
        <v/>
      </c>
      <c r="AK841" s="33"/>
      <c r="AL841" s="10"/>
      <c r="AM841" s="33"/>
      <c r="AN841" s="33"/>
      <c r="AO841" s="10"/>
    </row>
    <row r="842" customFormat="false" ht="15" hidden="false" customHeight="false" outlineLevel="0" collapsed="false">
      <c r="A842" s="22"/>
      <c r="B842" s="23" t="str">
        <f aca="false">IF(A842="","",YEAR(A842-WEEKDAY(A842,2)+4))</f>
        <v/>
      </c>
      <c r="C842" s="23" t="str">
        <f aca="false">IF(A842="","",WEEKNUM(A842,21))</f>
        <v/>
      </c>
      <c r="D842" s="24" t="str">
        <f aca="false">IF(A842="","",DATE(YEAR(A842),MONTH(A842),1))</f>
        <v/>
      </c>
      <c r="E842" s="10"/>
      <c r="F842" s="25"/>
      <c r="G842" s="25"/>
      <c r="H842" s="10"/>
      <c r="I842" s="10"/>
      <c r="J842" s="26"/>
      <c r="K842" s="25"/>
      <c r="L842" s="26"/>
      <c r="M842" s="27"/>
      <c r="N842" s="27"/>
      <c r="O842" s="28" t="str">
        <f aca="false">IF(OR(M842="",M842=0,N842=""),"",N842/M842)</f>
        <v/>
      </c>
      <c r="P842" s="28" t="str">
        <f aca="false">IF(M842="","",IFERROR(IF(INDEX(Parámetros!$B$14:$B$21,MATCH(I842,Parámetros!$A$14:$A$21,0))="",Parámetros!$B$5,INDEX(Parámetros!$B$14:$B$21,MATCH(I842,Parámetros!$A$14:$A$21,0))),Parámetros!$B$5))</f>
        <v/>
      </c>
      <c r="Q842" s="29" t="str">
        <f aca="false">IF(O842="","",(O842-P842)*100)</f>
        <v/>
      </c>
      <c r="R842" s="30" t="str">
        <f aca="false">IF(O842="","",MAX(0,M842*(P842-O842)))</f>
        <v/>
      </c>
      <c r="S842" s="31" t="str">
        <f aca="false">IF(OR(L842="",L842=0,N842=""),"",N842/1000/L842)</f>
        <v/>
      </c>
      <c r="T842" s="27"/>
      <c r="U842" s="27"/>
      <c r="V842" s="27"/>
      <c r="W842" s="27"/>
      <c r="X842" s="27"/>
      <c r="Y842" s="27"/>
      <c r="Z842" s="27"/>
      <c r="AA842" s="25"/>
      <c r="AB842" s="27"/>
      <c r="AC842" s="30" t="str">
        <f aca="false">IF(M842="","",IF(AB842="",M842*Parámetros!$B$6,AB842))</f>
        <v/>
      </c>
      <c r="AD842" s="30" t="str">
        <f aca="false">IF(M842="","",SUM(T842:Z842)+AC842)</f>
        <v/>
      </c>
      <c r="AE842" s="30" t="str">
        <f aca="false">IF(OR(M842="",N842=""),"",M842-N842)</f>
        <v/>
      </c>
      <c r="AF842" s="30" t="str">
        <f aca="false">IF(AE842="","",AE842-AD842)</f>
        <v/>
      </c>
      <c r="AG842" s="28" t="str">
        <f aca="false">IF(OR(AF842="",M842=0),"",AF842/M842)</f>
        <v/>
      </c>
      <c r="AH842" s="32" t="str">
        <f aca="false">IF(OR(AE842="",N842=0),"",AE842/(N842/1000))</f>
        <v/>
      </c>
      <c r="AI842" s="30" t="str">
        <f aca="false">IF(O842="","",M842*P842)</f>
        <v/>
      </c>
      <c r="AJ842" s="11" t="str">
        <f aca="false">IF(O842="","",IF(O842&gt;1,"Error: rend &gt; 100 %",IF(SUM(T842:Z842)=0,"Falta registrar pérdidas",IF(ABS(AG842)&gt;Parámetros!$B$7,"Revisar balance",IF(O842&lt;P842,"Bajo meta","OK")))))</f>
        <v/>
      </c>
      <c r="AK842" s="33"/>
      <c r="AL842" s="10"/>
      <c r="AM842" s="33"/>
      <c r="AN842" s="33"/>
      <c r="AO842" s="10"/>
    </row>
    <row r="843" customFormat="false" ht="15" hidden="false" customHeight="false" outlineLevel="0" collapsed="false">
      <c r="A843" s="22"/>
      <c r="B843" s="23" t="str">
        <f aca="false">IF(A843="","",YEAR(A843-WEEKDAY(A843,2)+4))</f>
        <v/>
      </c>
      <c r="C843" s="23" t="str">
        <f aca="false">IF(A843="","",WEEKNUM(A843,21))</f>
        <v/>
      </c>
      <c r="D843" s="24" t="str">
        <f aca="false">IF(A843="","",DATE(YEAR(A843),MONTH(A843),1))</f>
        <v/>
      </c>
      <c r="E843" s="10"/>
      <c r="F843" s="25"/>
      <c r="G843" s="25"/>
      <c r="H843" s="10"/>
      <c r="I843" s="10"/>
      <c r="J843" s="26"/>
      <c r="K843" s="25"/>
      <c r="L843" s="26"/>
      <c r="M843" s="27"/>
      <c r="N843" s="27"/>
      <c r="O843" s="28" t="str">
        <f aca="false">IF(OR(M843="",M843=0,N843=""),"",N843/M843)</f>
        <v/>
      </c>
      <c r="P843" s="28" t="str">
        <f aca="false">IF(M843="","",IFERROR(IF(INDEX(Parámetros!$B$14:$B$21,MATCH(I843,Parámetros!$A$14:$A$21,0))="",Parámetros!$B$5,INDEX(Parámetros!$B$14:$B$21,MATCH(I843,Parámetros!$A$14:$A$21,0))),Parámetros!$B$5))</f>
        <v/>
      </c>
      <c r="Q843" s="29" t="str">
        <f aca="false">IF(O843="","",(O843-P843)*100)</f>
        <v/>
      </c>
      <c r="R843" s="30" t="str">
        <f aca="false">IF(O843="","",MAX(0,M843*(P843-O843)))</f>
        <v/>
      </c>
      <c r="S843" s="31" t="str">
        <f aca="false">IF(OR(L843="",L843=0,N843=""),"",N843/1000/L843)</f>
        <v/>
      </c>
      <c r="T843" s="27"/>
      <c r="U843" s="27"/>
      <c r="V843" s="27"/>
      <c r="W843" s="27"/>
      <c r="X843" s="27"/>
      <c r="Y843" s="27"/>
      <c r="Z843" s="27"/>
      <c r="AA843" s="25"/>
      <c r="AB843" s="27"/>
      <c r="AC843" s="30" t="str">
        <f aca="false">IF(M843="","",IF(AB843="",M843*Parámetros!$B$6,AB843))</f>
        <v/>
      </c>
      <c r="AD843" s="30" t="str">
        <f aca="false">IF(M843="","",SUM(T843:Z843)+AC843)</f>
        <v/>
      </c>
      <c r="AE843" s="30" t="str">
        <f aca="false">IF(OR(M843="",N843=""),"",M843-N843)</f>
        <v/>
      </c>
      <c r="AF843" s="30" t="str">
        <f aca="false">IF(AE843="","",AE843-AD843)</f>
        <v/>
      </c>
      <c r="AG843" s="28" t="str">
        <f aca="false">IF(OR(AF843="",M843=0),"",AF843/M843)</f>
        <v/>
      </c>
      <c r="AH843" s="32" t="str">
        <f aca="false">IF(OR(AE843="",N843=0),"",AE843/(N843/1000))</f>
        <v/>
      </c>
      <c r="AI843" s="30" t="str">
        <f aca="false">IF(O843="","",M843*P843)</f>
        <v/>
      </c>
      <c r="AJ843" s="11" t="str">
        <f aca="false">IF(O843="","",IF(O843&gt;1,"Error: rend &gt; 100 %",IF(SUM(T843:Z843)=0,"Falta registrar pérdidas",IF(ABS(AG843)&gt;Parámetros!$B$7,"Revisar balance",IF(O843&lt;P843,"Bajo meta","OK")))))</f>
        <v/>
      </c>
      <c r="AK843" s="33"/>
      <c r="AL843" s="10"/>
      <c r="AM843" s="33"/>
      <c r="AN843" s="33"/>
      <c r="AO843" s="10"/>
    </row>
    <row r="844" customFormat="false" ht="15" hidden="false" customHeight="false" outlineLevel="0" collapsed="false">
      <c r="A844" s="22"/>
      <c r="B844" s="23" t="str">
        <f aca="false">IF(A844="","",YEAR(A844-WEEKDAY(A844,2)+4))</f>
        <v/>
      </c>
      <c r="C844" s="23" t="str">
        <f aca="false">IF(A844="","",WEEKNUM(A844,21))</f>
        <v/>
      </c>
      <c r="D844" s="24" t="str">
        <f aca="false">IF(A844="","",DATE(YEAR(A844),MONTH(A844),1))</f>
        <v/>
      </c>
      <c r="E844" s="10"/>
      <c r="F844" s="25"/>
      <c r="G844" s="25"/>
      <c r="H844" s="10"/>
      <c r="I844" s="10"/>
      <c r="J844" s="26"/>
      <c r="K844" s="25"/>
      <c r="L844" s="26"/>
      <c r="M844" s="27"/>
      <c r="N844" s="27"/>
      <c r="O844" s="28" t="str">
        <f aca="false">IF(OR(M844="",M844=0,N844=""),"",N844/M844)</f>
        <v/>
      </c>
      <c r="P844" s="28" t="str">
        <f aca="false">IF(M844="","",IFERROR(IF(INDEX(Parámetros!$B$14:$B$21,MATCH(I844,Parámetros!$A$14:$A$21,0))="",Parámetros!$B$5,INDEX(Parámetros!$B$14:$B$21,MATCH(I844,Parámetros!$A$14:$A$21,0))),Parámetros!$B$5))</f>
        <v/>
      </c>
      <c r="Q844" s="29" t="str">
        <f aca="false">IF(O844="","",(O844-P844)*100)</f>
        <v/>
      </c>
      <c r="R844" s="30" t="str">
        <f aca="false">IF(O844="","",MAX(0,M844*(P844-O844)))</f>
        <v/>
      </c>
      <c r="S844" s="31" t="str">
        <f aca="false">IF(OR(L844="",L844=0,N844=""),"",N844/1000/L844)</f>
        <v/>
      </c>
      <c r="T844" s="27"/>
      <c r="U844" s="27"/>
      <c r="V844" s="27"/>
      <c r="W844" s="27"/>
      <c r="X844" s="27"/>
      <c r="Y844" s="27"/>
      <c r="Z844" s="27"/>
      <c r="AA844" s="25"/>
      <c r="AB844" s="27"/>
      <c r="AC844" s="30" t="str">
        <f aca="false">IF(M844="","",IF(AB844="",M844*Parámetros!$B$6,AB844))</f>
        <v/>
      </c>
      <c r="AD844" s="30" t="str">
        <f aca="false">IF(M844="","",SUM(T844:Z844)+AC844)</f>
        <v/>
      </c>
      <c r="AE844" s="30" t="str">
        <f aca="false">IF(OR(M844="",N844=""),"",M844-N844)</f>
        <v/>
      </c>
      <c r="AF844" s="30" t="str">
        <f aca="false">IF(AE844="","",AE844-AD844)</f>
        <v/>
      </c>
      <c r="AG844" s="28" t="str">
        <f aca="false">IF(OR(AF844="",M844=0),"",AF844/M844)</f>
        <v/>
      </c>
      <c r="AH844" s="32" t="str">
        <f aca="false">IF(OR(AE844="",N844=0),"",AE844/(N844/1000))</f>
        <v/>
      </c>
      <c r="AI844" s="30" t="str">
        <f aca="false">IF(O844="","",M844*P844)</f>
        <v/>
      </c>
      <c r="AJ844" s="11" t="str">
        <f aca="false">IF(O844="","",IF(O844&gt;1,"Error: rend &gt; 100 %",IF(SUM(T844:Z844)=0,"Falta registrar pérdidas",IF(ABS(AG844)&gt;Parámetros!$B$7,"Revisar balance",IF(O844&lt;P844,"Bajo meta","OK")))))</f>
        <v/>
      </c>
      <c r="AK844" s="33"/>
      <c r="AL844" s="10"/>
      <c r="AM844" s="33"/>
      <c r="AN844" s="33"/>
      <c r="AO844" s="10"/>
    </row>
    <row r="845" customFormat="false" ht="15" hidden="false" customHeight="false" outlineLevel="0" collapsed="false">
      <c r="A845" s="22"/>
      <c r="B845" s="23" t="str">
        <f aca="false">IF(A845="","",YEAR(A845-WEEKDAY(A845,2)+4))</f>
        <v/>
      </c>
      <c r="C845" s="23" t="str">
        <f aca="false">IF(A845="","",WEEKNUM(A845,21))</f>
        <v/>
      </c>
      <c r="D845" s="24" t="str">
        <f aca="false">IF(A845="","",DATE(YEAR(A845),MONTH(A845),1))</f>
        <v/>
      </c>
      <c r="E845" s="10"/>
      <c r="F845" s="25"/>
      <c r="G845" s="25"/>
      <c r="H845" s="10"/>
      <c r="I845" s="10"/>
      <c r="J845" s="26"/>
      <c r="K845" s="25"/>
      <c r="L845" s="26"/>
      <c r="M845" s="27"/>
      <c r="N845" s="27"/>
      <c r="O845" s="28" t="str">
        <f aca="false">IF(OR(M845="",M845=0,N845=""),"",N845/M845)</f>
        <v/>
      </c>
      <c r="P845" s="28" t="str">
        <f aca="false">IF(M845="","",IFERROR(IF(INDEX(Parámetros!$B$14:$B$21,MATCH(I845,Parámetros!$A$14:$A$21,0))="",Parámetros!$B$5,INDEX(Parámetros!$B$14:$B$21,MATCH(I845,Parámetros!$A$14:$A$21,0))),Parámetros!$B$5))</f>
        <v/>
      </c>
      <c r="Q845" s="29" t="str">
        <f aca="false">IF(O845="","",(O845-P845)*100)</f>
        <v/>
      </c>
      <c r="R845" s="30" t="str">
        <f aca="false">IF(O845="","",MAX(0,M845*(P845-O845)))</f>
        <v/>
      </c>
      <c r="S845" s="31" t="str">
        <f aca="false">IF(OR(L845="",L845=0,N845=""),"",N845/1000/L845)</f>
        <v/>
      </c>
      <c r="T845" s="27"/>
      <c r="U845" s="27"/>
      <c r="V845" s="27"/>
      <c r="W845" s="27"/>
      <c r="X845" s="27"/>
      <c r="Y845" s="27"/>
      <c r="Z845" s="27"/>
      <c r="AA845" s="25"/>
      <c r="AB845" s="27"/>
      <c r="AC845" s="30" t="str">
        <f aca="false">IF(M845="","",IF(AB845="",M845*Parámetros!$B$6,AB845))</f>
        <v/>
      </c>
      <c r="AD845" s="30" t="str">
        <f aca="false">IF(M845="","",SUM(T845:Z845)+AC845)</f>
        <v/>
      </c>
      <c r="AE845" s="30" t="str">
        <f aca="false">IF(OR(M845="",N845=""),"",M845-N845)</f>
        <v/>
      </c>
      <c r="AF845" s="30" t="str">
        <f aca="false">IF(AE845="","",AE845-AD845)</f>
        <v/>
      </c>
      <c r="AG845" s="28" t="str">
        <f aca="false">IF(OR(AF845="",M845=0),"",AF845/M845)</f>
        <v/>
      </c>
      <c r="AH845" s="32" t="str">
        <f aca="false">IF(OR(AE845="",N845=0),"",AE845/(N845/1000))</f>
        <v/>
      </c>
      <c r="AI845" s="30" t="str">
        <f aca="false">IF(O845="","",M845*P845)</f>
        <v/>
      </c>
      <c r="AJ845" s="11" t="str">
        <f aca="false">IF(O845="","",IF(O845&gt;1,"Error: rend &gt; 100 %",IF(SUM(T845:Z845)=0,"Falta registrar pérdidas",IF(ABS(AG845)&gt;Parámetros!$B$7,"Revisar balance",IF(O845&lt;P845,"Bajo meta","OK")))))</f>
        <v/>
      </c>
      <c r="AK845" s="33"/>
      <c r="AL845" s="10"/>
      <c r="AM845" s="33"/>
      <c r="AN845" s="33"/>
      <c r="AO845" s="10"/>
    </row>
    <row r="846" customFormat="false" ht="15" hidden="false" customHeight="false" outlineLevel="0" collapsed="false">
      <c r="A846" s="22"/>
      <c r="B846" s="23" t="str">
        <f aca="false">IF(A846="","",YEAR(A846-WEEKDAY(A846,2)+4))</f>
        <v/>
      </c>
      <c r="C846" s="23" t="str">
        <f aca="false">IF(A846="","",WEEKNUM(A846,21))</f>
        <v/>
      </c>
      <c r="D846" s="24" t="str">
        <f aca="false">IF(A846="","",DATE(YEAR(A846),MONTH(A846),1))</f>
        <v/>
      </c>
      <c r="E846" s="10"/>
      <c r="F846" s="25"/>
      <c r="G846" s="25"/>
      <c r="H846" s="10"/>
      <c r="I846" s="10"/>
      <c r="J846" s="26"/>
      <c r="K846" s="25"/>
      <c r="L846" s="26"/>
      <c r="M846" s="27"/>
      <c r="N846" s="27"/>
      <c r="O846" s="28" t="str">
        <f aca="false">IF(OR(M846="",M846=0,N846=""),"",N846/M846)</f>
        <v/>
      </c>
      <c r="P846" s="28" t="str">
        <f aca="false">IF(M846="","",IFERROR(IF(INDEX(Parámetros!$B$14:$B$21,MATCH(I846,Parámetros!$A$14:$A$21,0))="",Parámetros!$B$5,INDEX(Parámetros!$B$14:$B$21,MATCH(I846,Parámetros!$A$14:$A$21,0))),Parámetros!$B$5))</f>
        <v/>
      </c>
      <c r="Q846" s="29" t="str">
        <f aca="false">IF(O846="","",(O846-P846)*100)</f>
        <v/>
      </c>
      <c r="R846" s="30" t="str">
        <f aca="false">IF(O846="","",MAX(0,M846*(P846-O846)))</f>
        <v/>
      </c>
      <c r="S846" s="31" t="str">
        <f aca="false">IF(OR(L846="",L846=0,N846=""),"",N846/1000/L846)</f>
        <v/>
      </c>
      <c r="T846" s="27"/>
      <c r="U846" s="27"/>
      <c r="V846" s="27"/>
      <c r="W846" s="27"/>
      <c r="X846" s="27"/>
      <c r="Y846" s="27"/>
      <c r="Z846" s="27"/>
      <c r="AA846" s="25"/>
      <c r="AB846" s="27"/>
      <c r="AC846" s="30" t="str">
        <f aca="false">IF(M846="","",IF(AB846="",M846*Parámetros!$B$6,AB846))</f>
        <v/>
      </c>
      <c r="AD846" s="30" t="str">
        <f aca="false">IF(M846="","",SUM(T846:Z846)+AC846)</f>
        <v/>
      </c>
      <c r="AE846" s="30" t="str">
        <f aca="false">IF(OR(M846="",N846=""),"",M846-N846)</f>
        <v/>
      </c>
      <c r="AF846" s="30" t="str">
        <f aca="false">IF(AE846="","",AE846-AD846)</f>
        <v/>
      </c>
      <c r="AG846" s="28" t="str">
        <f aca="false">IF(OR(AF846="",M846=0),"",AF846/M846)</f>
        <v/>
      </c>
      <c r="AH846" s="32" t="str">
        <f aca="false">IF(OR(AE846="",N846=0),"",AE846/(N846/1000))</f>
        <v/>
      </c>
      <c r="AI846" s="30" t="str">
        <f aca="false">IF(O846="","",M846*P846)</f>
        <v/>
      </c>
      <c r="AJ846" s="11" t="str">
        <f aca="false">IF(O846="","",IF(O846&gt;1,"Error: rend &gt; 100 %",IF(SUM(T846:Z846)=0,"Falta registrar pérdidas",IF(ABS(AG846)&gt;Parámetros!$B$7,"Revisar balance",IF(O846&lt;P846,"Bajo meta","OK")))))</f>
        <v/>
      </c>
      <c r="AK846" s="33"/>
      <c r="AL846" s="10"/>
      <c r="AM846" s="33"/>
      <c r="AN846" s="33"/>
      <c r="AO846" s="10"/>
    </row>
    <row r="847" customFormat="false" ht="15" hidden="false" customHeight="false" outlineLevel="0" collapsed="false">
      <c r="A847" s="22"/>
      <c r="B847" s="23" t="str">
        <f aca="false">IF(A847="","",YEAR(A847-WEEKDAY(A847,2)+4))</f>
        <v/>
      </c>
      <c r="C847" s="23" t="str">
        <f aca="false">IF(A847="","",WEEKNUM(A847,21))</f>
        <v/>
      </c>
      <c r="D847" s="24" t="str">
        <f aca="false">IF(A847="","",DATE(YEAR(A847),MONTH(A847),1))</f>
        <v/>
      </c>
      <c r="E847" s="10"/>
      <c r="F847" s="25"/>
      <c r="G847" s="25"/>
      <c r="H847" s="10"/>
      <c r="I847" s="10"/>
      <c r="J847" s="26"/>
      <c r="K847" s="25"/>
      <c r="L847" s="26"/>
      <c r="M847" s="27"/>
      <c r="N847" s="27"/>
      <c r="O847" s="28" t="str">
        <f aca="false">IF(OR(M847="",M847=0,N847=""),"",N847/M847)</f>
        <v/>
      </c>
      <c r="P847" s="28" t="str">
        <f aca="false">IF(M847="","",IFERROR(IF(INDEX(Parámetros!$B$14:$B$21,MATCH(I847,Parámetros!$A$14:$A$21,0))="",Parámetros!$B$5,INDEX(Parámetros!$B$14:$B$21,MATCH(I847,Parámetros!$A$14:$A$21,0))),Parámetros!$B$5))</f>
        <v/>
      </c>
      <c r="Q847" s="29" t="str">
        <f aca="false">IF(O847="","",(O847-P847)*100)</f>
        <v/>
      </c>
      <c r="R847" s="30" t="str">
        <f aca="false">IF(O847="","",MAX(0,M847*(P847-O847)))</f>
        <v/>
      </c>
      <c r="S847" s="31" t="str">
        <f aca="false">IF(OR(L847="",L847=0,N847=""),"",N847/1000/L847)</f>
        <v/>
      </c>
      <c r="T847" s="27"/>
      <c r="U847" s="27"/>
      <c r="V847" s="27"/>
      <c r="W847" s="27"/>
      <c r="X847" s="27"/>
      <c r="Y847" s="27"/>
      <c r="Z847" s="27"/>
      <c r="AA847" s="25"/>
      <c r="AB847" s="27"/>
      <c r="AC847" s="30" t="str">
        <f aca="false">IF(M847="","",IF(AB847="",M847*Parámetros!$B$6,AB847))</f>
        <v/>
      </c>
      <c r="AD847" s="30" t="str">
        <f aca="false">IF(M847="","",SUM(T847:Z847)+AC847)</f>
        <v/>
      </c>
      <c r="AE847" s="30" t="str">
        <f aca="false">IF(OR(M847="",N847=""),"",M847-N847)</f>
        <v/>
      </c>
      <c r="AF847" s="30" t="str">
        <f aca="false">IF(AE847="","",AE847-AD847)</f>
        <v/>
      </c>
      <c r="AG847" s="28" t="str">
        <f aca="false">IF(OR(AF847="",M847=0),"",AF847/M847)</f>
        <v/>
      </c>
      <c r="AH847" s="32" t="str">
        <f aca="false">IF(OR(AE847="",N847=0),"",AE847/(N847/1000))</f>
        <v/>
      </c>
      <c r="AI847" s="30" t="str">
        <f aca="false">IF(O847="","",M847*P847)</f>
        <v/>
      </c>
      <c r="AJ847" s="11" t="str">
        <f aca="false">IF(O847="","",IF(O847&gt;1,"Error: rend &gt; 100 %",IF(SUM(T847:Z847)=0,"Falta registrar pérdidas",IF(ABS(AG847)&gt;Parámetros!$B$7,"Revisar balance",IF(O847&lt;P847,"Bajo meta","OK")))))</f>
        <v/>
      </c>
      <c r="AK847" s="33"/>
      <c r="AL847" s="10"/>
      <c r="AM847" s="33"/>
      <c r="AN847" s="33"/>
      <c r="AO847" s="10"/>
    </row>
    <row r="848" customFormat="false" ht="15" hidden="false" customHeight="false" outlineLevel="0" collapsed="false">
      <c r="A848" s="22"/>
      <c r="B848" s="23" t="str">
        <f aca="false">IF(A848="","",YEAR(A848-WEEKDAY(A848,2)+4))</f>
        <v/>
      </c>
      <c r="C848" s="23" t="str">
        <f aca="false">IF(A848="","",WEEKNUM(A848,21))</f>
        <v/>
      </c>
      <c r="D848" s="24" t="str">
        <f aca="false">IF(A848="","",DATE(YEAR(A848),MONTH(A848),1))</f>
        <v/>
      </c>
      <c r="E848" s="10"/>
      <c r="F848" s="25"/>
      <c r="G848" s="25"/>
      <c r="H848" s="10"/>
      <c r="I848" s="10"/>
      <c r="J848" s="26"/>
      <c r="K848" s="25"/>
      <c r="L848" s="26"/>
      <c r="M848" s="27"/>
      <c r="N848" s="27"/>
      <c r="O848" s="28" t="str">
        <f aca="false">IF(OR(M848="",M848=0,N848=""),"",N848/M848)</f>
        <v/>
      </c>
      <c r="P848" s="28" t="str">
        <f aca="false">IF(M848="","",IFERROR(IF(INDEX(Parámetros!$B$14:$B$21,MATCH(I848,Parámetros!$A$14:$A$21,0))="",Parámetros!$B$5,INDEX(Parámetros!$B$14:$B$21,MATCH(I848,Parámetros!$A$14:$A$21,0))),Parámetros!$B$5))</f>
        <v/>
      </c>
      <c r="Q848" s="29" t="str">
        <f aca="false">IF(O848="","",(O848-P848)*100)</f>
        <v/>
      </c>
      <c r="R848" s="30" t="str">
        <f aca="false">IF(O848="","",MAX(0,M848*(P848-O848)))</f>
        <v/>
      </c>
      <c r="S848" s="31" t="str">
        <f aca="false">IF(OR(L848="",L848=0,N848=""),"",N848/1000/L848)</f>
        <v/>
      </c>
      <c r="T848" s="27"/>
      <c r="U848" s="27"/>
      <c r="V848" s="27"/>
      <c r="W848" s="27"/>
      <c r="X848" s="27"/>
      <c r="Y848" s="27"/>
      <c r="Z848" s="27"/>
      <c r="AA848" s="25"/>
      <c r="AB848" s="27"/>
      <c r="AC848" s="30" t="str">
        <f aca="false">IF(M848="","",IF(AB848="",M848*Parámetros!$B$6,AB848))</f>
        <v/>
      </c>
      <c r="AD848" s="30" t="str">
        <f aca="false">IF(M848="","",SUM(T848:Z848)+AC848)</f>
        <v/>
      </c>
      <c r="AE848" s="30" t="str">
        <f aca="false">IF(OR(M848="",N848=""),"",M848-N848)</f>
        <v/>
      </c>
      <c r="AF848" s="30" t="str">
        <f aca="false">IF(AE848="","",AE848-AD848)</f>
        <v/>
      </c>
      <c r="AG848" s="28" t="str">
        <f aca="false">IF(OR(AF848="",M848=0),"",AF848/M848)</f>
        <v/>
      </c>
      <c r="AH848" s="32" t="str">
        <f aca="false">IF(OR(AE848="",N848=0),"",AE848/(N848/1000))</f>
        <v/>
      </c>
      <c r="AI848" s="30" t="str">
        <f aca="false">IF(O848="","",M848*P848)</f>
        <v/>
      </c>
      <c r="AJ848" s="11" t="str">
        <f aca="false">IF(O848="","",IF(O848&gt;1,"Error: rend &gt; 100 %",IF(SUM(T848:Z848)=0,"Falta registrar pérdidas",IF(ABS(AG848)&gt;Parámetros!$B$7,"Revisar balance",IF(O848&lt;P848,"Bajo meta","OK")))))</f>
        <v/>
      </c>
      <c r="AK848" s="33"/>
      <c r="AL848" s="10"/>
      <c r="AM848" s="33"/>
      <c r="AN848" s="33"/>
      <c r="AO848" s="10"/>
    </row>
    <row r="849" customFormat="false" ht="15" hidden="false" customHeight="false" outlineLevel="0" collapsed="false">
      <c r="A849" s="22"/>
      <c r="B849" s="23" t="str">
        <f aca="false">IF(A849="","",YEAR(A849-WEEKDAY(A849,2)+4))</f>
        <v/>
      </c>
      <c r="C849" s="23" t="str">
        <f aca="false">IF(A849="","",WEEKNUM(A849,21))</f>
        <v/>
      </c>
      <c r="D849" s="24" t="str">
        <f aca="false">IF(A849="","",DATE(YEAR(A849),MONTH(A849),1))</f>
        <v/>
      </c>
      <c r="E849" s="10"/>
      <c r="F849" s="25"/>
      <c r="G849" s="25"/>
      <c r="H849" s="10"/>
      <c r="I849" s="10"/>
      <c r="J849" s="26"/>
      <c r="K849" s="25"/>
      <c r="L849" s="26"/>
      <c r="M849" s="27"/>
      <c r="N849" s="27"/>
      <c r="O849" s="28" t="str">
        <f aca="false">IF(OR(M849="",M849=0,N849=""),"",N849/M849)</f>
        <v/>
      </c>
      <c r="P849" s="28" t="str">
        <f aca="false">IF(M849="","",IFERROR(IF(INDEX(Parámetros!$B$14:$B$21,MATCH(I849,Parámetros!$A$14:$A$21,0))="",Parámetros!$B$5,INDEX(Parámetros!$B$14:$B$21,MATCH(I849,Parámetros!$A$14:$A$21,0))),Parámetros!$B$5))</f>
        <v/>
      </c>
      <c r="Q849" s="29" t="str">
        <f aca="false">IF(O849="","",(O849-P849)*100)</f>
        <v/>
      </c>
      <c r="R849" s="30" t="str">
        <f aca="false">IF(O849="","",MAX(0,M849*(P849-O849)))</f>
        <v/>
      </c>
      <c r="S849" s="31" t="str">
        <f aca="false">IF(OR(L849="",L849=0,N849=""),"",N849/1000/L849)</f>
        <v/>
      </c>
      <c r="T849" s="27"/>
      <c r="U849" s="27"/>
      <c r="V849" s="27"/>
      <c r="W849" s="27"/>
      <c r="X849" s="27"/>
      <c r="Y849" s="27"/>
      <c r="Z849" s="27"/>
      <c r="AA849" s="25"/>
      <c r="AB849" s="27"/>
      <c r="AC849" s="30" t="str">
        <f aca="false">IF(M849="","",IF(AB849="",M849*Parámetros!$B$6,AB849))</f>
        <v/>
      </c>
      <c r="AD849" s="30" t="str">
        <f aca="false">IF(M849="","",SUM(T849:Z849)+AC849)</f>
        <v/>
      </c>
      <c r="AE849" s="30" t="str">
        <f aca="false">IF(OR(M849="",N849=""),"",M849-N849)</f>
        <v/>
      </c>
      <c r="AF849" s="30" t="str">
        <f aca="false">IF(AE849="","",AE849-AD849)</f>
        <v/>
      </c>
      <c r="AG849" s="28" t="str">
        <f aca="false">IF(OR(AF849="",M849=0),"",AF849/M849)</f>
        <v/>
      </c>
      <c r="AH849" s="32" t="str">
        <f aca="false">IF(OR(AE849="",N849=0),"",AE849/(N849/1000))</f>
        <v/>
      </c>
      <c r="AI849" s="30" t="str">
        <f aca="false">IF(O849="","",M849*P849)</f>
        <v/>
      </c>
      <c r="AJ849" s="11" t="str">
        <f aca="false">IF(O849="","",IF(O849&gt;1,"Error: rend &gt; 100 %",IF(SUM(T849:Z849)=0,"Falta registrar pérdidas",IF(ABS(AG849)&gt;Parámetros!$B$7,"Revisar balance",IF(O849&lt;P849,"Bajo meta","OK")))))</f>
        <v/>
      </c>
      <c r="AK849" s="33"/>
      <c r="AL849" s="10"/>
      <c r="AM849" s="33"/>
      <c r="AN849" s="33"/>
      <c r="AO849" s="10"/>
    </row>
    <row r="850" customFormat="false" ht="15" hidden="false" customHeight="false" outlineLevel="0" collapsed="false">
      <c r="A850" s="22"/>
      <c r="B850" s="23" t="str">
        <f aca="false">IF(A850="","",YEAR(A850-WEEKDAY(A850,2)+4))</f>
        <v/>
      </c>
      <c r="C850" s="23" t="str">
        <f aca="false">IF(A850="","",WEEKNUM(A850,21))</f>
        <v/>
      </c>
      <c r="D850" s="24" t="str">
        <f aca="false">IF(A850="","",DATE(YEAR(A850),MONTH(A850),1))</f>
        <v/>
      </c>
      <c r="E850" s="10"/>
      <c r="F850" s="25"/>
      <c r="G850" s="25"/>
      <c r="H850" s="10"/>
      <c r="I850" s="10"/>
      <c r="J850" s="26"/>
      <c r="K850" s="25"/>
      <c r="L850" s="26"/>
      <c r="M850" s="27"/>
      <c r="N850" s="27"/>
      <c r="O850" s="28" t="str">
        <f aca="false">IF(OR(M850="",M850=0,N850=""),"",N850/M850)</f>
        <v/>
      </c>
      <c r="P850" s="28" t="str">
        <f aca="false">IF(M850="","",IFERROR(IF(INDEX(Parámetros!$B$14:$B$21,MATCH(I850,Parámetros!$A$14:$A$21,0))="",Parámetros!$B$5,INDEX(Parámetros!$B$14:$B$21,MATCH(I850,Parámetros!$A$14:$A$21,0))),Parámetros!$B$5))</f>
        <v/>
      </c>
      <c r="Q850" s="29" t="str">
        <f aca="false">IF(O850="","",(O850-P850)*100)</f>
        <v/>
      </c>
      <c r="R850" s="30" t="str">
        <f aca="false">IF(O850="","",MAX(0,M850*(P850-O850)))</f>
        <v/>
      </c>
      <c r="S850" s="31" t="str">
        <f aca="false">IF(OR(L850="",L850=0,N850=""),"",N850/1000/L850)</f>
        <v/>
      </c>
      <c r="T850" s="27"/>
      <c r="U850" s="27"/>
      <c r="V850" s="27"/>
      <c r="W850" s="27"/>
      <c r="X850" s="27"/>
      <c r="Y850" s="27"/>
      <c r="Z850" s="27"/>
      <c r="AA850" s="25"/>
      <c r="AB850" s="27"/>
      <c r="AC850" s="30" t="str">
        <f aca="false">IF(M850="","",IF(AB850="",M850*Parámetros!$B$6,AB850))</f>
        <v/>
      </c>
      <c r="AD850" s="30" t="str">
        <f aca="false">IF(M850="","",SUM(T850:Z850)+AC850)</f>
        <v/>
      </c>
      <c r="AE850" s="30" t="str">
        <f aca="false">IF(OR(M850="",N850=""),"",M850-N850)</f>
        <v/>
      </c>
      <c r="AF850" s="30" t="str">
        <f aca="false">IF(AE850="","",AE850-AD850)</f>
        <v/>
      </c>
      <c r="AG850" s="28" t="str">
        <f aca="false">IF(OR(AF850="",M850=0),"",AF850/M850)</f>
        <v/>
      </c>
      <c r="AH850" s="32" t="str">
        <f aca="false">IF(OR(AE850="",N850=0),"",AE850/(N850/1000))</f>
        <v/>
      </c>
      <c r="AI850" s="30" t="str">
        <f aca="false">IF(O850="","",M850*P850)</f>
        <v/>
      </c>
      <c r="AJ850" s="11" t="str">
        <f aca="false">IF(O850="","",IF(O850&gt;1,"Error: rend &gt; 100 %",IF(SUM(T850:Z850)=0,"Falta registrar pérdidas",IF(ABS(AG850)&gt;Parámetros!$B$7,"Revisar balance",IF(O850&lt;P850,"Bajo meta","OK")))))</f>
        <v/>
      </c>
      <c r="AK850" s="33"/>
      <c r="AL850" s="10"/>
      <c r="AM850" s="33"/>
      <c r="AN850" s="33"/>
      <c r="AO850" s="10"/>
    </row>
    <row r="851" customFormat="false" ht="15" hidden="false" customHeight="false" outlineLevel="0" collapsed="false">
      <c r="A851" s="22"/>
      <c r="B851" s="23" t="str">
        <f aca="false">IF(A851="","",YEAR(A851-WEEKDAY(A851,2)+4))</f>
        <v/>
      </c>
      <c r="C851" s="23" t="str">
        <f aca="false">IF(A851="","",WEEKNUM(A851,21))</f>
        <v/>
      </c>
      <c r="D851" s="24" t="str">
        <f aca="false">IF(A851="","",DATE(YEAR(A851),MONTH(A851),1))</f>
        <v/>
      </c>
      <c r="E851" s="10"/>
      <c r="F851" s="25"/>
      <c r="G851" s="25"/>
      <c r="H851" s="10"/>
      <c r="I851" s="10"/>
      <c r="J851" s="26"/>
      <c r="K851" s="25"/>
      <c r="L851" s="26"/>
      <c r="M851" s="27"/>
      <c r="N851" s="27"/>
      <c r="O851" s="28" t="str">
        <f aca="false">IF(OR(M851="",M851=0,N851=""),"",N851/M851)</f>
        <v/>
      </c>
      <c r="P851" s="28" t="str">
        <f aca="false">IF(M851="","",IFERROR(IF(INDEX(Parámetros!$B$14:$B$21,MATCH(I851,Parámetros!$A$14:$A$21,0))="",Parámetros!$B$5,INDEX(Parámetros!$B$14:$B$21,MATCH(I851,Parámetros!$A$14:$A$21,0))),Parámetros!$B$5))</f>
        <v/>
      </c>
      <c r="Q851" s="29" t="str">
        <f aca="false">IF(O851="","",(O851-P851)*100)</f>
        <v/>
      </c>
      <c r="R851" s="30" t="str">
        <f aca="false">IF(O851="","",MAX(0,M851*(P851-O851)))</f>
        <v/>
      </c>
      <c r="S851" s="31" t="str">
        <f aca="false">IF(OR(L851="",L851=0,N851=""),"",N851/1000/L851)</f>
        <v/>
      </c>
      <c r="T851" s="27"/>
      <c r="U851" s="27"/>
      <c r="V851" s="27"/>
      <c r="W851" s="27"/>
      <c r="X851" s="27"/>
      <c r="Y851" s="27"/>
      <c r="Z851" s="27"/>
      <c r="AA851" s="25"/>
      <c r="AB851" s="27"/>
      <c r="AC851" s="30" t="str">
        <f aca="false">IF(M851="","",IF(AB851="",M851*Parámetros!$B$6,AB851))</f>
        <v/>
      </c>
      <c r="AD851" s="30" t="str">
        <f aca="false">IF(M851="","",SUM(T851:Z851)+AC851)</f>
        <v/>
      </c>
      <c r="AE851" s="30" t="str">
        <f aca="false">IF(OR(M851="",N851=""),"",M851-N851)</f>
        <v/>
      </c>
      <c r="AF851" s="30" t="str">
        <f aca="false">IF(AE851="","",AE851-AD851)</f>
        <v/>
      </c>
      <c r="AG851" s="28" t="str">
        <f aca="false">IF(OR(AF851="",M851=0),"",AF851/M851)</f>
        <v/>
      </c>
      <c r="AH851" s="32" t="str">
        <f aca="false">IF(OR(AE851="",N851=0),"",AE851/(N851/1000))</f>
        <v/>
      </c>
      <c r="AI851" s="30" t="str">
        <f aca="false">IF(O851="","",M851*P851)</f>
        <v/>
      </c>
      <c r="AJ851" s="11" t="str">
        <f aca="false">IF(O851="","",IF(O851&gt;1,"Error: rend &gt; 100 %",IF(SUM(T851:Z851)=0,"Falta registrar pérdidas",IF(ABS(AG851)&gt;Parámetros!$B$7,"Revisar balance",IF(O851&lt;P851,"Bajo meta","OK")))))</f>
        <v/>
      </c>
      <c r="AK851" s="33"/>
      <c r="AL851" s="10"/>
      <c r="AM851" s="33"/>
      <c r="AN851" s="33"/>
      <c r="AO851" s="10"/>
    </row>
    <row r="852" customFormat="false" ht="15" hidden="false" customHeight="false" outlineLevel="0" collapsed="false">
      <c r="A852" s="22"/>
      <c r="B852" s="23" t="str">
        <f aca="false">IF(A852="","",YEAR(A852-WEEKDAY(A852,2)+4))</f>
        <v/>
      </c>
      <c r="C852" s="23" t="str">
        <f aca="false">IF(A852="","",WEEKNUM(A852,21))</f>
        <v/>
      </c>
      <c r="D852" s="24" t="str">
        <f aca="false">IF(A852="","",DATE(YEAR(A852),MONTH(A852),1))</f>
        <v/>
      </c>
      <c r="E852" s="10"/>
      <c r="F852" s="25"/>
      <c r="G852" s="25"/>
      <c r="H852" s="10"/>
      <c r="I852" s="10"/>
      <c r="J852" s="26"/>
      <c r="K852" s="25"/>
      <c r="L852" s="26"/>
      <c r="M852" s="27"/>
      <c r="N852" s="27"/>
      <c r="O852" s="28" t="str">
        <f aca="false">IF(OR(M852="",M852=0,N852=""),"",N852/M852)</f>
        <v/>
      </c>
      <c r="P852" s="28" t="str">
        <f aca="false">IF(M852="","",IFERROR(IF(INDEX(Parámetros!$B$14:$B$21,MATCH(I852,Parámetros!$A$14:$A$21,0))="",Parámetros!$B$5,INDEX(Parámetros!$B$14:$B$21,MATCH(I852,Parámetros!$A$14:$A$21,0))),Parámetros!$B$5))</f>
        <v/>
      </c>
      <c r="Q852" s="29" t="str">
        <f aca="false">IF(O852="","",(O852-P852)*100)</f>
        <v/>
      </c>
      <c r="R852" s="30" t="str">
        <f aca="false">IF(O852="","",MAX(0,M852*(P852-O852)))</f>
        <v/>
      </c>
      <c r="S852" s="31" t="str">
        <f aca="false">IF(OR(L852="",L852=0,N852=""),"",N852/1000/L852)</f>
        <v/>
      </c>
      <c r="T852" s="27"/>
      <c r="U852" s="27"/>
      <c r="V852" s="27"/>
      <c r="W852" s="27"/>
      <c r="X852" s="27"/>
      <c r="Y852" s="27"/>
      <c r="Z852" s="27"/>
      <c r="AA852" s="25"/>
      <c r="AB852" s="27"/>
      <c r="AC852" s="30" t="str">
        <f aca="false">IF(M852="","",IF(AB852="",M852*Parámetros!$B$6,AB852))</f>
        <v/>
      </c>
      <c r="AD852" s="30" t="str">
        <f aca="false">IF(M852="","",SUM(T852:Z852)+AC852)</f>
        <v/>
      </c>
      <c r="AE852" s="30" t="str">
        <f aca="false">IF(OR(M852="",N852=""),"",M852-N852)</f>
        <v/>
      </c>
      <c r="AF852" s="30" t="str">
        <f aca="false">IF(AE852="","",AE852-AD852)</f>
        <v/>
      </c>
      <c r="AG852" s="28" t="str">
        <f aca="false">IF(OR(AF852="",M852=0),"",AF852/M852)</f>
        <v/>
      </c>
      <c r="AH852" s="32" t="str">
        <f aca="false">IF(OR(AE852="",N852=0),"",AE852/(N852/1000))</f>
        <v/>
      </c>
      <c r="AI852" s="30" t="str">
        <f aca="false">IF(O852="","",M852*P852)</f>
        <v/>
      </c>
      <c r="AJ852" s="11" t="str">
        <f aca="false">IF(O852="","",IF(O852&gt;1,"Error: rend &gt; 100 %",IF(SUM(T852:Z852)=0,"Falta registrar pérdidas",IF(ABS(AG852)&gt;Parámetros!$B$7,"Revisar balance",IF(O852&lt;P852,"Bajo meta","OK")))))</f>
        <v/>
      </c>
      <c r="AK852" s="33"/>
      <c r="AL852" s="10"/>
      <c r="AM852" s="33"/>
      <c r="AN852" s="33"/>
      <c r="AO852" s="10"/>
    </row>
    <row r="853" customFormat="false" ht="15" hidden="false" customHeight="false" outlineLevel="0" collapsed="false">
      <c r="A853" s="22"/>
      <c r="B853" s="23" t="str">
        <f aca="false">IF(A853="","",YEAR(A853-WEEKDAY(A853,2)+4))</f>
        <v/>
      </c>
      <c r="C853" s="23" t="str">
        <f aca="false">IF(A853="","",WEEKNUM(A853,21))</f>
        <v/>
      </c>
      <c r="D853" s="24" t="str">
        <f aca="false">IF(A853="","",DATE(YEAR(A853),MONTH(A853),1))</f>
        <v/>
      </c>
      <c r="E853" s="10"/>
      <c r="F853" s="25"/>
      <c r="G853" s="25"/>
      <c r="H853" s="10"/>
      <c r="I853" s="10"/>
      <c r="J853" s="26"/>
      <c r="K853" s="25"/>
      <c r="L853" s="26"/>
      <c r="M853" s="27"/>
      <c r="N853" s="27"/>
      <c r="O853" s="28" t="str">
        <f aca="false">IF(OR(M853="",M853=0,N853=""),"",N853/M853)</f>
        <v/>
      </c>
      <c r="P853" s="28" t="str">
        <f aca="false">IF(M853="","",IFERROR(IF(INDEX(Parámetros!$B$14:$B$21,MATCH(I853,Parámetros!$A$14:$A$21,0))="",Parámetros!$B$5,INDEX(Parámetros!$B$14:$B$21,MATCH(I853,Parámetros!$A$14:$A$21,0))),Parámetros!$B$5))</f>
        <v/>
      </c>
      <c r="Q853" s="29" t="str">
        <f aca="false">IF(O853="","",(O853-P853)*100)</f>
        <v/>
      </c>
      <c r="R853" s="30" t="str">
        <f aca="false">IF(O853="","",MAX(0,M853*(P853-O853)))</f>
        <v/>
      </c>
      <c r="S853" s="31" t="str">
        <f aca="false">IF(OR(L853="",L853=0,N853=""),"",N853/1000/L853)</f>
        <v/>
      </c>
      <c r="T853" s="27"/>
      <c r="U853" s="27"/>
      <c r="V853" s="27"/>
      <c r="W853" s="27"/>
      <c r="X853" s="27"/>
      <c r="Y853" s="27"/>
      <c r="Z853" s="27"/>
      <c r="AA853" s="25"/>
      <c r="AB853" s="27"/>
      <c r="AC853" s="30" t="str">
        <f aca="false">IF(M853="","",IF(AB853="",M853*Parámetros!$B$6,AB853))</f>
        <v/>
      </c>
      <c r="AD853" s="30" t="str">
        <f aca="false">IF(M853="","",SUM(T853:Z853)+AC853)</f>
        <v/>
      </c>
      <c r="AE853" s="30" t="str">
        <f aca="false">IF(OR(M853="",N853=""),"",M853-N853)</f>
        <v/>
      </c>
      <c r="AF853" s="30" t="str">
        <f aca="false">IF(AE853="","",AE853-AD853)</f>
        <v/>
      </c>
      <c r="AG853" s="28" t="str">
        <f aca="false">IF(OR(AF853="",M853=0),"",AF853/M853)</f>
        <v/>
      </c>
      <c r="AH853" s="32" t="str">
        <f aca="false">IF(OR(AE853="",N853=0),"",AE853/(N853/1000))</f>
        <v/>
      </c>
      <c r="AI853" s="30" t="str">
        <f aca="false">IF(O853="","",M853*P853)</f>
        <v/>
      </c>
      <c r="AJ853" s="11" t="str">
        <f aca="false">IF(O853="","",IF(O853&gt;1,"Error: rend &gt; 100 %",IF(SUM(T853:Z853)=0,"Falta registrar pérdidas",IF(ABS(AG853)&gt;Parámetros!$B$7,"Revisar balance",IF(O853&lt;P853,"Bajo meta","OK")))))</f>
        <v/>
      </c>
      <c r="AK853" s="33"/>
      <c r="AL853" s="10"/>
      <c r="AM853" s="33"/>
      <c r="AN853" s="33"/>
      <c r="AO853" s="10"/>
    </row>
    <row r="854" customFormat="false" ht="15" hidden="false" customHeight="false" outlineLevel="0" collapsed="false">
      <c r="A854" s="22"/>
      <c r="B854" s="23" t="str">
        <f aca="false">IF(A854="","",YEAR(A854-WEEKDAY(A854,2)+4))</f>
        <v/>
      </c>
      <c r="C854" s="23" t="str">
        <f aca="false">IF(A854="","",WEEKNUM(A854,21))</f>
        <v/>
      </c>
      <c r="D854" s="24" t="str">
        <f aca="false">IF(A854="","",DATE(YEAR(A854),MONTH(A854),1))</f>
        <v/>
      </c>
      <c r="E854" s="10"/>
      <c r="F854" s="25"/>
      <c r="G854" s="25"/>
      <c r="H854" s="10"/>
      <c r="I854" s="10"/>
      <c r="J854" s="26"/>
      <c r="K854" s="25"/>
      <c r="L854" s="26"/>
      <c r="M854" s="27"/>
      <c r="N854" s="27"/>
      <c r="O854" s="28" t="str">
        <f aca="false">IF(OR(M854="",M854=0,N854=""),"",N854/M854)</f>
        <v/>
      </c>
      <c r="P854" s="28" t="str">
        <f aca="false">IF(M854="","",IFERROR(IF(INDEX(Parámetros!$B$14:$B$21,MATCH(I854,Parámetros!$A$14:$A$21,0))="",Parámetros!$B$5,INDEX(Parámetros!$B$14:$B$21,MATCH(I854,Parámetros!$A$14:$A$21,0))),Parámetros!$B$5))</f>
        <v/>
      </c>
      <c r="Q854" s="29" t="str">
        <f aca="false">IF(O854="","",(O854-P854)*100)</f>
        <v/>
      </c>
      <c r="R854" s="30" t="str">
        <f aca="false">IF(O854="","",MAX(0,M854*(P854-O854)))</f>
        <v/>
      </c>
      <c r="S854" s="31" t="str">
        <f aca="false">IF(OR(L854="",L854=0,N854=""),"",N854/1000/L854)</f>
        <v/>
      </c>
      <c r="T854" s="27"/>
      <c r="U854" s="27"/>
      <c r="V854" s="27"/>
      <c r="W854" s="27"/>
      <c r="X854" s="27"/>
      <c r="Y854" s="27"/>
      <c r="Z854" s="27"/>
      <c r="AA854" s="25"/>
      <c r="AB854" s="27"/>
      <c r="AC854" s="30" t="str">
        <f aca="false">IF(M854="","",IF(AB854="",M854*Parámetros!$B$6,AB854))</f>
        <v/>
      </c>
      <c r="AD854" s="30" t="str">
        <f aca="false">IF(M854="","",SUM(T854:Z854)+AC854)</f>
        <v/>
      </c>
      <c r="AE854" s="30" t="str">
        <f aca="false">IF(OR(M854="",N854=""),"",M854-N854)</f>
        <v/>
      </c>
      <c r="AF854" s="30" t="str">
        <f aca="false">IF(AE854="","",AE854-AD854)</f>
        <v/>
      </c>
      <c r="AG854" s="28" t="str">
        <f aca="false">IF(OR(AF854="",M854=0),"",AF854/M854)</f>
        <v/>
      </c>
      <c r="AH854" s="32" t="str">
        <f aca="false">IF(OR(AE854="",N854=0),"",AE854/(N854/1000))</f>
        <v/>
      </c>
      <c r="AI854" s="30" t="str">
        <f aca="false">IF(O854="","",M854*P854)</f>
        <v/>
      </c>
      <c r="AJ854" s="11" t="str">
        <f aca="false">IF(O854="","",IF(O854&gt;1,"Error: rend &gt; 100 %",IF(SUM(T854:Z854)=0,"Falta registrar pérdidas",IF(ABS(AG854)&gt;Parámetros!$B$7,"Revisar balance",IF(O854&lt;P854,"Bajo meta","OK")))))</f>
        <v/>
      </c>
      <c r="AK854" s="33"/>
      <c r="AL854" s="10"/>
      <c r="AM854" s="33"/>
      <c r="AN854" s="33"/>
      <c r="AO854" s="10"/>
    </row>
    <row r="855" customFormat="false" ht="15" hidden="false" customHeight="false" outlineLevel="0" collapsed="false">
      <c r="A855" s="22"/>
      <c r="B855" s="23" t="str">
        <f aca="false">IF(A855="","",YEAR(A855-WEEKDAY(A855,2)+4))</f>
        <v/>
      </c>
      <c r="C855" s="23" t="str">
        <f aca="false">IF(A855="","",WEEKNUM(A855,21))</f>
        <v/>
      </c>
      <c r="D855" s="24" t="str">
        <f aca="false">IF(A855="","",DATE(YEAR(A855),MONTH(A855),1))</f>
        <v/>
      </c>
      <c r="E855" s="10"/>
      <c r="F855" s="25"/>
      <c r="G855" s="25"/>
      <c r="H855" s="10"/>
      <c r="I855" s="10"/>
      <c r="J855" s="26"/>
      <c r="K855" s="25"/>
      <c r="L855" s="26"/>
      <c r="M855" s="27"/>
      <c r="N855" s="27"/>
      <c r="O855" s="28" t="str">
        <f aca="false">IF(OR(M855="",M855=0,N855=""),"",N855/M855)</f>
        <v/>
      </c>
      <c r="P855" s="28" t="str">
        <f aca="false">IF(M855="","",IFERROR(IF(INDEX(Parámetros!$B$14:$B$21,MATCH(I855,Parámetros!$A$14:$A$21,0))="",Parámetros!$B$5,INDEX(Parámetros!$B$14:$B$21,MATCH(I855,Parámetros!$A$14:$A$21,0))),Parámetros!$B$5))</f>
        <v/>
      </c>
      <c r="Q855" s="29" t="str">
        <f aca="false">IF(O855="","",(O855-P855)*100)</f>
        <v/>
      </c>
      <c r="R855" s="30" t="str">
        <f aca="false">IF(O855="","",MAX(0,M855*(P855-O855)))</f>
        <v/>
      </c>
      <c r="S855" s="31" t="str">
        <f aca="false">IF(OR(L855="",L855=0,N855=""),"",N855/1000/L855)</f>
        <v/>
      </c>
      <c r="T855" s="27"/>
      <c r="U855" s="27"/>
      <c r="V855" s="27"/>
      <c r="W855" s="27"/>
      <c r="X855" s="27"/>
      <c r="Y855" s="27"/>
      <c r="Z855" s="27"/>
      <c r="AA855" s="25"/>
      <c r="AB855" s="27"/>
      <c r="AC855" s="30" t="str">
        <f aca="false">IF(M855="","",IF(AB855="",M855*Parámetros!$B$6,AB855))</f>
        <v/>
      </c>
      <c r="AD855" s="30" t="str">
        <f aca="false">IF(M855="","",SUM(T855:Z855)+AC855)</f>
        <v/>
      </c>
      <c r="AE855" s="30" t="str">
        <f aca="false">IF(OR(M855="",N855=""),"",M855-N855)</f>
        <v/>
      </c>
      <c r="AF855" s="30" t="str">
        <f aca="false">IF(AE855="","",AE855-AD855)</f>
        <v/>
      </c>
      <c r="AG855" s="28" t="str">
        <f aca="false">IF(OR(AF855="",M855=0),"",AF855/M855)</f>
        <v/>
      </c>
      <c r="AH855" s="32" t="str">
        <f aca="false">IF(OR(AE855="",N855=0),"",AE855/(N855/1000))</f>
        <v/>
      </c>
      <c r="AI855" s="30" t="str">
        <f aca="false">IF(O855="","",M855*P855)</f>
        <v/>
      </c>
      <c r="AJ855" s="11" t="str">
        <f aca="false">IF(O855="","",IF(O855&gt;1,"Error: rend &gt; 100 %",IF(SUM(T855:Z855)=0,"Falta registrar pérdidas",IF(ABS(AG855)&gt;Parámetros!$B$7,"Revisar balance",IF(O855&lt;P855,"Bajo meta","OK")))))</f>
        <v/>
      </c>
      <c r="AK855" s="33"/>
      <c r="AL855" s="10"/>
      <c r="AM855" s="33"/>
      <c r="AN855" s="33"/>
      <c r="AO855" s="10"/>
    </row>
    <row r="856" customFormat="false" ht="15" hidden="false" customHeight="false" outlineLevel="0" collapsed="false">
      <c r="A856" s="22"/>
      <c r="B856" s="23" t="str">
        <f aca="false">IF(A856="","",YEAR(A856-WEEKDAY(A856,2)+4))</f>
        <v/>
      </c>
      <c r="C856" s="23" t="str">
        <f aca="false">IF(A856="","",WEEKNUM(A856,21))</f>
        <v/>
      </c>
      <c r="D856" s="24" t="str">
        <f aca="false">IF(A856="","",DATE(YEAR(A856),MONTH(A856),1))</f>
        <v/>
      </c>
      <c r="E856" s="10"/>
      <c r="F856" s="25"/>
      <c r="G856" s="25"/>
      <c r="H856" s="10"/>
      <c r="I856" s="10"/>
      <c r="J856" s="26"/>
      <c r="K856" s="25"/>
      <c r="L856" s="26"/>
      <c r="M856" s="27"/>
      <c r="N856" s="27"/>
      <c r="O856" s="28" t="str">
        <f aca="false">IF(OR(M856="",M856=0,N856=""),"",N856/M856)</f>
        <v/>
      </c>
      <c r="P856" s="28" t="str">
        <f aca="false">IF(M856="","",IFERROR(IF(INDEX(Parámetros!$B$14:$B$21,MATCH(I856,Parámetros!$A$14:$A$21,0))="",Parámetros!$B$5,INDEX(Parámetros!$B$14:$B$21,MATCH(I856,Parámetros!$A$14:$A$21,0))),Parámetros!$B$5))</f>
        <v/>
      </c>
      <c r="Q856" s="29" t="str">
        <f aca="false">IF(O856="","",(O856-P856)*100)</f>
        <v/>
      </c>
      <c r="R856" s="30" t="str">
        <f aca="false">IF(O856="","",MAX(0,M856*(P856-O856)))</f>
        <v/>
      </c>
      <c r="S856" s="31" t="str">
        <f aca="false">IF(OR(L856="",L856=0,N856=""),"",N856/1000/L856)</f>
        <v/>
      </c>
      <c r="T856" s="27"/>
      <c r="U856" s="27"/>
      <c r="V856" s="27"/>
      <c r="W856" s="27"/>
      <c r="X856" s="27"/>
      <c r="Y856" s="27"/>
      <c r="Z856" s="27"/>
      <c r="AA856" s="25"/>
      <c r="AB856" s="27"/>
      <c r="AC856" s="30" t="str">
        <f aca="false">IF(M856="","",IF(AB856="",M856*Parámetros!$B$6,AB856))</f>
        <v/>
      </c>
      <c r="AD856" s="30" t="str">
        <f aca="false">IF(M856="","",SUM(T856:Z856)+AC856)</f>
        <v/>
      </c>
      <c r="AE856" s="30" t="str">
        <f aca="false">IF(OR(M856="",N856=""),"",M856-N856)</f>
        <v/>
      </c>
      <c r="AF856" s="30" t="str">
        <f aca="false">IF(AE856="","",AE856-AD856)</f>
        <v/>
      </c>
      <c r="AG856" s="28" t="str">
        <f aca="false">IF(OR(AF856="",M856=0),"",AF856/M856)</f>
        <v/>
      </c>
      <c r="AH856" s="32" t="str">
        <f aca="false">IF(OR(AE856="",N856=0),"",AE856/(N856/1000))</f>
        <v/>
      </c>
      <c r="AI856" s="30" t="str">
        <f aca="false">IF(O856="","",M856*P856)</f>
        <v/>
      </c>
      <c r="AJ856" s="11" t="str">
        <f aca="false">IF(O856="","",IF(O856&gt;1,"Error: rend &gt; 100 %",IF(SUM(T856:Z856)=0,"Falta registrar pérdidas",IF(ABS(AG856)&gt;Parámetros!$B$7,"Revisar balance",IF(O856&lt;P856,"Bajo meta","OK")))))</f>
        <v/>
      </c>
      <c r="AK856" s="33"/>
      <c r="AL856" s="10"/>
      <c r="AM856" s="33"/>
      <c r="AN856" s="33"/>
      <c r="AO856" s="10"/>
    </row>
    <row r="857" customFormat="false" ht="15" hidden="false" customHeight="false" outlineLevel="0" collapsed="false">
      <c r="A857" s="22"/>
      <c r="B857" s="23" t="str">
        <f aca="false">IF(A857="","",YEAR(A857-WEEKDAY(A857,2)+4))</f>
        <v/>
      </c>
      <c r="C857" s="23" t="str">
        <f aca="false">IF(A857="","",WEEKNUM(A857,21))</f>
        <v/>
      </c>
      <c r="D857" s="24" t="str">
        <f aca="false">IF(A857="","",DATE(YEAR(A857),MONTH(A857),1))</f>
        <v/>
      </c>
      <c r="E857" s="10"/>
      <c r="F857" s="25"/>
      <c r="G857" s="25"/>
      <c r="H857" s="10"/>
      <c r="I857" s="10"/>
      <c r="J857" s="26"/>
      <c r="K857" s="25"/>
      <c r="L857" s="26"/>
      <c r="M857" s="27"/>
      <c r="N857" s="27"/>
      <c r="O857" s="28" t="str">
        <f aca="false">IF(OR(M857="",M857=0,N857=""),"",N857/M857)</f>
        <v/>
      </c>
      <c r="P857" s="28" t="str">
        <f aca="false">IF(M857="","",IFERROR(IF(INDEX(Parámetros!$B$14:$B$21,MATCH(I857,Parámetros!$A$14:$A$21,0))="",Parámetros!$B$5,INDEX(Parámetros!$B$14:$B$21,MATCH(I857,Parámetros!$A$14:$A$21,0))),Parámetros!$B$5))</f>
        <v/>
      </c>
      <c r="Q857" s="29" t="str">
        <f aca="false">IF(O857="","",(O857-P857)*100)</f>
        <v/>
      </c>
      <c r="R857" s="30" t="str">
        <f aca="false">IF(O857="","",MAX(0,M857*(P857-O857)))</f>
        <v/>
      </c>
      <c r="S857" s="31" t="str">
        <f aca="false">IF(OR(L857="",L857=0,N857=""),"",N857/1000/L857)</f>
        <v/>
      </c>
      <c r="T857" s="27"/>
      <c r="U857" s="27"/>
      <c r="V857" s="27"/>
      <c r="W857" s="27"/>
      <c r="X857" s="27"/>
      <c r="Y857" s="27"/>
      <c r="Z857" s="27"/>
      <c r="AA857" s="25"/>
      <c r="AB857" s="27"/>
      <c r="AC857" s="30" t="str">
        <f aca="false">IF(M857="","",IF(AB857="",M857*Parámetros!$B$6,AB857))</f>
        <v/>
      </c>
      <c r="AD857" s="30" t="str">
        <f aca="false">IF(M857="","",SUM(T857:Z857)+AC857)</f>
        <v/>
      </c>
      <c r="AE857" s="30" t="str">
        <f aca="false">IF(OR(M857="",N857=""),"",M857-N857)</f>
        <v/>
      </c>
      <c r="AF857" s="30" t="str">
        <f aca="false">IF(AE857="","",AE857-AD857)</f>
        <v/>
      </c>
      <c r="AG857" s="28" t="str">
        <f aca="false">IF(OR(AF857="",M857=0),"",AF857/M857)</f>
        <v/>
      </c>
      <c r="AH857" s="32" t="str">
        <f aca="false">IF(OR(AE857="",N857=0),"",AE857/(N857/1000))</f>
        <v/>
      </c>
      <c r="AI857" s="30" t="str">
        <f aca="false">IF(O857="","",M857*P857)</f>
        <v/>
      </c>
      <c r="AJ857" s="11" t="str">
        <f aca="false">IF(O857="","",IF(O857&gt;1,"Error: rend &gt; 100 %",IF(SUM(T857:Z857)=0,"Falta registrar pérdidas",IF(ABS(AG857)&gt;Parámetros!$B$7,"Revisar balance",IF(O857&lt;P857,"Bajo meta","OK")))))</f>
        <v/>
      </c>
      <c r="AK857" s="33"/>
      <c r="AL857" s="10"/>
      <c r="AM857" s="33"/>
      <c r="AN857" s="33"/>
      <c r="AO857" s="10"/>
    </row>
    <row r="858" customFormat="false" ht="15" hidden="false" customHeight="false" outlineLevel="0" collapsed="false">
      <c r="A858" s="22"/>
      <c r="B858" s="23" t="str">
        <f aca="false">IF(A858="","",YEAR(A858-WEEKDAY(A858,2)+4))</f>
        <v/>
      </c>
      <c r="C858" s="23" t="str">
        <f aca="false">IF(A858="","",WEEKNUM(A858,21))</f>
        <v/>
      </c>
      <c r="D858" s="24" t="str">
        <f aca="false">IF(A858="","",DATE(YEAR(A858),MONTH(A858),1))</f>
        <v/>
      </c>
      <c r="E858" s="10"/>
      <c r="F858" s="25"/>
      <c r="G858" s="25"/>
      <c r="H858" s="10"/>
      <c r="I858" s="10"/>
      <c r="J858" s="26"/>
      <c r="K858" s="25"/>
      <c r="L858" s="26"/>
      <c r="M858" s="27"/>
      <c r="N858" s="27"/>
      <c r="O858" s="28" t="str">
        <f aca="false">IF(OR(M858="",M858=0,N858=""),"",N858/M858)</f>
        <v/>
      </c>
      <c r="P858" s="28" t="str">
        <f aca="false">IF(M858="","",IFERROR(IF(INDEX(Parámetros!$B$14:$B$21,MATCH(I858,Parámetros!$A$14:$A$21,0))="",Parámetros!$B$5,INDEX(Parámetros!$B$14:$B$21,MATCH(I858,Parámetros!$A$14:$A$21,0))),Parámetros!$B$5))</f>
        <v/>
      </c>
      <c r="Q858" s="29" t="str">
        <f aca="false">IF(O858="","",(O858-P858)*100)</f>
        <v/>
      </c>
      <c r="R858" s="30" t="str">
        <f aca="false">IF(O858="","",MAX(0,M858*(P858-O858)))</f>
        <v/>
      </c>
      <c r="S858" s="31" t="str">
        <f aca="false">IF(OR(L858="",L858=0,N858=""),"",N858/1000/L858)</f>
        <v/>
      </c>
      <c r="T858" s="27"/>
      <c r="U858" s="27"/>
      <c r="V858" s="27"/>
      <c r="W858" s="27"/>
      <c r="X858" s="27"/>
      <c r="Y858" s="27"/>
      <c r="Z858" s="27"/>
      <c r="AA858" s="25"/>
      <c r="AB858" s="27"/>
      <c r="AC858" s="30" t="str">
        <f aca="false">IF(M858="","",IF(AB858="",M858*Parámetros!$B$6,AB858))</f>
        <v/>
      </c>
      <c r="AD858" s="30" t="str">
        <f aca="false">IF(M858="","",SUM(T858:Z858)+AC858)</f>
        <v/>
      </c>
      <c r="AE858" s="30" t="str">
        <f aca="false">IF(OR(M858="",N858=""),"",M858-N858)</f>
        <v/>
      </c>
      <c r="AF858" s="30" t="str">
        <f aca="false">IF(AE858="","",AE858-AD858)</f>
        <v/>
      </c>
      <c r="AG858" s="28" t="str">
        <f aca="false">IF(OR(AF858="",M858=0),"",AF858/M858)</f>
        <v/>
      </c>
      <c r="AH858" s="32" t="str">
        <f aca="false">IF(OR(AE858="",N858=0),"",AE858/(N858/1000))</f>
        <v/>
      </c>
      <c r="AI858" s="30" t="str">
        <f aca="false">IF(O858="","",M858*P858)</f>
        <v/>
      </c>
      <c r="AJ858" s="11" t="str">
        <f aca="false">IF(O858="","",IF(O858&gt;1,"Error: rend &gt; 100 %",IF(SUM(T858:Z858)=0,"Falta registrar pérdidas",IF(ABS(AG858)&gt;Parámetros!$B$7,"Revisar balance",IF(O858&lt;P858,"Bajo meta","OK")))))</f>
        <v/>
      </c>
      <c r="AK858" s="33"/>
      <c r="AL858" s="10"/>
      <c r="AM858" s="33"/>
      <c r="AN858" s="33"/>
      <c r="AO858" s="10"/>
    </row>
    <row r="859" customFormat="false" ht="15" hidden="false" customHeight="false" outlineLevel="0" collapsed="false">
      <c r="A859" s="22"/>
      <c r="B859" s="23" t="str">
        <f aca="false">IF(A859="","",YEAR(A859-WEEKDAY(A859,2)+4))</f>
        <v/>
      </c>
      <c r="C859" s="23" t="str">
        <f aca="false">IF(A859="","",WEEKNUM(A859,21))</f>
        <v/>
      </c>
      <c r="D859" s="24" t="str">
        <f aca="false">IF(A859="","",DATE(YEAR(A859),MONTH(A859),1))</f>
        <v/>
      </c>
      <c r="E859" s="10"/>
      <c r="F859" s="25"/>
      <c r="G859" s="25"/>
      <c r="H859" s="10"/>
      <c r="I859" s="10"/>
      <c r="J859" s="26"/>
      <c r="K859" s="25"/>
      <c r="L859" s="26"/>
      <c r="M859" s="27"/>
      <c r="N859" s="27"/>
      <c r="O859" s="28" t="str">
        <f aca="false">IF(OR(M859="",M859=0,N859=""),"",N859/M859)</f>
        <v/>
      </c>
      <c r="P859" s="28" t="str">
        <f aca="false">IF(M859="","",IFERROR(IF(INDEX(Parámetros!$B$14:$B$21,MATCH(I859,Parámetros!$A$14:$A$21,0))="",Parámetros!$B$5,INDEX(Parámetros!$B$14:$B$21,MATCH(I859,Parámetros!$A$14:$A$21,0))),Parámetros!$B$5))</f>
        <v/>
      </c>
      <c r="Q859" s="29" t="str">
        <f aca="false">IF(O859="","",(O859-P859)*100)</f>
        <v/>
      </c>
      <c r="R859" s="30" t="str">
        <f aca="false">IF(O859="","",MAX(0,M859*(P859-O859)))</f>
        <v/>
      </c>
      <c r="S859" s="31" t="str">
        <f aca="false">IF(OR(L859="",L859=0,N859=""),"",N859/1000/L859)</f>
        <v/>
      </c>
      <c r="T859" s="27"/>
      <c r="U859" s="27"/>
      <c r="V859" s="27"/>
      <c r="W859" s="27"/>
      <c r="X859" s="27"/>
      <c r="Y859" s="27"/>
      <c r="Z859" s="27"/>
      <c r="AA859" s="25"/>
      <c r="AB859" s="27"/>
      <c r="AC859" s="30" t="str">
        <f aca="false">IF(M859="","",IF(AB859="",M859*Parámetros!$B$6,AB859))</f>
        <v/>
      </c>
      <c r="AD859" s="30" t="str">
        <f aca="false">IF(M859="","",SUM(T859:Z859)+AC859)</f>
        <v/>
      </c>
      <c r="AE859" s="30" t="str">
        <f aca="false">IF(OR(M859="",N859=""),"",M859-N859)</f>
        <v/>
      </c>
      <c r="AF859" s="30" t="str">
        <f aca="false">IF(AE859="","",AE859-AD859)</f>
        <v/>
      </c>
      <c r="AG859" s="28" t="str">
        <f aca="false">IF(OR(AF859="",M859=0),"",AF859/M859)</f>
        <v/>
      </c>
      <c r="AH859" s="32" t="str">
        <f aca="false">IF(OR(AE859="",N859=0),"",AE859/(N859/1000))</f>
        <v/>
      </c>
      <c r="AI859" s="30" t="str">
        <f aca="false">IF(O859="","",M859*P859)</f>
        <v/>
      </c>
      <c r="AJ859" s="11" t="str">
        <f aca="false">IF(O859="","",IF(O859&gt;1,"Error: rend &gt; 100 %",IF(SUM(T859:Z859)=0,"Falta registrar pérdidas",IF(ABS(AG859)&gt;Parámetros!$B$7,"Revisar balance",IF(O859&lt;P859,"Bajo meta","OK")))))</f>
        <v/>
      </c>
      <c r="AK859" s="33"/>
      <c r="AL859" s="10"/>
      <c r="AM859" s="33"/>
      <c r="AN859" s="33"/>
      <c r="AO859" s="10"/>
    </row>
    <row r="860" customFormat="false" ht="15" hidden="false" customHeight="false" outlineLevel="0" collapsed="false">
      <c r="A860" s="22"/>
      <c r="B860" s="23" t="str">
        <f aca="false">IF(A860="","",YEAR(A860-WEEKDAY(A860,2)+4))</f>
        <v/>
      </c>
      <c r="C860" s="23" t="str">
        <f aca="false">IF(A860="","",WEEKNUM(A860,21))</f>
        <v/>
      </c>
      <c r="D860" s="24" t="str">
        <f aca="false">IF(A860="","",DATE(YEAR(A860),MONTH(A860),1))</f>
        <v/>
      </c>
      <c r="E860" s="10"/>
      <c r="F860" s="25"/>
      <c r="G860" s="25"/>
      <c r="H860" s="10"/>
      <c r="I860" s="10"/>
      <c r="J860" s="26"/>
      <c r="K860" s="25"/>
      <c r="L860" s="26"/>
      <c r="M860" s="27"/>
      <c r="N860" s="27"/>
      <c r="O860" s="28" t="str">
        <f aca="false">IF(OR(M860="",M860=0,N860=""),"",N860/M860)</f>
        <v/>
      </c>
      <c r="P860" s="28" t="str">
        <f aca="false">IF(M860="","",IFERROR(IF(INDEX(Parámetros!$B$14:$B$21,MATCH(I860,Parámetros!$A$14:$A$21,0))="",Parámetros!$B$5,INDEX(Parámetros!$B$14:$B$21,MATCH(I860,Parámetros!$A$14:$A$21,0))),Parámetros!$B$5))</f>
        <v/>
      </c>
      <c r="Q860" s="29" t="str">
        <f aca="false">IF(O860="","",(O860-P860)*100)</f>
        <v/>
      </c>
      <c r="R860" s="30" t="str">
        <f aca="false">IF(O860="","",MAX(0,M860*(P860-O860)))</f>
        <v/>
      </c>
      <c r="S860" s="31" t="str">
        <f aca="false">IF(OR(L860="",L860=0,N860=""),"",N860/1000/L860)</f>
        <v/>
      </c>
      <c r="T860" s="27"/>
      <c r="U860" s="27"/>
      <c r="V860" s="27"/>
      <c r="W860" s="27"/>
      <c r="X860" s="27"/>
      <c r="Y860" s="27"/>
      <c r="Z860" s="27"/>
      <c r="AA860" s="25"/>
      <c r="AB860" s="27"/>
      <c r="AC860" s="30" t="str">
        <f aca="false">IF(M860="","",IF(AB860="",M860*Parámetros!$B$6,AB860))</f>
        <v/>
      </c>
      <c r="AD860" s="30" t="str">
        <f aca="false">IF(M860="","",SUM(T860:Z860)+AC860)</f>
        <v/>
      </c>
      <c r="AE860" s="30" t="str">
        <f aca="false">IF(OR(M860="",N860=""),"",M860-N860)</f>
        <v/>
      </c>
      <c r="AF860" s="30" t="str">
        <f aca="false">IF(AE860="","",AE860-AD860)</f>
        <v/>
      </c>
      <c r="AG860" s="28" t="str">
        <f aca="false">IF(OR(AF860="",M860=0),"",AF860/M860)</f>
        <v/>
      </c>
      <c r="AH860" s="32" t="str">
        <f aca="false">IF(OR(AE860="",N860=0),"",AE860/(N860/1000))</f>
        <v/>
      </c>
      <c r="AI860" s="30" t="str">
        <f aca="false">IF(O860="","",M860*P860)</f>
        <v/>
      </c>
      <c r="AJ860" s="11" t="str">
        <f aca="false">IF(O860="","",IF(O860&gt;1,"Error: rend &gt; 100 %",IF(SUM(T860:Z860)=0,"Falta registrar pérdidas",IF(ABS(AG860)&gt;Parámetros!$B$7,"Revisar balance",IF(O860&lt;P860,"Bajo meta","OK")))))</f>
        <v/>
      </c>
      <c r="AK860" s="33"/>
      <c r="AL860" s="10"/>
      <c r="AM860" s="33"/>
      <c r="AN860" s="33"/>
      <c r="AO860" s="10"/>
    </row>
    <row r="861" customFormat="false" ht="15" hidden="false" customHeight="false" outlineLevel="0" collapsed="false">
      <c r="A861" s="22"/>
      <c r="B861" s="23" t="str">
        <f aca="false">IF(A861="","",YEAR(A861-WEEKDAY(A861,2)+4))</f>
        <v/>
      </c>
      <c r="C861" s="23" t="str">
        <f aca="false">IF(A861="","",WEEKNUM(A861,21))</f>
        <v/>
      </c>
      <c r="D861" s="24" t="str">
        <f aca="false">IF(A861="","",DATE(YEAR(A861),MONTH(A861),1))</f>
        <v/>
      </c>
      <c r="E861" s="10"/>
      <c r="F861" s="25"/>
      <c r="G861" s="25"/>
      <c r="H861" s="10"/>
      <c r="I861" s="10"/>
      <c r="J861" s="26"/>
      <c r="K861" s="25"/>
      <c r="L861" s="26"/>
      <c r="M861" s="27"/>
      <c r="N861" s="27"/>
      <c r="O861" s="28" t="str">
        <f aca="false">IF(OR(M861="",M861=0,N861=""),"",N861/M861)</f>
        <v/>
      </c>
      <c r="P861" s="28" t="str">
        <f aca="false">IF(M861="","",IFERROR(IF(INDEX(Parámetros!$B$14:$B$21,MATCH(I861,Parámetros!$A$14:$A$21,0))="",Parámetros!$B$5,INDEX(Parámetros!$B$14:$B$21,MATCH(I861,Parámetros!$A$14:$A$21,0))),Parámetros!$B$5))</f>
        <v/>
      </c>
      <c r="Q861" s="29" t="str">
        <f aca="false">IF(O861="","",(O861-P861)*100)</f>
        <v/>
      </c>
      <c r="R861" s="30" t="str">
        <f aca="false">IF(O861="","",MAX(0,M861*(P861-O861)))</f>
        <v/>
      </c>
      <c r="S861" s="31" t="str">
        <f aca="false">IF(OR(L861="",L861=0,N861=""),"",N861/1000/L861)</f>
        <v/>
      </c>
      <c r="T861" s="27"/>
      <c r="U861" s="27"/>
      <c r="V861" s="27"/>
      <c r="W861" s="27"/>
      <c r="X861" s="27"/>
      <c r="Y861" s="27"/>
      <c r="Z861" s="27"/>
      <c r="AA861" s="25"/>
      <c r="AB861" s="27"/>
      <c r="AC861" s="30" t="str">
        <f aca="false">IF(M861="","",IF(AB861="",M861*Parámetros!$B$6,AB861))</f>
        <v/>
      </c>
      <c r="AD861" s="30" t="str">
        <f aca="false">IF(M861="","",SUM(T861:Z861)+AC861)</f>
        <v/>
      </c>
      <c r="AE861" s="30" t="str">
        <f aca="false">IF(OR(M861="",N861=""),"",M861-N861)</f>
        <v/>
      </c>
      <c r="AF861" s="30" t="str">
        <f aca="false">IF(AE861="","",AE861-AD861)</f>
        <v/>
      </c>
      <c r="AG861" s="28" t="str">
        <f aca="false">IF(OR(AF861="",M861=0),"",AF861/M861)</f>
        <v/>
      </c>
      <c r="AH861" s="32" t="str">
        <f aca="false">IF(OR(AE861="",N861=0),"",AE861/(N861/1000))</f>
        <v/>
      </c>
      <c r="AI861" s="30" t="str">
        <f aca="false">IF(O861="","",M861*P861)</f>
        <v/>
      </c>
      <c r="AJ861" s="11" t="str">
        <f aca="false">IF(O861="","",IF(O861&gt;1,"Error: rend &gt; 100 %",IF(SUM(T861:Z861)=0,"Falta registrar pérdidas",IF(ABS(AG861)&gt;Parámetros!$B$7,"Revisar balance",IF(O861&lt;P861,"Bajo meta","OK")))))</f>
        <v/>
      </c>
      <c r="AK861" s="33"/>
      <c r="AL861" s="10"/>
      <c r="AM861" s="33"/>
      <c r="AN861" s="33"/>
      <c r="AO861" s="10"/>
    </row>
    <row r="862" customFormat="false" ht="15" hidden="false" customHeight="false" outlineLevel="0" collapsed="false">
      <c r="A862" s="22"/>
      <c r="B862" s="23" t="str">
        <f aca="false">IF(A862="","",YEAR(A862-WEEKDAY(A862,2)+4))</f>
        <v/>
      </c>
      <c r="C862" s="23" t="str">
        <f aca="false">IF(A862="","",WEEKNUM(A862,21))</f>
        <v/>
      </c>
      <c r="D862" s="24" t="str">
        <f aca="false">IF(A862="","",DATE(YEAR(A862),MONTH(A862),1))</f>
        <v/>
      </c>
      <c r="E862" s="10"/>
      <c r="F862" s="25"/>
      <c r="G862" s="25"/>
      <c r="H862" s="10"/>
      <c r="I862" s="10"/>
      <c r="J862" s="26"/>
      <c r="K862" s="25"/>
      <c r="L862" s="26"/>
      <c r="M862" s="27"/>
      <c r="N862" s="27"/>
      <c r="O862" s="28" t="str">
        <f aca="false">IF(OR(M862="",M862=0,N862=""),"",N862/M862)</f>
        <v/>
      </c>
      <c r="P862" s="28" t="str">
        <f aca="false">IF(M862="","",IFERROR(IF(INDEX(Parámetros!$B$14:$B$21,MATCH(I862,Parámetros!$A$14:$A$21,0))="",Parámetros!$B$5,INDEX(Parámetros!$B$14:$B$21,MATCH(I862,Parámetros!$A$14:$A$21,0))),Parámetros!$B$5))</f>
        <v/>
      </c>
      <c r="Q862" s="29" t="str">
        <f aca="false">IF(O862="","",(O862-P862)*100)</f>
        <v/>
      </c>
      <c r="R862" s="30" t="str">
        <f aca="false">IF(O862="","",MAX(0,M862*(P862-O862)))</f>
        <v/>
      </c>
      <c r="S862" s="31" t="str">
        <f aca="false">IF(OR(L862="",L862=0,N862=""),"",N862/1000/L862)</f>
        <v/>
      </c>
      <c r="T862" s="27"/>
      <c r="U862" s="27"/>
      <c r="V862" s="27"/>
      <c r="W862" s="27"/>
      <c r="X862" s="27"/>
      <c r="Y862" s="27"/>
      <c r="Z862" s="27"/>
      <c r="AA862" s="25"/>
      <c r="AB862" s="27"/>
      <c r="AC862" s="30" t="str">
        <f aca="false">IF(M862="","",IF(AB862="",M862*Parámetros!$B$6,AB862))</f>
        <v/>
      </c>
      <c r="AD862" s="30" t="str">
        <f aca="false">IF(M862="","",SUM(T862:Z862)+AC862)</f>
        <v/>
      </c>
      <c r="AE862" s="30" t="str">
        <f aca="false">IF(OR(M862="",N862=""),"",M862-N862)</f>
        <v/>
      </c>
      <c r="AF862" s="30" t="str">
        <f aca="false">IF(AE862="","",AE862-AD862)</f>
        <v/>
      </c>
      <c r="AG862" s="28" t="str">
        <f aca="false">IF(OR(AF862="",M862=0),"",AF862/M862)</f>
        <v/>
      </c>
      <c r="AH862" s="32" t="str">
        <f aca="false">IF(OR(AE862="",N862=0),"",AE862/(N862/1000))</f>
        <v/>
      </c>
      <c r="AI862" s="30" t="str">
        <f aca="false">IF(O862="","",M862*P862)</f>
        <v/>
      </c>
      <c r="AJ862" s="11" t="str">
        <f aca="false">IF(O862="","",IF(O862&gt;1,"Error: rend &gt; 100 %",IF(SUM(T862:Z862)=0,"Falta registrar pérdidas",IF(ABS(AG862)&gt;Parámetros!$B$7,"Revisar balance",IF(O862&lt;P862,"Bajo meta","OK")))))</f>
        <v/>
      </c>
      <c r="AK862" s="33"/>
      <c r="AL862" s="10"/>
      <c r="AM862" s="33"/>
      <c r="AN862" s="33"/>
      <c r="AO862" s="10"/>
    </row>
    <row r="863" customFormat="false" ht="15" hidden="false" customHeight="false" outlineLevel="0" collapsed="false">
      <c r="A863" s="22"/>
      <c r="B863" s="23" t="str">
        <f aca="false">IF(A863="","",YEAR(A863-WEEKDAY(A863,2)+4))</f>
        <v/>
      </c>
      <c r="C863" s="23" t="str">
        <f aca="false">IF(A863="","",WEEKNUM(A863,21))</f>
        <v/>
      </c>
      <c r="D863" s="24" t="str">
        <f aca="false">IF(A863="","",DATE(YEAR(A863),MONTH(A863),1))</f>
        <v/>
      </c>
      <c r="E863" s="10"/>
      <c r="F863" s="25"/>
      <c r="G863" s="25"/>
      <c r="H863" s="10"/>
      <c r="I863" s="10"/>
      <c r="J863" s="26"/>
      <c r="K863" s="25"/>
      <c r="L863" s="26"/>
      <c r="M863" s="27"/>
      <c r="N863" s="27"/>
      <c r="O863" s="28" t="str">
        <f aca="false">IF(OR(M863="",M863=0,N863=""),"",N863/M863)</f>
        <v/>
      </c>
      <c r="P863" s="28" t="str">
        <f aca="false">IF(M863="","",IFERROR(IF(INDEX(Parámetros!$B$14:$B$21,MATCH(I863,Parámetros!$A$14:$A$21,0))="",Parámetros!$B$5,INDEX(Parámetros!$B$14:$B$21,MATCH(I863,Parámetros!$A$14:$A$21,0))),Parámetros!$B$5))</f>
        <v/>
      </c>
      <c r="Q863" s="29" t="str">
        <f aca="false">IF(O863="","",(O863-P863)*100)</f>
        <v/>
      </c>
      <c r="R863" s="30" t="str">
        <f aca="false">IF(O863="","",MAX(0,M863*(P863-O863)))</f>
        <v/>
      </c>
      <c r="S863" s="31" t="str">
        <f aca="false">IF(OR(L863="",L863=0,N863=""),"",N863/1000/L863)</f>
        <v/>
      </c>
      <c r="T863" s="27"/>
      <c r="U863" s="27"/>
      <c r="V863" s="27"/>
      <c r="W863" s="27"/>
      <c r="X863" s="27"/>
      <c r="Y863" s="27"/>
      <c r="Z863" s="27"/>
      <c r="AA863" s="25"/>
      <c r="AB863" s="27"/>
      <c r="AC863" s="30" t="str">
        <f aca="false">IF(M863="","",IF(AB863="",M863*Parámetros!$B$6,AB863))</f>
        <v/>
      </c>
      <c r="AD863" s="30" t="str">
        <f aca="false">IF(M863="","",SUM(T863:Z863)+AC863)</f>
        <v/>
      </c>
      <c r="AE863" s="30" t="str">
        <f aca="false">IF(OR(M863="",N863=""),"",M863-N863)</f>
        <v/>
      </c>
      <c r="AF863" s="30" t="str">
        <f aca="false">IF(AE863="","",AE863-AD863)</f>
        <v/>
      </c>
      <c r="AG863" s="28" t="str">
        <f aca="false">IF(OR(AF863="",M863=0),"",AF863/M863)</f>
        <v/>
      </c>
      <c r="AH863" s="32" t="str">
        <f aca="false">IF(OR(AE863="",N863=0),"",AE863/(N863/1000))</f>
        <v/>
      </c>
      <c r="AI863" s="30" t="str">
        <f aca="false">IF(O863="","",M863*P863)</f>
        <v/>
      </c>
      <c r="AJ863" s="11" t="str">
        <f aca="false">IF(O863="","",IF(O863&gt;1,"Error: rend &gt; 100 %",IF(SUM(T863:Z863)=0,"Falta registrar pérdidas",IF(ABS(AG863)&gt;Parámetros!$B$7,"Revisar balance",IF(O863&lt;P863,"Bajo meta","OK")))))</f>
        <v/>
      </c>
      <c r="AK863" s="33"/>
      <c r="AL863" s="10"/>
      <c r="AM863" s="33"/>
      <c r="AN863" s="33"/>
      <c r="AO863" s="10"/>
    </row>
    <row r="864" customFormat="false" ht="15" hidden="false" customHeight="false" outlineLevel="0" collapsed="false">
      <c r="A864" s="22"/>
      <c r="B864" s="23" t="str">
        <f aca="false">IF(A864="","",YEAR(A864-WEEKDAY(A864,2)+4))</f>
        <v/>
      </c>
      <c r="C864" s="23" t="str">
        <f aca="false">IF(A864="","",WEEKNUM(A864,21))</f>
        <v/>
      </c>
      <c r="D864" s="24" t="str">
        <f aca="false">IF(A864="","",DATE(YEAR(A864),MONTH(A864),1))</f>
        <v/>
      </c>
      <c r="E864" s="10"/>
      <c r="F864" s="25"/>
      <c r="G864" s="25"/>
      <c r="H864" s="10"/>
      <c r="I864" s="10"/>
      <c r="J864" s="26"/>
      <c r="K864" s="25"/>
      <c r="L864" s="26"/>
      <c r="M864" s="27"/>
      <c r="N864" s="27"/>
      <c r="O864" s="28" t="str">
        <f aca="false">IF(OR(M864="",M864=0,N864=""),"",N864/M864)</f>
        <v/>
      </c>
      <c r="P864" s="28" t="str">
        <f aca="false">IF(M864="","",IFERROR(IF(INDEX(Parámetros!$B$14:$B$21,MATCH(I864,Parámetros!$A$14:$A$21,0))="",Parámetros!$B$5,INDEX(Parámetros!$B$14:$B$21,MATCH(I864,Parámetros!$A$14:$A$21,0))),Parámetros!$B$5))</f>
        <v/>
      </c>
      <c r="Q864" s="29" t="str">
        <f aca="false">IF(O864="","",(O864-P864)*100)</f>
        <v/>
      </c>
      <c r="R864" s="30" t="str">
        <f aca="false">IF(O864="","",MAX(0,M864*(P864-O864)))</f>
        <v/>
      </c>
      <c r="S864" s="31" t="str">
        <f aca="false">IF(OR(L864="",L864=0,N864=""),"",N864/1000/L864)</f>
        <v/>
      </c>
      <c r="T864" s="27"/>
      <c r="U864" s="27"/>
      <c r="V864" s="27"/>
      <c r="W864" s="27"/>
      <c r="X864" s="27"/>
      <c r="Y864" s="27"/>
      <c r="Z864" s="27"/>
      <c r="AA864" s="25"/>
      <c r="AB864" s="27"/>
      <c r="AC864" s="30" t="str">
        <f aca="false">IF(M864="","",IF(AB864="",M864*Parámetros!$B$6,AB864))</f>
        <v/>
      </c>
      <c r="AD864" s="30" t="str">
        <f aca="false">IF(M864="","",SUM(T864:Z864)+AC864)</f>
        <v/>
      </c>
      <c r="AE864" s="30" t="str">
        <f aca="false">IF(OR(M864="",N864=""),"",M864-N864)</f>
        <v/>
      </c>
      <c r="AF864" s="30" t="str">
        <f aca="false">IF(AE864="","",AE864-AD864)</f>
        <v/>
      </c>
      <c r="AG864" s="28" t="str">
        <f aca="false">IF(OR(AF864="",M864=0),"",AF864/M864)</f>
        <v/>
      </c>
      <c r="AH864" s="32" t="str">
        <f aca="false">IF(OR(AE864="",N864=0),"",AE864/(N864/1000))</f>
        <v/>
      </c>
      <c r="AI864" s="30" t="str">
        <f aca="false">IF(O864="","",M864*P864)</f>
        <v/>
      </c>
      <c r="AJ864" s="11" t="str">
        <f aca="false">IF(O864="","",IF(O864&gt;1,"Error: rend &gt; 100 %",IF(SUM(T864:Z864)=0,"Falta registrar pérdidas",IF(ABS(AG864)&gt;Parámetros!$B$7,"Revisar balance",IF(O864&lt;P864,"Bajo meta","OK")))))</f>
        <v/>
      </c>
      <c r="AK864" s="33"/>
      <c r="AL864" s="10"/>
      <c r="AM864" s="33"/>
      <c r="AN864" s="33"/>
      <c r="AO864" s="10"/>
    </row>
    <row r="865" customFormat="false" ht="15" hidden="false" customHeight="false" outlineLevel="0" collapsed="false">
      <c r="A865" s="22"/>
      <c r="B865" s="23" t="str">
        <f aca="false">IF(A865="","",YEAR(A865-WEEKDAY(A865,2)+4))</f>
        <v/>
      </c>
      <c r="C865" s="23" t="str">
        <f aca="false">IF(A865="","",WEEKNUM(A865,21))</f>
        <v/>
      </c>
      <c r="D865" s="24" t="str">
        <f aca="false">IF(A865="","",DATE(YEAR(A865),MONTH(A865),1))</f>
        <v/>
      </c>
      <c r="E865" s="10"/>
      <c r="F865" s="25"/>
      <c r="G865" s="25"/>
      <c r="H865" s="10"/>
      <c r="I865" s="10"/>
      <c r="J865" s="26"/>
      <c r="K865" s="25"/>
      <c r="L865" s="26"/>
      <c r="M865" s="27"/>
      <c r="N865" s="27"/>
      <c r="O865" s="28" t="str">
        <f aca="false">IF(OR(M865="",M865=0,N865=""),"",N865/M865)</f>
        <v/>
      </c>
      <c r="P865" s="28" t="str">
        <f aca="false">IF(M865="","",IFERROR(IF(INDEX(Parámetros!$B$14:$B$21,MATCH(I865,Parámetros!$A$14:$A$21,0))="",Parámetros!$B$5,INDEX(Parámetros!$B$14:$B$21,MATCH(I865,Parámetros!$A$14:$A$21,0))),Parámetros!$B$5))</f>
        <v/>
      </c>
      <c r="Q865" s="29" t="str">
        <f aca="false">IF(O865="","",(O865-P865)*100)</f>
        <v/>
      </c>
      <c r="R865" s="30" t="str">
        <f aca="false">IF(O865="","",MAX(0,M865*(P865-O865)))</f>
        <v/>
      </c>
      <c r="S865" s="31" t="str">
        <f aca="false">IF(OR(L865="",L865=0,N865=""),"",N865/1000/L865)</f>
        <v/>
      </c>
      <c r="T865" s="27"/>
      <c r="U865" s="27"/>
      <c r="V865" s="27"/>
      <c r="W865" s="27"/>
      <c r="X865" s="27"/>
      <c r="Y865" s="27"/>
      <c r="Z865" s="27"/>
      <c r="AA865" s="25"/>
      <c r="AB865" s="27"/>
      <c r="AC865" s="30" t="str">
        <f aca="false">IF(M865="","",IF(AB865="",M865*Parámetros!$B$6,AB865))</f>
        <v/>
      </c>
      <c r="AD865" s="30" t="str">
        <f aca="false">IF(M865="","",SUM(T865:Z865)+AC865)</f>
        <v/>
      </c>
      <c r="AE865" s="30" t="str">
        <f aca="false">IF(OR(M865="",N865=""),"",M865-N865)</f>
        <v/>
      </c>
      <c r="AF865" s="30" t="str">
        <f aca="false">IF(AE865="","",AE865-AD865)</f>
        <v/>
      </c>
      <c r="AG865" s="28" t="str">
        <f aca="false">IF(OR(AF865="",M865=0),"",AF865/M865)</f>
        <v/>
      </c>
      <c r="AH865" s="32" t="str">
        <f aca="false">IF(OR(AE865="",N865=0),"",AE865/(N865/1000))</f>
        <v/>
      </c>
      <c r="AI865" s="30" t="str">
        <f aca="false">IF(O865="","",M865*P865)</f>
        <v/>
      </c>
      <c r="AJ865" s="11" t="str">
        <f aca="false">IF(O865="","",IF(O865&gt;1,"Error: rend &gt; 100 %",IF(SUM(T865:Z865)=0,"Falta registrar pérdidas",IF(ABS(AG865)&gt;Parámetros!$B$7,"Revisar balance",IF(O865&lt;P865,"Bajo meta","OK")))))</f>
        <v/>
      </c>
      <c r="AK865" s="33"/>
      <c r="AL865" s="10"/>
      <c r="AM865" s="33"/>
      <c r="AN865" s="33"/>
      <c r="AO865" s="10"/>
    </row>
    <row r="866" customFormat="false" ht="15" hidden="false" customHeight="false" outlineLevel="0" collapsed="false">
      <c r="A866" s="22"/>
      <c r="B866" s="23" t="str">
        <f aca="false">IF(A866="","",YEAR(A866-WEEKDAY(A866,2)+4))</f>
        <v/>
      </c>
      <c r="C866" s="23" t="str">
        <f aca="false">IF(A866="","",WEEKNUM(A866,21))</f>
        <v/>
      </c>
      <c r="D866" s="24" t="str">
        <f aca="false">IF(A866="","",DATE(YEAR(A866),MONTH(A866),1))</f>
        <v/>
      </c>
      <c r="E866" s="10"/>
      <c r="F866" s="25"/>
      <c r="G866" s="25"/>
      <c r="H866" s="10"/>
      <c r="I866" s="10"/>
      <c r="J866" s="26"/>
      <c r="K866" s="25"/>
      <c r="L866" s="26"/>
      <c r="M866" s="27"/>
      <c r="N866" s="27"/>
      <c r="O866" s="28" t="str">
        <f aca="false">IF(OR(M866="",M866=0,N866=""),"",N866/M866)</f>
        <v/>
      </c>
      <c r="P866" s="28" t="str">
        <f aca="false">IF(M866="","",IFERROR(IF(INDEX(Parámetros!$B$14:$B$21,MATCH(I866,Parámetros!$A$14:$A$21,0))="",Parámetros!$B$5,INDEX(Parámetros!$B$14:$B$21,MATCH(I866,Parámetros!$A$14:$A$21,0))),Parámetros!$B$5))</f>
        <v/>
      </c>
      <c r="Q866" s="29" t="str">
        <f aca="false">IF(O866="","",(O866-P866)*100)</f>
        <v/>
      </c>
      <c r="R866" s="30" t="str">
        <f aca="false">IF(O866="","",MAX(0,M866*(P866-O866)))</f>
        <v/>
      </c>
      <c r="S866" s="31" t="str">
        <f aca="false">IF(OR(L866="",L866=0,N866=""),"",N866/1000/L866)</f>
        <v/>
      </c>
      <c r="T866" s="27"/>
      <c r="U866" s="27"/>
      <c r="V866" s="27"/>
      <c r="W866" s="27"/>
      <c r="X866" s="27"/>
      <c r="Y866" s="27"/>
      <c r="Z866" s="27"/>
      <c r="AA866" s="25"/>
      <c r="AB866" s="27"/>
      <c r="AC866" s="30" t="str">
        <f aca="false">IF(M866="","",IF(AB866="",M866*Parámetros!$B$6,AB866))</f>
        <v/>
      </c>
      <c r="AD866" s="30" t="str">
        <f aca="false">IF(M866="","",SUM(T866:Z866)+AC866)</f>
        <v/>
      </c>
      <c r="AE866" s="30" t="str">
        <f aca="false">IF(OR(M866="",N866=""),"",M866-N866)</f>
        <v/>
      </c>
      <c r="AF866" s="30" t="str">
        <f aca="false">IF(AE866="","",AE866-AD866)</f>
        <v/>
      </c>
      <c r="AG866" s="28" t="str">
        <f aca="false">IF(OR(AF866="",M866=0),"",AF866/M866)</f>
        <v/>
      </c>
      <c r="AH866" s="32" t="str">
        <f aca="false">IF(OR(AE866="",N866=0),"",AE866/(N866/1000))</f>
        <v/>
      </c>
      <c r="AI866" s="30" t="str">
        <f aca="false">IF(O866="","",M866*P866)</f>
        <v/>
      </c>
      <c r="AJ866" s="11" t="str">
        <f aca="false">IF(O866="","",IF(O866&gt;1,"Error: rend &gt; 100 %",IF(SUM(T866:Z866)=0,"Falta registrar pérdidas",IF(ABS(AG866)&gt;Parámetros!$B$7,"Revisar balance",IF(O866&lt;P866,"Bajo meta","OK")))))</f>
        <v/>
      </c>
      <c r="AK866" s="33"/>
      <c r="AL866" s="10"/>
      <c r="AM866" s="33"/>
      <c r="AN866" s="33"/>
      <c r="AO866" s="10"/>
    </row>
    <row r="867" customFormat="false" ht="15" hidden="false" customHeight="false" outlineLevel="0" collapsed="false">
      <c r="A867" s="22"/>
      <c r="B867" s="23" t="str">
        <f aca="false">IF(A867="","",YEAR(A867-WEEKDAY(A867,2)+4))</f>
        <v/>
      </c>
      <c r="C867" s="23" t="str">
        <f aca="false">IF(A867="","",WEEKNUM(A867,21))</f>
        <v/>
      </c>
      <c r="D867" s="24" t="str">
        <f aca="false">IF(A867="","",DATE(YEAR(A867),MONTH(A867),1))</f>
        <v/>
      </c>
      <c r="E867" s="10"/>
      <c r="F867" s="25"/>
      <c r="G867" s="25"/>
      <c r="H867" s="10"/>
      <c r="I867" s="10"/>
      <c r="J867" s="26"/>
      <c r="K867" s="25"/>
      <c r="L867" s="26"/>
      <c r="M867" s="27"/>
      <c r="N867" s="27"/>
      <c r="O867" s="28" t="str">
        <f aca="false">IF(OR(M867="",M867=0,N867=""),"",N867/M867)</f>
        <v/>
      </c>
      <c r="P867" s="28" t="str">
        <f aca="false">IF(M867="","",IFERROR(IF(INDEX(Parámetros!$B$14:$B$21,MATCH(I867,Parámetros!$A$14:$A$21,0))="",Parámetros!$B$5,INDEX(Parámetros!$B$14:$B$21,MATCH(I867,Parámetros!$A$14:$A$21,0))),Parámetros!$B$5))</f>
        <v/>
      </c>
      <c r="Q867" s="29" t="str">
        <f aca="false">IF(O867="","",(O867-P867)*100)</f>
        <v/>
      </c>
      <c r="R867" s="30" t="str">
        <f aca="false">IF(O867="","",MAX(0,M867*(P867-O867)))</f>
        <v/>
      </c>
      <c r="S867" s="31" t="str">
        <f aca="false">IF(OR(L867="",L867=0,N867=""),"",N867/1000/L867)</f>
        <v/>
      </c>
      <c r="T867" s="27"/>
      <c r="U867" s="27"/>
      <c r="V867" s="27"/>
      <c r="W867" s="27"/>
      <c r="X867" s="27"/>
      <c r="Y867" s="27"/>
      <c r="Z867" s="27"/>
      <c r="AA867" s="25"/>
      <c r="AB867" s="27"/>
      <c r="AC867" s="30" t="str">
        <f aca="false">IF(M867="","",IF(AB867="",M867*Parámetros!$B$6,AB867))</f>
        <v/>
      </c>
      <c r="AD867" s="30" t="str">
        <f aca="false">IF(M867="","",SUM(T867:Z867)+AC867)</f>
        <v/>
      </c>
      <c r="AE867" s="30" t="str">
        <f aca="false">IF(OR(M867="",N867=""),"",M867-N867)</f>
        <v/>
      </c>
      <c r="AF867" s="30" t="str">
        <f aca="false">IF(AE867="","",AE867-AD867)</f>
        <v/>
      </c>
      <c r="AG867" s="28" t="str">
        <f aca="false">IF(OR(AF867="",M867=0),"",AF867/M867)</f>
        <v/>
      </c>
      <c r="AH867" s="32" t="str">
        <f aca="false">IF(OR(AE867="",N867=0),"",AE867/(N867/1000))</f>
        <v/>
      </c>
      <c r="AI867" s="30" t="str">
        <f aca="false">IF(O867="","",M867*P867)</f>
        <v/>
      </c>
      <c r="AJ867" s="11" t="str">
        <f aca="false">IF(O867="","",IF(O867&gt;1,"Error: rend &gt; 100 %",IF(SUM(T867:Z867)=0,"Falta registrar pérdidas",IF(ABS(AG867)&gt;Parámetros!$B$7,"Revisar balance",IF(O867&lt;P867,"Bajo meta","OK")))))</f>
        <v/>
      </c>
      <c r="AK867" s="33"/>
      <c r="AL867" s="10"/>
      <c r="AM867" s="33"/>
      <c r="AN867" s="33"/>
      <c r="AO867" s="10"/>
    </row>
    <row r="868" customFormat="false" ht="15" hidden="false" customHeight="false" outlineLevel="0" collapsed="false">
      <c r="A868" s="22"/>
      <c r="B868" s="23" t="str">
        <f aca="false">IF(A868="","",YEAR(A868-WEEKDAY(A868,2)+4))</f>
        <v/>
      </c>
      <c r="C868" s="23" t="str">
        <f aca="false">IF(A868="","",WEEKNUM(A868,21))</f>
        <v/>
      </c>
      <c r="D868" s="24" t="str">
        <f aca="false">IF(A868="","",DATE(YEAR(A868),MONTH(A868),1))</f>
        <v/>
      </c>
      <c r="E868" s="10"/>
      <c r="F868" s="25"/>
      <c r="G868" s="25"/>
      <c r="H868" s="10"/>
      <c r="I868" s="10"/>
      <c r="J868" s="26"/>
      <c r="K868" s="25"/>
      <c r="L868" s="26"/>
      <c r="M868" s="27"/>
      <c r="N868" s="27"/>
      <c r="O868" s="28" t="str">
        <f aca="false">IF(OR(M868="",M868=0,N868=""),"",N868/M868)</f>
        <v/>
      </c>
      <c r="P868" s="28" t="str">
        <f aca="false">IF(M868="","",IFERROR(IF(INDEX(Parámetros!$B$14:$B$21,MATCH(I868,Parámetros!$A$14:$A$21,0))="",Parámetros!$B$5,INDEX(Parámetros!$B$14:$B$21,MATCH(I868,Parámetros!$A$14:$A$21,0))),Parámetros!$B$5))</f>
        <v/>
      </c>
      <c r="Q868" s="29" t="str">
        <f aca="false">IF(O868="","",(O868-P868)*100)</f>
        <v/>
      </c>
      <c r="R868" s="30" t="str">
        <f aca="false">IF(O868="","",MAX(0,M868*(P868-O868)))</f>
        <v/>
      </c>
      <c r="S868" s="31" t="str">
        <f aca="false">IF(OR(L868="",L868=0,N868=""),"",N868/1000/L868)</f>
        <v/>
      </c>
      <c r="T868" s="27"/>
      <c r="U868" s="27"/>
      <c r="V868" s="27"/>
      <c r="W868" s="27"/>
      <c r="X868" s="27"/>
      <c r="Y868" s="27"/>
      <c r="Z868" s="27"/>
      <c r="AA868" s="25"/>
      <c r="AB868" s="27"/>
      <c r="AC868" s="30" t="str">
        <f aca="false">IF(M868="","",IF(AB868="",M868*Parámetros!$B$6,AB868))</f>
        <v/>
      </c>
      <c r="AD868" s="30" t="str">
        <f aca="false">IF(M868="","",SUM(T868:Z868)+AC868)</f>
        <v/>
      </c>
      <c r="AE868" s="30" t="str">
        <f aca="false">IF(OR(M868="",N868=""),"",M868-N868)</f>
        <v/>
      </c>
      <c r="AF868" s="30" t="str">
        <f aca="false">IF(AE868="","",AE868-AD868)</f>
        <v/>
      </c>
      <c r="AG868" s="28" t="str">
        <f aca="false">IF(OR(AF868="",M868=0),"",AF868/M868)</f>
        <v/>
      </c>
      <c r="AH868" s="32" t="str">
        <f aca="false">IF(OR(AE868="",N868=0),"",AE868/(N868/1000))</f>
        <v/>
      </c>
      <c r="AI868" s="30" t="str">
        <f aca="false">IF(O868="","",M868*P868)</f>
        <v/>
      </c>
      <c r="AJ868" s="11" t="str">
        <f aca="false">IF(O868="","",IF(O868&gt;1,"Error: rend &gt; 100 %",IF(SUM(T868:Z868)=0,"Falta registrar pérdidas",IF(ABS(AG868)&gt;Parámetros!$B$7,"Revisar balance",IF(O868&lt;P868,"Bajo meta","OK")))))</f>
        <v/>
      </c>
      <c r="AK868" s="33"/>
      <c r="AL868" s="10"/>
      <c r="AM868" s="33"/>
      <c r="AN868" s="33"/>
      <c r="AO868" s="10"/>
    </row>
    <row r="869" customFormat="false" ht="15" hidden="false" customHeight="false" outlineLevel="0" collapsed="false">
      <c r="A869" s="22"/>
      <c r="B869" s="23" t="str">
        <f aca="false">IF(A869="","",YEAR(A869-WEEKDAY(A869,2)+4))</f>
        <v/>
      </c>
      <c r="C869" s="23" t="str">
        <f aca="false">IF(A869="","",WEEKNUM(A869,21))</f>
        <v/>
      </c>
      <c r="D869" s="24" t="str">
        <f aca="false">IF(A869="","",DATE(YEAR(A869),MONTH(A869),1))</f>
        <v/>
      </c>
      <c r="E869" s="10"/>
      <c r="F869" s="25"/>
      <c r="G869" s="25"/>
      <c r="H869" s="10"/>
      <c r="I869" s="10"/>
      <c r="J869" s="26"/>
      <c r="K869" s="25"/>
      <c r="L869" s="26"/>
      <c r="M869" s="27"/>
      <c r="N869" s="27"/>
      <c r="O869" s="28" t="str">
        <f aca="false">IF(OR(M869="",M869=0,N869=""),"",N869/M869)</f>
        <v/>
      </c>
      <c r="P869" s="28" t="str">
        <f aca="false">IF(M869="","",IFERROR(IF(INDEX(Parámetros!$B$14:$B$21,MATCH(I869,Parámetros!$A$14:$A$21,0))="",Parámetros!$B$5,INDEX(Parámetros!$B$14:$B$21,MATCH(I869,Parámetros!$A$14:$A$21,0))),Parámetros!$B$5))</f>
        <v/>
      </c>
      <c r="Q869" s="29" t="str">
        <f aca="false">IF(O869="","",(O869-P869)*100)</f>
        <v/>
      </c>
      <c r="R869" s="30" t="str">
        <f aca="false">IF(O869="","",MAX(0,M869*(P869-O869)))</f>
        <v/>
      </c>
      <c r="S869" s="31" t="str">
        <f aca="false">IF(OR(L869="",L869=0,N869=""),"",N869/1000/L869)</f>
        <v/>
      </c>
      <c r="T869" s="27"/>
      <c r="U869" s="27"/>
      <c r="V869" s="27"/>
      <c r="W869" s="27"/>
      <c r="X869" s="27"/>
      <c r="Y869" s="27"/>
      <c r="Z869" s="27"/>
      <c r="AA869" s="25"/>
      <c r="AB869" s="27"/>
      <c r="AC869" s="30" t="str">
        <f aca="false">IF(M869="","",IF(AB869="",M869*Parámetros!$B$6,AB869))</f>
        <v/>
      </c>
      <c r="AD869" s="30" t="str">
        <f aca="false">IF(M869="","",SUM(T869:Z869)+AC869)</f>
        <v/>
      </c>
      <c r="AE869" s="30" t="str">
        <f aca="false">IF(OR(M869="",N869=""),"",M869-N869)</f>
        <v/>
      </c>
      <c r="AF869" s="30" t="str">
        <f aca="false">IF(AE869="","",AE869-AD869)</f>
        <v/>
      </c>
      <c r="AG869" s="28" t="str">
        <f aca="false">IF(OR(AF869="",M869=0),"",AF869/M869)</f>
        <v/>
      </c>
      <c r="AH869" s="32" t="str">
        <f aca="false">IF(OR(AE869="",N869=0),"",AE869/(N869/1000))</f>
        <v/>
      </c>
      <c r="AI869" s="30" t="str">
        <f aca="false">IF(O869="","",M869*P869)</f>
        <v/>
      </c>
      <c r="AJ869" s="11" t="str">
        <f aca="false">IF(O869="","",IF(O869&gt;1,"Error: rend &gt; 100 %",IF(SUM(T869:Z869)=0,"Falta registrar pérdidas",IF(ABS(AG869)&gt;Parámetros!$B$7,"Revisar balance",IF(O869&lt;P869,"Bajo meta","OK")))))</f>
        <v/>
      </c>
      <c r="AK869" s="33"/>
      <c r="AL869" s="10"/>
      <c r="AM869" s="33"/>
      <c r="AN869" s="33"/>
      <c r="AO869" s="10"/>
    </row>
    <row r="870" customFormat="false" ht="15" hidden="false" customHeight="false" outlineLevel="0" collapsed="false">
      <c r="A870" s="22"/>
      <c r="B870" s="23" t="str">
        <f aca="false">IF(A870="","",YEAR(A870-WEEKDAY(A870,2)+4))</f>
        <v/>
      </c>
      <c r="C870" s="23" t="str">
        <f aca="false">IF(A870="","",WEEKNUM(A870,21))</f>
        <v/>
      </c>
      <c r="D870" s="24" t="str">
        <f aca="false">IF(A870="","",DATE(YEAR(A870),MONTH(A870),1))</f>
        <v/>
      </c>
      <c r="E870" s="10"/>
      <c r="F870" s="25"/>
      <c r="G870" s="25"/>
      <c r="H870" s="10"/>
      <c r="I870" s="10"/>
      <c r="J870" s="26"/>
      <c r="K870" s="25"/>
      <c r="L870" s="26"/>
      <c r="M870" s="27"/>
      <c r="N870" s="27"/>
      <c r="O870" s="28" t="str">
        <f aca="false">IF(OR(M870="",M870=0,N870=""),"",N870/M870)</f>
        <v/>
      </c>
      <c r="P870" s="28" t="str">
        <f aca="false">IF(M870="","",IFERROR(IF(INDEX(Parámetros!$B$14:$B$21,MATCH(I870,Parámetros!$A$14:$A$21,0))="",Parámetros!$B$5,INDEX(Parámetros!$B$14:$B$21,MATCH(I870,Parámetros!$A$14:$A$21,0))),Parámetros!$B$5))</f>
        <v/>
      </c>
      <c r="Q870" s="29" t="str">
        <f aca="false">IF(O870="","",(O870-P870)*100)</f>
        <v/>
      </c>
      <c r="R870" s="30" t="str">
        <f aca="false">IF(O870="","",MAX(0,M870*(P870-O870)))</f>
        <v/>
      </c>
      <c r="S870" s="31" t="str">
        <f aca="false">IF(OR(L870="",L870=0,N870=""),"",N870/1000/L870)</f>
        <v/>
      </c>
      <c r="T870" s="27"/>
      <c r="U870" s="27"/>
      <c r="V870" s="27"/>
      <c r="W870" s="27"/>
      <c r="X870" s="27"/>
      <c r="Y870" s="27"/>
      <c r="Z870" s="27"/>
      <c r="AA870" s="25"/>
      <c r="AB870" s="27"/>
      <c r="AC870" s="30" t="str">
        <f aca="false">IF(M870="","",IF(AB870="",M870*Parámetros!$B$6,AB870))</f>
        <v/>
      </c>
      <c r="AD870" s="30" t="str">
        <f aca="false">IF(M870="","",SUM(T870:Z870)+AC870)</f>
        <v/>
      </c>
      <c r="AE870" s="30" t="str">
        <f aca="false">IF(OR(M870="",N870=""),"",M870-N870)</f>
        <v/>
      </c>
      <c r="AF870" s="30" t="str">
        <f aca="false">IF(AE870="","",AE870-AD870)</f>
        <v/>
      </c>
      <c r="AG870" s="28" t="str">
        <f aca="false">IF(OR(AF870="",M870=0),"",AF870/M870)</f>
        <v/>
      </c>
      <c r="AH870" s="32" t="str">
        <f aca="false">IF(OR(AE870="",N870=0),"",AE870/(N870/1000))</f>
        <v/>
      </c>
      <c r="AI870" s="30" t="str">
        <f aca="false">IF(O870="","",M870*P870)</f>
        <v/>
      </c>
      <c r="AJ870" s="11" t="str">
        <f aca="false">IF(O870="","",IF(O870&gt;1,"Error: rend &gt; 100 %",IF(SUM(T870:Z870)=0,"Falta registrar pérdidas",IF(ABS(AG870)&gt;Parámetros!$B$7,"Revisar balance",IF(O870&lt;P870,"Bajo meta","OK")))))</f>
        <v/>
      </c>
      <c r="AK870" s="33"/>
      <c r="AL870" s="10"/>
      <c r="AM870" s="33"/>
      <c r="AN870" s="33"/>
      <c r="AO870" s="10"/>
    </row>
    <row r="871" customFormat="false" ht="15" hidden="false" customHeight="false" outlineLevel="0" collapsed="false">
      <c r="A871" s="22"/>
      <c r="B871" s="23" t="str">
        <f aca="false">IF(A871="","",YEAR(A871-WEEKDAY(A871,2)+4))</f>
        <v/>
      </c>
      <c r="C871" s="23" t="str">
        <f aca="false">IF(A871="","",WEEKNUM(A871,21))</f>
        <v/>
      </c>
      <c r="D871" s="24" t="str">
        <f aca="false">IF(A871="","",DATE(YEAR(A871),MONTH(A871),1))</f>
        <v/>
      </c>
      <c r="E871" s="10"/>
      <c r="F871" s="25"/>
      <c r="G871" s="25"/>
      <c r="H871" s="10"/>
      <c r="I871" s="10"/>
      <c r="J871" s="26"/>
      <c r="K871" s="25"/>
      <c r="L871" s="26"/>
      <c r="M871" s="27"/>
      <c r="N871" s="27"/>
      <c r="O871" s="28" t="str">
        <f aca="false">IF(OR(M871="",M871=0,N871=""),"",N871/M871)</f>
        <v/>
      </c>
      <c r="P871" s="28" t="str">
        <f aca="false">IF(M871="","",IFERROR(IF(INDEX(Parámetros!$B$14:$B$21,MATCH(I871,Parámetros!$A$14:$A$21,0))="",Parámetros!$B$5,INDEX(Parámetros!$B$14:$B$21,MATCH(I871,Parámetros!$A$14:$A$21,0))),Parámetros!$B$5))</f>
        <v/>
      </c>
      <c r="Q871" s="29" t="str">
        <f aca="false">IF(O871="","",(O871-P871)*100)</f>
        <v/>
      </c>
      <c r="R871" s="30" t="str">
        <f aca="false">IF(O871="","",MAX(0,M871*(P871-O871)))</f>
        <v/>
      </c>
      <c r="S871" s="31" t="str">
        <f aca="false">IF(OR(L871="",L871=0,N871=""),"",N871/1000/L871)</f>
        <v/>
      </c>
      <c r="T871" s="27"/>
      <c r="U871" s="27"/>
      <c r="V871" s="27"/>
      <c r="W871" s="27"/>
      <c r="X871" s="27"/>
      <c r="Y871" s="27"/>
      <c r="Z871" s="27"/>
      <c r="AA871" s="25"/>
      <c r="AB871" s="27"/>
      <c r="AC871" s="30" t="str">
        <f aca="false">IF(M871="","",IF(AB871="",M871*Parámetros!$B$6,AB871))</f>
        <v/>
      </c>
      <c r="AD871" s="30" t="str">
        <f aca="false">IF(M871="","",SUM(T871:Z871)+AC871)</f>
        <v/>
      </c>
      <c r="AE871" s="30" t="str">
        <f aca="false">IF(OR(M871="",N871=""),"",M871-N871)</f>
        <v/>
      </c>
      <c r="AF871" s="30" t="str">
        <f aca="false">IF(AE871="","",AE871-AD871)</f>
        <v/>
      </c>
      <c r="AG871" s="28" t="str">
        <f aca="false">IF(OR(AF871="",M871=0),"",AF871/M871)</f>
        <v/>
      </c>
      <c r="AH871" s="32" t="str">
        <f aca="false">IF(OR(AE871="",N871=0),"",AE871/(N871/1000))</f>
        <v/>
      </c>
      <c r="AI871" s="30" t="str">
        <f aca="false">IF(O871="","",M871*P871)</f>
        <v/>
      </c>
      <c r="AJ871" s="11" t="str">
        <f aca="false">IF(O871="","",IF(O871&gt;1,"Error: rend &gt; 100 %",IF(SUM(T871:Z871)=0,"Falta registrar pérdidas",IF(ABS(AG871)&gt;Parámetros!$B$7,"Revisar balance",IF(O871&lt;P871,"Bajo meta","OK")))))</f>
        <v/>
      </c>
      <c r="AK871" s="33"/>
      <c r="AL871" s="10"/>
      <c r="AM871" s="33"/>
      <c r="AN871" s="33"/>
      <c r="AO871" s="10"/>
    </row>
    <row r="872" customFormat="false" ht="15" hidden="false" customHeight="false" outlineLevel="0" collapsed="false">
      <c r="A872" s="22"/>
      <c r="B872" s="23" t="str">
        <f aca="false">IF(A872="","",YEAR(A872-WEEKDAY(A872,2)+4))</f>
        <v/>
      </c>
      <c r="C872" s="23" t="str">
        <f aca="false">IF(A872="","",WEEKNUM(A872,21))</f>
        <v/>
      </c>
      <c r="D872" s="24" t="str">
        <f aca="false">IF(A872="","",DATE(YEAR(A872),MONTH(A872),1))</f>
        <v/>
      </c>
      <c r="E872" s="10"/>
      <c r="F872" s="25"/>
      <c r="G872" s="25"/>
      <c r="H872" s="10"/>
      <c r="I872" s="10"/>
      <c r="J872" s="26"/>
      <c r="K872" s="25"/>
      <c r="L872" s="26"/>
      <c r="M872" s="27"/>
      <c r="N872" s="27"/>
      <c r="O872" s="28" t="str">
        <f aca="false">IF(OR(M872="",M872=0,N872=""),"",N872/M872)</f>
        <v/>
      </c>
      <c r="P872" s="28" t="str">
        <f aca="false">IF(M872="","",IFERROR(IF(INDEX(Parámetros!$B$14:$B$21,MATCH(I872,Parámetros!$A$14:$A$21,0))="",Parámetros!$B$5,INDEX(Parámetros!$B$14:$B$21,MATCH(I872,Parámetros!$A$14:$A$21,0))),Parámetros!$B$5))</f>
        <v/>
      </c>
      <c r="Q872" s="29" t="str">
        <f aca="false">IF(O872="","",(O872-P872)*100)</f>
        <v/>
      </c>
      <c r="R872" s="30" t="str">
        <f aca="false">IF(O872="","",MAX(0,M872*(P872-O872)))</f>
        <v/>
      </c>
      <c r="S872" s="31" t="str">
        <f aca="false">IF(OR(L872="",L872=0,N872=""),"",N872/1000/L872)</f>
        <v/>
      </c>
      <c r="T872" s="27"/>
      <c r="U872" s="27"/>
      <c r="V872" s="27"/>
      <c r="W872" s="27"/>
      <c r="X872" s="27"/>
      <c r="Y872" s="27"/>
      <c r="Z872" s="27"/>
      <c r="AA872" s="25"/>
      <c r="AB872" s="27"/>
      <c r="AC872" s="30" t="str">
        <f aca="false">IF(M872="","",IF(AB872="",M872*Parámetros!$B$6,AB872))</f>
        <v/>
      </c>
      <c r="AD872" s="30" t="str">
        <f aca="false">IF(M872="","",SUM(T872:Z872)+AC872)</f>
        <v/>
      </c>
      <c r="AE872" s="30" t="str">
        <f aca="false">IF(OR(M872="",N872=""),"",M872-N872)</f>
        <v/>
      </c>
      <c r="AF872" s="30" t="str">
        <f aca="false">IF(AE872="","",AE872-AD872)</f>
        <v/>
      </c>
      <c r="AG872" s="28" t="str">
        <f aca="false">IF(OR(AF872="",M872=0),"",AF872/M872)</f>
        <v/>
      </c>
      <c r="AH872" s="32" t="str">
        <f aca="false">IF(OR(AE872="",N872=0),"",AE872/(N872/1000))</f>
        <v/>
      </c>
      <c r="AI872" s="30" t="str">
        <f aca="false">IF(O872="","",M872*P872)</f>
        <v/>
      </c>
      <c r="AJ872" s="11" t="str">
        <f aca="false">IF(O872="","",IF(O872&gt;1,"Error: rend &gt; 100 %",IF(SUM(T872:Z872)=0,"Falta registrar pérdidas",IF(ABS(AG872)&gt;Parámetros!$B$7,"Revisar balance",IF(O872&lt;P872,"Bajo meta","OK")))))</f>
        <v/>
      </c>
      <c r="AK872" s="33"/>
      <c r="AL872" s="10"/>
      <c r="AM872" s="33"/>
      <c r="AN872" s="33"/>
      <c r="AO872" s="10"/>
    </row>
    <row r="873" customFormat="false" ht="15" hidden="false" customHeight="false" outlineLevel="0" collapsed="false">
      <c r="A873" s="22"/>
      <c r="B873" s="23" t="str">
        <f aca="false">IF(A873="","",YEAR(A873-WEEKDAY(A873,2)+4))</f>
        <v/>
      </c>
      <c r="C873" s="23" t="str">
        <f aca="false">IF(A873="","",WEEKNUM(A873,21))</f>
        <v/>
      </c>
      <c r="D873" s="24" t="str">
        <f aca="false">IF(A873="","",DATE(YEAR(A873),MONTH(A873),1))</f>
        <v/>
      </c>
      <c r="E873" s="10"/>
      <c r="F873" s="25"/>
      <c r="G873" s="25"/>
      <c r="H873" s="10"/>
      <c r="I873" s="10"/>
      <c r="J873" s="26"/>
      <c r="K873" s="25"/>
      <c r="L873" s="26"/>
      <c r="M873" s="27"/>
      <c r="N873" s="27"/>
      <c r="O873" s="28" t="str">
        <f aca="false">IF(OR(M873="",M873=0,N873=""),"",N873/M873)</f>
        <v/>
      </c>
      <c r="P873" s="28" t="str">
        <f aca="false">IF(M873="","",IFERROR(IF(INDEX(Parámetros!$B$14:$B$21,MATCH(I873,Parámetros!$A$14:$A$21,0))="",Parámetros!$B$5,INDEX(Parámetros!$B$14:$B$21,MATCH(I873,Parámetros!$A$14:$A$21,0))),Parámetros!$B$5))</f>
        <v/>
      </c>
      <c r="Q873" s="29" t="str">
        <f aca="false">IF(O873="","",(O873-P873)*100)</f>
        <v/>
      </c>
      <c r="R873" s="30" t="str">
        <f aca="false">IF(O873="","",MAX(0,M873*(P873-O873)))</f>
        <v/>
      </c>
      <c r="S873" s="31" t="str">
        <f aca="false">IF(OR(L873="",L873=0,N873=""),"",N873/1000/L873)</f>
        <v/>
      </c>
      <c r="T873" s="27"/>
      <c r="U873" s="27"/>
      <c r="V873" s="27"/>
      <c r="W873" s="27"/>
      <c r="X873" s="27"/>
      <c r="Y873" s="27"/>
      <c r="Z873" s="27"/>
      <c r="AA873" s="25"/>
      <c r="AB873" s="27"/>
      <c r="AC873" s="30" t="str">
        <f aca="false">IF(M873="","",IF(AB873="",M873*Parámetros!$B$6,AB873))</f>
        <v/>
      </c>
      <c r="AD873" s="30" t="str">
        <f aca="false">IF(M873="","",SUM(T873:Z873)+AC873)</f>
        <v/>
      </c>
      <c r="AE873" s="30" t="str">
        <f aca="false">IF(OR(M873="",N873=""),"",M873-N873)</f>
        <v/>
      </c>
      <c r="AF873" s="30" t="str">
        <f aca="false">IF(AE873="","",AE873-AD873)</f>
        <v/>
      </c>
      <c r="AG873" s="28" t="str">
        <f aca="false">IF(OR(AF873="",M873=0),"",AF873/M873)</f>
        <v/>
      </c>
      <c r="AH873" s="32" t="str">
        <f aca="false">IF(OR(AE873="",N873=0),"",AE873/(N873/1000))</f>
        <v/>
      </c>
      <c r="AI873" s="30" t="str">
        <f aca="false">IF(O873="","",M873*P873)</f>
        <v/>
      </c>
      <c r="AJ873" s="11" t="str">
        <f aca="false">IF(O873="","",IF(O873&gt;1,"Error: rend &gt; 100 %",IF(SUM(T873:Z873)=0,"Falta registrar pérdidas",IF(ABS(AG873)&gt;Parámetros!$B$7,"Revisar balance",IF(O873&lt;P873,"Bajo meta","OK")))))</f>
        <v/>
      </c>
      <c r="AK873" s="33"/>
      <c r="AL873" s="10"/>
      <c r="AM873" s="33"/>
      <c r="AN873" s="33"/>
      <c r="AO873" s="10"/>
    </row>
    <row r="874" customFormat="false" ht="15" hidden="false" customHeight="false" outlineLevel="0" collapsed="false">
      <c r="A874" s="22"/>
      <c r="B874" s="23" t="str">
        <f aca="false">IF(A874="","",YEAR(A874-WEEKDAY(A874,2)+4))</f>
        <v/>
      </c>
      <c r="C874" s="23" t="str">
        <f aca="false">IF(A874="","",WEEKNUM(A874,21))</f>
        <v/>
      </c>
      <c r="D874" s="24" t="str">
        <f aca="false">IF(A874="","",DATE(YEAR(A874),MONTH(A874),1))</f>
        <v/>
      </c>
      <c r="E874" s="10"/>
      <c r="F874" s="25"/>
      <c r="G874" s="25"/>
      <c r="H874" s="10"/>
      <c r="I874" s="10"/>
      <c r="J874" s="26"/>
      <c r="K874" s="25"/>
      <c r="L874" s="26"/>
      <c r="M874" s="27"/>
      <c r="N874" s="27"/>
      <c r="O874" s="28" t="str">
        <f aca="false">IF(OR(M874="",M874=0,N874=""),"",N874/M874)</f>
        <v/>
      </c>
      <c r="P874" s="28" t="str">
        <f aca="false">IF(M874="","",IFERROR(IF(INDEX(Parámetros!$B$14:$B$21,MATCH(I874,Parámetros!$A$14:$A$21,0))="",Parámetros!$B$5,INDEX(Parámetros!$B$14:$B$21,MATCH(I874,Parámetros!$A$14:$A$21,0))),Parámetros!$B$5))</f>
        <v/>
      </c>
      <c r="Q874" s="29" t="str">
        <f aca="false">IF(O874="","",(O874-P874)*100)</f>
        <v/>
      </c>
      <c r="R874" s="30" t="str">
        <f aca="false">IF(O874="","",MAX(0,M874*(P874-O874)))</f>
        <v/>
      </c>
      <c r="S874" s="31" t="str">
        <f aca="false">IF(OR(L874="",L874=0,N874=""),"",N874/1000/L874)</f>
        <v/>
      </c>
      <c r="T874" s="27"/>
      <c r="U874" s="27"/>
      <c r="V874" s="27"/>
      <c r="W874" s="27"/>
      <c r="X874" s="27"/>
      <c r="Y874" s="27"/>
      <c r="Z874" s="27"/>
      <c r="AA874" s="25"/>
      <c r="AB874" s="27"/>
      <c r="AC874" s="30" t="str">
        <f aca="false">IF(M874="","",IF(AB874="",M874*Parámetros!$B$6,AB874))</f>
        <v/>
      </c>
      <c r="AD874" s="30" t="str">
        <f aca="false">IF(M874="","",SUM(T874:Z874)+AC874)</f>
        <v/>
      </c>
      <c r="AE874" s="30" t="str">
        <f aca="false">IF(OR(M874="",N874=""),"",M874-N874)</f>
        <v/>
      </c>
      <c r="AF874" s="30" t="str">
        <f aca="false">IF(AE874="","",AE874-AD874)</f>
        <v/>
      </c>
      <c r="AG874" s="28" t="str">
        <f aca="false">IF(OR(AF874="",M874=0),"",AF874/M874)</f>
        <v/>
      </c>
      <c r="AH874" s="32" t="str">
        <f aca="false">IF(OR(AE874="",N874=0),"",AE874/(N874/1000))</f>
        <v/>
      </c>
      <c r="AI874" s="30" t="str">
        <f aca="false">IF(O874="","",M874*P874)</f>
        <v/>
      </c>
      <c r="AJ874" s="11" t="str">
        <f aca="false">IF(O874="","",IF(O874&gt;1,"Error: rend &gt; 100 %",IF(SUM(T874:Z874)=0,"Falta registrar pérdidas",IF(ABS(AG874)&gt;Parámetros!$B$7,"Revisar balance",IF(O874&lt;P874,"Bajo meta","OK")))))</f>
        <v/>
      </c>
      <c r="AK874" s="33"/>
      <c r="AL874" s="10"/>
      <c r="AM874" s="33"/>
      <c r="AN874" s="33"/>
      <c r="AO874" s="10"/>
    </row>
    <row r="875" customFormat="false" ht="15" hidden="false" customHeight="false" outlineLevel="0" collapsed="false">
      <c r="A875" s="22"/>
      <c r="B875" s="23" t="str">
        <f aca="false">IF(A875="","",YEAR(A875-WEEKDAY(A875,2)+4))</f>
        <v/>
      </c>
      <c r="C875" s="23" t="str">
        <f aca="false">IF(A875="","",WEEKNUM(A875,21))</f>
        <v/>
      </c>
      <c r="D875" s="24" t="str">
        <f aca="false">IF(A875="","",DATE(YEAR(A875),MONTH(A875),1))</f>
        <v/>
      </c>
      <c r="E875" s="10"/>
      <c r="F875" s="25"/>
      <c r="G875" s="25"/>
      <c r="H875" s="10"/>
      <c r="I875" s="10"/>
      <c r="J875" s="26"/>
      <c r="K875" s="25"/>
      <c r="L875" s="26"/>
      <c r="M875" s="27"/>
      <c r="N875" s="27"/>
      <c r="O875" s="28" t="str">
        <f aca="false">IF(OR(M875="",M875=0,N875=""),"",N875/M875)</f>
        <v/>
      </c>
      <c r="P875" s="28" t="str">
        <f aca="false">IF(M875="","",IFERROR(IF(INDEX(Parámetros!$B$14:$B$21,MATCH(I875,Parámetros!$A$14:$A$21,0))="",Parámetros!$B$5,INDEX(Parámetros!$B$14:$B$21,MATCH(I875,Parámetros!$A$14:$A$21,0))),Parámetros!$B$5))</f>
        <v/>
      </c>
      <c r="Q875" s="29" t="str">
        <f aca="false">IF(O875="","",(O875-P875)*100)</f>
        <v/>
      </c>
      <c r="R875" s="30" t="str">
        <f aca="false">IF(O875="","",MAX(0,M875*(P875-O875)))</f>
        <v/>
      </c>
      <c r="S875" s="31" t="str">
        <f aca="false">IF(OR(L875="",L875=0,N875=""),"",N875/1000/L875)</f>
        <v/>
      </c>
      <c r="T875" s="27"/>
      <c r="U875" s="27"/>
      <c r="V875" s="27"/>
      <c r="W875" s="27"/>
      <c r="X875" s="27"/>
      <c r="Y875" s="27"/>
      <c r="Z875" s="27"/>
      <c r="AA875" s="25"/>
      <c r="AB875" s="27"/>
      <c r="AC875" s="30" t="str">
        <f aca="false">IF(M875="","",IF(AB875="",M875*Parámetros!$B$6,AB875))</f>
        <v/>
      </c>
      <c r="AD875" s="30" t="str">
        <f aca="false">IF(M875="","",SUM(T875:Z875)+AC875)</f>
        <v/>
      </c>
      <c r="AE875" s="30" t="str">
        <f aca="false">IF(OR(M875="",N875=""),"",M875-N875)</f>
        <v/>
      </c>
      <c r="AF875" s="30" t="str">
        <f aca="false">IF(AE875="","",AE875-AD875)</f>
        <v/>
      </c>
      <c r="AG875" s="28" t="str">
        <f aca="false">IF(OR(AF875="",M875=0),"",AF875/M875)</f>
        <v/>
      </c>
      <c r="AH875" s="32" t="str">
        <f aca="false">IF(OR(AE875="",N875=0),"",AE875/(N875/1000))</f>
        <v/>
      </c>
      <c r="AI875" s="30" t="str">
        <f aca="false">IF(O875="","",M875*P875)</f>
        <v/>
      </c>
      <c r="AJ875" s="11" t="str">
        <f aca="false">IF(O875="","",IF(O875&gt;1,"Error: rend &gt; 100 %",IF(SUM(T875:Z875)=0,"Falta registrar pérdidas",IF(ABS(AG875)&gt;Parámetros!$B$7,"Revisar balance",IF(O875&lt;P875,"Bajo meta","OK")))))</f>
        <v/>
      </c>
      <c r="AK875" s="33"/>
      <c r="AL875" s="10"/>
      <c r="AM875" s="33"/>
      <c r="AN875" s="33"/>
      <c r="AO875" s="10"/>
    </row>
    <row r="876" customFormat="false" ht="15" hidden="false" customHeight="false" outlineLevel="0" collapsed="false">
      <c r="A876" s="22"/>
      <c r="B876" s="23" t="str">
        <f aca="false">IF(A876="","",YEAR(A876-WEEKDAY(A876,2)+4))</f>
        <v/>
      </c>
      <c r="C876" s="23" t="str">
        <f aca="false">IF(A876="","",WEEKNUM(A876,21))</f>
        <v/>
      </c>
      <c r="D876" s="24" t="str">
        <f aca="false">IF(A876="","",DATE(YEAR(A876),MONTH(A876),1))</f>
        <v/>
      </c>
      <c r="E876" s="10"/>
      <c r="F876" s="25"/>
      <c r="G876" s="25"/>
      <c r="H876" s="10"/>
      <c r="I876" s="10"/>
      <c r="J876" s="26"/>
      <c r="K876" s="25"/>
      <c r="L876" s="26"/>
      <c r="M876" s="27"/>
      <c r="N876" s="27"/>
      <c r="O876" s="28" t="str">
        <f aca="false">IF(OR(M876="",M876=0,N876=""),"",N876/M876)</f>
        <v/>
      </c>
      <c r="P876" s="28" t="str">
        <f aca="false">IF(M876="","",IFERROR(IF(INDEX(Parámetros!$B$14:$B$21,MATCH(I876,Parámetros!$A$14:$A$21,0))="",Parámetros!$B$5,INDEX(Parámetros!$B$14:$B$21,MATCH(I876,Parámetros!$A$14:$A$21,0))),Parámetros!$B$5))</f>
        <v/>
      </c>
      <c r="Q876" s="29" t="str">
        <f aca="false">IF(O876="","",(O876-P876)*100)</f>
        <v/>
      </c>
      <c r="R876" s="30" t="str">
        <f aca="false">IF(O876="","",MAX(0,M876*(P876-O876)))</f>
        <v/>
      </c>
      <c r="S876" s="31" t="str">
        <f aca="false">IF(OR(L876="",L876=0,N876=""),"",N876/1000/L876)</f>
        <v/>
      </c>
      <c r="T876" s="27"/>
      <c r="U876" s="27"/>
      <c r="V876" s="27"/>
      <c r="W876" s="27"/>
      <c r="X876" s="27"/>
      <c r="Y876" s="27"/>
      <c r="Z876" s="27"/>
      <c r="AA876" s="25"/>
      <c r="AB876" s="27"/>
      <c r="AC876" s="30" t="str">
        <f aca="false">IF(M876="","",IF(AB876="",M876*Parámetros!$B$6,AB876))</f>
        <v/>
      </c>
      <c r="AD876" s="30" t="str">
        <f aca="false">IF(M876="","",SUM(T876:Z876)+AC876)</f>
        <v/>
      </c>
      <c r="AE876" s="30" t="str">
        <f aca="false">IF(OR(M876="",N876=""),"",M876-N876)</f>
        <v/>
      </c>
      <c r="AF876" s="30" t="str">
        <f aca="false">IF(AE876="","",AE876-AD876)</f>
        <v/>
      </c>
      <c r="AG876" s="28" t="str">
        <f aca="false">IF(OR(AF876="",M876=0),"",AF876/M876)</f>
        <v/>
      </c>
      <c r="AH876" s="32" t="str">
        <f aca="false">IF(OR(AE876="",N876=0),"",AE876/(N876/1000))</f>
        <v/>
      </c>
      <c r="AI876" s="30" t="str">
        <f aca="false">IF(O876="","",M876*P876)</f>
        <v/>
      </c>
      <c r="AJ876" s="11" t="str">
        <f aca="false">IF(O876="","",IF(O876&gt;1,"Error: rend &gt; 100 %",IF(SUM(T876:Z876)=0,"Falta registrar pérdidas",IF(ABS(AG876)&gt;Parámetros!$B$7,"Revisar balance",IF(O876&lt;P876,"Bajo meta","OK")))))</f>
        <v/>
      </c>
      <c r="AK876" s="33"/>
      <c r="AL876" s="10"/>
      <c r="AM876" s="33"/>
      <c r="AN876" s="33"/>
      <c r="AO876" s="10"/>
    </row>
    <row r="877" customFormat="false" ht="15" hidden="false" customHeight="false" outlineLevel="0" collapsed="false">
      <c r="A877" s="22"/>
      <c r="B877" s="23" t="str">
        <f aca="false">IF(A877="","",YEAR(A877-WEEKDAY(A877,2)+4))</f>
        <v/>
      </c>
      <c r="C877" s="23" t="str">
        <f aca="false">IF(A877="","",WEEKNUM(A877,21))</f>
        <v/>
      </c>
      <c r="D877" s="24" t="str">
        <f aca="false">IF(A877="","",DATE(YEAR(A877),MONTH(A877),1))</f>
        <v/>
      </c>
      <c r="E877" s="10"/>
      <c r="F877" s="25"/>
      <c r="G877" s="25"/>
      <c r="H877" s="10"/>
      <c r="I877" s="10"/>
      <c r="J877" s="26"/>
      <c r="K877" s="25"/>
      <c r="L877" s="26"/>
      <c r="M877" s="27"/>
      <c r="N877" s="27"/>
      <c r="O877" s="28" t="str">
        <f aca="false">IF(OR(M877="",M877=0,N877=""),"",N877/M877)</f>
        <v/>
      </c>
      <c r="P877" s="28" t="str">
        <f aca="false">IF(M877="","",IFERROR(IF(INDEX(Parámetros!$B$14:$B$21,MATCH(I877,Parámetros!$A$14:$A$21,0))="",Parámetros!$B$5,INDEX(Parámetros!$B$14:$B$21,MATCH(I877,Parámetros!$A$14:$A$21,0))),Parámetros!$B$5))</f>
        <v/>
      </c>
      <c r="Q877" s="29" t="str">
        <f aca="false">IF(O877="","",(O877-P877)*100)</f>
        <v/>
      </c>
      <c r="R877" s="30" t="str">
        <f aca="false">IF(O877="","",MAX(0,M877*(P877-O877)))</f>
        <v/>
      </c>
      <c r="S877" s="31" t="str">
        <f aca="false">IF(OR(L877="",L877=0,N877=""),"",N877/1000/L877)</f>
        <v/>
      </c>
      <c r="T877" s="27"/>
      <c r="U877" s="27"/>
      <c r="V877" s="27"/>
      <c r="W877" s="27"/>
      <c r="X877" s="27"/>
      <c r="Y877" s="27"/>
      <c r="Z877" s="27"/>
      <c r="AA877" s="25"/>
      <c r="AB877" s="27"/>
      <c r="AC877" s="30" t="str">
        <f aca="false">IF(M877="","",IF(AB877="",M877*Parámetros!$B$6,AB877))</f>
        <v/>
      </c>
      <c r="AD877" s="30" t="str">
        <f aca="false">IF(M877="","",SUM(T877:Z877)+AC877)</f>
        <v/>
      </c>
      <c r="AE877" s="30" t="str">
        <f aca="false">IF(OR(M877="",N877=""),"",M877-N877)</f>
        <v/>
      </c>
      <c r="AF877" s="30" t="str">
        <f aca="false">IF(AE877="","",AE877-AD877)</f>
        <v/>
      </c>
      <c r="AG877" s="28" t="str">
        <f aca="false">IF(OR(AF877="",M877=0),"",AF877/M877)</f>
        <v/>
      </c>
      <c r="AH877" s="32" t="str">
        <f aca="false">IF(OR(AE877="",N877=0),"",AE877/(N877/1000))</f>
        <v/>
      </c>
      <c r="AI877" s="30" t="str">
        <f aca="false">IF(O877="","",M877*P877)</f>
        <v/>
      </c>
      <c r="AJ877" s="11" t="str">
        <f aca="false">IF(O877="","",IF(O877&gt;1,"Error: rend &gt; 100 %",IF(SUM(T877:Z877)=0,"Falta registrar pérdidas",IF(ABS(AG877)&gt;Parámetros!$B$7,"Revisar balance",IF(O877&lt;P877,"Bajo meta","OK")))))</f>
        <v/>
      </c>
      <c r="AK877" s="33"/>
      <c r="AL877" s="10"/>
      <c r="AM877" s="33"/>
      <c r="AN877" s="33"/>
      <c r="AO877" s="10"/>
    </row>
    <row r="878" customFormat="false" ht="15" hidden="false" customHeight="false" outlineLevel="0" collapsed="false">
      <c r="A878" s="22"/>
      <c r="B878" s="23" t="str">
        <f aca="false">IF(A878="","",YEAR(A878-WEEKDAY(A878,2)+4))</f>
        <v/>
      </c>
      <c r="C878" s="23" t="str">
        <f aca="false">IF(A878="","",WEEKNUM(A878,21))</f>
        <v/>
      </c>
      <c r="D878" s="24" t="str">
        <f aca="false">IF(A878="","",DATE(YEAR(A878),MONTH(A878),1))</f>
        <v/>
      </c>
      <c r="E878" s="10"/>
      <c r="F878" s="25"/>
      <c r="G878" s="25"/>
      <c r="H878" s="10"/>
      <c r="I878" s="10"/>
      <c r="J878" s="26"/>
      <c r="K878" s="25"/>
      <c r="L878" s="26"/>
      <c r="M878" s="27"/>
      <c r="N878" s="27"/>
      <c r="O878" s="28" t="str">
        <f aca="false">IF(OR(M878="",M878=0,N878=""),"",N878/M878)</f>
        <v/>
      </c>
      <c r="P878" s="28" t="str">
        <f aca="false">IF(M878="","",IFERROR(IF(INDEX(Parámetros!$B$14:$B$21,MATCH(I878,Parámetros!$A$14:$A$21,0))="",Parámetros!$B$5,INDEX(Parámetros!$B$14:$B$21,MATCH(I878,Parámetros!$A$14:$A$21,0))),Parámetros!$B$5))</f>
        <v/>
      </c>
      <c r="Q878" s="29" t="str">
        <f aca="false">IF(O878="","",(O878-P878)*100)</f>
        <v/>
      </c>
      <c r="R878" s="30" t="str">
        <f aca="false">IF(O878="","",MAX(0,M878*(P878-O878)))</f>
        <v/>
      </c>
      <c r="S878" s="31" t="str">
        <f aca="false">IF(OR(L878="",L878=0,N878=""),"",N878/1000/L878)</f>
        <v/>
      </c>
      <c r="T878" s="27"/>
      <c r="U878" s="27"/>
      <c r="V878" s="27"/>
      <c r="W878" s="27"/>
      <c r="X878" s="27"/>
      <c r="Y878" s="27"/>
      <c r="Z878" s="27"/>
      <c r="AA878" s="25"/>
      <c r="AB878" s="27"/>
      <c r="AC878" s="30" t="str">
        <f aca="false">IF(M878="","",IF(AB878="",M878*Parámetros!$B$6,AB878))</f>
        <v/>
      </c>
      <c r="AD878" s="30" t="str">
        <f aca="false">IF(M878="","",SUM(T878:Z878)+AC878)</f>
        <v/>
      </c>
      <c r="AE878" s="30" t="str">
        <f aca="false">IF(OR(M878="",N878=""),"",M878-N878)</f>
        <v/>
      </c>
      <c r="AF878" s="30" t="str">
        <f aca="false">IF(AE878="","",AE878-AD878)</f>
        <v/>
      </c>
      <c r="AG878" s="28" t="str">
        <f aca="false">IF(OR(AF878="",M878=0),"",AF878/M878)</f>
        <v/>
      </c>
      <c r="AH878" s="32" t="str">
        <f aca="false">IF(OR(AE878="",N878=0),"",AE878/(N878/1000))</f>
        <v/>
      </c>
      <c r="AI878" s="30" t="str">
        <f aca="false">IF(O878="","",M878*P878)</f>
        <v/>
      </c>
      <c r="AJ878" s="11" t="str">
        <f aca="false">IF(O878="","",IF(O878&gt;1,"Error: rend &gt; 100 %",IF(SUM(T878:Z878)=0,"Falta registrar pérdidas",IF(ABS(AG878)&gt;Parámetros!$B$7,"Revisar balance",IF(O878&lt;P878,"Bajo meta","OK")))))</f>
        <v/>
      </c>
      <c r="AK878" s="33"/>
      <c r="AL878" s="10"/>
      <c r="AM878" s="33"/>
      <c r="AN878" s="33"/>
      <c r="AO878" s="10"/>
    </row>
    <row r="879" customFormat="false" ht="15" hidden="false" customHeight="false" outlineLevel="0" collapsed="false">
      <c r="A879" s="22"/>
      <c r="B879" s="23" t="str">
        <f aca="false">IF(A879="","",YEAR(A879-WEEKDAY(A879,2)+4))</f>
        <v/>
      </c>
      <c r="C879" s="23" t="str">
        <f aca="false">IF(A879="","",WEEKNUM(A879,21))</f>
        <v/>
      </c>
      <c r="D879" s="24" t="str">
        <f aca="false">IF(A879="","",DATE(YEAR(A879),MONTH(A879),1))</f>
        <v/>
      </c>
      <c r="E879" s="10"/>
      <c r="F879" s="25"/>
      <c r="G879" s="25"/>
      <c r="H879" s="10"/>
      <c r="I879" s="10"/>
      <c r="J879" s="26"/>
      <c r="K879" s="25"/>
      <c r="L879" s="26"/>
      <c r="M879" s="27"/>
      <c r="N879" s="27"/>
      <c r="O879" s="28" t="str">
        <f aca="false">IF(OR(M879="",M879=0,N879=""),"",N879/M879)</f>
        <v/>
      </c>
      <c r="P879" s="28" t="str">
        <f aca="false">IF(M879="","",IFERROR(IF(INDEX(Parámetros!$B$14:$B$21,MATCH(I879,Parámetros!$A$14:$A$21,0))="",Parámetros!$B$5,INDEX(Parámetros!$B$14:$B$21,MATCH(I879,Parámetros!$A$14:$A$21,0))),Parámetros!$B$5))</f>
        <v/>
      </c>
      <c r="Q879" s="29" t="str">
        <f aca="false">IF(O879="","",(O879-P879)*100)</f>
        <v/>
      </c>
      <c r="R879" s="30" t="str">
        <f aca="false">IF(O879="","",MAX(0,M879*(P879-O879)))</f>
        <v/>
      </c>
      <c r="S879" s="31" t="str">
        <f aca="false">IF(OR(L879="",L879=0,N879=""),"",N879/1000/L879)</f>
        <v/>
      </c>
      <c r="T879" s="27"/>
      <c r="U879" s="27"/>
      <c r="V879" s="27"/>
      <c r="W879" s="27"/>
      <c r="X879" s="27"/>
      <c r="Y879" s="27"/>
      <c r="Z879" s="27"/>
      <c r="AA879" s="25"/>
      <c r="AB879" s="27"/>
      <c r="AC879" s="30" t="str">
        <f aca="false">IF(M879="","",IF(AB879="",M879*Parámetros!$B$6,AB879))</f>
        <v/>
      </c>
      <c r="AD879" s="30" t="str">
        <f aca="false">IF(M879="","",SUM(T879:Z879)+AC879)</f>
        <v/>
      </c>
      <c r="AE879" s="30" t="str">
        <f aca="false">IF(OR(M879="",N879=""),"",M879-N879)</f>
        <v/>
      </c>
      <c r="AF879" s="30" t="str">
        <f aca="false">IF(AE879="","",AE879-AD879)</f>
        <v/>
      </c>
      <c r="AG879" s="28" t="str">
        <f aca="false">IF(OR(AF879="",M879=0),"",AF879/M879)</f>
        <v/>
      </c>
      <c r="AH879" s="32" t="str">
        <f aca="false">IF(OR(AE879="",N879=0),"",AE879/(N879/1000))</f>
        <v/>
      </c>
      <c r="AI879" s="30" t="str">
        <f aca="false">IF(O879="","",M879*P879)</f>
        <v/>
      </c>
      <c r="AJ879" s="11" t="str">
        <f aca="false">IF(O879="","",IF(O879&gt;1,"Error: rend &gt; 100 %",IF(SUM(T879:Z879)=0,"Falta registrar pérdidas",IF(ABS(AG879)&gt;Parámetros!$B$7,"Revisar balance",IF(O879&lt;P879,"Bajo meta","OK")))))</f>
        <v/>
      </c>
      <c r="AK879" s="33"/>
      <c r="AL879" s="10"/>
      <c r="AM879" s="33"/>
      <c r="AN879" s="33"/>
      <c r="AO879" s="10"/>
    </row>
    <row r="880" customFormat="false" ht="15" hidden="false" customHeight="false" outlineLevel="0" collapsed="false">
      <c r="A880" s="22"/>
      <c r="B880" s="23" t="str">
        <f aca="false">IF(A880="","",YEAR(A880-WEEKDAY(A880,2)+4))</f>
        <v/>
      </c>
      <c r="C880" s="23" t="str">
        <f aca="false">IF(A880="","",WEEKNUM(A880,21))</f>
        <v/>
      </c>
      <c r="D880" s="24" t="str">
        <f aca="false">IF(A880="","",DATE(YEAR(A880),MONTH(A880),1))</f>
        <v/>
      </c>
      <c r="E880" s="10"/>
      <c r="F880" s="25"/>
      <c r="G880" s="25"/>
      <c r="H880" s="10"/>
      <c r="I880" s="10"/>
      <c r="J880" s="26"/>
      <c r="K880" s="25"/>
      <c r="L880" s="26"/>
      <c r="M880" s="27"/>
      <c r="N880" s="27"/>
      <c r="O880" s="28" t="str">
        <f aca="false">IF(OR(M880="",M880=0,N880=""),"",N880/M880)</f>
        <v/>
      </c>
      <c r="P880" s="28" t="str">
        <f aca="false">IF(M880="","",IFERROR(IF(INDEX(Parámetros!$B$14:$B$21,MATCH(I880,Parámetros!$A$14:$A$21,0))="",Parámetros!$B$5,INDEX(Parámetros!$B$14:$B$21,MATCH(I880,Parámetros!$A$14:$A$21,0))),Parámetros!$B$5))</f>
        <v/>
      </c>
      <c r="Q880" s="29" t="str">
        <f aca="false">IF(O880="","",(O880-P880)*100)</f>
        <v/>
      </c>
      <c r="R880" s="30" t="str">
        <f aca="false">IF(O880="","",MAX(0,M880*(P880-O880)))</f>
        <v/>
      </c>
      <c r="S880" s="31" t="str">
        <f aca="false">IF(OR(L880="",L880=0,N880=""),"",N880/1000/L880)</f>
        <v/>
      </c>
      <c r="T880" s="27"/>
      <c r="U880" s="27"/>
      <c r="V880" s="27"/>
      <c r="W880" s="27"/>
      <c r="X880" s="27"/>
      <c r="Y880" s="27"/>
      <c r="Z880" s="27"/>
      <c r="AA880" s="25"/>
      <c r="AB880" s="27"/>
      <c r="AC880" s="30" t="str">
        <f aca="false">IF(M880="","",IF(AB880="",M880*Parámetros!$B$6,AB880))</f>
        <v/>
      </c>
      <c r="AD880" s="30" t="str">
        <f aca="false">IF(M880="","",SUM(T880:Z880)+AC880)</f>
        <v/>
      </c>
      <c r="AE880" s="30" t="str">
        <f aca="false">IF(OR(M880="",N880=""),"",M880-N880)</f>
        <v/>
      </c>
      <c r="AF880" s="30" t="str">
        <f aca="false">IF(AE880="","",AE880-AD880)</f>
        <v/>
      </c>
      <c r="AG880" s="28" t="str">
        <f aca="false">IF(OR(AF880="",M880=0),"",AF880/M880)</f>
        <v/>
      </c>
      <c r="AH880" s="32" t="str">
        <f aca="false">IF(OR(AE880="",N880=0),"",AE880/(N880/1000))</f>
        <v/>
      </c>
      <c r="AI880" s="30" t="str">
        <f aca="false">IF(O880="","",M880*P880)</f>
        <v/>
      </c>
      <c r="AJ880" s="11" t="str">
        <f aca="false">IF(O880="","",IF(O880&gt;1,"Error: rend &gt; 100 %",IF(SUM(T880:Z880)=0,"Falta registrar pérdidas",IF(ABS(AG880)&gt;Parámetros!$B$7,"Revisar balance",IF(O880&lt;P880,"Bajo meta","OK")))))</f>
        <v/>
      </c>
      <c r="AK880" s="33"/>
      <c r="AL880" s="10"/>
      <c r="AM880" s="33"/>
      <c r="AN880" s="33"/>
      <c r="AO880" s="10"/>
    </row>
    <row r="881" customFormat="false" ht="15" hidden="false" customHeight="false" outlineLevel="0" collapsed="false">
      <c r="A881" s="22"/>
      <c r="B881" s="23" t="str">
        <f aca="false">IF(A881="","",YEAR(A881-WEEKDAY(A881,2)+4))</f>
        <v/>
      </c>
      <c r="C881" s="23" t="str">
        <f aca="false">IF(A881="","",WEEKNUM(A881,21))</f>
        <v/>
      </c>
      <c r="D881" s="24" t="str">
        <f aca="false">IF(A881="","",DATE(YEAR(A881),MONTH(A881),1))</f>
        <v/>
      </c>
      <c r="E881" s="10"/>
      <c r="F881" s="25"/>
      <c r="G881" s="25"/>
      <c r="H881" s="10"/>
      <c r="I881" s="10"/>
      <c r="J881" s="26"/>
      <c r="K881" s="25"/>
      <c r="L881" s="26"/>
      <c r="M881" s="27"/>
      <c r="N881" s="27"/>
      <c r="O881" s="28" t="str">
        <f aca="false">IF(OR(M881="",M881=0,N881=""),"",N881/M881)</f>
        <v/>
      </c>
      <c r="P881" s="28" t="str">
        <f aca="false">IF(M881="","",IFERROR(IF(INDEX(Parámetros!$B$14:$B$21,MATCH(I881,Parámetros!$A$14:$A$21,0))="",Parámetros!$B$5,INDEX(Parámetros!$B$14:$B$21,MATCH(I881,Parámetros!$A$14:$A$21,0))),Parámetros!$B$5))</f>
        <v/>
      </c>
      <c r="Q881" s="29" t="str">
        <f aca="false">IF(O881="","",(O881-P881)*100)</f>
        <v/>
      </c>
      <c r="R881" s="30" t="str">
        <f aca="false">IF(O881="","",MAX(0,M881*(P881-O881)))</f>
        <v/>
      </c>
      <c r="S881" s="31" t="str">
        <f aca="false">IF(OR(L881="",L881=0,N881=""),"",N881/1000/L881)</f>
        <v/>
      </c>
      <c r="T881" s="27"/>
      <c r="U881" s="27"/>
      <c r="V881" s="27"/>
      <c r="W881" s="27"/>
      <c r="X881" s="27"/>
      <c r="Y881" s="27"/>
      <c r="Z881" s="27"/>
      <c r="AA881" s="25"/>
      <c r="AB881" s="27"/>
      <c r="AC881" s="30" t="str">
        <f aca="false">IF(M881="","",IF(AB881="",M881*Parámetros!$B$6,AB881))</f>
        <v/>
      </c>
      <c r="AD881" s="30" t="str">
        <f aca="false">IF(M881="","",SUM(T881:Z881)+AC881)</f>
        <v/>
      </c>
      <c r="AE881" s="30" t="str">
        <f aca="false">IF(OR(M881="",N881=""),"",M881-N881)</f>
        <v/>
      </c>
      <c r="AF881" s="30" t="str">
        <f aca="false">IF(AE881="","",AE881-AD881)</f>
        <v/>
      </c>
      <c r="AG881" s="28" t="str">
        <f aca="false">IF(OR(AF881="",M881=0),"",AF881/M881)</f>
        <v/>
      </c>
      <c r="AH881" s="32" t="str">
        <f aca="false">IF(OR(AE881="",N881=0),"",AE881/(N881/1000))</f>
        <v/>
      </c>
      <c r="AI881" s="30" t="str">
        <f aca="false">IF(O881="","",M881*P881)</f>
        <v/>
      </c>
      <c r="AJ881" s="11" t="str">
        <f aca="false">IF(O881="","",IF(O881&gt;1,"Error: rend &gt; 100 %",IF(SUM(T881:Z881)=0,"Falta registrar pérdidas",IF(ABS(AG881)&gt;Parámetros!$B$7,"Revisar balance",IF(O881&lt;P881,"Bajo meta","OK")))))</f>
        <v/>
      </c>
      <c r="AK881" s="33"/>
      <c r="AL881" s="10"/>
      <c r="AM881" s="33"/>
      <c r="AN881" s="33"/>
      <c r="AO881" s="10"/>
    </row>
    <row r="882" customFormat="false" ht="15" hidden="false" customHeight="false" outlineLevel="0" collapsed="false">
      <c r="A882" s="22"/>
      <c r="B882" s="23" t="str">
        <f aca="false">IF(A882="","",YEAR(A882-WEEKDAY(A882,2)+4))</f>
        <v/>
      </c>
      <c r="C882" s="23" t="str">
        <f aca="false">IF(A882="","",WEEKNUM(A882,21))</f>
        <v/>
      </c>
      <c r="D882" s="24" t="str">
        <f aca="false">IF(A882="","",DATE(YEAR(A882),MONTH(A882),1))</f>
        <v/>
      </c>
      <c r="E882" s="10"/>
      <c r="F882" s="25"/>
      <c r="G882" s="25"/>
      <c r="H882" s="10"/>
      <c r="I882" s="10"/>
      <c r="J882" s="26"/>
      <c r="K882" s="25"/>
      <c r="L882" s="26"/>
      <c r="M882" s="27"/>
      <c r="N882" s="27"/>
      <c r="O882" s="28" t="str">
        <f aca="false">IF(OR(M882="",M882=0,N882=""),"",N882/M882)</f>
        <v/>
      </c>
      <c r="P882" s="28" t="str">
        <f aca="false">IF(M882="","",IFERROR(IF(INDEX(Parámetros!$B$14:$B$21,MATCH(I882,Parámetros!$A$14:$A$21,0))="",Parámetros!$B$5,INDEX(Parámetros!$B$14:$B$21,MATCH(I882,Parámetros!$A$14:$A$21,0))),Parámetros!$B$5))</f>
        <v/>
      </c>
      <c r="Q882" s="29" t="str">
        <f aca="false">IF(O882="","",(O882-P882)*100)</f>
        <v/>
      </c>
      <c r="R882" s="30" t="str">
        <f aca="false">IF(O882="","",MAX(0,M882*(P882-O882)))</f>
        <v/>
      </c>
      <c r="S882" s="31" t="str">
        <f aca="false">IF(OR(L882="",L882=0,N882=""),"",N882/1000/L882)</f>
        <v/>
      </c>
      <c r="T882" s="27"/>
      <c r="U882" s="27"/>
      <c r="V882" s="27"/>
      <c r="W882" s="27"/>
      <c r="X882" s="27"/>
      <c r="Y882" s="27"/>
      <c r="Z882" s="27"/>
      <c r="AA882" s="25"/>
      <c r="AB882" s="27"/>
      <c r="AC882" s="30" t="str">
        <f aca="false">IF(M882="","",IF(AB882="",M882*Parámetros!$B$6,AB882))</f>
        <v/>
      </c>
      <c r="AD882" s="30" t="str">
        <f aca="false">IF(M882="","",SUM(T882:Z882)+AC882)</f>
        <v/>
      </c>
      <c r="AE882" s="30" t="str">
        <f aca="false">IF(OR(M882="",N882=""),"",M882-N882)</f>
        <v/>
      </c>
      <c r="AF882" s="30" t="str">
        <f aca="false">IF(AE882="","",AE882-AD882)</f>
        <v/>
      </c>
      <c r="AG882" s="28" t="str">
        <f aca="false">IF(OR(AF882="",M882=0),"",AF882/M882)</f>
        <v/>
      </c>
      <c r="AH882" s="32" t="str">
        <f aca="false">IF(OR(AE882="",N882=0),"",AE882/(N882/1000))</f>
        <v/>
      </c>
      <c r="AI882" s="30" t="str">
        <f aca="false">IF(O882="","",M882*P882)</f>
        <v/>
      </c>
      <c r="AJ882" s="11" t="str">
        <f aca="false">IF(O882="","",IF(O882&gt;1,"Error: rend &gt; 100 %",IF(SUM(T882:Z882)=0,"Falta registrar pérdidas",IF(ABS(AG882)&gt;Parámetros!$B$7,"Revisar balance",IF(O882&lt;P882,"Bajo meta","OK")))))</f>
        <v/>
      </c>
      <c r="AK882" s="33"/>
      <c r="AL882" s="10"/>
      <c r="AM882" s="33"/>
      <c r="AN882" s="33"/>
      <c r="AO882" s="10"/>
    </row>
    <row r="883" customFormat="false" ht="15" hidden="false" customHeight="false" outlineLevel="0" collapsed="false">
      <c r="A883" s="22"/>
      <c r="B883" s="23" t="str">
        <f aca="false">IF(A883="","",YEAR(A883-WEEKDAY(A883,2)+4))</f>
        <v/>
      </c>
      <c r="C883" s="23" t="str">
        <f aca="false">IF(A883="","",WEEKNUM(A883,21))</f>
        <v/>
      </c>
      <c r="D883" s="24" t="str">
        <f aca="false">IF(A883="","",DATE(YEAR(A883),MONTH(A883),1))</f>
        <v/>
      </c>
      <c r="E883" s="10"/>
      <c r="F883" s="25"/>
      <c r="G883" s="25"/>
      <c r="H883" s="10"/>
      <c r="I883" s="10"/>
      <c r="J883" s="26"/>
      <c r="K883" s="25"/>
      <c r="L883" s="26"/>
      <c r="M883" s="27"/>
      <c r="N883" s="27"/>
      <c r="O883" s="28" t="str">
        <f aca="false">IF(OR(M883="",M883=0,N883=""),"",N883/M883)</f>
        <v/>
      </c>
      <c r="P883" s="28" t="str">
        <f aca="false">IF(M883="","",IFERROR(IF(INDEX(Parámetros!$B$14:$B$21,MATCH(I883,Parámetros!$A$14:$A$21,0))="",Parámetros!$B$5,INDEX(Parámetros!$B$14:$B$21,MATCH(I883,Parámetros!$A$14:$A$21,0))),Parámetros!$B$5))</f>
        <v/>
      </c>
      <c r="Q883" s="29" t="str">
        <f aca="false">IF(O883="","",(O883-P883)*100)</f>
        <v/>
      </c>
      <c r="R883" s="30" t="str">
        <f aca="false">IF(O883="","",MAX(0,M883*(P883-O883)))</f>
        <v/>
      </c>
      <c r="S883" s="31" t="str">
        <f aca="false">IF(OR(L883="",L883=0,N883=""),"",N883/1000/L883)</f>
        <v/>
      </c>
      <c r="T883" s="27"/>
      <c r="U883" s="27"/>
      <c r="V883" s="27"/>
      <c r="W883" s="27"/>
      <c r="X883" s="27"/>
      <c r="Y883" s="27"/>
      <c r="Z883" s="27"/>
      <c r="AA883" s="25"/>
      <c r="AB883" s="27"/>
      <c r="AC883" s="30" t="str">
        <f aca="false">IF(M883="","",IF(AB883="",M883*Parámetros!$B$6,AB883))</f>
        <v/>
      </c>
      <c r="AD883" s="30" t="str">
        <f aca="false">IF(M883="","",SUM(T883:Z883)+AC883)</f>
        <v/>
      </c>
      <c r="AE883" s="30" t="str">
        <f aca="false">IF(OR(M883="",N883=""),"",M883-N883)</f>
        <v/>
      </c>
      <c r="AF883" s="30" t="str">
        <f aca="false">IF(AE883="","",AE883-AD883)</f>
        <v/>
      </c>
      <c r="AG883" s="28" t="str">
        <f aca="false">IF(OR(AF883="",M883=0),"",AF883/M883)</f>
        <v/>
      </c>
      <c r="AH883" s="32" t="str">
        <f aca="false">IF(OR(AE883="",N883=0),"",AE883/(N883/1000))</f>
        <v/>
      </c>
      <c r="AI883" s="30" t="str">
        <f aca="false">IF(O883="","",M883*P883)</f>
        <v/>
      </c>
      <c r="AJ883" s="11" t="str">
        <f aca="false">IF(O883="","",IF(O883&gt;1,"Error: rend &gt; 100 %",IF(SUM(T883:Z883)=0,"Falta registrar pérdidas",IF(ABS(AG883)&gt;Parámetros!$B$7,"Revisar balance",IF(O883&lt;P883,"Bajo meta","OK")))))</f>
        <v/>
      </c>
      <c r="AK883" s="33"/>
      <c r="AL883" s="10"/>
      <c r="AM883" s="33"/>
      <c r="AN883" s="33"/>
      <c r="AO883" s="10"/>
    </row>
    <row r="884" customFormat="false" ht="15" hidden="false" customHeight="false" outlineLevel="0" collapsed="false">
      <c r="A884" s="22"/>
      <c r="B884" s="23" t="str">
        <f aca="false">IF(A884="","",YEAR(A884-WEEKDAY(A884,2)+4))</f>
        <v/>
      </c>
      <c r="C884" s="23" t="str">
        <f aca="false">IF(A884="","",WEEKNUM(A884,21))</f>
        <v/>
      </c>
      <c r="D884" s="24" t="str">
        <f aca="false">IF(A884="","",DATE(YEAR(A884),MONTH(A884),1))</f>
        <v/>
      </c>
      <c r="E884" s="10"/>
      <c r="F884" s="25"/>
      <c r="G884" s="25"/>
      <c r="H884" s="10"/>
      <c r="I884" s="10"/>
      <c r="J884" s="26"/>
      <c r="K884" s="25"/>
      <c r="L884" s="26"/>
      <c r="M884" s="27"/>
      <c r="N884" s="27"/>
      <c r="O884" s="28" t="str">
        <f aca="false">IF(OR(M884="",M884=0,N884=""),"",N884/M884)</f>
        <v/>
      </c>
      <c r="P884" s="28" t="str">
        <f aca="false">IF(M884="","",IFERROR(IF(INDEX(Parámetros!$B$14:$B$21,MATCH(I884,Parámetros!$A$14:$A$21,0))="",Parámetros!$B$5,INDEX(Parámetros!$B$14:$B$21,MATCH(I884,Parámetros!$A$14:$A$21,0))),Parámetros!$B$5))</f>
        <v/>
      </c>
      <c r="Q884" s="29" t="str">
        <f aca="false">IF(O884="","",(O884-P884)*100)</f>
        <v/>
      </c>
      <c r="R884" s="30" t="str">
        <f aca="false">IF(O884="","",MAX(0,M884*(P884-O884)))</f>
        <v/>
      </c>
      <c r="S884" s="31" t="str">
        <f aca="false">IF(OR(L884="",L884=0,N884=""),"",N884/1000/L884)</f>
        <v/>
      </c>
      <c r="T884" s="27"/>
      <c r="U884" s="27"/>
      <c r="V884" s="27"/>
      <c r="W884" s="27"/>
      <c r="X884" s="27"/>
      <c r="Y884" s="27"/>
      <c r="Z884" s="27"/>
      <c r="AA884" s="25"/>
      <c r="AB884" s="27"/>
      <c r="AC884" s="30" t="str">
        <f aca="false">IF(M884="","",IF(AB884="",M884*Parámetros!$B$6,AB884))</f>
        <v/>
      </c>
      <c r="AD884" s="30" t="str">
        <f aca="false">IF(M884="","",SUM(T884:Z884)+AC884)</f>
        <v/>
      </c>
      <c r="AE884" s="30" t="str">
        <f aca="false">IF(OR(M884="",N884=""),"",M884-N884)</f>
        <v/>
      </c>
      <c r="AF884" s="30" t="str">
        <f aca="false">IF(AE884="","",AE884-AD884)</f>
        <v/>
      </c>
      <c r="AG884" s="28" t="str">
        <f aca="false">IF(OR(AF884="",M884=0),"",AF884/M884)</f>
        <v/>
      </c>
      <c r="AH884" s="32" t="str">
        <f aca="false">IF(OR(AE884="",N884=0),"",AE884/(N884/1000))</f>
        <v/>
      </c>
      <c r="AI884" s="30" t="str">
        <f aca="false">IF(O884="","",M884*P884)</f>
        <v/>
      </c>
      <c r="AJ884" s="11" t="str">
        <f aca="false">IF(O884="","",IF(O884&gt;1,"Error: rend &gt; 100 %",IF(SUM(T884:Z884)=0,"Falta registrar pérdidas",IF(ABS(AG884)&gt;Parámetros!$B$7,"Revisar balance",IF(O884&lt;P884,"Bajo meta","OK")))))</f>
        <v/>
      </c>
      <c r="AK884" s="33"/>
      <c r="AL884" s="10"/>
      <c r="AM884" s="33"/>
      <c r="AN884" s="33"/>
      <c r="AO884" s="10"/>
    </row>
    <row r="885" customFormat="false" ht="15" hidden="false" customHeight="false" outlineLevel="0" collapsed="false">
      <c r="A885" s="22"/>
      <c r="B885" s="23" t="str">
        <f aca="false">IF(A885="","",YEAR(A885-WEEKDAY(A885,2)+4))</f>
        <v/>
      </c>
      <c r="C885" s="23" t="str">
        <f aca="false">IF(A885="","",WEEKNUM(A885,21))</f>
        <v/>
      </c>
      <c r="D885" s="24" t="str">
        <f aca="false">IF(A885="","",DATE(YEAR(A885),MONTH(A885),1))</f>
        <v/>
      </c>
      <c r="E885" s="10"/>
      <c r="F885" s="25"/>
      <c r="G885" s="25"/>
      <c r="H885" s="10"/>
      <c r="I885" s="10"/>
      <c r="J885" s="26"/>
      <c r="K885" s="25"/>
      <c r="L885" s="26"/>
      <c r="M885" s="27"/>
      <c r="N885" s="27"/>
      <c r="O885" s="28" t="str">
        <f aca="false">IF(OR(M885="",M885=0,N885=""),"",N885/M885)</f>
        <v/>
      </c>
      <c r="P885" s="28" t="str">
        <f aca="false">IF(M885="","",IFERROR(IF(INDEX(Parámetros!$B$14:$B$21,MATCH(I885,Parámetros!$A$14:$A$21,0))="",Parámetros!$B$5,INDEX(Parámetros!$B$14:$B$21,MATCH(I885,Parámetros!$A$14:$A$21,0))),Parámetros!$B$5))</f>
        <v/>
      </c>
      <c r="Q885" s="29" t="str">
        <f aca="false">IF(O885="","",(O885-P885)*100)</f>
        <v/>
      </c>
      <c r="R885" s="30" t="str">
        <f aca="false">IF(O885="","",MAX(0,M885*(P885-O885)))</f>
        <v/>
      </c>
      <c r="S885" s="31" t="str">
        <f aca="false">IF(OR(L885="",L885=0,N885=""),"",N885/1000/L885)</f>
        <v/>
      </c>
      <c r="T885" s="27"/>
      <c r="U885" s="27"/>
      <c r="V885" s="27"/>
      <c r="W885" s="27"/>
      <c r="X885" s="27"/>
      <c r="Y885" s="27"/>
      <c r="Z885" s="27"/>
      <c r="AA885" s="25"/>
      <c r="AB885" s="27"/>
      <c r="AC885" s="30" t="str">
        <f aca="false">IF(M885="","",IF(AB885="",M885*Parámetros!$B$6,AB885))</f>
        <v/>
      </c>
      <c r="AD885" s="30" t="str">
        <f aca="false">IF(M885="","",SUM(T885:Z885)+AC885)</f>
        <v/>
      </c>
      <c r="AE885" s="30" t="str">
        <f aca="false">IF(OR(M885="",N885=""),"",M885-N885)</f>
        <v/>
      </c>
      <c r="AF885" s="30" t="str">
        <f aca="false">IF(AE885="","",AE885-AD885)</f>
        <v/>
      </c>
      <c r="AG885" s="28" t="str">
        <f aca="false">IF(OR(AF885="",M885=0),"",AF885/M885)</f>
        <v/>
      </c>
      <c r="AH885" s="32" t="str">
        <f aca="false">IF(OR(AE885="",N885=0),"",AE885/(N885/1000))</f>
        <v/>
      </c>
      <c r="AI885" s="30" t="str">
        <f aca="false">IF(O885="","",M885*P885)</f>
        <v/>
      </c>
      <c r="AJ885" s="11" t="str">
        <f aca="false">IF(O885="","",IF(O885&gt;1,"Error: rend &gt; 100 %",IF(SUM(T885:Z885)=0,"Falta registrar pérdidas",IF(ABS(AG885)&gt;Parámetros!$B$7,"Revisar balance",IF(O885&lt;P885,"Bajo meta","OK")))))</f>
        <v/>
      </c>
      <c r="AK885" s="33"/>
      <c r="AL885" s="10"/>
      <c r="AM885" s="33"/>
      <c r="AN885" s="33"/>
      <c r="AO885" s="10"/>
    </row>
    <row r="886" customFormat="false" ht="15" hidden="false" customHeight="false" outlineLevel="0" collapsed="false">
      <c r="A886" s="22"/>
      <c r="B886" s="23" t="str">
        <f aca="false">IF(A886="","",YEAR(A886-WEEKDAY(A886,2)+4))</f>
        <v/>
      </c>
      <c r="C886" s="23" t="str">
        <f aca="false">IF(A886="","",WEEKNUM(A886,21))</f>
        <v/>
      </c>
      <c r="D886" s="24" t="str">
        <f aca="false">IF(A886="","",DATE(YEAR(A886),MONTH(A886),1))</f>
        <v/>
      </c>
      <c r="E886" s="10"/>
      <c r="F886" s="25"/>
      <c r="G886" s="25"/>
      <c r="H886" s="10"/>
      <c r="I886" s="10"/>
      <c r="J886" s="26"/>
      <c r="K886" s="25"/>
      <c r="L886" s="26"/>
      <c r="M886" s="27"/>
      <c r="N886" s="27"/>
      <c r="O886" s="28" t="str">
        <f aca="false">IF(OR(M886="",M886=0,N886=""),"",N886/M886)</f>
        <v/>
      </c>
      <c r="P886" s="28" t="str">
        <f aca="false">IF(M886="","",IFERROR(IF(INDEX(Parámetros!$B$14:$B$21,MATCH(I886,Parámetros!$A$14:$A$21,0))="",Parámetros!$B$5,INDEX(Parámetros!$B$14:$B$21,MATCH(I886,Parámetros!$A$14:$A$21,0))),Parámetros!$B$5))</f>
        <v/>
      </c>
      <c r="Q886" s="29" t="str">
        <f aca="false">IF(O886="","",(O886-P886)*100)</f>
        <v/>
      </c>
      <c r="R886" s="30" t="str">
        <f aca="false">IF(O886="","",MAX(0,M886*(P886-O886)))</f>
        <v/>
      </c>
      <c r="S886" s="31" t="str">
        <f aca="false">IF(OR(L886="",L886=0,N886=""),"",N886/1000/L886)</f>
        <v/>
      </c>
      <c r="T886" s="27"/>
      <c r="U886" s="27"/>
      <c r="V886" s="27"/>
      <c r="W886" s="27"/>
      <c r="X886" s="27"/>
      <c r="Y886" s="27"/>
      <c r="Z886" s="27"/>
      <c r="AA886" s="25"/>
      <c r="AB886" s="27"/>
      <c r="AC886" s="30" t="str">
        <f aca="false">IF(M886="","",IF(AB886="",M886*Parámetros!$B$6,AB886))</f>
        <v/>
      </c>
      <c r="AD886" s="30" t="str">
        <f aca="false">IF(M886="","",SUM(T886:Z886)+AC886)</f>
        <v/>
      </c>
      <c r="AE886" s="30" t="str">
        <f aca="false">IF(OR(M886="",N886=""),"",M886-N886)</f>
        <v/>
      </c>
      <c r="AF886" s="30" t="str">
        <f aca="false">IF(AE886="","",AE886-AD886)</f>
        <v/>
      </c>
      <c r="AG886" s="28" t="str">
        <f aca="false">IF(OR(AF886="",M886=0),"",AF886/M886)</f>
        <v/>
      </c>
      <c r="AH886" s="32" t="str">
        <f aca="false">IF(OR(AE886="",N886=0),"",AE886/(N886/1000))</f>
        <v/>
      </c>
      <c r="AI886" s="30" t="str">
        <f aca="false">IF(O886="","",M886*P886)</f>
        <v/>
      </c>
      <c r="AJ886" s="11" t="str">
        <f aca="false">IF(O886="","",IF(O886&gt;1,"Error: rend &gt; 100 %",IF(SUM(T886:Z886)=0,"Falta registrar pérdidas",IF(ABS(AG886)&gt;Parámetros!$B$7,"Revisar balance",IF(O886&lt;P886,"Bajo meta","OK")))))</f>
        <v/>
      </c>
      <c r="AK886" s="33"/>
      <c r="AL886" s="10"/>
      <c r="AM886" s="33"/>
      <c r="AN886" s="33"/>
      <c r="AO886" s="10"/>
    </row>
    <row r="887" customFormat="false" ht="15" hidden="false" customHeight="false" outlineLevel="0" collapsed="false">
      <c r="A887" s="22"/>
      <c r="B887" s="23" t="str">
        <f aca="false">IF(A887="","",YEAR(A887-WEEKDAY(A887,2)+4))</f>
        <v/>
      </c>
      <c r="C887" s="23" t="str">
        <f aca="false">IF(A887="","",WEEKNUM(A887,21))</f>
        <v/>
      </c>
      <c r="D887" s="24" t="str">
        <f aca="false">IF(A887="","",DATE(YEAR(A887),MONTH(A887),1))</f>
        <v/>
      </c>
      <c r="E887" s="10"/>
      <c r="F887" s="25"/>
      <c r="G887" s="25"/>
      <c r="H887" s="10"/>
      <c r="I887" s="10"/>
      <c r="J887" s="26"/>
      <c r="K887" s="25"/>
      <c r="L887" s="26"/>
      <c r="M887" s="27"/>
      <c r="N887" s="27"/>
      <c r="O887" s="28" t="str">
        <f aca="false">IF(OR(M887="",M887=0,N887=""),"",N887/M887)</f>
        <v/>
      </c>
      <c r="P887" s="28" t="str">
        <f aca="false">IF(M887="","",IFERROR(IF(INDEX(Parámetros!$B$14:$B$21,MATCH(I887,Parámetros!$A$14:$A$21,0))="",Parámetros!$B$5,INDEX(Parámetros!$B$14:$B$21,MATCH(I887,Parámetros!$A$14:$A$21,0))),Parámetros!$B$5))</f>
        <v/>
      </c>
      <c r="Q887" s="29" t="str">
        <f aca="false">IF(O887="","",(O887-P887)*100)</f>
        <v/>
      </c>
      <c r="R887" s="30" t="str">
        <f aca="false">IF(O887="","",MAX(0,M887*(P887-O887)))</f>
        <v/>
      </c>
      <c r="S887" s="31" t="str">
        <f aca="false">IF(OR(L887="",L887=0,N887=""),"",N887/1000/L887)</f>
        <v/>
      </c>
      <c r="T887" s="27"/>
      <c r="U887" s="27"/>
      <c r="V887" s="27"/>
      <c r="W887" s="27"/>
      <c r="X887" s="27"/>
      <c r="Y887" s="27"/>
      <c r="Z887" s="27"/>
      <c r="AA887" s="25"/>
      <c r="AB887" s="27"/>
      <c r="AC887" s="30" t="str">
        <f aca="false">IF(M887="","",IF(AB887="",M887*Parámetros!$B$6,AB887))</f>
        <v/>
      </c>
      <c r="AD887" s="30" t="str">
        <f aca="false">IF(M887="","",SUM(T887:Z887)+AC887)</f>
        <v/>
      </c>
      <c r="AE887" s="30" t="str">
        <f aca="false">IF(OR(M887="",N887=""),"",M887-N887)</f>
        <v/>
      </c>
      <c r="AF887" s="30" t="str">
        <f aca="false">IF(AE887="","",AE887-AD887)</f>
        <v/>
      </c>
      <c r="AG887" s="28" t="str">
        <f aca="false">IF(OR(AF887="",M887=0),"",AF887/M887)</f>
        <v/>
      </c>
      <c r="AH887" s="32" t="str">
        <f aca="false">IF(OR(AE887="",N887=0),"",AE887/(N887/1000))</f>
        <v/>
      </c>
      <c r="AI887" s="30" t="str">
        <f aca="false">IF(O887="","",M887*P887)</f>
        <v/>
      </c>
      <c r="AJ887" s="11" t="str">
        <f aca="false">IF(O887="","",IF(O887&gt;1,"Error: rend &gt; 100 %",IF(SUM(T887:Z887)=0,"Falta registrar pérdidas",IF(ABS(AG887)&gt;Parámetros!$B$7,"Revisar balance",IF(O887&lt;P887,"Bajo meta","OK")))))</f>
        <v/>
      </c>
      <c r="AK887" s="33"/>
      <c r="AL887" s="10"/>
      <c r="AM887" s="33"/>
      <c r="AN887" s="33"/>
      <c r="AO887" s="10"/>
    </row>
    <row r="888" customFormat="false" ht="15" hidden="false" customHeight="false" outlineLevel="0" collapsed="false">
      <c r="A888" s="22"/>
      <c r="B888" s="23" t="str">
        <f aca="false">IF(A888="","",YEAR(A888-WEEKDAY(A888,2)+4))</f>
        <v/>
      </c>
      <c r="C888" s="23" t="str">
        <f aca="false">IF(A888="","",WEEKNUM(A888,21))</f>
        <v/>
      </c>
      <c r="D888" s="24" t="str">
        <f aca="false">IF(A888="","",DATE(YEAR(A888),MONTH(A888),1))</f>
        <v/>
      </c>
      <c r="E888" s="10"/>
      <c r="F888" s="25"/>
      <c r="G888" s="25"/>
      <c r="H888" s="10"/>
      <c r="I888" s="10"/>
      <c r="J888" s="26"/>
      <c r="K888" s="25"/>
      <c r="L888" s="26"/>
      <c r="M888" s="27"/>
      <c r="N888" s="27"/>
      <c r="O888" s="28" t="str">
        <f aca="false">IF(OR(M888="",M888=0,N888=""),"",N888/M888)</f>
        <v/>
      </c>
      <c r="P888" s="28" t="str">
        <f aca="false">IF(M888="","",IFERROR(IF(INDEX(Parámetros!$B$14:$B$21,MATCH(I888,Parámetros!$A$14:$A$21,0))="",Parámetros!$B$5,INDEX(Parámetros!$B$14:$B$21,MATCH(I888,Parámetros!$A$14:$A$21,0))),Parámetros!$B$5))</f>
        <v/>
      </c>
      <c r="Q888" s="29" t="str">
        <f aca="false">IF(O888="","",(O888-P888)*100)</f>
        <v/>
      </c>
      <c r="R888" s="30" t="str">
        <f aca="false">IF(O888="","",MAX(0,M888*(P888-O888)))</f>
        <v/>
      </c>
      <c r="S888" s="31" t="str">
        <f aca="false">IF(OR(L888="",L888=0,N888=""),"",N888/1000/L888)</f>
        <v/>
      </c>
      <c r="T888" s="27"/>
      <c r="U888" s="27"/>
      <c r="V888" s="27"/>
      <c r="W888" s="27"/>
      <c r="X888" s="27"/>
      <c r="Y888" s="27"/>
      <c r="Z888" s="27"/>
      <c r="AA888" s="25"/>
      <c r="AB888" s="27"/>
      <c r="AC888" s="30" t="str">
        <f aca="false">IF(M888="","",IF(AB888="",M888*Parámetros!$B$6,AB888))</f>
        <v/>
      </c>
      <c r="AD888" s="30" t="str">
        <f aca="false">IF(M888="","",SUM(T888:Z888)+AC888)</f>
        <v/>
      </c>
      <c r="AE888" s="30" t="str">
        <f aca="false">IF(OR(M888="",N888=""),"",M888-N888)</f>
        <v/>
      </c>
      <c r="AF888" s="30" t="str">
        <f aca="false">IF(AE888="","",AE888-AD888)</f>
        <v/>
      </c>
      <c r="AG888" s="28" t="str">
        <f aca="false">IF(OR(AF888="",M888=0),"",AF888/M888)</f>
        <v/>
      </c>
      <c r="AH888" s="32" t="str">
        <f aca="false">IF(OR(AE888="",N888=0),"",AE888/(N888/1000))</f>
        <v/>
      </c>
      <c r="AI888" s="30" t="str">
        <f aca="false">IF(O888="","",M888*P888)</f>
        <v/>
      </c>
      <c r="AJ888" s="11" t="str">
        <f aca="false">IF(O888="","",IF(O888&gt;1,"Error: rend &gt; 100 %",IF(SUM(T888:Z888)=0,"Falta registrar pérdidas",IF(ABS(AG888)&gt;Parámetros!$B$7,"Revisar balance",IF(O888&lt;P888,"Bajo meta","OK")))))</f>
        <v/>
      </c>
      <c r="AK888" s="33"/>
      <c r="AL888" s="10"/>
      <c r="AM888" s="33"/>
      <c r="AN888" s="33"/>
      <c r="AO888" s="10"/>
    </row>
    <row r="889" customFormat="false" ht="15" hidden="false" customHeight="false" outlineLevel="0" collapsed="false">
      <c r="A889" s="22"/>
      <c r="B889" s="23" t="str">
        <f aca="false">IF(A889="","",YEAR(A889-WEEKDAY(A889,2)+4))</f>
        <v/>
      </c>
      <c r="C889" s="23" t="str">
        <f aca="false">IF(A889="","",WEEKNUM(A889,21))</f>
        <v/>
      </c>
      <c r="D889" s="24" t="str">
        <f aca="false">IF(A889="","",DATE(YEAR(A889),MONTH(A889),1))</f>
        <v/>
      </c>
      <c r="E889" s="10"/>
      <c r="F889" s="25"/>
      <c r="G889" s="25"/>
      <c r="H889" s="10"/>
      <c r="I889" s="10"/>
      <c r="J889" s="26"/>
      <c r="K889" s="25"/>
      <c r="L889" s="26"/>
      <c r="M889" s="27"/>
      <c r="N889" s="27"/>
      <c r="O889" s="28" t="str">
        <f aca="false">IF(OR(M889="",M889=0,N889=""),"",N889/M889)</f>
        <v/>
      </c>
      <c r="P889" s="28" t="str">
        <f aca="false">IF(M889="","",IFERROR(IF(INDEX(Parámetros!$B$14:$B$21,MATCH(I889,Parámetros!$A$14:$A$21,0))="",Parámetros!$B$5,INDEX(Parámetros!$B$14:$B$21,MATCH(I889,Parámetros!$A$14:$A$21,0))),Parámetros!$B$5))</f>
        <v/>
      </c>
      <c r="Q889" s="29" t="str">
        <f aca="false">IF(O889="","",(O889-P889)*100)</f>
        <v/>
      </c>
      <c r="R889" s="30" t="str">
        <f aca="false">IF(O889="","",MAX(0,M889*(P889-O889)))</f>
        <v/>
      </c>
      <c r="S889" s="31" t="str">
        <f aca="false">IF(OR(L889="",L889=0,N889=""),"",N889/1000/L889)</f>
        <v/>
      </c>
      <c r="T889" s="27"/>
      <c r="U889" s="27"/>
      <c r="V889" s="27"/>
      <c r="W889" s="27"/>
      <c r="X889" s="27"/>
      <c r="Y889" s="27"/>
      <c r="Z889" s="27"/>
      <c r="AA889" s="25"/>
      <c r="AB889" s="27"/>
      <c r="AC889" s="30" t="str">
        <f aca="false">IF(M889="","",IF(AB889="",M889*Parámetros!$B$6,AB889))</f>
        <v/>
      </c>
      <c r="AD889" s="30" t="str">
        <f aca="false">IF(M889="","",SUM(T889:Z889)+AC889)</f>
        <v/>
      </c>
      <c r="AE889" s="30" t="str">
        <f aca="false">IF(OR(M889="",N889=""),"",M889-N889)</f>
        <v/>
      </c>
      <c r="AF889" s="30" t="str">
        <f aca="false">IF(AE889="","",AE889-AD889)</f>
        <v/>
      </c>
      <c r="AG889" s="28" t="str">
        <f aca="false">IF(OR(AF889="",M889=0),"",AF889/M889)</f>
        <v/>
      </c>
      <c r="AH889" s="32" t="str">
        <f aca="false">IF(OR(AE889="",N889=0),"",AE889/(N889/1000))</f>
        <v/>
      </c>
      <c r="AI889" s="30" t="str">
        <f aca="false">IF(O889="","",M889*P889)</f>
        <v/>
      </c>
      <c r="AJ889" s="11" t="str">
        <f aca="false">IF(O889="","",IF(O889&gt;1,"Error: rend &gt; 100 %",IF(SUM(T889:Z889)=0,"Falta registrar pérdidas",IF(ABS(AG889)&gt;Parámetros!$B$7,"Revisar balance",IF(O889&lt;P889,"Bajo meta","OK")))))</f>
        <v/>
      </c>
      <c r="AK889" s="33"/>
      <c r="AL889" s="10"/>
      <c r="AM889" s="33"/>
      <c r="AN889" s="33"/>
      <c r="AO889" s="10"/>
    </row>
    <row r="890" customFormat="false" ht="15" hidden="false" customHeight="false" outlineLevel="0" collapsed="false">
      <c r="A890" s="22"/>
      <c r="B890" s="23" t="str">
        <f aca="false">IF(A890="","",YEAR(A890-WEEKDAY(A890,2)+4))</f>
        <v/>
      </c>
      <c r="C890" s="23" t="str">
        <f aca="false">IF(A890="","",WEEKNUM(A890,21))</f>
        <v/>
      </c>
      <c r="D890" s="24" t="str">
        <f aca="false">IF(A890="","",DATE(YEAR(A890),MONTH(A890),1))</f>
        <v/>
      </c>
      <c r="E890" s="10"/>
      <c r="F890" s="25"/>
      <c r="G890" s="25"/>
      <c r="H890" s="10"/>
      <c r="I890" s="10"/>
      <c r="J890" s="26"/>
      <c r="K890" s="25"/>
      <c r="L890" s="26"/>
      <c r="M890" s="27"/>
      <c r="N890" s="27"/>
      <c r="O890" s="28" t="str">
        <f aca="false">IF(OR(M890="",M890=0,N890=""),"",N890/M890)</f>
        <v/>
      </c>
      <c r="P890" s="28" t="str">
        <f aca="false">IF(M890="","",IFERROR(IF(INDEX(Parámetros!$B$14:$B$21,MATCH(I890,Parámetros!$A$14:$A$21,0))="",Parámetros!$B$5,INDEX(Parámetros!$B$14:$B$21,MATCH(I890,Parámetros!$A$14:$A$21,0))),Parámetros!$B$5))</f>
        <v/>
      </c>
      <c r="Q890" s="29" t="str">
        <f aca="false">IF(O890="","",(O890-P890)*100)</f>
        <v/>
      </c>
      <c r="R890" s="30" t="str">
        <f aca="false">IF(O890="","",MAX(0,M890*(P890-O890)))</f>
        <v/>
      </c>
      <c r="S890" s="31" t="str">
        <f aca="false">IF(OR(L890="",L890=0,N890=""),"",N890/1000/L890)</f>
        <v/>
      </c>
      <c r="T890" s="27"/>
      <c r="U890" s="27"/>
      <c r="V890" s="27"/>
      <c r="W890" s="27"/>
      <c r="X890" s="27"/>
      <c r="Y890" s="27"/>
      <c r="Z890" s="27"/>
      <c r="AA890" s="25"/>
      <c r="AB890" s="27"/>
      <c r="AC890" s="30" t="str">
        <f aca="false">IF(M890="","",IF(AB890="",M890*Parámetros!$B$6,AB890))</f>
        <v/>
      </c>
      <c r="AD890" s="30" t="str">
        <f aca="false">IF(M890="","",SUM(T890:Z890)+AC890)</f>
        <v/>
      </c>
      <c r="AE890" s="30" t="str">
        <f aca="false">IF(OR(M890="",N890=""),"",M890-N890)</f>
        <v/>
      </c>
      <c r="AF890" s="30" t="str">
        <f aca="false">IF(AE890="","",AE890-AD890)</f>
        <v/>
      </c>
      <c r="AG890" s="28" t="str">
        <f aca="false">IF(OR(AF890="",M890=0),"",AF890/M890)</f>
        <v/>
      </c>
      <c r="AH890" s="32" t="str">
        <f aca="false">IF(OR(AE890="",N890=0),"",AE890/(N890/1000))</f>
        <v/>
      </c>
      <c r="AI890" s="30" t="str">
        <f aca="false">IF(O890="","",M890*P890)</f>
        <v/>
      </c>
      <c r="AJ890" s="11" t="str">
        <f aca="false">IF(O890="","",IF(O890&gt;1,"Error: rend &gt; 100 %",IF(SUM(T890:Z890)=0,"Falta registrar pérdidas",IF(ABS(AG890)&gt;Parámetros!$B$7,"Revisar balance",IF(O890&lt;P890,"Bajo meta","OK")))))</f>
        <v/>
      </c>
      <c r="AK890" s="33"/>
      <c r="AL890" s="10"/>
      <c r="AM890" s="33"/>
      <c r="AN890" s="33"/>
      <c r="AO890" s="10"/>
    </row>
    <row r="891" customFormat="false" ht="15" hidden="false" customHeight="false" outlineLevel="0" collapsed="false">
      <c r="A891" s="22"/>
      <c r="B891" s="23" t="str">
        <f aca="false">IF(A891="","",YEAR(A891-WEEKDAY(A891,2)+4))</f>
        <v/>
      </c>
      <c r="C891" s="23" t="str">
        <f aca="false">IF(A891="","",WEEKNUM(A891,21))</f>
        <v/>
      </c>
      <c r="D891" s="24" t="str">
        <f aca="false">IF(A891="","",DATE(YEAR(A891),MONTH(A891),1))</f>
        <v/>
      </c>
      <c r="E891" s="10"/>
      <c r="F891" s="25"/>
      <c r="G891" s="25"/>
      <c r="H891" s="10"/>
      <c r="I891" s="10"/>
      <c r="J891" s="26"/>
      <c r="K891" s="25"/>
      <c r="L891" s="26"/>
      <c r="M891" s="27"/>
      <c r="N891" s="27"/>
      <c r="O891" s="28" t="str">
        <f aca="false">IF(OR(M891="",M891=0,N891=""),"",N891/M891)</f>
        <v/>
      </c>
      <c r="P891" s="28" t="str">
        <f aca="false">IF(M891="","",IFERROR(IF(INDEX(Parámetros!$B$14:$B$21,MATCH(I891,Parámetros!$A$14:$A$21,0))="",Parámetros!$B$5,INDEX(Parámetros!$B$14:$B$21,MATCH(I891,Parámetros!$A$14:$A$21,0))),Parámetros!$B$5))</f>
        <v/>
      </c>
      <c r="Q891" s="29" t="str">
        <f aca="false">IF(O891="","",(O891-P891)*100)</f>
        <v/>
      </c>
      <c r="R891" s="30" t="str">
        <f aca="false">IF(O891="","",MAX(0,M891*(P891-O891)))</f>
        <v/>
      </c>
      <c r="S891" s="31" t="str">
        <f aca="false">IF(OR(L891="",L891=0,N891=""),"",N891/1000/L891)</f>
        <v/>
      </c>
      <c r="T891" s="27"/>
      <c r="U891" s="27"/>
      <c r="V891" s="27"/>
      <c r="W891" s="27"/>
      <c r="X891" s="27"/>
      <c r="Y891" s="27"/>
      <c r="Z891" s="27"/>
      <c r="AA891" s="25"/>
      <c r="AB891" s="27"/>
      <c r="AC891" s="30" t="str">
        <f aca="false">IF(M891="","",IF(AB891="",M891*Parámetros!$B$6,AB891))</f>
        <v/>
      </c>
      <c r="AD891" s="30" t="str">
        <f aca="false">IF(M891="","",SUM(T891:Z891)+AC891)</f>
        <v/>
      </c>
      <c r="AE891" s="30" t="str">
        <f aca="false">IF(OR(M891="",N891=""),"",M891-N891)</f>
        <v/>
      </c>
      <c r="AF891" s="30" t="str">
        <f aca="false">IF(AE891="","",AE891-AD891)</f>
        <v/>
      </c>
      <c r="AG891" s="28" t="str">
        <f aca="false">IF(OR(AF891="",M891=0),"",AF891/M891)</f>
        <v/>
      </c>
      <c r="AH891" s="32" t="str">
        <f aca="false">IF(OR(AE891="",N891=0),"",AE891/(N891/1000))</f>
        <v/>
      </c>
      <c r="AI891" s="30" t="str">
        <f aca="false">IF(O891="","",M891*P891)</f>
        <v/>
      </c>
      <c r="AJ891" s="11" t="str">
        <f aca="false">IF(O891="","",IF(O891&gt;1,"Error: rend &gt; 100 %",IF(SUM(T891:Z891)=0,"Falta registrar pérdidas",IF(ABS(AG891)&gt;Parámetros!$B$7,"Revisar balance",IF(O891&lt;P891,"Bajo meta","OK")))))</f>
        <v/>
      </c>
      <c r="AK891" s="33"/>
      <c r="AL891" s="10"/>
      <c r="AM891" s="33"/>
      <c r="AN891" s="33"/>
      <c r="AO891" s="10"/>
    </row>
    <row r="892" customFormat="false" ht="15" hidden="false" customHeight="false" outlineLevel="0" collapsed="false">
      <c r="A892" s="22"/>
      <c r="B892" s="23" t="str">
        <f aca="false">IF(A892="","",YEAR(A892-WEEKDAY(A892,2)+4))</f>
        <v/>
      </c>
      <c r="C892" s="23" t="str">
        <f aca="false">IF(A892="","",WEEKNUM(A892,21))</f>
        <v/>
      </c>
      <c r="D892" s="24" t="str">
        <f aca="false">IF(A892="","",DATE(YEAR(A892),MONTH(A892),1))</f>
        <v/>
      </c>
      <c r="E892" s="10"/>
      <c r="F892" s="25"/>
      <c r="G892" s="25"/>
      <c r="H892" s="10"/>
      <c r="I892" s="10"/>
      <c r="J892" s="26"/>
      <c r="K892" s="25"/>
      <c r="L892" s="26"/>
      <c r="M892" s="27"/>
      <c r="N892" s="27"/>
      <c r="O892" s="28" t="str">
        <f aca="false">IF(OR(M892="",M892=0,N892=""),"",N892/M892)</f>
        <v/>
      </c>
      <c r="P892" s="28" t="str">
        <f aca="false">IF(M892="","",IFERROR(IF(INDEX(Parámetros!$B$14:$B$21,MATCH(I892,Parámetros!$A$14:$A$21,0))="",Parámetros!$B$5,INDEX(Parámetros!$B$14:$B$21,MATCH(I892,Parámetros!$A$14:$A$21,0))),Parámetros!$B$5))</f>
        <v/>
      </c>
      <c r="Q892" s="29" t="str">
        <f aca="false">IF(O892="","",(O892-P892)*100)</f>
        <v/>
      </c>
      <c r="R892" s="30" t="str">
        <f aca="false">IF(O892="","",MAX(0,M892*(P892-O892)))</f>
        <v/>
      </c>
      <c r="S892" s="31" t="str">
        <f aca="false">IF(OR(L892="",L892=0,N892=""),"",N892/1000/L892)</f>
        <v/>
      </c>
      <c r="T892" s="27"/>
      <c r="U892" s="27"/>
      <c r="V892" s="27"/>
      <c r="W892" s="27"/>
      <c r="X892" s="27"/>
      <c r="Y892" s="27"/>
      <c r="Z892" s="27"/>
      <c r="AA892" s="25"/>
      <c r="AB892" s="27"/>
      <c r="AC892" s="30" t="str">
        <f aca="false">IF(M892="","",IF(AB892="",M892*Parámetros!$B$6,AB892))</f>
        <v/>
      </c>
      <c r="AD892" s="30" t="str">
        <f aca="false">IF(M892="","",SUM(T892:Z892)+AC892)</f>
        <v/>
      </c>
      <c r="AE892" s="30" t="str">
        <f aca="false">IF(OR(M892="",N892=""),"",M892-N892)</f>
        <v/>
      </c>
      <c r="AF892" s="30" t="str">
        <f aca="false">IF(AE892="","",AE892-AD892)</f>
        <v/>
      </c>
      <c r="AG892" s="28" t="str">
        <f aca="false">IF(OR(AF892="",M892=0),"",AF892/M892)</f>
        <v/>
      </c>
      <c r="AH892" s="32" t="str">
        <f aca="false">IF(OR(AE892="",N892=0),"",AE892/(N892/1000))</f>
        <v/>
      </c>
      <c r="AI892" s="30" t="str">
        <f aca="false">IF(O892="","",M892*P892)</f>
        <v/>
      </c>
      <c r="AJ892" s="11" t="str">
        <f aca="false">IF(O892="","",IF(O892&gt;1,"Error: rend &gt; 100 %",IF(SUM(T892:Z892)=0,"Falta registrar pérdidas",IF(ABS(AG892)&gt;Parámetros!$B$7,"Revisar balance",IF(O892&lt;P892,"Bajo meta","OK")))))</f>
        <v/>
      </c>
      <c r="AK892" s="33"/>
      <c r="AL892" s="10"/>
      <c r="AM892" s="33"/>
      <c r="AN892" s="33"/>
      <c r="AO892" s="10"/>
    </row>
    <row r="893" customFormat="false" ht="15" hidden="false" customHeight="false" outlineLevel="0" collapsed="false">
      <c r="A893" s="22"/>
      <c r="B893" s="23" t="str">
        <f aca="false">IF(A893="","",YEAR(A893-WEEKDAY(A893,2)+4))</f>
        <v/>
      </c>
      <c r="C893" s="23" t="str">
        <f aca="false">IF(A893="","",WEEKNUM(A893,21))</f>
        <v/>
      </c>
      <c r="D893" s="24" t="str">
        <f aca="false">IF(A893="","",DATE(YEAR(A893),MONTH(A893),1))</f>
        <v/>
      </c>
      <c r="E893" s="10"/>
      <c r="F893" s="25"/>
      <c r="G893" s="25"/>
      <c r="H893" s="10"/>
      <c r="I893" s="10"/>
      <c r="J893" s="26"/>
      <c r="K893" s="25"/>
      <c r="L893" s="26"/>
      <c r="M893" s="27"/>
      <c r="N893" s="27"/>
      <c r="O893" s="28" t="str">
        <f aca="false">IF(OR(M893="",M893=0,N893=""),"",N893/M893)</f>
        <v/>
      </c>
      <c r="P893" s="28" t="str">
        <f aca="false">IF(M893="","",IFERROR(IF(INDEX(Parámetros!$B$14:$B$21,MATCH(I893,Parámetros!$A$14:$A$21,0))="",Parámetros!$B$5,INDEX(Parámetros!$B$14:$B$21,MATCH(I893,Parámetros!$A$14:$A$21,0))),Parámetros!$B$5))</f>
        <v/>
      </c>
      <c r="Q893" s="29" t="str">
        <f aca="false">IF(O893="","",(O893-P893)*100)</f>
        <v/>
      </c>
      <c r="R893" s="30" t="str">
        <f aca="false">IF(O893="","",MAX(0,M893*(P893-O893)))</f>
        <v/>
      </c>
      <c r="S893" s="31" t="str">
        <f aca="false">IF(OR(L893="",L893=0,N893=""),"",N893/1000/L893)</f>
        <v/>
      </c>
      <c r="T893" s="27"/>
      <c r="U893" s="27"/>
      <c r="V893" s="27"/>
      <c r="W893" s="27"/>
      <c r="X893" s="27"/>
      <c r="Y893" s="27"/>
      <c r="Z893" s="27"/>
      <c r="AA893" s="25"/>
      <c r="AB893" s="27"/>
      <c r="AC893" s="30" t="str">
        <f aca="false">IF(M893="","",IF(AB893="",M893*Parámetros!$B$6,AB893))</f>
        <v/>
      </c>
      <c r="AD893" s="30" t="str">
        <f aca="false">IF(M893="","",SUM(T893:Z893)+AC893)</f>
        <v/>
      </c>
      <c r="AE893" s="30" t="str">
        <f aca="false">IF(OR(M893="",N893=""),"",M893-N893)</f>
        <v/>
      </c>
      <c r="AF893" s="30" t="str">
        <f aca="false">IF(AE893="","",AE893-AD893)</f>
        <v/>
      </c>
      <c r="AG893" s="28" t="str">
        <f aca="false">IF(OR(AF893="",M893=0),"",AF893/M893)</f>
        <v/>
      </c>
      <c r="AH893" s="32" t="str">
        <f aca="false">IF(OR(AE893="",N893=0),"",AE893/(N893/1000))</f>
        <v/>
      </c>
      <c r="AI893" s="30" t="str">
        <f aca="false">IF(O893="","",M893*P893)</f>
        <v/>
      </c>
      <c r="AJ893" s="11" t="str">
        <f aca="false">IF(O893="","",IF(O893&gt;1,"Error: rend &gt; 100 %",IF(SUM(T893:Z893)=0,"Falta registrar pérdidas",IF(ABS(AG893)&gt;Parámetros!$B$7,"Revisar balance",IF(O893&lt;P893,"Bajo meta","OK")))))</f>
        <v/>
      </c>
      <c r="AK893" s="33"/>
      <c r="AL893" s="10"/>
      <c r="AM893" s="33"/>
      <c r="AN893" s="33"/>
      <c r="AO893" s="10"/>
    </row>
    <row r="894" customFormat="false" ht="15" hidden="false" customHeight="false" outlineLevel="0" collapsed="false">
      <c r="A894" s="22"/>
      <c r="B894" s="23" t="str">
        <f aca="false">IF(A894="","",YEAR(A894-WEEKDAY(A894,2)+4))</f>
        <v/>
      </c>
      <c r="C894" s="23" t="str">
        <f aca="false">IF(A894="","",WEEKNUM(A894,21))</f>
        <v/>
      </c>
      <c r="D894" s="24" t="str">
        <f aca="false">IF(A894="","",DATE(YEAR(A894),MONTH(A894),1))</f>
        <v/>
      </c>
      <c r="E894" s="10"/>
      <c r="F894" s="25"/>
      <c r="G894" s="25"/>
      <c r="H894" s="10"/>
      <c r="I894" s="10"/>
      <c r="J894" s="26"/>
      <c r="K894" s="25"/>
      <c r="L894" s="26"/>
      <c r="M894" s="27"/>
      <c r="N894" s="27"/>
      <c r="O894" s="28" t="str">
        <f aca="false">IF(OR(M894="",M894=0,N894=""),"",N894/M894)</f>
        <v/>
      </c>
      <c r="P894" s="28" t="str">
        <f aca="false">IF(M894="","",IFERROR(IF(INDEX(Parámetros!$B$14:$B$21,MATCH(I894,Parámetros!$A$14:$A$21,0))="",Parámetros!$B$5,INDEX(Parámetros!$B$14:$B$21,MATCH(I894,Parámetros!$A$14:$A$21,0))),Parámetros!$B$5))</f>
        <v/>
      </c>
      <c r="Q894" s="29" t="str">
        <f aca="false">IF(O894="","",(O894-P894)*100)</f>
        <v/>
      </c>
      <c r="R894" s="30" t="str">
        <f aca="false">IF(O894="","",MAX(0,M894*(P894-O894)))</f>
        <v/>
      </c>
      <c r="S894" s="31" t="str">
        <f aca="false">IF(OR(L894="",L894=0,N894=""),"",N894/1000/L894)</f>
        <v/>
      </c>
      <c r="T894" s="27"/>
      <c r="U894" s="27"/>
      <c r="V894" s="27"/>
      <c r="W894" s="27"/>
      <c r="X894" s="27"/>
      <c r="Y894" s="27"/>
      <c r="Z894" s="27"/>
      <c r="AA894" s="25"/>
      <c r="AB894" s="27"/>
      <c r="AC894" s="30" t="str">
        <f aca="false">IF(M894="","",IF(AB894="",M894*Parámetros!$B$6,AB894))</f>
        <v/>
      </c>
      <c r="AD894" s="30" t="str">
        <f aca="false">IF(M894="","",SUM(T894:Z894)+AC894)</f>
        <v/>
      </c>
      <c r="AE894" s="30" t="str">
        <f aca="false">IF(OR(M894="",N894=""),"",M894-N894)</f>
        <v/>
      </c>
      <c r="AF894" s="30" t="str">
        <f aca="false">IF(AE894="","",AE894-AD894)</f>
        <v/>
      </c>
      <c r="AG894" s="28" t="str">
        <f aca="false">IF(OR(AF894="",M894=0),"",AF894/M894)</f>
        <v/>
      </c>
      <c r="AH894" s="32" t="str">
        <f aca="false">IF(OR(AE894="",N894=0),"",AE894/(N894/1000))</f>
        <v/>
      </c>
      <c r="AI894" s="30" t="str">
        <f aca="false">IF(O894="","",M894*P894)</f>
        <v/>
      </c>
      <c r="AJ894" s="11" t="str">
        <f aca="false">IF(O894="","",IF(O894&gt;1,"Error: rend &gt; 100 %",IF(SUM(T894:Z894)=0,"Falta registrar pérdidas",IF(ABS(AG894)&gt;Parámetros!$B$7,"Revisar balance",IF(O894&lt;P894,"Bajo meta","OK")))))</f>
        <v/>
      </c>
      <c r="AK894" s="33"/>
      <c r="AL894" s="10"/>
      <c r="AM894" s="33"/>
      <c r="AN894" s="33"/>
      <c r="AO894" s="10"/>
    </row>
    <row r="895" customFormat="false" ht="15" hidden="false" customHeight="false" outlineLevel="0" collapsed="false">
      <c r="A895" s="22"/>
      <c r="B895" s="23" t="str">
        <f aca="false">IF(A895="","",YEAR(A895-WEEKDAY(A895,2)+4))</f>
        <v/>
      </c>
      <c r="C895" s="23" t="str">
        <f aca="false">IF(A895="","",WEEKNUM(A895,21))</f>
        <v/>
      </c>
      <c r="D895" s="24" t="str">
        <f aca="false">IF(A895="","",DATE(YEAR(A895),MONTH(A895),1))</f>
        <v/>
      </c>
      <c r="E895" s="10"/>
      <c r="F895" s="25"/>
      <c r="G895" s="25"/>
      <c r="H895" s="10"/>
      <c r="I895" s="10"/>
      <c r="J895" s="26"/>
      <c r="K895" s="25"/>
      <c r="L895" s="26"/>
      <c r="M895" s="27"/>
      <c r="N895" s="27"/>
      <c r="O895" s="28" t="str">
        <f aca="false">IF(OR(M895="",M895=0,N895=""),"",N895/M895)</f>
        <v/>
      </c>
      <c r="P895" s="28" t="str">
        <f aca="false">IF(M895="","",IFERROR(IF(INDEX(Parámetros!$B$14:$B$21,MATCH(I895,Parámetros!$A$14:$A$21,0))="",Parámetros!$B$5,INDEX(Parámetros!$B$14:$B$21,MATCH(I895,Parámetros!$A$14:$A$21,0))),Parámetros!$B$5))</f>
        <v/>
      </c>
      <c r="Q895" s="29" t="str">
        <f aca="false">IF(O895="","",(O895-P895)*100)</f>
        <v/>
      </c>
      <c r="R895" s="30" t="str">
        <f aca="false">IF(O895="","",MAX(0,M895*(P895-O895)))</f>
        <v/>
      </c>
      <c r="S895" s="31" t="str">
        <f aca="false">IF(OR(L895="",L895=0,N895=""),"",N895/1000/L895)</f>
        <v/>
      </c>
      <c r="T895" s="27"/>
      <c r="U895" s="27"/>
      <c r="V895" s="27"/>
      <c r="W895" s="27"/>
      <c r="X895" s="27"/>
      <c r="Y895" s="27"/>
      <c r="Z895" s="27"/>
      <c r="AA895" s="25"/>
      <c r="AB895" s="27"/>
      <c r="AC895" s="30" t="str">
        <f aca="false">IF(M895="","",IF(AB895="",M895*Parámetros!$B$6,AB895))</f>
        <v/>
      </c>
      <c r="AD895" s="30" t="str">
        <f aca="false">IF(M895="","",SUM(T895:Z895)+AC895)</f>
        <v/>
      </c>
      <c r="AE895" s="30" t="str">
        <f aca="false">IF(OR(M895="",N895=""),"",M895-N895)</f>
        <v/>
      </c>
      <c r="AF895" s="30" t="str">
        <f aca="false">IF(AE895="","",AE895-AD895)</f>
        <v/>
      </c>
      <c r="AG895" s="28" t="str">
        <f aca="false">IF(OR(AF895="",M895=0),"",AF895/M895)</f>
        <v/>
      </c>
      <c r="AH895" s="32" t="str">
        <f aca="false">IF(OR(AE895="",N895=0),"",AE895/(N895/1000))</f>
        <v/>
      </c>
      <c r="AI895" s="30" t="str">
        <f aca="false">IF(O895="","",M895*P895)</f>
        <v/>
      </c>
      <c r="AJ895" s="11" t="str">
        <f aca="false">IF(O895="","",IF(O895&gt;1,"Error: rend &gt; 100 %",IF(SUM(T895:Z895)=0,"Falta registrar pérdidas",IF(ABS(AG895)&gt;Parámetros!$B$7,"Revisar balance",IF(O895&lt;P895,"Bajo meta","OK")))))</f>
        <v/>
      </c>
      <c r="AK895" s="33"/>
      <c r="AL895" s="10"/>
      <c r="AM895" s="33"/>
      <c r="AN895" s="33"/>
      <c r="AO895" s="10"/>
    </row>
    <row r="896" customFormat="false" ht="15" hidden="false" customHeight="false" outlineLevel="0" collapsed="false">
      <c r="A896" s="22"/>
      <c r="B896" s="23" t="str">
        <f aca="false">IF(A896="","",YEAR(A896-WEEKDAY(A896,2)+4))</f>
        <v/>
      </c>
      <c r="C896" s="23" t="str">
        <f aca="false">IF(A896="","",WEEKNUM(A896,21))</f>
        <v/>
      </c>
      <c r="D896" s="24" t="str">
        <f aca="false">IF(A896="","",DATE(YEAR(A896),MONTH(A896),1))</f>
        <v/>
      </c>
      <c r="E896" s="10"/>
      <c r="F896" s="25"/>
      <c r="G896" s="25"/>
      <c r="H896" s="10"/>
      <c r="I896" s="10"/>
      <c r="J896" s="26"/>
      <c r="K896" s="25"/>
      <c r="L896" s="26"/>
      <c r="M896" s="27"/>
      <c r="N896" s="27"/>
      <c r="O896" s="28" t="str">
        <f aca="false">IF(OR(M896="",M896=0,N896=""),"",N896/M896)</f>
        <v/>
      </c>
      <c r="P896" s="28" t="str">
        <f aca="false">IF(M896="","",IFERROR(IF(INDEX(Parámetros!$B$14:$B$21,MATCH(I896,Parámetros!$A$14:$A$21,0))="",Parámetros!$B$5,INDEX(Parámetros!$B$14:$B$21,MATCH(I896,Parámetros!$A$14:$A$21,0))),Parámetros!$B$5))</f>
        <v/>
      </c>
      <c r="Q896" s="29" t="str">
        <f aca="false">IF(O896="","",(O896-P896)*100)</f>
        <v/>
      </c>
      <c r="R896" s="30" t="str">
        <f aca="false">IF(O896="","",MAX(0,M896*(P896-O896)))</f>
        <v/>
      </c>
      <c r="S896" s="31" t="str">
        <f aca="false">IF(OR(L896="",L896=0,N896=""),"",N896/1000/L896)</f>
        <v/>
      </c>
      <c r="T896" s="27"/>
      <c r="U896" s="27"/>
      <c r="V896" s="27"/>
      <c r="W896" s="27"/>
      <c r="X896" s="27"/>
      <c r="Y896" s="27"/>
      <c r="Z896" s="27"/>
      <c r="AA896" s="25"/>
      <c r="AB896" s="27"/>
      <c r="AC896" s="30" t="str">
        <f aca="false">IF(M896="","",IF(AB896="",M896*Parámetros!$B$6,AB896))</f>
        <v/>
      </c>
      <c r="AD896" s="30" t="str">
        <f aca="false">IF(M896="","",SUM(T896:Z896)+AC896)</f>
        <v/>
      </c>
      <c r="AE896" s="30" t="str">
        <f aca="false">IF(OR(M896="",N896=""),"",M896-N896)</f>
        <v/>
      </c>
      <c r="AF896" s="30" t="str">
        <f aca="false">IF(AE896="","",AE896-AD896)</f>
        <v/>
      </c>
      <c r="AG896" s="28" t="str">
        <f aca="false">IF(OR(AF896="",M896=0),"",AF896/M896)</f>
        <v/>
      </c>
      <c r="AH896" s="32" t="str">
        <f aca="false">IF(OR(AE896="",N896=0),"",AE896/(N896/1000))</f>
        <v/>
      </c>
      <c r="AI896" s="30" t="str">
        <f aca="false">IF(O896="","",M896*P896)</f>
        <v/>
      </c>
      <c r="AJ896" s="11" t="str">
        <f aca="false">IF(O896="","",IF(O896&gt;1,"Error: rend &gt; 100 %",IF(SUM(T896:Z896)=0,"Falta registrar pérdidas",IF(ABS(AG896)&gt;Parámetros!$B$7,"Revisar balance",IF(O896&lt;P896,"Bajo meta","OK")))))</f>
        <v/>
      </c>
      <c r="AK896" s="33"/>
      <c r="AL896" s="10"/>
      <c r="AM896" s="33"/>
      <c r="AN896" s="33"/>
      <c r="AO896" s="10"/>
    </row>
    <row r="897" customFormat="false" ht="15" hidden="false" customHeight="false" outlineLevel="0" collapsed="false">
      <c r="A897" s="22"/>
      <c r="B897" s="23" t="str">
        <f aca="false">IF(A897="","",YEAR(A897-WEEKDAY(A897,2)+4))</f>
        <v/>
      </c>
      <c r="C897" s="23" t="str">
        <f aca="false">IF(A897="","",WEEKNUM(A897,21))</f>
        <v/>
      </c>
      <c r="D897" s="24" t="str">
        <f aca="false">IF(A897="","",DATE(YEAR(A897),MONTH(A897),1))</f>
        <v/>
      </c>
      <c r="E897" s="10"/>
      <c r="F897" s="25"/>
      <c r="G897" s="25"/>
      <c r="H897" s="10"/>
      <c r="I897" s="10"/>
      <c r="J897" s="26"/>
      <c r="K897" s="25"/>
      <c r="L897" s="26"/>
      <c r="M897" s="27"/>
      <c r="N897" s="27"/>
      <c r="O897" s="28" t="str">
        <f aca="false">IF(OR(M897="",M897=0,N897=""),"",N897/M897)</f>
        <v/>
      </c>
      <c r="P897" s="28" t="str">
        <f aca="false">IF(M897="","",IFERROR(IF(INDEX(Parámetros!$B$14:$B$21,MATCH(I897,Parámetros!$A$14:$A$21,0))="",Parámetros!$B$5,INDEX(Parámetros!$B$14:$B$21,MATCH(I897,Parámetros!$A$14:$A$21,0))),Parámetros!$B$5))</f>
        <v/>
      </c>
      <c r="Q897" s="29" t="str">
        <f aca="false">IF(O897="","",(O897-P897)*100)</f>
        <v/>
      </c>
      <c r="R897" s="30" t="str">
        <f aca="false">IF(O897="","",MAX(0,M897*(P897-O897)))</f>
        <v/>
      </c>
      <c r="S897" s="31" t="str">
        <f aca="false">IF(OR(L897="",L897=0,N897=""),"",N897/1000/L897)</f>
        <v/>
      </c>
      <c r="T897" s="27"/>
      <c r="U897" s="27"/>
      <c r="V897" s="27"/>
      <c r="W897" s="27"/>
      <c r="X897" s="27"/>
      <c r="Y897" s="27"/>
      <c r="Z897" s="27"/>
      <c r="AA897" s="25"/>
      <c r="AB897" s="27"/>
      <c r="AC897" s="30" t="str">
        <f aca="false">IF(M897="","",IF(AB897="",M897*Parámetros!$B$6,AB897))</f>
        <v/>
      </c>
      <c r="AD897" s="30" t="str">
        <f aca="false">IF(M897="","",SUM(T897:Z897)+AC897)</f>
        <v/>
      </c>
      <c r="AE897" s="30" t="str">
        <f aca="false">IF(OR(M897="",N897=""),"",M897-N897)</f>
        <v/>
      </c>
      <c r="AF897" s="30" t="str">
        <f aca="false">IF(AE897="","",AE897-AD897)</f>
        <v/>
      </c>
      <c r="AG897" s="28" t="str">
        <f aca="false">IF(OR(AF897="",M897=0),"",AF897/M897)</f>
        <v/>
      </c>
      <c r="AH897" s="32" t="str">
        <f aca="false">IF(OR(AE897="",N897=0),"",AE897/(N897/1000))</f>
        <v/>
      </c>
      <c r="AI897" s="30" t="str">
        <f aca="false">IF(O897="","",M897*P897)</f>
        <v/>
      </c>
      <c r="AJ897" s="11" t="str">
        <f aca="false">IF(O897="","",IF(O897&gt;1,"Error: rend &gt; 100 %",IF(SUM(T897:Z897)=0,"Falta registrar pérdidas",IF(ABS(AG897)&gt;Parámetros!$B$7,"Revisar balance",IF(O897&lt;P897,"Bajo meta","OK")))))</f>
        <v/>
      </c>
      <c r="AK897" s="33"/>
      <c r="AL897" s="10"/>
      <c r="AM897" s="33"/>
      <c r="AN897" s="33"/>
      <c r="AO897" s="10"/>
    </row>
    <row r="898" customFormat="false" ht="15" hidden="false" customHeight="false" outlineLevel="0" collapsed="false">
      <c r="A898" s="22"/>
      <c r="B898" s="23" t="str">
        <f aca="false">IF(A898="","",YEAR(A898-WEEKDAY(A898,2)+4))</f>
        <v/>
      </c>
      <c r="C898" s="23" t="str">
        <f aca="false">IF(A898="","",WEEKNUM(A898,21))</f>
        <v/>
      </c>
      <c r="D898" s="24" t="str">
        <f aca="false">IF(A898="","",DATE(YEAR(A898),MONTH(A898),1))</f>
        <v/>
      </c>
      <c r="E898" s="10"/>
      <c r="F898" s="25"/>
      <c r="G898" s="25"/>
      <c r="H898" s="10"/>
      <c r="I898" s="10"/>
      <c r="J898" s="26"/>
      <c r="K898" s="25"/>
      <c r="L898" s="26"/>
      <c r="M898" s="27"/>
      <c r="N898" s="27"/>
      <c r="O898" s="28" t="str">
        <f aca="false">IF(OR(M898="",M898=0,N898=""),"",N898/M898)</f>
        <v/>
      </c>
      <c r="P898" s="28" t="str">
        <f aca="false">IF(M898="","",IFERROR(IF(INDEX(Parámetros!$B$14:$B$21,MATCH(I898,Parámetros!$A$14:$A$21,0))="",Parámetros!$B$5,INDEX(Parámetros!$B$14:$B$21,MATCH(I898,Parámetros!$A$14:$A$21,0))),Parámetros!$B$5))</f>
        <v/>
      </c>
      <c r="Q898" s="29" t="str">
        <f aca="false">IF(O898="","",(O898-P898)*100)</f>
        <v/>
      </c>
      <c r="R898" s="30" t="str">
        <f aca="false">IF(O898="","",MAX(0,M898*(P898-O898)))</f>
        <v/>
      </c>
      <c r="S898" s="31" t="str">
        <f aca="false">IF(OR(L898="",L898=0,N898=""),"",N898/1000/L898)</f>
        <v/>
      </c>
      <c r="T898" s="27"/>
      <c r="U898" s="27"/>
      <c r="V898" s="27"/>
      <c r="W898" s="27"/>
      <c r="X898" s="27"/>
      <c r="Y898" s="27"/>
      <c r="Z898" s="27"/>
      <c r="AA898" s="25"/>
      <c r="AB898" s="27"/>
      <c r="AC898" s="30" t="str">
        <f aca="false">IF(M898="","",IF(AB898="",M898*Parámetros!$B$6,AB898))</f>
        <v/>
      </c>
      <c r="AD898" s="30" t="str">
        <f aca="false">IF(M898="","",SUM(T898:Z898)+AC898)</f>
        <v/>
      </c>
      <c r="AE898" s="30" t="str">
        <f aca="false">IF(OR(M898="",N898=""),"",M898-N898)</f>
        <v/>
      </c>
      <c r="AF898" s="30" t="str">
        <f aca="false">IF(AE898="","",AE898-AD898)</f>
        <v/>
      </c>
      <c r="AG898" s="28" t="str">
        <f aca="false">IF(OR(AF898="",M898=0),"",AF898/M898)</f>
        <v/>
      </c>
      <c r="AH898" s="32" t="str">
        <f aca="false">IF(OR(AE898="",N898=0),"",AE898/(N898/1000))</f>
        <v/>
      </c>
      <c r="AI898" s="30" t="str">
        <f aca="false">IF(O898="","",M898*P898)</f>
        <v/>
      </c>
      <c r="AJ898" s="11" t="str">
        <f aca="false">IF(O898="","",IF(O898&gt;1,"Error: rend &gt; 100 %",IF(SUM(T898:Z898)=0,"Falta registrar pérdidas",IF(ABS(AG898)&gt;Parámetros!$B$7,"Revisar balance",IF(O898&lt;P898,"Bajo meta","OK")))))</f>
        <v/>
      </c>
      <c r="AK898" s="33"/>
      <c r="AL898" s="10"/>
      <c r="AM898" s="33"/>
      <c r="AN898" s="33"/>
      <c r="AO898" s="10"/>
    </row>
    <row r="899" customFormat="false" ht="15" hidden="false" customHeight="false" outlineLevel="0" collapsed="false">
      <c r="A899" s="22"/>
      <c r="B899" s="23" t="str">
        <f aca="false">IF(A899="","",YEAR(A899-WEEKDAY(A899,2)+4))</f>
        <v/>
      </c>
      <c r="C899" s="23" t="str">
        <f aca="false">IF(A899="","",WEEKNUM(A899,21))</f>
        <v/>
      </c>
      <c r="D899" s="24" t="str">
        <f aca="false">IF(A899="","",DATE(YEAR(A899),MONTH(A899),1))</f>
        <v/>
      </c>
      <c r="E899" s="10"/>
      <c r="F899" s="25"/>
      <c r="G899" s="25"/>
      <c r="H899" s="10"/>
      <c r="I899" s="10"/>
      <c r="J899" s="26"/>
      <c r="K899" s="25"/>
      <c r="L899" s="26"/>
      <c r="M899" s="27"/>
      <c r="N899" s="27"/>
      <c r="O899" s="28" t="str">
        <f aca="false">IF(OR(M899="",M899=0,N899=""),"",N899/M899)</f>
        <v/>
      </c>
      <c r="P899" s="28" t="str">
        <f aca="false">IF(M899="","",IFERROR(IF(INDEX(Parámetros!$B$14:$B$21,MATCH(I899,Parámetros!$A$14:$A$21,0))="",Parámetros!$B$5,INDEX(Parámetros!$B$14:$B$21,MATCH(I899,Parámetros!$A$14:$A$21,0))),Parámetros!$B$5))</f>
        <v/>
      </c>
      <c r="Q899" s="29" t="str">
        <f aca="false">IF(O899="","",(O899-P899)*100)</f>
        <v/>
      </c>
      <c r="R899" s="30" t="str">
        <f aca="false">IF(O899="","",MAX(0,M899*(P899-O899)))</f>
        <v/>
      </c>
      <c r="S899" s="31" t="str">
        <f aca="false">IF(OR(L899="",L899=0,N899=""),"",N899/1000/L899)</f>
        <v/>
      </c>
      <c r="T899" s="27"/>
      <c r="U899" s="27"/>
      <c r="V899" s="27"/>
      <c r="W899" s="27"/>
      <c r="X899" s="27"/>
      <c r="Y899" s="27"/>
      <c r="Z899" s="27"/>
      <c r="AA899" s="25"/>
      <c r="AB899" s="27"/>
      <c r="AC899" s="30" t="str">
        <f aca="false">IF(M899="","",IF(AB899="",M899*Parámetros!$B$6,AB899))</f>
        <v/>
      </c>
      <c r="AD899" s="30" t="str">
        <f aca="false">IF(M899="","",SUM(T899:Z899)+AC899)</f>
        <v/>
      </c>
      <c r="AE899" s="30" t="str">
        <f aca="false">IF(OR(M899="",N899=""),"",M899-N899)</f>
        <v/>
      </c>
      <c r="AF899" s="30" t="str">
        <f aca="false">IF(AE899="","",AE899-AD899)</f>
        <v/>
      </c>
      <c r="AG899" s="28" t="str">
        <f aca="false">IF(OR(AF899="",M899=0),"",AF899/M899)</f>
        <v/>
      </c>
      <c r="AH899" s="32" t="str">
        <f aca="false">IF(OR(AE899="",N899=0),"",AE899/(N899/1000))</f>
        <v/>
      </c>
      <c r="AI899" s="30" t="str">
        <f aca="false">IF(O899="","",M899*P899)</f>
        <v/>
      </c>
      <c r="AJ899" s="11" t="str">
        <f aca="false">IF(O899="","",IF(O899&gt;1,"Error: rend &gt; 100 %",IF(SUM(T899:Z899)=0,"Falta registrar pérdidas",IF(ABS(AG899)&gt;Parámetros!$B$7,"Revisar balance",IF(O899&lt;P899,"Bajo meta","OK")))))</f>
        <v/>
      </c>
      <c r="AK899" s="33"/>
      <c r="AL899" s="10"/>
      <c r="AM899" s="33"/>
      <c r="AN899" s="33"/>
      <c r="AO899" s="10"/>
    </row>
    <row r="900" customFormat="false" ht="15" hidden="false" customHeight="false" outlineLevel="0" collapsed="false">
      <c r="A900" s="22"/>
      <c r="B900" s="23" t="str">
        <f aca="false">IF(A900="","",YEAR(A900-WEEKDAY(A900,2)+4))</f>
        <v/>
      </c>
      <c r="C900" s="23" t="str">
        <f aca="false">IF(A900="","",WEEKNUM(A900,21))</f>
        <v/>
      </c>
      <c r="D900" s="24" t="str">
        <f aca="false">IF(A900="","",DATE(YEAR(A900),MONTH(A900),1))</f>
        <v/>
      </c>
      <c r="E900" s="10"/>
      <c r="F900" s="25"/>
      <c r="G900" s="25"/>
      <c r="H900" s="10"/>
      <c r="I900" s="10"/>
      <c r="J900" s="26"/>
      <c r="K900" s="25"/>
      <c r="L900" s="26"/>
      <c r="M900" s="27"/>
      <c r="N900" s="27"/>
      <c r="O900" s="28" t="str">
        <f aca="false">IF(OR(M900="",M900=0,N900=""),"",N900/M900)</f>
        <v/>
      </c>
      <c r="P900" s="28" t="str">
        <f aca="false">IF(M900="","",IFERROR(IF(INDEX(Parámetros!$B$14:$B$21,MATCH(I900,Parámetros!$A$14:$A$21,0))="",Parámetros!$B$5,INDEX(Parámetros!$B$14:$B$21,MATCH(I900,Parámetros!$A$14:$A$21,0))),Parámetros!$B$5))</f>
        <v/>
      </c>
      <c r="Q900" s="29" t="str">
        <f aca="false">IF(O900="","",(O900-P900)*100)</f>
        <v/>
      </c>
      <c r="R900" s="30" t="str">
        <f aca="false">IF(O900="","",MAX(0,M900*(P900-O900)))</f>
        <v/>
      </c>
      <c r="S900" s="31" t="str">
        <f aca="false">IF(OR(L900="",L900=0,N900=""),"",N900/1000/L900)</f>
        <v/>
      </c>
      <c r="T900" s="27"/>
      <c r="U900" s="27"/>
      <c r="V900" s="27"/>
      <c r="W900" s="27"/>
      <c r="X900" s="27"/>
      <c r="Y900" s="27"/>
      <c r="Z900" s="27"/>
      <c r="AA900" s="25"/>
      <c r="AB900" s="27"/>
      <c r="AC900" s="30" t="str">
        <f aca="false">IF(M900="","",IF(AB900="",M900*Parámetros!$B$6,AB900))</f>
        <v/>
      </c>
      <c r="AD900" s="30" t="str">
        <f aca="false">IF(M900="","",SUM(T900:Z900)+AC900)</f>
        <v/>
      </c>
      <c r="AE900" s="30" t="str">
        <f aca="false">IF(OR(M900="",N900=""),"",M900-N900)</f>
        <v/>
      </c>
      <c r="AF900" s="30" t="str">
        <f aca="false">IF(AE900="","",AE900-AD900)</f>
        <v/>
      </c>
      <c r="AG900" s="28" t="str">
        <f aca="false">IF(OR(AF900="",M900=0),"",AF900/M900)</f>
        <v/>
      </c>
      <c r="AH900" s="32" t="str">
        <f aca="false">IF(OR(AE900="",N900=0),"",AE900/(N900/1000))</f>
        <v/>
      </c>
      <c r="AI900" s="30" t="str">
        <f aca="false">IF(O900="","",M900*P900)</f>
        <v/>
      </c>
      <c r="AJ900" s="11" t="str">
        <f aca="false">IF(O900="","",IF(O900&gt;1,"Error: rend &gt; 100 %",IF(SUM(T900:Z900)=0,"Falta registrar pérdidas",IF(ABS(AG900)&gt;Parámetros!$B$7,"Revisar balance",IF(O900&lt;P900,"Bajo meta","OK")))))</f>
        <v/>
      </c>
      <c r="AK900" s="33"/>
      <c r="AL900" s="10"/>
      <c r="AM900" s="33"/>
      <c r="AN900" s="33"/>
      <c r="AO900" s="10"/>
    </row>
    <row r="901" customFormat="false" ht="15" hidden="false" customHeight="false" outlineLevel="0" collapsed="false">
      <c r="A901" s="22"/>
      <c r="B901" s="23" t="str">
        <f aca="false">IF(A901="","",YEAR(A901-WEEKDAY(A901,2)+4))</f>
        <v/>
      </c>
      <c r="C901" s="23" t="str">
        <f aca="false">IF(A901="","",WEEKNUM(A901,21))</f>
        <v/>
      </c>
      <c r="D901" s="24" t="str">
        <f aca="false">IF(A901="","",DATE(YEAR(A901),MONTH(A901),1))</f>
        <v/>
      </c>
      <c r="E901" s="10"/>
      <c r="F901" s="25"/>
      <c r="G901" s="25"/>
      <c r="H901" s="10"/>
      <c r="I901" s="10"/>
      <c r="J901" s="26"/>
      <c r="K901" s="25"/>
      <c r="L901" s="26"/>
      <c r="M901" s="27"/>
      <c r="N901" s="27"/>
      <c r="O901" s="28" t="str">
        <f aca="false">IF(OR(M901="",M901=0,N901=""),"",N901/M901)</f>
        <v/>
      </c>
      <c r="P901" s="28" t="str">
        <f aca="false">IF(M901="","",IFERROR(IF(INDEX(Parámetros!$B$14:$B$21,MATCH(I901,Parámetros!$A$14:$A$21,0))="",Parámetros!$B$5,INDEX(Parámetros!$B$14:$B$21,MATCH(I901,Parámetros!$A$14:$A$21,0))),Parámetros!$B$5))</f>
        <v/>
      </c>
      <c r="Q901" s="29" t="str">
        <f aca="false">IF(O901="","",(O901-P901)*100)</f>
        <v/>
      </c>
      <c r="R901" s="30" t="str">
        <f aca="false">IF(O901="","",MAX(0,M901*(P901-O901)))</f>
        <v/>
      </c>
      <c r="S901" s="31" t="str">
        <f aca="false">IF(OR(L901="",L901=0,N901=""),"",N901/1000/L901)</f>
        <v/>
      </c>
      <c r="T901" s="27"/>
      <c r="U901" s="27"/>
      <c r="V901" s="27"/>
      <c r="W901" s="27"/>
      <c r="X901" s="27"/>
      <c r="Y901" s="27"/>
      <c r="Z901" s="27"/>
      <c r="AA901" s="25"/>
      <c r="AB901" s="27"/>
      <c r="AC901" s="30" t="str">
        <f aca="false">IF(M901="","",IF(AB901="",M901*Parámetros!$B$6,AB901))</f>
        <v/>
      </c>
      <c r="AD901" s="30" t="str">
        <f aca="false">IF(M901="","",SUM(T901:Z901)+AC901)</f>
        <v/>
      </c>
      <c r="AE901" s="30" t="str">
        <f aca="false">IF(OR(M901="",N901=""),"",M901-N901)</f>
        <v/>
      </c>
      <c r="AF901" s="30" t="str">
        <f aca="false">IF(AE901="","",AE901-AD901)</f>
        <v/>
      </c>
      <c r="AG901" s="28" t="str">
        <f aca="false">IF(OR(AF901="",M901=0),"",AF901/M901)</f>
        <v/>
      </c>
      <c r="AH901" s="32" t="str">
        <f aca="false">IF(OR(AE901="",N901=0),"",AE901/(N901/1000))</f>
        <v/>
      </c>
      <c r="AI901" s="30" t="str">
        <f aca="false">IF(O901="","",M901*P901)</f>
        <v/>
      </c>
      <c r="AJ901" s="11" t="str">
        <f aca="false">IF(O901="","",IF(O901&gt;1,"Error: rend &gt; 100 %",IF(SUM(T901:Z901)=0,"Falta registrar pérdidas",IF(ABS(AG901)&gt;Parámetros!$B$7,"Revisar balance",IF(O901&lt;P901,"Bajo meta","OK")))))</f>
        <v/>
      </c>
      <c r="AK901" s="33"/>
      <c r="AL901" s="10"/>
      <c r="AM901" s="33"/>
      <c r="AN901" s="33"/>
      <c r="AO901" s="10"/>
    </row>
    <row r="902" customFormat="false" ht="15" hidden="false" customHeight="false" outlineLevel="0" collapsed="false">
      <c r="A902" s="22"/>
      <c r="B902" s="23" t="str">
        <f aca="false">IF(A902="","",YEAR(A902-WEEKDAY(A902,2)+4))</f>
        <v/>
      </c>
      <c r="C902" s="23" t="str">
        <f aca="false">IF(A902="","",WEEKNUM(A902,21))</f>
        <v/>
      </c>
      <c r="D902" s="24" t="str">
        <f aca="false">IF(A902="","",DATE(YEAR(A902),MONTH(A902),1))</f>
        <v/>
      </c>
      <c r="E902" s="10"/>
      <c r="F902" s="25"/>
      <c r="G902" s="25"/>
      <c r="H902" s="10"/>
      <c r="I902" s="10"/>
      <c r="J902" s="26"/>
      <c r="K902" s="25"/>
      <c r="L902" s="26"/>
      <c r="M902" s="27"/>
      <c r="N902" s="27"/>
      <c r="O902" s="28" t="str">
        <f aca="false">IF(OR(M902="",M902=0,N902=""),"",N902/M902)</f>
        <v/>
      </c>
      <c r="P902" s="28" t="str">
        <f aca="false">IF(M902="","",IFERROR(IF(INDEX(Parámetros!$B$14:$B$21,MATCH(I902,Parámetros!$A$14:$A$21,0))="",Parámetros!$B$5,INDEX(Parámetros!$B$14:$B$21,MATCH(I902,Parámetros!$A$14:$A$21,0))),Parámetros!$B$5))</f>
        <v/>
      </c>
      <c r="Q902" s="29" t="str">
        <f aca="false">IF(O902="","",(O902-P902)*100)</f>
        <v/>
      </c>
      <c r="R902" s="30" t="str">
        <f aca="false">IF(O902="","",MAX(0,M902*(P902-O902)))</f>
        <v/>
      </c>
      <c r="S902" s="31" t="str">
        <f aca="false">IF(OR(L902="",L902=0,N902=""),"",N902/1000/L902)</f>
        <v/>
      </c>
      <c r="T902" s="27"/>
      <c r="U902" s="27"/>
      <c r="V902" s="27"/>
      <c r="W902" s="27"/>
      <c r="X902" s="27"/>
      <c r="Y902" s="27"/>
      <c r="Z902" s="27"/>
      <c r="AA902" s="25"/>
      <c r="AB902" s="27"/>
      <c r="AC902" s="30" t="str">
        <f aca="false">IF(M902="","",IF(AB902="",M902*Parámetros!$B$6,AB902))</f>
        <v/>
      </c>
      <c r="AD902" s="30" t="str">
        <f aca="false">IF(M902="","",SUM(T902:Z902)+AC902)</f>
        <v/>
      </c>
      <c r="AE902" s="30" t="str">
        <f aca="false">IF(OR(M902="",N902=""),"",M902-N902)</f>
        <v/>
      </c>
      <c r="AF902" s="30" t="str">
        <f aca="false">IF(AE902="","",AE902-AD902)</f>
        <v/>
      </c>
      <c r="AG902" s="28" t="str">
        <f aca="false">IF(OR(AF902="",M902=0),"",AF902/M902)</f>
        <v/>
      </c>
      <c r="AH902" s="32" t="str">
        <f aca="false">IF(OR(AE902="",N902=0),"",AE902/(N902/1000))</f>
        <v/>
      </c>
      <c r="AI902" s="30" t="str">
        <f aca="false">IF(O902="","",M902*P902)</f>
        <v/>
      </c>
      <c r="AJ902" s="11" t="str">
        <f aca="false">IF(O902="","",IF(O902&gt;1,"Error: rend &gt; 100 %",IF(SUM(T902:Z902)=0,"Falta registrar pérdidas",IF(ABS(AG902)&gt;Parámetros!$B$7,"Revisar balance",IF(O902&lt;P902,"Bajo meta","OK")))))</f>
        <v/>
      </c>
      <c r="AK902" s="33"/>
      <c r="AL902" s="10"/>
      <c r="AM902" s="33"/>
      <c r="AN902" s="33"/>
      <c r="AO902" s="10"/>
    </row>
    <row r="903" customFormat="false" ht="15" hidden="false" customHeight="false" outlineLevel="0" collapsed="false">
      <c r="A903" s="22"/>
      <c r="B903" s="23" t="str">
        <f aca="false">IF(A903="","",YEAR(A903-WEEKDAY(A903,2)+4))</f>
        <v/>
      </c>
      <c r="C903" s="23" t="str">
        <f aca="false">IF(A903="","",WEEKNUM(A903,21))</f>
        <v/>
      </c>
      <c r="D903" s="24" t="str">
        <f aca="false">IF(A903="","",DATE(YEAR(A903),MONTH(A903),1))</f>
        <v/>
      </c>
      <c r="E903" s="10"/>
      <c r="F903" s="25"/>
      <c r="G903" s="25"/>
      <c r="H903" s="10"/>
      <c r="I903" s="10"/>
      <c r="J903" s="26"/>
      <c r="K903" s="25"/>
      <c r="L903" s="26"/>
      <c r="M903" s="27"/>
      <c r="N903" s="27"/>
      <c r="O903" s="28" t="str">
        <f aca="false">IF(OR(M903="",M903=0,N903=""),"",N903/M903)</f>
        <v/>
      </c>
      <c r="P903" s="28" t="str">
        <f aca="false">IF(M903="","",IFERROR(IF(INDEX(Parámetros!$B$14:$B$21,MATCH(I903,Parámetros!$A$14:$A$21,0))="",Parámetros!$B$5,INDEX(Parámetros!$B$14:$B$21,MATCH(I903,Parámetros!$A$14:$A$21,0))),Parámetros!$B$5))</f>
        <v/>
      </c>
      <c r="Q903" s="29" t="str">
        <f aca="false">IF(O903="","",(O903-P903)*100)</f>
        <v/>
      </c>
      <c r="R903" s="30" t="str">
        <f aca="false">IF(O903="","",MAX(0,M903*(P903-O903)))</f>
        <v/>
      </c>
      <c r="S903" s="31" t="str">
        <f aca="false">IF(OR(L903="",L903=0,N903=""),"",N903/1000/L903)</f>
        <v/>
      </c>
      <c r="T903" s="27"/>
      <c r="U903" s="27"/>
      <c r="V903" s="27"/>
      <c r="W903" s="27"/>
      <c r="X903" s="27"/>
      <c r="Y903" s="27"/>
      <c r="Z903" s="27"/>
      <c r="AA903" s="25"/>
      <c r="AB903" s="27"/>
      <c r="AC903" s="30" t="str">
        <f aca="false">IF(M903="","",IF(AB903="",M903*Parámetros!$B$6,AB903))</f>
        <v/>
      </c>
      <c r="AD903" s="30" t="str">
        <f aca="false">IF(M903="","",SUM(T903:Z903)+AC903)</f>
        <v/>
      </c>
      <c r="AE903" s="30" t="str">
        <f aca="false">IF(OR(M903="",N903=""),"",M903-N903)</f>
        <v/>
      </c>
      <c r="AF903" s="30" t="str">
        <f aca="false">IF(AE903="","",AE903-AD903)</f>
        <v/>
      </c>
      <c r="AG903" s="28" t="str">
        <f aca="false">IF(OR(AF903="",M903=0),"",AF903/M903)</f>
        <v/>
      </c>
      <c r="AH903" s="32" t="str">
        <f aca="false">IF(OR(AE903="",N903=0),"",AE903/(N903/1000))</f>
        <v/>
      </c>
      <c r="AI903" s="30" t="str">
        <f aca="false">IF(O903="","",M903*P903)</f>
        <v/>
      </c>
      <c r="AJ903" s="11" t="str">
        <f aca="false">IF(O903="","",IF(O903&gt;1,"Error: rend &gt; 100 %",IF(SUM(T903:Z903)=0,"Falta registrar pérdidas",IF(ABS(AG903)&gt;Parámetros!$B$7,"Revisar balance",IF(O903&lt;P903,"Bajo meta","OK")))))</f>
        <v/>
      </c>
      <c r="AK903" s="33"/>
      <c r="AL903" s="10"/>
      <c r="AM903" s="33"/>
      <c r="AN903" s="33"/>
      <c r="AO903" s="10"/>
    </row>
    <row r="904" customFormat="false" ht="15" hidden="false" customHeight="false" outlineLevel="0" collapsed="false">
      <c r="A904" s="22"/>
      <c r="B904" s="23" t="str">
        <f aca="false">IF(A904="","",YEAR(A904-WEEKDAY(A904,2)+4))</f>
        <v/>
      </c>
      <c r="C904" s="23" t="str">
        <f aca="false">IF(A904="","",WEEKNUM(A904,21))</f>
        <v/>
      </c>
      <c r="D904" s="24" t="str">
        <f aca="false">IF(A904="","",DATE(YEAR(A904),MONTH(A904),1))</f>
        <v/>
      </c>
      <c r="E904" s="10"/>
      <c r="F904" s="25"/>
      <c r="G904" s="25"/>
      <c r="H904" s="10"/>
      <c r="I904" s="10"/>
      <c r="J904" s="26"/>
      <c r="K904" s="25"/>
      <c r="L904" s="26"/>
      <c r="M904" s="27"/>
      <c r="N904" s="27"/>
      <c r="O904" s="28" t="str">
        <f aca="false">IF(OR(M904="",M904=0,N904=""),"",N904/M904)</f>
        <v/>
      </c>
      <c r="P904" s="28" t="str">
        <f aca="false">IF(M904="","",IFERROR(IF(INDEX(Parámetros!$B$14:$B$21,MATCH(I904,Parámetros!$A$14:$A$21,0))="",Parámetros!$B$5,INDEX(Parámetros!$B$14:$B$21,MATCH(I904,Parámetros!$A$14:$A$21,0))),Parámetros!$B$5))</f>
        <v/>
      </c>
      <c r="Q904" s="29" t="str">
        <f aca="false">IF(O904="","",(O904-P904)*100)</f>
        <v/>
      </c>
      <c r="R904" s="30" t="str">
        <f aca="false">IF(O904="","",MAX(0,M904*(P904-O904)))</f>
        <v/>
      </c>
      <c r="S904" s="31" t="str">
        <f aca="false">IF(OR(L904="",L904=0,N904=""),"",N904/1000/L904)</f>
        <v/>
      </c>
      <c r="T904" s="27"/>
      <c r="U904" s="27"/>
      <c r="V904" s="27"/>
      <c r="W904" s="27"/>
      <c r="X904" s="27"/>
      <c r="Y904" s="27"/>
      <c r="Z904" s="27"/>
      <c r="AA904" s="25"/>
      <c r="AB904" s="27"/>
      <c r="AC904" s="30" t="str">
        <f aca="false">IF(M904="","",IF(AB904="",M904*Parámetros!$B$6,AB904))</f>
        <v/>
      </c>
      <c r="AD904" s="30" t="str">
        <f aca="false">IF(M904="","",SUM(T904:Z904)+AC904)</f>
        <v/>
      </c>
      <c r="AE904" s="30" t="str">
        <f aca="false">IF(OR(M904="",N904=""),"",M904-N904)</f>
        <v/>
      </c>
      <c r="AF904" s="30" t="str">
        <f aca="false">IF(AE904="","",AE904-AD904)</f>
        <v/>
      </c>
      <c r="AG904" s="28" t="str">
        <f aca="false">IF(OR(AF904="",M904=0),"",AF904/M904)</f>
        <v/>
      </c>
      <c r="AH904" s="32" t="str">
        <f aca="false">IF(OR(AE904="",N904=0),"",AE904/(N904/1000))</f>
        <v/>
      </c>
      <c r="AI904" s="30" t="str">
        <f aca="false">IF(O904="","",M904*P904)</f>
        <v/>
      </c>
      <c r="AJ904" s="11" t="str">
        <f aca="false">IF(O904="","",IF(O904&gt;1,"Error: rend &gt; 100 %",IF(SUM(T904:Z904)=0,"Falta registrar pérdidas",IF(ABS(AG904)&gt;Parámetros!$B$7,"Revisar balance",IF(O904&lt;P904,"Bajo meta","OK")))))</f>
        <v/>
      </c>
      <c r="AK904" s="33"/>
      <c r="AL904" s="10"/>
      <c r="AM904" s="33"/>
      <c r="AN904" s="33"/>
      <c r="AO904" s="10"/>
    </row>
    <row r="905" customFormat="false" ht="15" hidden="false" customHeight="false" outlineLevel="0" collapsed="false">
      <c r="A905" s="22"/>
      <c r="B905" s="23" t="str">
        <f aca="false">IF(A905="","",YEAR(A905-WEEKDAY(A905,2)+4))</f>
        <v/>
      </c>
      <c r="C905" s="23" t="str">
        <f aca="false">IF(A905="","",WEEKNUM(A905,21))</f>
        <v/>
      </c>
      <c r="D905" s="24" t="str">
        <f aca="false">IF(A905="","",DATE(YEAR(A905),MONTH(A905),1))</f>
        <v/>
      </c>
      <c r="E905" s="10"/>
      <c r="F905" s="25"/>
      <c r="G905" s="25"/>
      <c r="H905" s="10"/>
      <c r="I905" s="10"/>
      <c r="J905" s="26"/>
      <c r="K905" s="25"/>
      <c r="L905" s="26"/>
      <c r="M905" s="27"/>
      <c r="N905" s="27"/>
      <c r="O905" s="28" t="str">
        <f aca="false">IF(OR(M905="",M905=0,N905=""),"",N905/M905)</f>
        <v/>
      </c>
      <c r="P905" s="28" t="str">
        <f aca="false">IF(M905="","",IFERROR(IF(INDEX(Parámetros!$B$14:$B$21,MATCH(I905,Parámetros!$A$14:$A$21,0))="",Parámetros!$B$5,INDEX(Parámetros!$B$14:$B$21,MATCH(I905,Parámetros!$A$14:$A$21,0))),Parámetros!$B$5))</f>
        <v/>
      </c>
      <c r="Q905" s="29" t="str">
        <f aca="false">IF(O905="","",(O905-P905)*100)</f>
        <v/>
      </c>
      <c r="R905" s="30" t="str">
        <f aca="false">IF(O905="","",MAX(0,M905*(P905-O905)))</f>
        <v/>
      </c>
      <c r="S905" s="31" t="str">
        <f aca="false">IF(OR(L905="",L905=0,N905=""),"",N905/1000/L905)</f>
        <v/>
      </c>
      <c r="T905" s="27"/>
      <c r="U905" s="27"/>
      <c r="V905" s="27"/>
      <c r="W905" s="27"/>
      <c r="X905" s="27"/>
      <c r="Y905" s="27"/>
      <c r="Z905" s="27"/>
      <c r="AA905" s="25"/>
      <c r="AB905" s="27"/>
      <c r="AC905" s="30" t="str">
        <f aca="false">IF(M905="","",IF(AB905="",M905*Parámetros!$B$6,AB905))</f>
        <v/>
      </c>
      <c r="AD905" s="30" t="str">
        <f aca="false">IF(M905="","",SUM(T905:Z905)+AC905)</f>
        <v/>
      </c>
      <c r="AE905" s="30" t="str">
        <f aca="false">IF(OR(M905="",N905=""),"",M905-N905)</f>
        <v/>
      </c>
      <c r="AF905" s="30" t="str">
        <f aca="false">IF(AE905="","",AE905-AD905)</f>
        <v/>
      </c>
      <c r="AG905" s="28" t="str">
        <f aca="false">IF(OR(AF905="",M905=0),"",AF905/M905)</f>
        <v/>
      </c>
      <c r="AH905" s="32" t="str">
        <f aca="false">IF(OR(AE905="",N905=0),"",AE905/(N905/1000))</f>
        <v/>
      </c>
      <c r="AI905" s="30" t="str">
        <f aca="false">IF(O905="","",M905*P905)</f>
        <v/>
      </c>
      <c r="AJ905" s="11" t="str">
        <f aca="false">IF(O905="","",IF(O905&gt;1,"Error: rend &gt; 100 %",IF(SUM(T905:Z905)=0,"Falta registrar pérdidas",IF(ABS(AG905)&gt;Parámetros!$B$7,"Revisar balance",IF(O905&lt;P905,"Bajo meta","OK")))))</f>
        <v/>
      </c>
      <c r="AK905" s="33"/>
      <c r="AL905" s="10"/>
      <c r="AM905" s="33"/>
      <c r="AN905" s="33"/>
      <c r="AO905" s="10"/>
    </row>
    <row r="906" customFormat="false" ht="15" hidden="false" customHeight="false" outlineLevel="0" collapsed="false">
      <c r="A906" s="22"/>
      <c r="B906" s="23" t="str">
        <f aca="false">IF(A906="","",YEAR(A906-WEEKDAY(A906,2)+4))</f>
        <v/>
      </c>
      <c r="C906" s="23" t="str">
        <f aca="false">IF(A906="","",WEEKNUM(A906,21))</f>
        <v/>
      </c>
      <c r="D906" s="24" t="str">
        <f aca="false">IF(A906="","",DATE(YEAR(A906),MONTH(A906),1))</f>
        <v/>
      </c>
      <c r="E906" s="10"/>
      <c r="F906" s="25"/>
      <c r="G906" s="25"/>
      <c r="H906" s="10"/>
      <c r="I906" s="10"/>
      <c r="J906" s="26"/>
      <c r="K906" s="25"/>
      <c r="L906" s="26"/>
      <c r="M906" s="27"/>
      <c r="N906" s="27"/>
      <c r="O906" s="28" t="str">
        <f aca="false">IF(OR(M906="",M906=0,N906=""),"",N906/M906)</f>
        <v/>
      </c>
      <c r="P906" s="28" t="str">
        <f aca="false">IF(M906="","",IFERROR(IF(INDEX(Parámetros!$B$14:$B$21,MATCH(I906,Parámetros!$A$14:$A$21,0))="",Parámetros!$B$5,INDEX(Parámetros!$B$14:$B$21,MATCH(I906,Parámetros!$A$14:$A$21,0))),Parámetros!$B$5))</f>
        <v/>
      </c>
      <c r="Q906" s="29" t="str">
        <f aca="false">IF(O906="","",(O906-P906)*100)</f>
        <v/>
      </c>
      <c r="R906" s="30" t="str">
        <f aca="false">IF(O906="","",MAX(0,M906*(P906-O906)))</f>
        <v/>
      </c>
      <c r="S906" s="31" t="str">
        <f aca="false">IF(OR(L906="",L906=0,N906=""),"",N906/1000/L906)</f>
        <v/>
      </c>
      <c r="T906" s="27"/>
      <c r="U906" s="27"/>
      <c r="V906" s="27"/>
      <c r="W906" s="27"/>
      <c r="X906" s="27"/>
      <c r="Y906" s="27"/>
      <c r="Z906" s="27"/>
      <c r="AA906" s="25"/>
      <c r="AB906" s="27"/>
      <c r="AC906" s="30" t="str">
        <f aca="false">IF(M906="","",IF(AB906="",M906*Parámetros!$B$6,AB906))</f>
        <v/>
      </c>
      <c r="AD906" s="30" t="str">
        <f aca="false">IF(M906="","",SUM(T906:Z906)+AC906)</f>
        <v/>
      </c>
      <c r="AE906" s="30" t="str">
        <f aca="false">IF(OR(M906="",N906=""),"",M906-N906)</f>
        <v/>
      </c>
      <c r="AF906" s="30" t="str">
        <f aca="false">IF(AE906="","",AE906-AD906)</f>
        <v/>
      </c>
      <c r="AG906" s="28" t="str">
        <f aca="false">IF(OR(AF906="",M906=0),"",AF906/M906)</f>
        <v/>
      </c>
      <c r="AH906" s="32" t="str">
        <f aca="false">IF(OR(AE906="",N906=0),"",AE906/(N906/1000))</f>
        <v/>
      </c>
      <c r="AI906" s="30" t="str">
        <f aca="false">IF(O906="","",M906*P906)</f>
        <v/>
      </c>
      <c r="AJ906" s="11" t="str">
        <f aca="false">IF(O906="","",IF(O906&gt;1,"Error: rend &gt; 100 %",IF(SUM(T906:Z906)=0,"Falta registrar pérdidas",IF(ABS(AG906)&gt;Parámetros!$B$7,"Revisar balance",IF(O906&lt;P906,"Bajo meta","OK")))))</f>
        <v/>
      </c>
      <c r="AK906" s="33"/>
      <c r="AL906" s="10"/>
      <c r="AM906" s="33"/>
      <c r="AN906" s="33"/>
      <c r="AO906" s="10"/>
    </row>
    <row r="907" customFormat="false" ht="15" hidden="false" customHeight="false" outlineLevel="0" collapsed="false">
      <c r="A907" s="22"/>
      <c r="B907" s="23" t="str">
        <f aca="false">IF(A907="","",YEAR(A907-WEEKDAY(A907,2)+4))</f>
        <v/>
      </c>
      <c r="C907" s="23" t="str">
        <f aca="false">IF(A907="","",WEEKNUM(A907,21))</f>
        <v/>
      </c>
      <c r="D907" s="24" t="str">
        <f aca="false">IF(A907="","",DATE(YEAR(A907),MONTH(A907),1))</f>
        <v/>
      </c>
      <c r="E907" s="10"/>
      <c r="F907" s="25"/>
      <c r="G907" s="25"/>
      <c r="H907" s="10"/>
      <c r="I907" s="10"/>
      <c r="J907" s="26"/>
      <c r="K907" s="25"/>
      <c r="L907" s="26"/>
      <c r="M907" s="27"/>
      <c r="N907" s="27"/>
      <c r="O907" s="28" t="str">
        <f aca="false">IF(OR(M907="",M907=0,N907=""),"",N907/M907)</f>
        <v/>
      </c>
      <c r="P907" s="28" t="str">
        <f aca="false">IF(M907="","",IFERROR(IF(INDEX(Parámetros!$B$14:$B$21,MATCH(I907,Parámetros!$A$14:$A$21,0))="",Parámetros!$B$5,INDEX(Parámetros!$B$14:$B$21,MATCH(I907,Parámetros!$A$14:$A$21,0))),Parámetros!$B$5))</f>
        <v/>
      </c>
      <c r="Q907" s="29" t="str">
        <f aca="false">IF(O907="","",(O907-P907)*100)</f>
        <v/>
      </c>
      <c r="R907" s="30" t="str">
        <f aca="false">IF(O907="","",MAX(0,M907*(P907-O907)))</f>
        <v/>
      </c>
      <c r="S907" s="31" t="str">
        <f aca="false">IF(OR(L907="",L907=0,N907=""),"",N907/1000/L907)</f>
        <v/>
      </c>
      <c r="T907" s="27"/>
      <c r="U907" s="27"/>
      <c r="V907" s="27"/>
      <c r="W907" s="27"/>
      <c r="X907" s="27"/>
      <c r="Y907" s="27"/>
      <c r="Z907" s="27"/>
      <c r="AA907" s="25"/>
      <c r="AB907" s="27"/>
      <c r="AC907" s="30" t="str">
        <f aca="false">IF(M907="","",IF(AB907="",M907*Parámetros!$B$6,AB907))</f>
        <v/>
      </c>
      <c r="AD907" s="30" t="str">
        <f aca="false">IF(M907="","",SUM(T907:Z907)+AC907)</f>
        <v/>
      </c>
      <c r="AE907" s="30" t="str">
        <f aca="false">IF(OR(M907="",N907=""),"",M907-N907)</f>
        <v/>
      </c>
      <c r="AF907" s="30" t="str">
        <f aca="false">IF(AE907="","",AE907-AD907)</f>
        <v/>
      </c>
      <c r="AG907" s="28" t="str">
        <f aca="false">IF(OR(AF907="",M907=0),"",AF907/M907)</f>
        <v/>
      </c>
      <c r="AH907" s="32" t="str">
        <f aca="false">IF(OR(AE907="",N907=0),"",AE907/(N907/1000))</f>
        <v/>
      </c>
      <c r="AI907" s="30" t="str">
        <f aca="false">IF(O907="","",M907*P907)</f>
        <v/>
      </c>
      <c r="AJ907" s="11" t="str">
        <f aca="false">IF(O907="","",IF(O907&gt;1,"Error: rend &gt; 100 %",IF(SUM(T907:Z907)=0,"Falta registrar pérdidas",IF(ABS(AG907)&gt;Parámetros!$B$7,"Revisar balance",IF(O907&lt;P907,"Bajo meta","OK")))))</f>
        <v/>
      </c>
      <c r="AK907" s="33"/>
      <c r="AL907" s="10"/>
      <c r="AM907" s="33"/>
      <c r="AN907" s="33"/>
      <c r="AO907" s="10"/>
    </row>
    <row r="908" customFormat="false" ht="15" hidden="false" customHeight="false" outlineLevel="0" collapsed="false">
      <c r="A908" s="22"/>
      <c r="B908" s="23" t="str">
        <f aca="false">IF(A908="","",YEAR(A908-WEEKDAY(A908,2)+4))</f>
        <v/>
      </c>
      <c r="C908" s="23" t="str">
        <f aca="false">IF(A908="","",WEEKNUM(A908,21))</f>
        <v/>
      </c>
      <c r="D908" s="24" t="str">
        <f aca="false">IF(A908="","",DATE(YEAR(A908),MONTH(A908),1))</f>
        <v/>
      </c>
      <c r="E908" s="10"/>
      <c r="F908" s="25"/>
      <c r="G908" s="25"/>
      <c r="H908" s="10"/>
      <c r="I908" s="10"/>
      <c r="J908" s="26"/>
      <c r="K908" s="25"/>
      <c r="L908" s="26"/>
      <c r="M908" s="27"/>
      <c r="N908" s="27"/>
      <c r="O908" s="28" t="str">
        <f aca="false">IF(OR(M908="",M908=0,N908=""),"",N908/M908)</f>
        <v/>
      </c>
      <c r="P908" s="28" t="str">
        <f aca="false">IF(M908="","",IFERROR(IF(INDEX(Parámetros!$B$14:$B$21,MATCH(I908,Parámetros!$A$14:$A$21,0))="",Parámetros!$B$5,INDEX(Parámetros!$B$14:$B$21,MATCH(I908,Parámetros!$A$14:$A$21,0))),Parámetros!$B$5))</f>
        <v/>
      </c>
      <c r="Q908" s="29" t="str">
        <f aca="false">IF(O908="","",(O908-P908)*100)</f>
        <v/>
      </c>
      <c r="R908" s="30" t="str">
        <f aca="false">IF(O908="","",MAX(0,M908*(P908-O908)))</f>
        <v/>
      </c>
      <c r="S908" s="31" t="str">
        <f aca="false">IF(OR(L908="",L908=0,N908=""),"",N908/1000/L908)</f>
        <v/>
      </c>
      <c r="T908" s="27"/>
      <c r="U908" s="27"/>
      <c r="V908" s="27"/>
      <c r="W908" s="27"/>
      <c r="X908" s="27"/>
      <c r="Y908" s="27"/>
      <c r="Z908" s="27"/>
      <c r="AA908" s="25"/>
      <c r="AB908" s="27"/>
      <c r="AC908" s="30" t="str">
        <f aca="false">IF(M908="","",IF(AB908="",M908*Parámetros!$B$6,AB908))</f>
        <v/>
      </c>
      <c r="AD908" s="30" t="str">
        <f aca="false">IF(M908="","",SUM(T908:Z908)+AC908)</f>
        <v/>
      </c>
      <c r="AE908" s="30" t="str">
        <f aca="false">IF(OR(M908="",N908=""),"",M908-N908)</f>
        <v/>
      </c>
      <c r="AF908" s="30" t="str">
        <f aca="false">IF(AE908="","",AE908-AD908)</f>
        <v/>
      </c>
      <c r="AG908" s="28" t="str">
        <f aca="false">IF(OR(AF908="",M908=0),"",AF908/M908)</f>
        <v/>
      </c>
      <c r="AH908" s="32" t="str">
        <f aca="false">IF(OR(AE908="",N908=0),"",AE908/(N908/1000))</f>
        <v/>
      </c>
      <c r="AI908" s="30" t="str">
        <f aca="false">IF(O908="","",M908*P908)</f>
        <v/>
      </c>
      <c r="AJ908" s="11" t="str">
        <f aca="false">IF(O908="","",IF(O908&gt;1,"Error: rend &gt; 100 %",IF(SUM(T908:Z908)=0,"Falta registrar pérdidas",IF(ABS(AG908)&gt;Parámetros!$B$7,"Revisar balance",IF(O908&lt;P908,"Bajo meta","OK")))))</f>
        <v/>
      </c>
      <c r="AK908" s="33"/>
      <c r="AL908" s="10"/>
      <c r="AM908" s="33"/>
      <c r="AN908" s="33"/>
      <c r="AO908" s="10"/>
    </row>
    <row r="909" customFormat="false" ht="15" hidden="false" customHeight="false" outlineLevel="0" collapsed="false">
      <c r="A909" s="22"/>
      <c r="B909" s="23" t="str">
        <f aca="false">IF(A909="","",YEAR(A909-WEEKDAY(A909,2)+4))</f>
        <v/>
      </c>
      <c r="C909" s="23" t="str">
        <f aca="false">IF(A909="","",WEEKNUM(A909,21))</f>
        <v/>
      </c>
      <c r="D909" s="24" t="str">
        <f aca="false">IF(A909="","",DATE(YEAR(A909),MONTH(A909),1))</f>
        <v/>
      </c>
      <c r="E909" s="10"/>
      <c r="F909" s="25"/>
      <c r="G909" s="25"/>
      <c r="H909" s="10"/>
      <c r="I909" s="10"/>
      <c r="J909" s="26"/>
      <c r="K909" s="25"/>
      <c r="L909" s="26"/>
      <c r="M909" s="27"/>
      <c r="N909" s="27"/>
      <c r="O909" s="28" t="str">
        <f aca="false">IF(OR(M909="",M909=0,N909=""),"",N909/M909)</f>
        <v/>
      </c>
      <c r="P909" s="28" t="str">
        <f aca="false">IF(M909="","",IFERROR(IF(INDEX(Parámetros!$B$14:$B$21,MATCH(I909,Parámetros!$A$14:$A$21,0))="",Parámetros!$B$5,INDEX(Parámetros!$B$14:$B$21,MATCH(I909,Parámetros!$A$14:$A$21,0))),Parámetros!$B$5))</f>
        <v/>
      </c>
      <c r="Q909" s="29" t="str">
        <f aca="false">IF(O909="","",(O909-P909)*100)</f>
        <v/>
      </c>
      <c r="R909" s="30" t="str">
        <f aca="false">IF(O909="","",MAX(0,M909*(P909-O909)))</f>
        <v/>
      </c>
      <c r="S909" s="31" t="str">
        <f aca="false">IF(OR(L909="",L909=0,N909=""),"",N909/1000/L909)</f>
        <v/>
      </c>
      <c r="T909" s="27"/>
      <c r="U909" s="27"/>
      <c r="V909" s="27"/>
      <c r="W909" s="27"/>
      <c r="X909" s="27"/>
      <c r="Y909" s="27"/>
      <c r="Z909" s="27"/>
      <c r="AA909" s="25"/>
      <c r="AB909" s="27"/>
      <c r="AC909" s="30" t="str">
        <f aca="false">IF(M909="","",IF(AB909="",M909*Parámetros!$B$6,AB909))</f>
        <v/>
      </c>
      <c r="AD909" s="30" t="str">
        <f aca="false">IF(M909="","",SUM(T909:Z909)+AC909)</f>
        <v/>
      </c>
      <c r="AE909" s="30" t="str">
        <f aca="false">IF(OR(M909="",N909=""),"",M909-N909)</f>
        <v/>
      </c>
      <c r="AF909" s="30" t="str">
        <f aca="false">IF(AE909="","",AE909-AD909)</f>
        <v/>
      </c>
      <c r="AG909" s="28" t="str">
        <f aca="false">IF(OR(AF909="",M909=0),"",AF909/M909)</f>
        <v/>
      </c>
      <c r="AH909" s="32" t="str">
        <f aca="false">IF(OR(AE909="",N909=0),"",AE909/(N909/1000))</f>
        <v/>
      </c>
      <c r="AI909" s="30" t="str">
        <f aca="false">IF(O909="","",M909*P909)</f>
        <v/>
      </c>
      <c r="AJ909" s="11" t="str">
        <f aca="false">IF(O909="","",IF(O909&gt;1,"Error: rend &gt; 100 %",IF(SUM(T909:Z909)=0,"Falta registrar pérdidas",IF(ABS(AG909)&gt;Parámetros!$B$7,"Revisar balance",IF(O909&lt;P909,"Bajo meta","OK")))))</f>
        <v/>
      </c>
      <c r="AK909" s="33"/>
      <c r="AL909" s="10"/>
      <c r="AM909" s="33"/>
      <c r="AN909" s="33"/>
      <c r="AO909" s="10"/>
    </row>
    <row r="910" customFormat="false" ht="15" hidden="false" customHeight="false" outlineLevel="0" collapsed="false">
      <c r="A910" s="22"/>
      <c r="B910" s="23" t="str">
        <f aca="false">IF(A910="","",YEAR(A910-WEEKDAY(A910,2)+4))</f>
        <v/>
      </c>
      <c r="C910" s="23" t="str">
        <f aca="false">IF(A910="","",WEEKNUM(A910,21))</f>
        <v/>
      </c>
      <c r="D910" s="24" t="str">
        <f aca="false">IF(A910="","",DATE(YEAR(A910),MONTH(A910),1))</f>
        <v/>
      </c>
      <c r="E910" s="10"/>
      <c r="F910" s="25"/>
      <c r="G910" s="25"/>
      <c r="H910" s="10"/>
      <c r="I910" s="10"/>
      <c r="J910" s="26"/>
      <c r="K910" s="25"/>
      <c r="L910" s="26"/>
      <c r="M910" s="27"/>
      <c r="N910" s="27"/>
      <c r="O910" s="28" t="str">
        <f aca="false">IF(OR(M910="",M910=0,N910=""),"",N910/M910)</f>
        <v/>
      </c>
      <c r="P910" s="28" t="str">
        <f aca="false">IF(M910="","",IFERROR(IF(INDEX(Parámetros!$B$14:$B$21,MATCH(I910,Parámetros!$A$14:$A$21,0))="",Parámetros!$B$5,INDEX(Parámetros!$B$14:$B$21,MATCH(I910,Parámetros!$A$14:$A$21,0))),Parámetros!$B$5))</f>
        <v/>
      </c>
      <c r="Q910" s="29" t="str">
        <f aca="false">IF(O910="","",(O910-P910)*100)</f>
        <v/>
      </c>
      <c r="R910" s="30" t="str">
        <f aca="false">IF(O910="","",MAX(0,M910*(P910-O910)))</f>
        <v/>
      </c>
      <c r="S910" s="31" t="str">
        <f aca="false">IF(OR(L910="",L910=0,N910=""),"",N910/1000/L910)</f>
        <v/>
      </c>
      <c r="T910" s="27"/>
      <c r="U910" s="27"/>
      <c r="V910" s="27"/>
      <c r="W910" s="27"/>
      <c r="X910" s="27"/>
      <c r="Y910" s="27"/>
      <c r="Z910" s="27"/>
      <c r="AA910" s="25"/>
      <c r="AB910" s="27"/>
      <c r="AC910" s="30" t="str">
        <f aca="false">IF(M910="","",IF(AB910="",M910*Parámetros!$B$6,AB910))</f>
        <v/>
      </c>
      <c r="AD910" s="30" t="str">
        <f aca="false">IF(M910="","",SUM(T910:Z910)+AC910)</f>
        <v/>
      </c>
      <c r="AE910" s="30" t="str">
        <f aca="false">IF(OR(M910="",N910=""),"",M910-N910)</f>
        <v/>
      </c>
      <c r="AF910" s="30" t="str">
        <f aca="false">IF(AE910="","",AE910-AD910)</f>
        <v/>
      </c>
      <c r="AG910" s="28" t="str">
        <f aca="false">IF(OR(AF910="",M910=0),"",AF910/M910)</f>
        <v/>
      </c>
      <c r="AH910" s="32" t="str">
        <f aca="false">IF(OR(AE910="",N910=0),"",AE910/(N910/1000))</f>
        <v/>
      </c>
      <c r="AI910" s="30" t="str">
        <f aca="false">IF(O910="","",M910*P910)</f>
        <v/>
      </c>
      <c r="AJ910" s="11" t="str">
        <f aca="false">IF(O910="","",IF(O910&gt;1,"Error: rend &gt; 100 %",IF(SUM(T910:Z910)=0,"Falta registrar pérdidas",IF(ABS(AG910)&gt;Parámetros!$B$7,"Revisar balance",IF(O910&lt;P910,"Bajo meta","OK")))))</f>
        <v/>
      </c>
      <c r="AK910" s="33"/>
      <c r="AL910" s="10"/>
      <c r="AM910" s="33"/>
      <c r="AN910" s="33"/>
      <c r="AO910" s="10"/>
    </row>
    <row r="911" customFormat="false" ht="15" hidden="false" customHeight="false" outlineLevel="0" collapsed="false">
      <c r="A911" s="22"/>
      <c r="B911" s="23" t="str">
        <f aca="false">IF(A911="","",YEAR(A911-WEEKDAY(A911,2)+4))</f>
        <v/>
      </c>
      <c r="C911" s="23" t="str">
        <f aca="false">IF(A911="","",WEEKNUM(A911,21))</f>
        <v/>
      </c>
      <c r="D911" s="24" t="str">
        <f aca="false">IF(A911="","",DATE(YEAR(A911),MONTH(A911),1))</f>
        <v/>
      </c>
      <c r="E911" s="10"/>
      <c r="F911" s="25"/>
      <c r="G911" s="25"/>
      <c r="H911" s="10"/>
      <c r="I911" s="10"/>
      <c r="J911" s="26"/>
      <c r="K911" s="25"/>
      <c r="L911" s="26"/>
      <c r="M911" s="27"/>
      <c r="N911" s="27"/>
      <c r="O911" s="28" t="str">
        <f aca="false">IF(OR(M911="",M911=0,N911=""),"",N911/M911)</f>
        <v/>
      </c>
      <c r="P911" s="28" t="str">
        <f aca="false">IF(M911="","",IFERROR(IF(INDEX(Parámetros!$B$14:$B$21,MATCH(I911,Parámetros!$A$14:$A$21,0))="",Parámetros!$B$5,INDEX(Parámetros!$B$14:$B$21,MATCH(I911,Parámetros!$A$14:$A$21,0))),Parámetros!$B$5))</f>
        <v/>
      </c>
      <c r="Q911" s="29" t="str">
        <f aca="false">IF(O911="","",(O911-P911)*100)</f>
        <v/>
      </c>
      <c r="R911" s="30" t="str">
        <f aca="false">IF(O911="","",MAX(0,M911*(P911-O911)))</f>
        <v/>
      </c>
      <c r="S911" s="31" t="str">
        <f aca="false">IF(OR(L911="",L911=0,N911=""),"",N911/1000/L911)</f>
        <v/>
      </c>
      <c r="T911" s="27"/>
      <c r="U911" s="27"/>
      <c r="V911" s="27"/>
      <c r="W911" s="27"/>
      <c r="X911" s="27"/>
      <c r="Y911" s="27"/>
      <c r="Z911" s="27"/>
      <c r="AA911" s="25"/>
      <c r="AB911" s="27"/>
      <c r="AC911" s="30" t="str">
        <f aca="false">IF(M911="","",IF(AB911="",M911*Parámetros!$B$6,AB911))</f>
        <v/>
      </c>
      <c r="AD911" s="30" t="str">
        <f aca="false">IF(M911="","",SUM(T911:Z911)+AC911)</f>
        <v/>
      </c>
      <c r="AE911" s="30" t="str">
        <f aca="false">IF(OR(M911="",N911=""),"",M911-N911)</f>
        <v/>
      </c>
      <c r="AF911" s="30" t="str">
        <f aca="false">IF(AE911="","",AE911-AD911)</f>
        <v/>
      </c>
      <c r="AG911" s="28" t="str">
        <f aca="false">IF(OR(AF911="",M911=0),"",AF911/M911)</f>
        <v/>
      </c>
      <c r="AH911" s="32" t="str">
        <f aca="false">IF(OR(AE911="",N911=0),"",AE911/(N911/1000))</f>
        <v/>
      </c>
      <c r="AI911" s="30" t="str">
        <f aca="false">IF(O911="","",M911*P911)</f>
        <v/>
      </c>
      <c r="AJ911" s="11" t="str">
        <f aca="false">IF(O911="","",IF(O911&gt;1,"Error: rend &gt; 100 %",IF(SUM(T911:Z911)=0,"Falta registrar pérdidas",IF(ABS(AG911)&gt;Parámetros!$B$7,"Revisar balance",IF(O911&lt;P911,"Bajo meta","OK")))))</f>
        <v/>
      </c>
      <c r="AK911" s="33"/>
      <c r="AL911" s="10"/>
      <c r="AM911" s="33"/>
      <c r="AN911" s="33"/>
      <c r="AO911" s="10"/>
    </row>
    <row r="912" customFormat="false" ht="15" hidden="false" customHeight="false" outlineLevel="0" collapsed="false">
      <c r="A912" s="22"/>
      <c r="B912" s="23" t="str">
        <f aca="false">IF(A912="","",YEAR(A912-WEEKDAY(A912,2)+4))</f>
        <v/>
      </c>
      <c r="C912" s="23" t="str">
        <f aca="false">IF(A912="","",WEEKNUM(A912,21))</f>
        <v/>
      </c>
      <c r="D912" s="24" t="str">
        <f aca="false">IF(A912="","",DATE(YEAR(A912),MONTH(A912),1))</f>
        <v/>
      </c>
      <c r="E912" s="10"/>
      <c r="F912" s="25"/>
      <c r="G912" s="25"/>
      <c r="H912" s="10"/>
      <c r="I912" s="10"/>
      <c r="J912" s="26"/>
      <c r="K912" s="25"/>
      <c r="L912" s="26"/>
      <c r="M912" s="27"/>
      <c r="N912" s="27"/>
      <c r="O912" s="28" t="str">
        <f aca="false">IF(OR(M912="",M912=0,N912=""),"",N912/M912)</f>
        <v/>
      </c>
      <c r="P912" s="28" t="str">
        <f aca="false">IF(M912="","",IFERROR(IF(INDEX(Parámetros!$B$14:$B$21,MATCH(I912,Parámetros!$A$14:$A$21,0))="",Parámetros!$B$5,INDEX(Parámetros!$B$14:$B$21,MATCH(I912,Parámetros!$A$14:$A$21,0))),Parámetros!$B$5))</f>
        <v/>
      </c>
      <c r="Q912" s="29" t="str">
        <f aca="false">IF(O912="","",(O912-P912)*100)</f>
        <v/>
      </c>
      <c r="R912" s="30" t="str">
        <f aca="false">IF(O912="","",MAX(0,M912*(P912-O912)))</f>
        <v/>
      </c>
      <c r="S912" s="31" t="str">
        <f aca="false">IF(OR(L912="",L912=0,N912=""),"",N912/1000/L912)</f>
        <v/>
      </c>
      <c r="T912" s="27"/>
      <c r="U912" s="27"/>
      <c r="V912" s="27"/>
      <c r="W912" s="27"/>
      <c r="X912" s="27"/>
      <c r="Y912" s="27"/>
      <c r="Z912" s="27"/>
      <c r="AA912" s="25"/>
      <c r="AB912" s="27"/>
      <c r="AC912" s="30" t="str">
        <f aca="false">IF(M912="","",IF(AB912="",M912*Parámetros!$B$6,AB912))</f>
        <v/>
      </c>
      <c r="AD912" s="30" t="str">
        <f aca="false">IF(M912="","",SUM(T912:Z912)+AC912)</f>
        <v/>
      </c>
      <c r="AE912" s="30" t="str">
        <f aca="false">IF(OR(M912="",N912=""),"",M912-N912)</f>
        <v/>
      </c>
      <c r="AF912" s="30" t="str">
        <f aca="false">IF(AE912="","",AE912-AD912)</f>
        <v/>
      </c>
      <c r="AG912" s="28" t="str">
        <f aca="false">IF(OR(AF912="",M912=0),"",AF912/M912)</f>
        <v/>
      </c>
      <c r="AH912" s="32" t="str">
        <f aca="false">IF(OR(AE912="",N912=0),"",AE912/(N912/1000))</f>
        <v/>
      </c>
      <c r="AI912" s="30" t="str">
        <f aca="false">IF(O912="","",M912*P912)</f>
        <v/>
      </c>
      <c r="AJ912" s="11" t="str">
        <f aca="false">IF(O912="","",IF(O912&gt;1,"Error: rend &gt; 100 %",IF(SUM(T912:Z912)=0,"Falta registrar pérdidas",IF(ABS(AG912)&gt;Parámetros!$B$7,"Revisar balance",IF(O912&lt;P912,"Bajo meta","OK")))))</f>
        <v/>
      </c>
      <c r="AK912" s="33"/>
      <c r="AL912" s="10"/>
      <c r="AM912" s="33"/>
      <c r="AN912" s="33"/>
      <c r="AO912" s="10"/>
    </row>
    <row r="913" customFormat="false" ht="15" hidden="false" customHeight="false" outlineLevel="0" collapsed="false">
      <c r="A913" s="22"/>
      <c r="B913" s="23" t="str">
        <f aca="false">IF(A913="","",YEAR(A913-WEEKDAY(A913,2)+4))</f>
        <v/>
      </c>
      <c r="C913" s="23" t="str">
        <f aca="false">IF(A913="","",WEEKNUM(A913,21))</f>
        <v/>
      </c>
      <c r="D913" s="24" t="str">
        <f aca="false">IF(A913="","",DATE(YEAR(A913),MONTH(A913),1))</f>
        <v/>
      </c>
      <c r="E913" s="10"/>
      <c r="F913" s="25"/>
      <c r="G913" s="25"/>
      <c r="H913" s="10"/>
      <c r="I913" s="10"/>
      <c r="J913" s="26"/>
      <c r="K913" s="25"/>
      <c r="L913" s="26"/>
      <c r="M913" s="27"/>
      <c r="N913" s="27"/>
      <c r="O913" s="28" t="str">
        <f aca="false">IF(OR(M913="",M913=0,N913=""),"",N913/M913)</f>
        <v/>
      </c>
      <c r="P913" s="28" t="str">
        <f aca="false">IF(M913="","",IFERROR(IF(INDEX(Parámetros!$B$14:$B$21,MATCH(I913,Parámetros!$A$14:$A$21,0))="",Parámetros!$B$5,INDEX(Parámetros!$B$14:$B$21,MATCH(I913,Parámetros!$A$14:$A$21,0))),Parámetros!$B$5))</f>
        <v/>
      </c>
      <c r="Q913" s="29" t="str">
        <f aca="false">IF(O913="","",(O913-P913)*100)</f>
        <v/>
      </c>
      <c r="R913" s="30" t="str">
        <f aca="false">IF(O913="","",MAX(0,M913*(P913-O913)))</f>
        <v/>
      </c>
      <c r="S913" s="31" t="str">
        <f aca="false">IF(OR(L913="",L913=0,N913=""),"",N913/1000/L913)</f>
        <v/>
      </c>
      <c r="T913" s="27"/>
      <c r="U913" s="27"/>
      <c r="V913" s="27"/>
      <c r="W913" s="27"/>
      <c r="X913" s="27"/>
      <c r="Y913" s="27"/>
      <c r="Z913" s="27"/>
      <c r="AA913" s="25"/>
      <c r="AB913" s="27"/>
      <c r="AC913" s="30" t="str">
        <f aca="false">IF(M913="","",IF(AB913="",M913*Parámetros!$B$6,AB913))</f>
        <v/>
      </c>
      <c r="AD913" s="30" t="str">
        <f aca="false">IF(M913="","",SUM(T913:Z913)+AC913)</f>
        <v/>
      </c>
      <c r="AE913" s="30" t="str">
        <f aca="false">IF(OR(M913="",N913=""),"",M913-N913)</f>
        <v/>
      </c>
      <c r="AF913" s="30" t="str">
        <f aca="false">IF(AE913="","",AE913-AD913)</f>
        <v/>
      </c>
      <c r="AG913" s="28" t="str">
        <f aca="false">IF(OR(AF913="",M913=0),"",AF913/M913)</f>
        <v/>
      </c>
      <c r="AH913" s="32" t="str">
        <f aca="false">IF(OR(AE913="",N913=0),"",AE913/(N913/1000))</f>
        <v/>
      </c>
      <c r="AI913" s="30" t="str">
        <f aca="false">IF(O913="","",M913*P913)</f>
        <v/>
      </c>
      <c r="AJ913" s="11" t="str">
        <f aca="false">IF(O913="","",IF(O913&gt;1,"Error: rend &gt; 100 %",IF(SUM(T913:Z913)=0,"Falta registrar pérdidas",IF(ABS(AG913)&gt;Parámetros!$B$7,"Revisar balance",IF(O913&lt;P913,"Bajo meta","OK")))))</f>
        <v/>
      </c>
      <c r="AK913" s="33"/>
      <c r="AL913" s="10"/>
      <c r="AM913" s="33"/>
      <c r="AN913" s="33"/>
      <c r="AO913" s="10"/>
    </row>
    <row r="914" customFormat="false" ht="15" hidden="false" customHeight="false" outlineLevel="0" collapsed="false">
      <c r="A914" s="22"/>
      <c r="B914" s="23" t="str">
        <f aca="false">IF(A914="","",YEAR(A914-WEEKDAY(A914,2)+4))</f>
        <v/>
      </c>
      <c r="C914" s="23" t="str">
        <f aca="false">IF(A914="","",WEEKNUM(A914,21))</f>
        <v/>
      </c>
      <c r="D914" s="24" t="str">
        <f aca="false">IF(A914="","",DATE(YEAR(A914),MONTH(A914),1))</f>
        <v/>
      </c>
      <c r="E914" s="10"/>
      <c r="F914" s="25"/>
      <c r="G914" s="25"/>
      <c r="H914" s="10"/>
      <c r="I914" s="10"/>
      <c r="J914" s="26"/>
      <c r="K914" s="25"/>
      <c r="L914" s="26"/>
      <c r="M914" s="27"/>
      <c r="N914" s="27"/>
      <c r="O914" s="28" t="str">
        <f aca="false">IF(OR(M914="",M914=0,N914=""),"",N914/M914)</f>
        <v/>
      </c>
      <c r="P914" s="28" t="str">
        <f aca="false">IF(M914="","",IFERROR(IF(INDEX(Parámetros!$B$14:$B$21,MATCH(I914,Parámetros!$A$14:$A$21,0))="",Parámetros!$B$5,INDEX(Parámetros!$B$14:$B$21,MATCH(I914,Parámetros!$A$14:$A$21,0))),Parámetros!$B$5))</f>
        <v/>
      </c>
      <c r="Q914" s="29" t="str">
        <f aca="false">IF(O914="","",(O914-P914)*100)</f>
        <v/>
      </c>
      <c r="R914" s="30" t="str">
        <f aca="false">IF(O914="","",MAX(0,M914*(P914-O914)))</f>
        <v/>
      </c>
      <c r="S914" s="31" t="str">
        <f aca="false">IF(OR(L914="",L914=0,N914=""),"",N914/1000/L914)</f>
        <v/>
      </c>
      <c r="T914" s="27"/>
      <c r="U914" s="27"/>
      <c r="V914" s="27"/>
      <c r="W914" s="27"/>
      <c r="X914" s="27"/>
      <c r="Y914" s="27"/>
      <c r="Z914" s="27"/>
      <c r="AA914" s="25"/>
      <c r="AB914" s="27"/>
      <c r="AC914" s="30" t="str">
        <f aca="false">IF(M914="","",IF(AB914="",M914*Parámetros!$B$6,AB914))</f>
        <v/>
      </c>
      <c r="AD914" s="30" t="str">
        <f aca="false">IF(M914="","",SUM(T914:Z914)+AC914)</f>
        <v/>
      </c>
      <c r="AE914" s="30" t="str">
        <f aca="false">IF(OR(M914="",N914=""),"",M914-N914)</f>
        <v/>
      </c>
      <c r="AF914" s="30" t="str">
        <f aca="false">IF(AE914="","",AE914-AD914)</f>
        <v/>
      </c>
      <c r="AG914" s="28" t="str">
        <f aca="false">IF(OR(AF914="",M914=0),"",AF914/M914)</f>
        <v/>
      </c>
      <c r="AH914" s="32" t="str">
        <f aca="false">IF(OR(AE914="",N914=0),"",AE914/(N914/1000))</f>
        <v/>
      </c>
      <c r="AI914" s="30" t="str">
        <f aca="false">IF(O914="","",M914*P914)</f>
        <v/>
      </c>
      <c r="AJ914" s="11" t="str">
        <f aca="false">IF(O914="","",IF(O914&gt;1,"Error: rend &gt; 100 %",IF(SUM(T914:Z914)=0,"Falta registrar pérdidas",IF(ABS(AG914)&gt;Parámetros!$B$7,"Revisar balance",IF(O914&lt;P914,"Bajo meta","OK")))))</f>
        <v/>
      </c>
      <c r="AK914" s="33"/>
      <c r="AL914" s="10"/>
      <c r="AM914" s="33"/>
      <c r="AN914" s="33"/>
      <c r="AO914" s="10"/>
    </row>
    <row r="915" customFormat="false" ht="15" hidden="false" customHeight="false" outlineLevel="0" collapsed="false">
      <c r="A915" s="22"/>
      <c r="B915" s="23" t="str">
        <f aca="false">IF(A915="","",YEAR(A915-WEEKDAY(A915,2)+4))</f>
        <v/>
      </c>
      <c r="C915" s="23" t="str">
        <f aca="false">IF(A915="","",WEEKNUM(A915,21))</f>
        <v/>
      </c>
      <c r="D915" s="24" t="str">
        <f aca="false">IF(A915="","",DATE(YEAR(A915),MONTH(A915),1))</f>
        <v/>
      </c>
      <c r="E915" s="10"/>
      <c r="F915" s="25"/>
      <c r="G915" s="25"/>
      <c r="H915" s="10"/>
      <c r="I915" s="10"/>
      <c r="J915" s="26"/>
      <c r="K915" s="25"/>
      <c r="L915" s="26"/>
      <c r="M915" s="27"/>
      <c r="N915" s="27"/>
      <c r="O915" s="28" t="str">
        <f aca="false">IF(OR(M915="",M915=0,N915=""),"",N915/M915)</f>
        <v/>
      </c>
      <c r="P915" s="28" t="str">
        <f aca="false">IF(M915="","",IFERROR(IF(INDEX(Parámetros!$B$14:$B$21,MATCH(I915,Parámetros!$A$14:$A$21,0))="",Parámetros!$B$5,INDEX(Parámetros!$B$14:$B$21,MATCH(I915,Parámetros!$A$14:$A$21,0))),Parámetros!$B$5))</f>
        <v/>
      </c>
      <c r="Q915" s="29" t="str">
        <f aca="false">IF(O915="","",(O915-P915)*100)</f>
        <v/>
      </c>
      <c r="R915" s="30" t="str">
        <f aca="false">IF(O915="","",MAX(0,M915*(P915-O915)))</f>
        <v/>
      </c>
      <c r="S915" s="31" t="str">
        <f aca="false">IF(OR(L915="",L915=0,N915=""),"",N915/1000/L915)</f>
        <v/>
      </c>
      <c r="T915" s="27"/>
      <c r="U915" s="27"/>
      <c r="V915" s="27"/>
      <c r="W915" s="27"/>
      <c r="X915" s="27"/>
      <c r="Y915" s="27"/>
      <c r="Z915" s="27"/>
      <c r="AA915" s="25"/>
      <c r="AB915" s="27"/>
      <c r="AC915" s="30" t="str">
        <f aca="false">IF(M915="","",IF(AB915="",M915*Parámetros!$B$6,AB915))</f>
        <v/>
      </c>
      <c r="AD915" s="30" t="str">
        <f aca="false">IF(M915="","",SUM(T915:Z915)+AC915)</f>
        <v/>
      </c>
      <c r="AE915" s="30" t="str">
        <f aca="false">IF(OR(M915="",N915=""),"",M915-N915)</f>
        <v/>
      </c>
      <c r="AF915" s="30" t="str">
        <f aca="false">IF(AE915="","",AE915-AD915)</f>
        <v/>
      </c>
      <c r="AG915" s="28" t="str">
        <f aca="false">IF(OR(AF915="",M915=0),"",AF915/M915)</f>
        <v/>
      </c>
      <c r="AH915" s="32" t="str">
        <f aca="false">IF(OR(AE915="",N915=0),"",AE915/(N915/1000))</f>
        <v/>
      </c>
      <c r="AI915" s="30" t="str">
        <f aca="false">IF(O915="","",M915*P915)</f>
        <v/>
      </c>
      <c r="AJ915" s="11" t="str">
        <f aca="false">IF(O915="","",IF(O915&gt;1,"Error: rend &gt; 100 %",IF(SUM(T915:Z915)=0,"Falta registrar pérdidas",IF(ABS(AG915)&gt;Parámetros!$B$7,"Revisar balance",IF(O915&lt;P915,"Bajo meta","OK")))))</f>
        <v/>
      </c>
      <c r="AK915" s="33"/>
      <c r="AL915" s="10"/>
      <c r="AM915" s="33"/>
      <c r="AN915" s="33"/>
      <c r="AO915" s="10"/>
    </row>
    <row r="916" customFormat="false" ht="15" hidden="false" customHeight="false" outlineLevel="0" collapsed="false">
      <c r="A916" s="22"/>
      <c r="B916" s="23" t="str">
        <f aca="false">IF(A916="","",YEAR(A916-WEEKDAY(A916,2)+4))</f>
        <v/>
      </c>
      <c r="C916" s="23" t="str">
        <f aca="false">IF(A916="","",WEEKNUM(A916,21))</f>
        <v/>
      </c>
      <c r="D916" s="24" t="str">
        <f aca="false">IF(A916="","",DATE(YEAR(A916),MONTH(A916),1))</f>
        <v/>
      </c>
      <c r="E916" s="10"/>
      <c r="F916" s="25"/>
      <c r="G916" s="25"/>
      <c r="H916" s="10"/>
      <c r="I916" s="10"/>
      <c r="J916" s="26"/>
      <c r="K916" s="25"/>
      <c r="L916" s="26"/>
      <c r="M916" s="27"/>
      <c r="N916" s="27"/>
      <c r="O916" s="28" t="str">
        <f aca="false">IF(OR(M916="",M916=0,N916=""),"",N916/M916)</f>
        <v/>
      </c>
      <c r="P916" s="28" t="str">
        <f aca="false">IF(M916="","",IFERROR(IF(INDEX(Parámetros!$B$14:$B$21,MATCH(I916,Parámetros!$A$14:$A$21,0))="",Parámetros!$B$5,INDEX(Parámetros!$B$14:$B$21,MATCH(I916,Parámetros!$A$14:$A$21,0))),Parámetros!$B$5))</f>
        <v/>
      </c>
      <c r="Q916" s="29" t="str">
        <f aca="false">IF(O916="","",(O916-P916)*100)</f>
        <v/>
      </c>
      <c r="R916" s="30" t="str">
        <f aca="false">IF(O916="","",MAX(0,M916*(P916-O916)))</f>
        <v/>
      </c>
      <c r="S916" s="31" t="str">
        <f aca="false">IF(OR(L916="",L916=0,N916=""),"",N916/1000/L916)</f>
        <v/>
      </c>
      <c r="T916" s="27"/>
      <c r="U916" s="27"/>
      <c r="V916" s="27"/>
      <c r="W916" s="27"/>
      <c r="X916" s="27"/>
      <c r="Y916" s="27"/>
      <c r="Z916" s="27"/>
      <c r="AA916" s="25"/>
      <c r="AB916" s="27"/>
      <c r="AC916" s="30" t="str">
        <f aca="false">IF(M916="","",IF(AB916="",M916*Parámetros!$B$6,AB916))</f>
        <v/>
      </c>
      <c r="AD916" s="30" t="str">
        <f aca="false">IF(M916="","",SUM(T916:Z916)+AC916)</f>
        <v/>
      </c>
      <c r="AE916" s="30" t="str">
        <f aca="false">IF(OR(M916="",N916=""),"",M916-N916)</f>
        <v/>
      </c>
      <c r="AF916" s="30" t="str">
        <f aca="false">IF(AE916="","",AE916-AD916)</f>
        <v/>
      </c>
      <c r="AG916" s="28" t="str">
        <f aca="false">IF(OR(AF916="",M916=0),"",AF916/M916)</f>
        <v/>
      </c>
      <c r="AH916" s="32" t="str">
        <f aca="false">IF(OR(AE916="",N916=0),"",AE916/(N916/1000))</f>
        <v/>
      </c>
      <c r="AI916" s="30" t="str">
        <f aca="false">IF(O916="","",M916*P916)</f>
        <v/>
      </c>
      <c r="AJ916" s="11" t="str">
        <f aca="false">IF(O916="","",IF(O916&gt;1,"Error: rend &gt; 100 %",IF(SUM(T916:Z916)=0,"Falta registrar pérdidas",IF(ABS(AG916)&gt;Parámetros!$B$7,"Revisar balance",IF(O916&lt;P916,"Bajo meta","OK")))))</f>
        <v/>
      </c>
      <c r="AK916" s="33"/>
      <c r="AL916" s="10"/>
      <c r="AM916" s="33"/>
      <c r="AN916" s="33"/>
      <c r="AO916" s="10"/>
    </row>
    <row r="917" customFormat="false" ht="15" hidden="false" customHeight="false" outlineLevel="0" collapsed="false">
      <c r="A917" s="22"/>
      <c r="B917" s="23" t="str">
        <f aca="false">IF(A917="","",YEAR(A917-WEEKDAY(A917,2)+4))</f>
        <v/>
      </c>
      <c r="C917" s="23" t="str">
        <f aca="false">IF(A917="","",WEEKNUM(A917,21))</f>
        <v/>
      </c>
      <c r="D917" s="24" t="str">
        <f aca="false">IF(A917="","",DATE(YEAR(A917),MONTH(A917),1))</f>
        <v/>
      </c>
      <c r="E917" s="10"/>
      <c r="F917" s="25"/>
      <c r="G917" s="25"/>
      <c r="H917" s="10"/>
      <c r="I917" s="10"/>
      <c r="J917" s="26"/>
      <c r="K917" s="25"/>
      <c r="L917" s="26"/>
      <c r="M917" s="27"/>
      <c r="N917" s="27"/>
      <c r="O917" s="28" t="str">
        <f aca="false">IF(OR(M917="",M917=0,N917=""),"",N917/M917)</f>
        <v/>
      </c>
      <c r="P917" s="28" t="str">
        <f aca="false">IF(M917="","",IFERROR(IF(INDEX(Parámetros!$B$14:$B$21,MATCH(I917,Parámetros!$A$14:$A$21,0))="",Parámetros!$B$5,INDEX(Parámetros!$B$14:$B$21,MATCH(I917,Parámetros!$A$14:$A$21,0))),Parámetros!$B$5))</f>
        <v/>
      </c>
      <c r="Q917" s="29" t="str">
        <f aca="false">IF(O917="","",(O917-P917)*100)</f>
        <v/>
      </c>
      <c r="R917" s="30" t="str">
        <f aca="false">IF(O917="","",MAX(0,M917*(P917-O917)))</f>
        <v/>
      </c>
      <c r="S917" s="31" t="str">
        <f aca="false">IF(OR(L917="",L917=0,N917=""),"",N917/1000/L917)</f>
        <v/>
      </c>
      <c r="T917" s="27"/>
      <c r="U917" s="27"/>
      <c r="V917" s="27"/>
      <c r="W917" s="27"/>
      <c r="X917" s="27"/>
      <c r="Y917" s="27"/>
      <c r="Z917" s="27"/>
      <c r="AA917" s="25"/>
      <c r="AB917" s="27"/>
      <c r="AC917" s="30" t="str">
        <f aca="false">IF(M917="","",IF(AB917="",M917*Parámetros!$B$6,AB917))</f>
        <v/>
      </c>
      <c r="AD917" s="30" t="str">
        <f aca="false">IF(M917="","",SUM(T917:Z917)+AC917)</f>
        <v/>
      </c>
      <c r="AE917" s="30" t="str">
        <f aca="false">IF(OR(M917="",N917=""),"",M917-N917)</f>
        <v/>
      </c>
      <c r="AF917" s="30" t="str">
        <f aca="false">IF(AE917="","",AE917-AD917)</f>
        <v/>
      </c>
      <c r="AG917" s="28" t="str">
        <f aca="false">IF(OR(AF917="",M917=0),"",AF917/M917)</f>
        <v/>
      </c>
      <c r="AH917" s="32" t="str">
        <f aca="false">IF(OR(AE917="",N917=0),"",AE917/(N917/1000))</f>
        <v/>
      </c>
      <c r="AI917" s="30" t="str">
        <f aca="false">IF(O917="","",M917*P917)</f>
        <v/>
      </c>
      <c r="AJ917" s="11" t="str">
        <f aca="false">IF(O917="","",IF(O917&gt;1,"Error: rend &gt; 100 %",IF(SUM(T917:Z917)=0,"Falta registrar pérdidas",IF(ABS(AG917)&gt;Parámetros!$B$7,"Revisar balance",IF(O917&lt;P917,"Bajo meta","OK")))))</f>
        <v/>
      </c>
      <c r="AK917" s="33"/>
      <c r="AL917" s="10"/>
      <c r="AM917" s="33"/>
      <c r="AN917" s="33"/>
      <c r="AO917" s="10"/>
    </row>
    <row r="918" customFormat="false" ht="15" hidden="false" customHeight="false" outlineLevel="0" collapsed="false">
      <c r="A918" s="22"/>
      <c r="B918" s="23" t="str">
        <f aca="false">IF(A918="","",YEAR(A918-WEEKDAY(A918,2)+4))</f>
        <v/>
      </c>
      <c r="C918" s="23" t="str">
        <f aca="false">IF(A918="","",WEEKNUM(A918,21))</f>
        <v/>
      </c>
      <c r="D918" s="24" t="str">
        <f aca="false">IF(A918="","",DATE(YEAR(A918),MONTH(A918),1))</f>
        <v/>
      </c>
      <c r="E918" s="10"/>
      <c r="F918" s="25"/>
      <c r="G918" s="25"/>
      <c r="H918" s="10"/>
      <c r="I918" s="10"/>
      <c r="J918" s="26"/>
      <c r="K918" s="25"/>
      <c r="L918" s="26"/>
      <c r="M918" s="27"/>
      <c r="N918" s="27"/>
      <c r="O918" s="28" t="str">
        <f aca="false">IF(OR(M918="",M918=0,N918=""),"",N918/M918)</f>
        <v/>
      </c>
      <c r="P918" s="28" t="str">
        <f aca="false">IF(M918="","",IFERROR(IF(INDEX(Parámetros!$B$14:$B$21,MATCH(I918,Parámetros!$A$14:$A$21,0))="",Parámetros!$B$5,INDEX(Parámetros!$B$14:$B$21,MATCH(I918,Parámetros!$A$14:$A$21,0))),Parámetros!$B$5))</f>
        <v/>
      </c>
      <c r="Q918" s="29" t="str">
        <f aca="false">IF(O918="","",(O918-P918)*100)</f>
        <v/>
      </c>
      <c r="R918" s="30" t="str">
        <f aca="false">IF(O918="","",MAX(0,M918*(P918-O918)))</f>
        <v/>
      </c>
      <c r="S918" s="31" t="str">
        <f aca="false">IF(OR(L918="",L918=0,N918=""),"",N918/1000/L918)</f>
        <v/>
      </c>
      <c r="T918" s="27"/>
      <c r="U918" s="27"/>
      <c r="V918" s="27"/>
      <c r="W918" s="27"/>
      <c r="X918" s="27"/>
      <c r="Y918" s="27"/>
      <c r="Z918" s="27"/>
      <c r="AA918" s="25"/>
      <c r="AB918" s="27"/>
      <c r="AC918" s="30" t="str">
        <f aca="false">IF(M918="","",IF(AB918="",M918*Parámetros!$B$6,AB918))</f>
        <v/>
      </c>
      <c r="AD918" s="30" t="str">
        <f aca="false">IF(M918="","",SUM(T918:Z918)+AC918)</f>
        <v/>
      </c>
      <c r="AE918" s="30" t="str">
        <f aca="false">IF(OR(M918="",N918=""),"",M918-N918)</f>
        <v/>
      </c>
      <c r="AF918" s="30" t="str">
        <f aca="false">IF(AE918="","",AE918-AD918)</f>
        <v/>
      </c>
      <c r="AG918" s="28" t="str">
        <f aca="false">IF(OR(AF918="",M918=0),"",AF918/M918)</f>
        <v/>
      </c>
      <c r="AH918" s="32" t="str">
        <f aca="false">IF(OR(AE918="",N918=0),"",AE918/(N918/1000))</f>
        <v/>
      </c>
      <c r="AI918" s="30" t="str">
        <f aca="false">IF(O918="","",M918*P918)</f>
        <v/>
      </c>
      <c r="AJ918" s="11" t="str">
        <f aca="false">IF(O918="","",IF(O918&gt;1,"Error: rend &gt; 100 %",IF(SUM(T918:Z918)=0,"Falta registrar pérdidas",IF(ABS(AG918)&gt;Parámetros!$B$7,"Revisar balance",IF(O918&lt;P918,"Bajo meta","OK")))))</f>
        <v/>
      </c>
      <c r="AK918" s="33"/>
      <c r="AL918" s="10"/>
      <c r="AM918" s="33"/>
      <c r="AN918" s="33"/>
      <c r="AO918" s="10"/>
    </row>
    <row r="919" customFormat="false" ht="15" hidden="false" customHeight="false" outlineLevel="0" collapsed="false">
      <c r="A919" s="22"/>
      <c r="B919" s="23" t="str">
        <f aca="false">IF(A919="","",YEAR(A919-WEEKDAY(A919,2)+4))</f>
        <v/>
      </c>
      <c r="C919" s="23" t="str">
        <f aca="false">IF(A919="","",WEEKNUM(A919,21))</f>
        <v/>
      </c>
      <c r="D919" s="24" t="str">
        <f aca="false">IF(A919="","",DATE(YEAR(A919),MONTH(A919),1))</f>
        <v/>
      </c>
      <c r="E919" s="10"/>
      <c r="F919" s="25"/>
      <c r="G919" s="25"/>
      <c r="H919" s="10"/>
      <c r="I919" s="10"/>
      <c r="J919" s="26"/>
      <c r="K919" s="25"/>
      <c r="L919" s="26"/>
      <c r="M919" s="27"/>
      <c r="N919" s="27"/>
      <c r="O919" s="28" t="str">
        <f aca="false">IF(OR(M919="",M919=0,N919=""),"",N919/M919)</f>
        <v/>
      </c>
      <c r="P919" s="28" t="str">
        <f aca="false">IF(M919="","",IFERROR(IF(INDEX(Parámetros!$B$14:$B$21,MATCH(I919,Parámetros!$A$14:$A$21,0))="",Parámetros!$B$5,INDEX(Parámetros!$B$14:$B$21,MATCH(I919,Parámetros!$A$14:$A$21,0))),Parámetros!$B$5))</f>
        <v/>
      </c>
      <c r="Q919" s="29" t="str">
        <f aca="false">IF(O919="","",(O919-P919)*100)</f>
        <v/>
      </c>
      <c r="R919" s="30" t="str">
        <f aca="false">IF(O919="","",MAX(0,M919*(P919-O919)))</f>
        <v/>
      </c>
      <c r="S919" s="31" t="str">
        <f aca="false">IF(OR(L919="",L919=0,N919=""),"",N919/1000/L919)</f>
        <v/>
      </c>
      <c r="T919" s="27"/>
      <c r="U919" s="27"/>
      <c r="V919" s="27"/>
      <c r="W919" s="27"/>
      <c r="X919" s="27"/>
      <c r="Y919" s="27"/>
      <c r="Z919" s="27"/>
      <c r="AA919" s="25"/>
      <c r="AB919" s="27"/>
      <c r="AC919" s="30" t="str">
        <f aca="false">IF(M919="","",IF(AB919="",M919*Parámetros!$B$6,AB919))</f>
        <v/>
      </c>
      <c r="AD919" s="30" t="str">
        <f aca="false">IF(M919="","",SUM(T919:Z919)+AC919)</f>
        <v/>
      </c>
      <c r="AE919" s="30" t="str">
        <f aca="false">IF(OR(M919="",N919=""),"",M919-N919)</f>
        <v/>
      </c>
      <c r="AF919" s="30" t="str">
        <f aca="false">IF(AE919="","",AE919-AD919)</f>
        <v/>
      </c>
      <c r="AG919" s="28" t="str">
        <f aca="false">IF(OR(AF919="",M919=0),"",AF919/M919)</f>
        <v/>
      </c>
      <c r="AH919" s="32" t="str">
        <f aca="false">IF(OR(AE919="",N919=0),"",AE919/(N919/1000))</f>
        <v/>
      </c>
      <c r="AI919" s="30" t="str">
        <f aca="false">IF(O919="","",M919*P919)</f>
        <v/>
      </c>
      <c r="AJ919" s="11" t="str">
        <f aca="false">IF(O919="","",IF(O919&gt;1,"Error: rend &gt; 100 %",IF(SUM(T919:Z919)=0,"Falta registrar pérdidas",IF(ABS(AG919)&gt;Parámetros!$B$7,"Revisar balance",IF(O919&lt;P919,"Bajo meta","OK")))))</f>
        <v/>
      </c>
      <c r="AK919" s="33"/>
      <c r="AL919" s="10"/>
      <c r="AM919" s="33"/>
      <c r="AN919" s="33"/>
      <c r="AO919" s="10"/>
    </row>
    <row r="920" customFormat="false" ht="15" hidden="false" customHeight="false" outlineLevel="0" collapsed="false">
      <c r="A920" s="22"/>
      <c r="B920" s="23" t="str">
        <f aca="false">IF(A920="","",YEAR(A920-WEEKDAY(A920,2)+4))</f>
        <v/>
      </c>
      <c r="C920" s="23" t="str">
        <f aca="false">IF(A920="","",WEEKNUM(A920,21))</f>
        <v/>
      </c>
      <c r="D920" s="24" t="str">
        <f aca="false">IF(A920="","",DATE(YEAR(A920),MONTH(A920),1))</f>
        <v/>
      </c>
      <c r="E920" s="10"/>
      <c r="F920" s="25"/>
      <c r="G920" s="25"/>
      <c r="H920" s="10"/>
      <c r="I920" s="10"/>
      <c r="J920" s="26"/>
      <c r="K920" s="25"/>
      <c r="L920" s="26"/>
      <c r="M920" s="27"/>
      <c r="N920" s="27"/>
      <c r="O920" s="28" t="str">
        <f aca="false">IF(OR(M920="",M920=0,N920=""),"",N920/M920)</f>
        <v/>
      </c>
      <c r="P920" s="28" t="str">
        <f aca="false">IF(M920="","",IFERROR(IF(INDEX(Parámetros!$B$14:$B$21,MATCH(I920,Parámetros!$A$14:$A$21,0))="",Parámetros!$B$5,INDEX(Parámetros!$B$14:$B$21,MATCH(I920,Parámetros!$A$14:$A$21,0))),Parámetros!$B$5))</f>
        <v/>
      </c>
      <c r="Q920" s="29" t="str">
        <f aca="false">IF(O920="","",(O920-P920)*100)</f>
        <v/>
      </c>
      <c r="R920" s="30" t="str">
        <f aca="false">IF(O920="","",MAX(0,M920*(P920-O920)))</f>
        <v/>
      </c>
      <c r="S920" s="31" t="str">
        <f aca="false">IF(OR(L920="",L920=0,N920=""),"",N920/1000/L920)</f>
        <v/>
      </c>
      <c r="T920" s="27"/>
      <c r="U920" s="27"/>
      <c r="V920" s="27"/>
      <c r="W920" s="27"/>
      <c r="X920" s="27"/>
      <c r="Y920" s="27"/>
      <c r="Z920" s="27"/>
      <c r="AA920" s="25"/>
      <c r="AB920" s="27"/>
      <c r="AC920" s="30" t="str">
        <f aca="false">IF(M920="","",IF(AB920="",M920*Parámetros!$B$6,AB920))</f>
        <v/>
      </c>
      <c r="AD920" s="30" t="str">
        <f aca="false">IF(M920="","",SUM(T920:Z920)+AC920)</f>
        <v/>
      </c>
      <c r="AE920" s="30" t="str">
        <f aca="false">IF(OR(M920="",N920=""),"",M920-N920)</f>
        <v/>
      </c>
      <c r="AF920" s="30" t="str">
        <f aca="false">IF(AE920="","",AE920-AD920)</f>
        <v/>
      </c>
      <c r="AG920" s="28" t="str">
        <f aca="false">IF(OR(AF920="",M920=0),"",AF920/M920)</f>
        <v/>
      </c>
      <c r="AH920" s="32" t="str">
        <f aca="false">IF(OR(AE920="",N920=0),"",AE920/(N920/1000))</f>
        <v/>
      </c>
      <c r="AI920" s="30" t="str">
        <f aca="false">IF(O920="","",M920*P920)</f>
        <v/>
      </c>
      <c r="AJ920" s="11" t="str">
        <f aca="false">IF(O920="","",IF(O920&gt;1,"Error: rend &gt; 100 %",IF(SUM(T920:Z920)=0,"Falta registrar pérdidas",IF(ABS(AG920)&gt;Parámetros!$B$7,"Revisar balance",IF(O920&lt;P920,"Bajo meta","OK")))))</f>
        <v/>
      </c>
      <c r="AK920" s="33"/>
      <c r="AL920" s="10"/>
      <c r="AM920" s="33"/>
      <c r="AN920" s="33"/>
      <c r="AO920" s="10"/>
    </row>
    <row r="921" customFormat="false" ht="15" hidden="false" customHeight="false" outlineLevel="0" collapsed="false">
      <c r="A921" s="22"/>
      <c r="B921" s="23" t="str">
        <f aca="false">IF(A921="","",YEAR(A921-WEEKDAY(A921,2)+4))</f>
        <v/>
      </c>
      <c r="C921" s="23" t="str">
        <f aca="false">IF(A921="","",WEEKNUM(A921,21))</f>
        <v/>
      </c>
      <c r="D921" s="24" t="str">
        <f aca="false">IF(A921="","",DATE(YEAR(A921),MONTH(A921),1))</f>
        <v/>
      </c>
      <c r="E921" s="10"/>
      <c r="F921" s="25"/>
      <c r="G921" s="25"/>
      <c r="H921" s="10"/>
      <c r="I921" s="10"/>
      <c r="J921" s="26"/>
      <c r="K921" s="25"/>
      <c r="L921" s="26"/>
      <c r="M921" s="27"/>
      <c r="N921" s="27"/>
      <c r="O921" s="28" t="str">
        <f aca="false">IF(OR(M921="",M921=0,N921=""),"",N921/M921)</f>
        <v/>
      </c>
      <c r="P921" s="28" t="str">
        <f aca="false">IF(M921="","",IFERROR(IF(INDEX(Parámetros!$B$14:$B$21,MATCH(I921,Parámetros!$A$14:$A$21,0))="",Parámetros!$B$5,INDEX(Parámetros!$B$14:$B$21,MATCH(I921,Parámetros!$A$14:$A$21,0))),Parámetros!$B$5))</f>
        <v/>
      </c>
      <c r="Q921" s="29" t="str">
        <f aca="false">IF(O921="","",(O921-P921)*100)</f>
        <v/>
      </c>
      <c r="R921" s="30" t="str">
        <f aca="false">IF(O921="","",MAX(0,M921*(P921-O921)))</f>
        <v/>
      </c>
      <c r="S921" s="31" t="str">
        <f aca="false">IF(OR(L921="",L921=0,N921=""),"",N921/1000/L921)</f>
        <v/>
      </c>
      <c r="T921" s="27"/>
      <c r="U921" s="27"/>
      <c r="V921" s="27"/>
      <c r="W921" s="27"/>
      <c r="X921" s="27"/>
      <c r="Y921" s="27"/>
      <c r="Z921" s="27"/>
      <c r="AA921" s="25"/>
      <c r="AB921" s="27"/>
      <c r="AC921" s="30" t="str">
        <f aca="false">IF(M921="","",IF(AB921="",M921*Parámetros!$B$6,AB921))</f>
        <v/>
      </c>
      <c r="AD921" s="30" t="str">
        <f aca="false">IF(M921="","",SUM(T921:Z921)+AC921)</f>
        <v/>
      </c>
      <c r="AE921" s="30" t="str">
        <f aca="false">IF(OR(M921="",N921=""),"",M921-N921)</f>
        <v/>
      </c>
      <c r="AF921" s="30" t="str">
        <f aca="false">IF(AE921="","",AE921-AD921)</f>
        <v/>
      </c>
      <c r="AG921" s="28" t="str">
        <f aca="false">IF(OR(AF921="",M921=0),"",AF921/M921)</f>
        <v/>
      </c>
      <c r="AH921" s="32" t="str">
        <f aca="false">IF(OR(AE921="",N921=0),"",AE921/(N921/1000))</f>
        <v/>
      </c>
      <c r="AI921" s="30" t="str">
        <f aca="false">IF(O921="","",M921*P921)</f>
        <v/>
      </c>
      <c r="AJ921" s="11" t="str">
        <f aca="false">IF(O921="","",IF(O921&gt;1,"Error: rend &gt; 100 %",IF(SUM(T921:Z921)=0,"Falta registrar pérdidas",IF(ABS(AG921)&gt;Parámetros!$B$7,"Revisar balance",IF(O921&lt;P921,"Bajo meta","OK")))))</f>
        <v/>
      </c>
      <c r="AK921" s="33"/>
      <c r="AL921" s="10"/>
      <c r="AM921" s="33"/>
      <c r="AN921" s="33"/>
      <c r="AO921" s="10"/>
    </row>
    <row r="922" customFormat="false" ht="15" hidden="false" customHeight="false" outlineLevel="0" collapsed="false">
      <c r="A922" s="22"/>
      <c r="B922" s="23" t="str">
        <f aca="false">IF(A922="","",YEAR(A922-WEEKDAY(A922,2)+4))</f>
        <v/>
      </c>
      <c r="C922" s="23" t="str">
        <f aca="false">IF(A922="","",WEEKNUM(A922,21))</f>
        <v/>
      </c>
      <c r="D922" s="24" t="str">
        <f aca="false">IF(A922="","",DATE(YEAR(A922),MONTH(A922),1))</f>
        <v/>
      </c>
      <c r="E922" s="10"/>
      <c r="F922" s="25"/>
      <c r="G922" s="25"/>
      <c r="H922" s="10"/>
      <c r="I922" s="10"/>
      <c r="J922" s="26"/>
      <c r="K922" s="25"/>
      <c r="L922" s="26"/>
      <c r="M922" s="27"/>
      <c r="N922" s="27"/>
      <c r="O922" s="28" t="str">
        <f aca="false">IF(OR(M922="",M922=0,N922=""),"",N922/M922)</f>
        <v/>
      </c>
      <c r="P922" s="28" t="str">
        <f aca="false">IF(M922="","",IFERROR(IF(INDEX(Parámetros!$B$14:$B$21,MATCH(I922,Parámetros!$A$14:$A$21,0))="",Parámetros!$B$5,INDEX(Parámetros!$B$14:$B$21,MATCH(I922,Parámetros!$A$14:$A$21,0))),Parámetros!$B$5))</f>
        <v/>
      </c>
      <c r="Q922" s="29" t="str">
        <f aca="false">IF(O922="","",(O922-P922)*100)</f>
        <v/>
      </c>
      <c r="R922" s="30" t="str">
        <f aca="false">IF(O922="","",MAX(0,M922*(P922-O922)))</f>
        <v/>
      </c>
      <c r="S922" s="31" t="str">
        <f aca="false">IF(OR(L922="",L922=0,N922=""),"",N922/1000/L922)</f>
        <v/>
      </c>
      <c r="T922" s="27"/>
      <c r="U922" s="27"/>
      <c r="V922" s="27"/>
      <c r="W922" s="27"/>
      <c r="X922" s="27"/>
      <c r="Y922" s="27"/>
      <c r="Z922" s="27"/>
      <c r="AA922" s="25"/>
      <c r="AB922" s="27"/>
      <c r="AC922" s="30" t="str">
        <f aca="false">IF(M922="","",IF(AB922="",M922*Parámetros!$B$6,AB922))</f>
        <v/>
      </c>
      <c r="AD922" s="30" t="str">
        <f aca="false">IF(M922="","",SUM(T922:Z922)+AC922)</f>
        <v/>
      </c>
      <c r="AE922" s="30" t="str">
        <f aca="false">IF(OR(M922="",N922=""),"",M922-N922)</f>
        <v/>
      </c>
      <c r="AF922" s="30" t="str">
        <f aca="false">IF(AE922="","",AE922-AD922)</f>
        <v/>
      </c>
      <c r="AG922" s="28" t="str">
        <f aca="false">IF(OR(AF922="",M922=0),"",AF922/M922)</f>
        <v/>
      </c>
      <c r="AH922" s="32" t="str">
        <f aca="false">IF(OR(AE922="",N922=0),"",AE922/(N922/1000))</f>
        <v/>
      </c>
      <c r="AI922" s="30" t="str">
        <f aca="false">IF(O922="","",M922*P922)</f>
        <v/>
      </c>
      <c r="AJ922" s="11" t="str">
        <f aca="false">IF(O922="","",IF(O922&gt;1,"Error: rend &gt; 100 %",IF(SUM(T922:Z922)=0,"Falta registrar pérdidas",IF(ABS(AG922)&gt;Parámetros!$B$7,"Revisar balance",IF(O922&lt;P922,"Bajo meta","OK")))))</f>
        <v/>
      </c>
      <c r="AK922" s="33"/>
      <c r="AL922" s="10"/>
      <c r="AM922" s="33"/>
      <c r="AN922" s="33"/>
      <c r="AO922" s="10"/>
    </row>
    <row r="923" customFormat="false" ht="15" hidden="false" customHeight="false" outlineLevel="0" collapsed="false">
      <c r="A923" s="22"/>
      <c r="B923" s="23" t="str">
        <f aca="false">IF(A923="","",YEAR(A923-WEEKDAY(A923,2)+4))</f>
        <v/>
      </c>
      <c r="C923" s="23" t="str">
        <f aca="false">IF(A923="","",WEEKNUM(A923,21))</f>
        <v/>
      </c>
      <c r="D923" s="24" t="str">
        <f aca="false">IF(A923="","",DATE(YEAR(A923),MONTH(A923),1))</f>
        <v/>
      </c>
      <c r="E923" s="10"/>
      <c r="F923" s="25"/>
      <c r="G923" s="25"/>
      <c r="H923" s="10"/>
      <c r="I923" s="10"/>
      <c r="J923" s="26"/>
      <c r="K923" s="25"/>
      <c r="L923" s="26"/>
      <c r="M923" s="27"/>
      <c r="N923" s="27"/>
      <c r="O923" s="28" t="str">
        <f aca="false">IF(OR(M923="",M923=0,N923=""),"",N923/M923)</f>
        <v/>
      </c>
      <c r="P923" s="28" t="str">
        <f aca="false">IF(M923="","",IFERROR(IF(INDEX(Parámetros!$B$14:$B$21,MATCH(I923,Parámetros!$A$14:$A$21,0))="",Parámetros!$B$5,INDEX(Parámetros!$B$14:$B$21,MATCH(I923,Parámetros!$A$14:$A$21,0))),Parámetros!$B$5))</f>
        <v/>
      </c>
      <c r="Q923" s="29" t="str">
        <f aca="false">IF(O923="","",(O923-P923)*100)</f>
        <v/>
      </c>
      <c r="R923" s="30" t="str">
        <f aca="false">IF(O923="","",MAX(0,M923*(P923-O923)))</f>
        <v/>
      </c>
      <c r="S923" s="31" t="str">
        <f aca="false">IF(OR(L923="",L923=0,N923=""),"",N923/1000/L923)</f>
        <v/>
      </c>
      <c r="T923" s="27"/>
      <c r="U923" s="27"/>
      <c r="V923" s="27"/>
      <c r="W923" s="27"/>
      <c r="X923" s="27"/>
      <c r="Y923" s="27"/>
      <c r="Z923" s="27"/>
      <c r="AA923" s="25"/>
      <c r="AB923" s="27"/>
      <c r="AC923" s="30" t="str">
        <f aca="false">IF(M923="","",IF(AB923="",M923*Parámetros!$B$6,AB923))</f>
        <v/>
      </c>
      <c r="AD923" s="30" t="str">
        <f aca="false">IF(M923="","",SUM(T923:Z923)+AC923)</f>
        <v/>
      </c>
      <c r="AE923" s="30" t="str">
        <f aca="false">IF(OR(M923="",N923=""),"",M923-N923)</f>
        <v/>
      </c>
      <c r="AF923" s="30" t="str">
        <f aca="false">IF(AE923="","",AE923-AD923)</f>
        <v/>
      </c>
      <c r="AG923" s="28" t="str">
        <f aca="false">IF(OR(AF923="",M923=0),"",AF923/M923)</f>
        <v/>
      </c>
      <c r="AH923" s="32" t="str">
        <f aca="false">IF(OR(AE923="",N923=0),"",AE923/(N923/1000))</f>
        <v/>
      </c>
      <c r="AI923" s="30" t="str">
        <f aca="false">IF(O923="","",M923*P923)</f>
        <v/>
      </c>
      <c r="AJ923" s="11" t="str">
        <f aca="false">IF(O923="","",IF(O923&gt;1,"Error: rend &gt; 100 %",IF(SUM(T923:Z923)=0,"Falta registrar pérdidas",IF(ABS(AG923)&gt;Parámetros!$B$7,"Revisar balance",IF(O923&lt;P923,"Bajo meta","OK")))))</f>
        <v/>
      </c>
      <c r="AK923" s="33"/>
      <c r="AL923" s="10"/>
      <c r="AM923" s="33"/>
      <c r="AN923" s="33"/>
      <c r="AO923" s="10"/>
    </row>
    <row r="924" customFormat="false" ht="15" hidden="false" customHeight="false" outlineLevel="0" collapsed="false">
      <c r="A924" s="22"/>
      <c r="B924" s="23" t="str">
        <f aca="false">IF(A924="","",YEAR(A924-WEEKDAY(A924,2)+4))</f>
        <v/>
      </c>
      <c r="C924" s="23" t="str">
        <f aca="false">IF(A924="","",WEEKNUM(A924,21))</f>
        <v/>
      </c>
      <c r="D924" s="24" t="str">
        <f aca="false">IF(A924="","",DATE(YEAR(A924),MONTH(A924),1))</f>
        <v/>
      </c>
      <c r="E924" s="10"/>
      <c r="F924" s="25"/>
      <c r="G924" s="25"/>
      <c r="H924" s="10"/>
      <c r="I924" s="10"/>
      <c r="J924" s="26"/>
      <c r="K924" s="25"/>
      <c r="L924" s="26"/>
      <c r="M924" s="27"/>
      <c r="N924" s="27"/>
      <c r="O924" s="28" t="str">
        <f aca="false">IF(OR(M924="",M924=0,N924=""),"",N924/M924)</f>
        <v/>
      </c>
      <c r="P924" s="28" t="str">
        <f aca="false">IF(M924="","",IFERROR(IF(INDEX(Parámetros!$B$14:$B$21,MATCH(I924,Parámetros!$A$14:$A$21,0))="",Parámetros!$B$5,INDEX(Parámetros!$B$14:$B$21,MATCH(I924,Parámetros!$A$14:$A$21,0))),Parámetros!$B$5))</f>
        <v/>
      </c>
      <c r="Q924" s="29" t="str">
        <f aca="false">IF(O924="","",(O924-P924)*100)</f>
        <v/>
      </c>
      <c r="R924" s="30" t="str">
        <f aca="false">IF(O924="","",MAX(0,M924*(P924-O924)))</f>
        <v/>
      </c>
      <c r="S924" s="31" t="str">
        <f aca="false">IF(OR(L924="",L924=0,N924=""),"",N924/1000/L924)</f>
        <v/>
      </c>
      <c r="T924" s="27"/>
      <c r="U924" s="27"/>
      <c r="V924" s="27"/>
      <c r="W924" s="27"/>
      <c r="X924" s="27"/>
      <c r="Y924" s="27"/>
      <c r="Z924" s="27"/>
      <c r="AA924" s="25"/>
      <c r="AB924" s="27"/>
      <c r="AC924" s="30" t="str">
        <f aca="false">IF(M924="","",IF(AB924="",M924*Parámetros!$B$6,AB924))</f>
        <v/>
      </c>
      <c r="AD924" s="30" t="str">
        <f aca="false">IF(M924="","",SUM(T924:Z924)+AC924)</f>
        <v/>
      </c>
      <c r="AE924" s="30" t="str">
        <f aca="false">IF(OR(M924="",N924=""),"",M924-N924)</f>
        <v/>
      </c>
      <c r="AF924" s="30" t="str">
        <f aca="false">IF(AE924="","",AE924-AD924)</f>
        <v/>
      </c>
      <c r="AG924" s="28" t="str">
        <f aca="false">IF(OR(AF924="",M924=0),"",AF924/M924)</f>
        <v/>
      </c>
      <c r="AH924" s="32" t="str">
        <f aca="false">IF(OR(AE924="",N924=0),"",AE924/(N924/1000))</f>
        <v/>
      </c>
      <c r="AI924" s="30" t="str">
        <f aca="false">IF(O924="","",M924*P924)</f>
        <v/>
      </c>
      <c r="AJ924" s="11" t="str">
        <f aca="false">IF(O924="","",IF(O924&gt;1,"Error: rend &gt; 100 %",IF(SUM(T924:Z924)=0,"Falta registrar pérdidas",IF(ABS(AG924)&gt;Parámetros!$B$7,"Revisar balance",IF(O924&lt;P924,"Bajo meta","OK")))))</f>
        <v/>
      </c>
      <c r="AK924" s="33"/>
      <c r="AL924" s="10"/>
      <c r="AM924" s="33"/>
      <c r="AN924" s="33"/>
      <c r="AO924" s="10"/>
    </row>
    <row r="925" customFormat="false" ht="15" hidden="false" customHeight="false" outlineLevel="0" collapsed="false">
      <c r="A925" s="22"/>
      <c r="B925" s="23" t="str">
        <f aca="false">IF(A925="","",YEAR(A925-WEEKDAY(A925,2)+4))</f>
        <v/>
      </c>
      <c r="C925" s="23" t="str">
        <f aca="false">IF(A925="","",WEEKNUM(A925,21))</f>
        <v/>
      </c>
      <c r="D925" s="24" t="str">
        <f aca="false">IF(A925="","",DATE(YEAR(A925),MONTH(A925),1))</f>
        <v/>
      </c>
      <c r="E925" s="10"/>
      <c r="F925" s="25"/>
      <c r="G925" s="25"/>
      <c r="H925" s="10"/>
      <c r="I925" s="10"/>
      <c r="J925" s="26"/>
      <c r="K925" s="25"/>
      <c r="L925" s="26"/>
      <c r="M925" s="27"/>
      <c r="N925" s="27"/>
      <c r="O925" s="28" t="str">
        <f aca="false">IF(OR(M925="",M925=0,N925=""),"",N925/M925)</f>
        <v/>
      </c>
      <c r="P925" s="28" t="str">
        <f aca="false">IF(M925="","",IFERROR(IF(INDEX(Parámetros!$B$14:$B$21,MATCH(I925,Parámetros!$A$14:$A$21,0))="",Parámetros!$B$5,INDEX(Parámetros!$B$14:$B$21,MATCH(I925,Parámetros!$A$14:$A$21,0))),Parámetros!$B$5))</f>
        <v/>
      </c>
      <c r="Q925" s="29" t="str">
        <f aca="false">IF(O925="","",(O925-P925)*100)</f>
        <v/>
      </c>
      <c r="R925" s="30" t="str">
        <f aca="false">IF(O925="","",MAX(0,M925*(P925-O925)))</f>
        <v/>
      </c>
      <c r="S925" s="31" t="str">
        <f aca="false">IF(OR(L925="",L925=0,N925=""),"",N925/1000/L925)</f>
        <v/>
      </c>
      <c r="T925" s="27"/>
      <c r="U925" s="27"/>
      <c r="V925" s="27"/>
      <c r="W925" s="27"/>
      <c r="X925" s="27"/>
      <c r="Y925" s="27"/>
      <c r="Z925" s="27"/>
      <c r="AA925" s="25"/>
      <c r="AB925" s="27"/>
      <c r="AC925" s="30" t="str">
        <f aca="false">IF(M925="","",IF(AB925="",M925*Parámetros!$B$6,AB925))</f>
        <v/>
      </c>
      <c r="AD925" s="30" t="str">
        <f aca="false">IF(M925="","",SUM(T925:Z925)+AC925)</f>
        <v/>
      </c>
      <c r="AE925" s="30" t="str">
        <f aca="false">IF(OR(M925="",N925=""),"",M925-N925)</f>
        <v/>
      </c>
      <c r="AF925" s="30" t="str">
        <f aca="false">IF(AE925="","",AE925-AD925)</f>
        <v/>
      </c>
      <c r="AG925" s="28" t="str">
        <f aca="false">IF(OR(AF925="",M925=0),"",AF925/M925)</f>
        <v/>
      </c>
      <c r="AH925" s="32" t="str">
        <f aca="false">IF(OR(AE925="",N925=0),"",AE925/(N925/1000))</f>
        <v/>
      </c>
      <c r="AI925" s="30" t="str">
        <f aca="false">IF(O925="","",M925*P925)</f>
        <v/>
      </c>
      <c r="AJ925" s="11" t="str">
        <f aca="false">IF(O925="","",IF(O925&gt;1,"Error: rend &gt; 100 %",IF(SUM(T925:Z925)=0,"Falta registrar pérdidas",IF(ABS(AG925)&gt;Parámetros!$B$7,"Revisar balance",IF(O925&lt;P925,"Bajo meta","OK")))))</f>
        <v/>
      </c>
      <c r="AK925" s="33"/>
      <c r="AL925" s="10"/>
      <c r="AM925" s="33"/>
      <c r="AN925" s="33"/>
      <c r="AO925" s="10"/>
    </row>
    <row r="926" customFormat="false" ht="15" hidden="false" customHeight="false" outlineLevel="0" collapsed="false">
      <c r="A926" s="22"/>
      <c r="B926" s="23" t="str">
        <f aca="false">IF(A926="","",YEAR(A926-WEEKDAY(A926,2)+4))</f>
        <v/>
      </c>
      <c r="C926" s="23" t="str">
        <f aca="false">IF(A926="","",WEEKNUM(A926,21))</f>
        <v/>
      </c>
      <c r="D926" s="24" t="str">
        <f aca="false">IF(A926="","",DATE(YEAR(A926),MONTH(A926),1))</f>
        <v/>
      </c>
      <c r="E926" s="10"/>
      <c r="F926" s="25"/>
      <c r="G926" s="25"/>
      <c r="H926" s="10"/>
      <c r="I926" s="10"/>
      <c r="J926" s="26"/>
      <c r="K926" s="25"/>
      <c r="L926" s="26"/>
      <c r="M926" s="27"/>
      <c r="N926" s="27"/>
      <c r="O926" s="28" t="str">
        <f aca="false">IF(OR(M926="",M926=0,N926=""),"",N926/M926)</f>
        <v/>
      </c>
      <c r="P926" s="28" t="str">
        <f aca="false">IF(M926="","",IFERROR(IF(INDEX(Parámetros!$B$14:$B$21,MATCH(I926,Parámetros!$A$14:$A$21,0))="",Parámetros!$B$5,INDEX(Parámetros!$B$14:$B$21,MATCH(I926,Parámetros!$A$14:$A$21,0))),Parámetros!$B$5))</f>
        <v/>
      </c>
      <c r="Q926" s="29" t="str">
        <f aca="false">IF(O926="","",(O926-P926)*100)</f>
        <v/>
      </c>
      <c r="R926" s="30" t="str">
        <f aca="false">IF(O926="","",MAX(0,M926*(P926-O926)))</f>
        <v/>
      </c>
      <c r="S926" s="31" t="str">
        <f aca="false">IF(OR(L926="",L926=0,N926=""),"",N926/1000/L926)</f>
        <v/>
      </c>
      <c r="T926" s="27"/>
      <c r="U926" s="27"/>
      <c r="V926" s="27"/>
      <c r="W926" s="27"/>
      <c r="X926" s="27"/>
      <c r="Y926" s="27"/>
      <c r="Z926" s="27"/>
      <c r="AA926" s="25"/>
      <c r="AB926" s="27"/>
      <c r="AC926" s="30" t="str">
        <f aca="false">IF(M926="","",IF(AB926="",M926*Parámetros!$B$6,AB926))</f>
        <v/>
      </c>
      <c r="AD926" s="30" t="str">
        <f aca="false">IF(M926="","",SUM(T926:Z926)+AC926)</f>
        <v/>
      </c>
      <c r="AE926" s="30" t="str">
        <f aca="false">IF(OR(M926="",N926=""),"",M926-N926)</f>
        <v/>
      </c>
      <c r="AF926" s="30" t="str">
        <f aca="false">IF(AE926="","",AE926-AD926)</f>
        <v/>
      </c>
      <c r="AG926" s="28" t="str">
        <f aca="false">IF(OR(AF926="",M926=0),"",AF926/M926)</f>
        <v/>
      </c>
      <c r="AH926" s="32" t="str">
        <f aca="false">IF(OR(AE926="",N926=0),"",AE926/(N926/1000))</f>
        <v/>
      </c>
      <c r="AI926" s="30" t="str">
        <f aca="false">IF(O926="","",M926*P926)</f>
        <v/>
      </c>
      <c r="AJ926" s="11" t="str">
        <f aca="false">IF(O926="","",IF(O926&gt;1,"Error: rend &gt; 100 %",IF(SUM(T926:Z926)=0,"Falta registrar pérdidas",IF(ABS(AG926)&gt;Parámetros!$B$7,"Revisar balance",IF(O926&lt;P926,"Bajo meta","OK")))))</f>
        <v/>
      </c>
      <c r="AK926" s="33"/>
      <c r="AL926" s="10"/>
      <c r="AM926" s="33"/>
      <c r="AN926" s="33"/>
      <c r="AO926" s="10"/>
    </row>
    <row r="927" customFormat="false" ht="15" hidden="false" customHeight="false" outlineLevel="0" collapsed="false">
      <c r="A927" s="22"/>
      <c r="B927" s="23" t="str">
        <f aca="false">IF(A927="","",YEAR(A927-WEEKDAY(A927,2)+4))</f>
        <v/>
      </c>
      <c r="C927" s="23" t="str">
        <f aca="false">IF(A927="","",WEEKNUM(A927,21))</f>
        <v/>
      </c>
      <c r="D927" s="24" t="str">
        <f aca="false">IF(A927="","",DATE(YEAR(A927),MONTH(A927),1))</f>
        <v/>
      </c>
      <c r="E927" s="10"/>
      <c r="F927" s="25"/>
      <c r="G927" s="25"/>
      <c r="H927" s="10"/>
      <c r="I927" s="10"/>
      <c r="J927" s="26"/>
      <c r="K927" s="25"/>
      <c r="L927" s="26"/>
      <c r="M927" s="27"/>
      <c r="N927" s="27"/>
      <c r="O927" s="28" t="str">
        <f aca="false">IF(OR(M927="",M927=0,N927=""),"",N927/M927)</f>
        <v/>
      </c>
      <c r="P927" s="28" t="str">
        <f aca="false">IF(M927="","",IFERROR(IF(INDEX(Parámetros!$B$14:$B$21,MATCH(I927,Parámetros!$A$14:$A$21,0))="",Parámetros!$B$5,INDEX(Parámetros!$B$14:$B$21,MATCH(I927,Parámetros!$A$14:$A$21,0))),Parámetros!$B$5))</f>
        <v/>
      </c>
      <c r="Q927" s="29" t="str">
        <f aca="false">IF(O927="","",(O927-P927)*100)</f>
        <v/>
      </c>
      <c r="R927" s="30" t="str">
        <f aca="false">IF(O927="","",MAX(0,M927*(P927-O927)))</f>
        <v/>
      </c>
      <c r="S927" s="31" t="str">
        <f aca="false">IF(OR(L927="",L927=0,N927=""),"",N927/1000/L927)</f>
        <v/>
      </c>
      <c r="T927" s="27"/>
      <c r="U927" s="27"/>
      <c r="V927" s="27"/>
      <c r="W927" s="27"/>
      <c r="X927" s="27"/>
      <c r="Y927" s="27"/>
      <c r="Z927" s="27"/>
      <c r="AA927" s="25"/>
      <c r="AB927" s="27"/>
      <c r="AC927" s="30" t="str">
        <f aca="false">IF(M927="","",IF(AB927="",M927*Parámetros!$B$6,AB927))</f>
        <v/>
      </c>
      <c r="AD927" s="30" t="str">
        <f aca="false">IF(M927="","",SUM(T927:Z927)+AC927)</f>
        <v/>
      </c>
      <c r="AE927" s="30" t="str">
        <f aca="false">IF(OR(M927="",N927=""),"",M927-N927)</f>
        <v/>
      </c>
      <c r="AF927" s="30" t="str">
        <f aca="false">IF(AE927="","",AE927-AD927)</f>
        <v/>
      </c>
      <c r="AG927" s="28" t="str">
        <f aca="false">IF(OR(AF927="",M927=0),"",AF927/M927)</f>
        <v/>
      </c>
      <c r="AH927" s="32" t="str">
        <f aca="false">IF(OR(AE927="",N927=0),"",AE927/(N927/1000))</f>
        <v/>
      </c>
      <c r="AI927" s="30" t="str">
        <f aca="false">IF(O927="","",M927*P927)</f>
        <v/>
      </c>
      <c r="AJ927" s="11" t="str">
        <f aca="false">IF(O927="","",IF(O927&gt;1,"Error: rend &gt; 100 %",IF(SUM(T927:Z927)=0,"Falta registrar pérdidas",IF(ABS(AG927)&gt;Parámetros!$B$7,"Revisar balance",IF(O927&lt;P927,"Bajo meta","OK")))))</f>
        <v/>
      </c>
      <c r="AK927" s="33"/>
      <c r="AL927" s="10"/>
      <c r="AM927" s="33"/>
      <c r="AN927" s="33"/>
      <c r="AO927" s="10"/>
    </row>
    <row r="928" customFormat="false" ht="15" hidden="false" customHeight="false" outlineLevel="0" collapsed="false">
      <c r="A928" s="22"/>
      <c r="B928" s="23" t="str">
        <f aca="false">IF(A928="","",YEAR(A928-WEEKDAY(A928,2)+4))</f>
        <v/>
      </c>
      <c r="C928" s="23" t="str">
        <f aca="false">IF(A928="","",WEEKNUM(A928,21))</f>
        <v/>
      </c>
      <c r="D928" s="24" t="str">
        <f aca="false">IF(A928="","",DATE(YEAR(A928),MONTH(A928),1))</f>
        <v/>
      </c>
      <c r="E928" s="10"/>
      <c r="F928" s="25"/>
      <c r="G928" s="25"/>
      <c r="H928" s="10"/>
      <c r="I928" s="10"/>
      <c r="J928" s="26"/>
      <c r="K928" s="25"/>
      <c r="L928" s="26"/>
      <c r="M928" s="27"/>
      <c r="N928" s="27"/>
      <c r="O928" s="28" t="str">
        <f aca="false">IF(OR(M928="",M928=0,N928=""),"",N928/M928)</f>
        <v/>
      </c>
      <c r="P928" s="28" t="str">
        <f aca="false">IF(M928="","",IFERROR(IF(INDEX(Parámetros!$B$14:$B$21,MATCH(I928,Parámetros!$A$14:$A$21,0))="",Parámetros!$B$5,INDEX(Parámetros!$B$14:$B$21,MATCH(I928,Parámetros!$A$14:$A$21,0))),Parámetros!$B$5))</f>
        <v/>
      </c>
      <c r="Q928" s="29" t="str">
        <f aca="false">IF(O928="","",(O928-P928)*100)</f>
        <v/>
      </c>
      <c r="R928" s="30" t="str">
        <f aca="false">IF(O928="","",MAX(0,M928*(P928-O928)))</f>
        <v/>
      </c>
      <c r="S928" s="31" t="str">
        <f aca="false">IF(OR(L928="",L928=0,N928=""),"",N928/1000/L928)</f>
        <v/>
      </c>
      <c r="T928" s="27"/>
      <c r="U928" s="27"/>
      <c r="V928" s="27"/>
      <c r="W928" s="27"/>
      <c r="X928" s="27"/>
      <c r="Y928" s="27"/>
      <c r="Z928" s="27"/>
      <c r="AA928" s="25"/>
      <c r="AB928" s="27"/>
      <c r="AC928" s="30" t="str">
        <f aca="false">IF(M928="","",IF(AB928="",M928*Parámetros!$B$6,AB928))</f>
        <v/>
      </c>
      <c r="AD928" s="30" t="str">
        <f aca="false">IF(M928="","",SUM(T928:Z928)+AC928)</f>
        <v/>
      </c>
      <c r="AE928" s="30" t="str">
        <f aca="false">IF(OR(M928="",N928=""),"",M928-N928)</f>
        <v/>
      </c>
      <c r="AF928" s="30" t="str">
        <f aca="false">IF(AE928="","",AE928-AD928)</f>
        <v/>
      </c>
      <c r="AG928" s="28" t="str">
        <f aca="false">IF(OR(AF928="",M928=0),"",AF928/M928)</f>
        <v/>
      </c>
      <c r="AH928" s="32" t="str">
        <f aca="false">IF(OR(AE928="",N928=0),"",AE928/(N928/1000))</f>
        <v/>
      </c>
      <c r="AI928" s="30" t="str">
        <f aca="false">IF(O928="","",M928*P928)</f>
        <v/>
      </c>
      <c r="AJ928" s="11" t="str">
        <f aca="false">IF(O928="","",IF(O928&gt;1,"Error: rend &gt; 100 %",IF(SUM(T928:Z928)=0,"Falta registrar pérdidas",IF(ABS(AG928)&gt;Parámetros!$B$7,"Revisar balance",IF(O928&lt;P928,"Bajo meta","OK")))))</f>
        <v/>
      </c>
      <c r="AK928" s="33"/>
      <c r="AL928" s="10"/>
      <c r="AM928" s="33"/>
      <c r="AN928" s="33"/>
      <c r="AO928" s="10"/>
    </row>
    <row r="929" customFormat="false" ht="15" hidden="false" customHeight="false" outlineLevel="0" collapsed="false">
      <c r="A929" s="22"/>
      <c r="B929" s="23" t="str">
        <f aca="false">IF(A929="","",YEAR(A929-WEEKDAY(A929,2)+4))</f>
        <v/>
      </c>
      <c r="C929" s="23" t="str">
        <f aca="false">IF(A929="","",WEEKNUM(A929,21))</f>
        <v/>
      </c>
      <c r="D929" s="24" t="str">
        <f aca="false">IF(A929="","",DATE(YEAR(A929),MONTH(A929),1))</f>
        <v/>
      </c>
      <c r="E929" s="10"/>
      <c r="F929" s="25"/>
      <c r="G929" s="25"/>
      <c r="H929" s="10"/>
      <c r="I929" s="10"/>
      <c r="J929" s="26"/>
      <c r="K929" s="25"/>
      <c r="L929" s="26"/>
      <c r="M929" s="27"/>
      <c r="N929" s="27"/>
      <c r="O929" s="28" t="str">
        <f aca="false">IF(OR(M929="",M929=0,N929=""),"",N929/M929)</f>
        <v/>
      </c>
      <c r="P929" s="28" t="str">
        <f aca="false">IF(M929="","",IFERROR(IF(INDEX(Parámetros!$B$14:$B$21,MATCH(I929,Parámetros!$A$14:$A$21,0))="",Parámetros!$B$5,INDEX(Parámetros!$B$14:$B$21,MATCH(I929,Parámetros!$A$14:$A$21,0))),Parámetros!$B$5))</f>
        <v/>
      </c>
      <c r="Q929" s="29" t="str">
        <f aca="false">IF(O929="","",(O929-P929)*100)</f>
        <v/>
      </c>
      <c r="R929" s="30" t="str">
        <f aca="false">IF(O929="","",MAX(0,M929*(P929-O929)))</f>
        <v/>
      </c>
      <c r="S929" s="31" t="str">
        <f aca="false">IF(OR(L929="",L929=0,N929=""),"",N929/1000/L929)</f>
        <v/>
      </c>
      <c r="T929" s="27"/>
      <c r="U929" s="27"/>
      <c r="V929" s="27"/>
      <c r="W929" s="27"/>
      <c r="X929" s="27"/>
      <c r="Y929" s="27"/>
      <c r="Z929" s="27"/>
      <c r="AA929" s="25"/>
      <c r="AB929" s="27"/>
      <c r="AC929" s="30" t="str">
        <f aca="false">IF(M929="","",IF(AB929="",M929*Parámetros!$B$6,AB929))</f>
        <v/>
      </c>
      <c r="AD929" s="30" t="str">
        <f aca="false">IF(M929="","",SUM(T929:Z929)+AC929)</f>
        <v/>
      </c>
      <c r="AE929" s="30" t="str">
        <f aca="false">IF(OR(M929="",N929=""),"",M929-N929)</f>
        <v/>
      </c>
      <c r="AF929" s="30" t="str">
        <f aca="false">IF(AE929="","",AE929-AD929)</f>
        <v/>
      </c>
      <c r="AG929" s="28" t="str">
        <f aca="false">IF(OR(AF929="",M929=0),"",AF929/M929)</f>
        <v/>
      </c>
      <c r="AH929" s="32" t="str">
        <f aca="false">IF(OR(AE929="",N929=0),"",AE929/(N929/1000))</f>
        <v/>
      </c>
      <c r="AI929" s="30" t="str">
        <f aca="false">IF(O929="","",M929*P929)</f>
        <v/>
      </c>
      <c r="AJ929" s="11" t="str">
        <f aca="false">IF(O929="","",IF(O929&gt;1,"Error: rend &gt; 100 %",IF(SUM(T929:Z929)=0,"Falta registrar pérdidas",IF(ABS(AG929)&gt;Parámetros!$B$7,"Revisar balance",IF(O929&lt;P929,"Bajo meta","OK")))))</f>
        <v/>
      </c>
      <c r="AK929" s="33"/>
      <c r="AL929" s="10"/>
      <c r="AM929" s="33"/>
      <c r="AN929" s="33"/>
      <c r="AO929" s="10"/>
    </row>
    <row r="930" customFormat="false" ht="15" hidden="false" customHeight="false" outlineLevel="0" collapsed="false">
      <c r="A930" s="22"/>
      <c r="B930" s="23" t="str">
        <f aca="false">IF(A930="","",YEAR(A930-WEEKDAY(A930,2)+4))</f>
        <v/>
      </c>
      <c r="C930" s="23" t="str">
        <f aca="false">IF(A930="","",WEEKNUM(A930,21))</f>
        <v/>
      </c>
      <c r="D930" s="24" t="str">
        <f aca="false">IF(A930="","",DATE(YEAR(A930),MONTH(A930),1))</f>
        <v/>
      </c>
      <c r="E930" s="10"/>
      <c r="F930" s="25"/>
      <c r="G930" s="25"/>
      <c r="H930" s="10"/>
      <c r="I930" s="10"/>
      <c r="J930" s="26"/>
      <c r="K930" s="25"/>
      <c r="L930" s="26"/>
      <c r="M930" s="27"/>
      <c r="N930" s="27"/>
      <c r="O930" s="28" t="str">
        <f aca="false">IF(OR(M930="",M930=0,N930=""),"",N930/M930)</f>
        <v/>
      </c>
      <c r="P930" s="28" t="str">
        <f aca="false">IF(M930="","",IFERROR(IF(INDEX(Parámetros!$B$14:$B$21,MATCH(I930,Parámetros!$A$14:$A$21,0))="",Parámetros!$B$5,INDEX(Parámetros!$B$14:$B$21,MATCH(I930,Parámetros!$A$14:$A$21,0))),Parámetros!$B$5))</f>
        <v/>
      </c>
      <c r="Q930" s="29" t="str">
        <f aca="false">IF(O930="","",(O930-P930)*100)</f>
        <v/>
      </c>
      <c r="R930" s="30" t="str">
        <f aca="false">IF(O930="","",MAX(0,M930*(P930-O930)))</f>
        <v/>
      </c>
      <c r="S930" s="31" t="str">
        <f aca="false">IF(OR(L930="",L930=0,N930=""),"",N930/1000/L930)</f>
        <v/>
      </c>
      <c r="T930" s="27"/>
      <c r="U930" s="27"/>
      <c r="V930" s="27"/>
      <c r="W930" s="27"/>
      <c r="X930" s="27"/>
      <c r="Y930" s="27"/>
      <c r="Z930" s="27"/>
      <c r="AA930" s="25"/>
      <c r="AB930" s="27"/>
      <c r="AC930" s="30" t="str">
        <f aca="false">IF(M930="","",IF(AB930="",M930*Parámetros!$B$6,AB930))</f>
        <v/>
      </c>
      <c r="AD930" s="30" t="str">
        <f aca="false">IF(M930="","",SUM(T930:Z930)+AC930)</f>
        <v/>
      </c>
      <c r="AE930" s="30" t="str">
        <f aca="false">IF(OR(M930="",N930=""),"",M930-N930)</f>
        <v/>
      </c>
      <c r="AF930" s="30" t="str">
        <f aca="false">IF(AE930="","",AE930-AD930)</f>
        <v/>
      </c>
      <c r="AG930" s="28" t="str">
        <f aca="false">IF(OR(AF930="",M930=0),"",AF930/M930)</f>
        <v/>
      </c>
      <c r="AH930" s="32" t="str">
        <f aca="false">IF(OR(AE930="",N930=0),"",AE930/(N930/1000))</f>
        <v/>
      </c>
      <c r="AI930" s="30" t="str">
        <f aca="false">IF(O930="","",M930*P930)</f>
        <v/>
      </c>
      <c r="AJ930" s="11" t="str">
        <f aca="false">IF(O930="","",IF(O930&gt;1,"Error: rend &gt; 100 %",IF(SUM(T930:Z930)=0,"Falta registrar pérdidas",IF(ABS(AG930)&gt;Parámetros!$B$7,"Revisar balance",IF(O930&lt;P930,"Bajo meta","OK")))))</f>
        <v/>
      </c>
      <c r="AK930" s="33"/>
      <c r="AL930" s="10"/>
      <c r="AM930" s="33"/>
      <c r="AN930" s="33"/>
      <c r="AO930" s="10"/>
    </row>
    <row r="931" customFormat="false" ht="15" hidden="false" customHeight="false" outlineLevel="0" collapsed="false">
      <c r="A931" s="22"/>
      <c r="B931" s="23" t="str">
        <f aca="false">IF(A931="","",YEAR(A931-WEEKDAY(A931,2)+4))</f>
        <v/>
      </c>
      <c r="C931" s="23" t="str">
        <f aca="false">IF(A931="","",WEEKNUM(A931,21))</f>
        <v/>
      </c>
      <c r="D931" s="24" t="str">
        <f aca="false">IF(A931="","",DATE(YEAR(A931),MONTH(A931),1))</f>
        <v/>
      </c>
      <c r="E931" s="10"/>
      <c r="F931" s="25"/>
      <c r="G931" s="25"/>
      <c r="H931" s="10"/>
      <c r="I931" s="10"/>
      <c r="J931" s="26"/>
      <c r="K931" s="25"/>
      <c r="L931" s="26"/>
      <c r="M931" s="27"/>
      <c r="N931" s="27"/>
      <c r="O931" s="28" t="str">
        <f aca="false">IF(OR(M931="",M931=0,N931=""),"",N931/M931)</f>
        <v/>
      </c>
      <c r="P931" s="28" t="str">
        <f aca="false">IF(M931="","",IFERROR(IF(INDEX(Parámetros!$B$14:$B$21,MATCH(I931,Parámetros!$A$14:$A$21,0))="",Parámetros!$B$5,INDEX(Parámetros!$B$14:$B$21,MATCH(I931,Parámetros!$A$14:$A$21,0))),Parámetros!$B$5))</f>
        <v/>
      </c>
      <c r="Q931" s="29" t="str">
        <f aca="false">IF(O931="","",(O931-P931)*100)</f>
        <v/>
      </c>
      <c r="R931" s="30" t="str">
        <f aca="false">IF(O931="","",MAX(0,M931*(P931-O931)))</f>
        <v/>
      </c>
      <c r="S931" s="31" t="str">
        <f aca="false">IF(OR(L931="",L931=0,N931=""),"",N931/1000/L931)</f>
        <v/>
      </c>
      <c r="T931" s="27"/>
      <c r="U931" s="27"/>
      <c r="V931" s="27"/>
      <c r="W931" s="27"/>
      <c r="X931" s="27"/>
      <c r="Y931" s="27"/>
      <c r="Z931" s="27"/>
      <c r="AA931" s="25"/>
      <c r="AB931" s="27"/>
      <c r="AC931" s="30" t="str">
        <f aca="false">IF(M931="","",IF(AB931="",M931*Parámetros!$B$6,AB931))</f>
        <v/>
      </c>
      <c r="AD931" s="30" t="str">
        <f aca="false">IF(M931="","",SUM(T931:Z931)+AC931)</f>
        <v/>
      </c>
      <c r="AE931" s="30" t="str">
        <f aca="false">IF(OR(M931="",N931=""),"",M931-N931)</f>
        <v/>
      </c>
      <c r="AF931" s="30" t="str">
        <f aca="false">IF(AE931="","",AE931-AD931)</f>
        <v/>
      </c>
      <c r="AG931" s="28" t="str">
        <f aca="false">IF(OR(AF931="",M931=0),"",AF931/M931)</f>
        <v/>
      </c>
      <c r="AH931" s="32" t="str">
        <f aca="false">IF(OR(AE931="",N931=0),"",AE931/(N931/1000))</f>
        <v/>
      </c>
      <c r="AI931" s="30" t="str">
        <f aca="false">IF(O931="","",M931*P931)</f>
        <v/>
      </c>
      <c r="AJ931" s="11" t="str">
        <f aca="false">IF(O931="","",IF(O931&gt;1,"Error: rend &gt; 100 %",IF(SUM(T931:Z931)=0,"Falta registrar pérdidas",IF(ABS(AG931)&gt;Parámetros!$B$7,"Revisar balance",IF(O931&lt;P931,"Bajo meta","OK")))))</f>
        <v/>
      </c>
      <c r="AK931" s="33"/>
      <c r="AL931" s="10"/>
      <c r="AM931" s="33"/>
      <c r="AN931" s="33"/>
      <c r="AO931" s="10"/>
    </row>
    <row r="932" customFormat="false" ht="15" hidden="false" customHeight="false" outlineLevel="0" collapsed="false">
      <c r="A932" s="22"/>
      <c r="B932" s="23" t="str">
        <f aca="false">IF(A932="","",YEAR(A932-WEEKDAY(A932,2)+4))</f>
        <v/>
      </c>
      <c r="C932" s="23" t="str">
        <f aca="false">IF(A932="","",WEEKNUM(A932,21))</f>
        <v/>
      </c>
      <c r="D932" s="24" t="str">
        <f aca="false">IF(A932="","",DATE(YEAR(A932),MONTH(A932),1))</f>
        <v/>
      </c>
      <c r="E932" s="10"/>
      <c r="F932" s="25"/>
      <c r="G932" s="25"/>
      <c r="H932" s="10"/>
      <c r="I932" s="10"/>
      <c r="J932" s="26"/>
      <c r="K932" s="25"/>
      <c r="L932" s="26"/>
      <c r="M932" s="27"/>
      <c r="N932" s="27"/>
      <c r="O932" s="28" t="str">
        <f aca="false">IF(OR(M932="",M932=0,N932=""),"",N932/M932)</f>
        <v/>
      </c>
      <c r="P932" s="28" t="str">
        <f aca="false">IF(M932="","",IFERROR(IF(INDEX(Parámetros!$B$14:$B$21,MATCH(I932,Parámetros!$A$14:$A$21,0))="",Parámetros!$B$5,INDEX(Parámetros!$B$14:$B$21,MATCH(I932,Parámetros!$A$14:$A$21,0))),Parámetros!$B$5))</f>
        <v/>
      </c>
      <c r="Q932" s="29" t="str">
        <f aca="false">IF(O932="","",(O932-P932)*100)</f>
        <v/>
      </c>
      <c r="R932" s="30" t="str">
        <f aca="false">IF(O932="","",MAX(0,M932*(P932-O932)))</f>
        <v/>
      </c>
      <c r="S932" s="31" t="str">
        <f aca="false">IF(OR(L932="",L932=0,N932=""),"",N932/1000/L932)</f>
        <v/>
      </c>
      <c r="T932" s="27"/>
      <c r="U932" s="27"/>
      <c r="V932" s="27"/>
      <c r="W932" s="27"/>
      <c r="X932" s="27"/>
      <c r="Y932" s="27"/>
      <c r="Z932" s="27"/>
      <c r="AA932" s="25"/>
      <c r="AB932" s="27"/>
      <c r="AC932" s="30" t="str">
        <f aca="false">IF(M932="","",IF(AB932="",M932*Parámetros!$B$6,AB932))</f>
        <v/>
      </c>
      <c r="AD932" s="30" t="str">
        <f aca="false">IF(M932="","",SUM(T932:Z932)+AC932)</f>
        <v/>
      </c>
      <c r="AE932" s="30" t="str">
        <f aca="false">IF(OR(M932="",N932=""),"",M932-N932)</f>
        <v/>
      </c>
      <c r="AF932" s="30" t="str">
        <f aca="false">IF(AE932="","",AE932-AD932)</f>
        <v/>
      </c>
      <c r="AG932" s="28" t="str">
        <f aca="false">IF(OR(AF932="",M932=0),"",AF932/M932)</f>
        <v/>
      </c>
      <c r="AH932" s="32" t="str">
        <f aca="false">IF(OR(AE932="",N932=0),"",AE932/(N932/1000))</f>
        <v/>
      </c>
      <c r="AI932" s="30" t="str">
        <f aca="false">IF(O932="","",M932*P932)</f>
        <v/>
      </c>
      <c r="AJ932" s="11" t="str">
        <f aca="false">IF(O932="","",IF(O932&gt;1,"Error: rend &gt; 100 %",IF(SUM(T932:Z932)=0,"Falta registrar pérdidas",IF(ABS(AG932)&gt;Parámetros!$B$7,"Revisar balance",IF(O932&lt;P932,"Bajo meta","OK")))))</f>
        <v/>
      </c>
      <c r="AK932" s="33"/>
      <c r="AL932" s="10"/>
      <c r="AM932" s="33"/>
      <c r="AN932" s="33"/>
      <c r="AO932" s="10"/>
    </row>
    <row r="933" customFormat="false" ht="15" hidden="false" customHeight="false" outlineLevel="0" collapsed="false">
      <c r="A933" s="22"/>
      <c r="B933" s="23" t="str">
        <f aca="false">IF(A933="","",YEAR(A933-WEEKDAY(A933,2)+4))</f>
        <v/>
      </c>
      <c r="C933" s="23" t="str">
        <f aca="false">IF(A933="","",WEEKNUM(A933,21))</f>
        <v/>
      </c>
      <c r="D933" s="24" t="str">
        <f aca="false">IF(A933="","",DATE(YEAR(A933),MONTH(A933),1))</f>
        <v/>
      </c>
      <c r="E933" s="10"/>
      <c r="F933" s="25"/>
      <c r="G933" s="25"/>
      <c r="H933" s="10"/>
      <c r="I933" s="10"/>
      <c r="J933" s="26"/>
      <c r="K933" s="25"/>
      <c r="L933" s="26"/>
      <c r="M933" s="27"/>
      <c r="N933" s="27"/>
      <c r="O933" s="28" t="str">
        <f aca="false">IF(OR(M933="",M933=0,N933=""),"",N933/M933)</f>
        <v/>
      </c>
      <c r="P933" s="28" t="str">
        <f aca="false">IF(M933="","",IFERROR(IF(INDEX(Parámetros!$B$14:$B$21,MATCH(I933,Parámetros!$A$14:$A$21,0))="",Parámetros!$B$5,INDEX(Parámetros!$B$14:$B$21,MATCH(I933,Parámetros!$A$14:$A$21,0))),Parámetros!$B$5))</f>
        <v/>
      </c>
      <c r="Q933" s="29" t="str">
        <f aca="false">IF(O933="","",(O933-P933)*100)</f>
        <v/>
      </c>
      <c r="R933" s="30" t="str">
        <f aca="false">IF(O933="","",MAX(0,M933*(P933-O933)))</f>
        <v/>
      </c>
      <c r="S933" s="31" t="str">
        <f aca="false">IF(OR(L933="",L933=0,N933=""),"",N933/1000/L933)</f>
        <v/>
      </c>
      <c r="T933" s="27"/>
      <c r="U933" s="27"/>
      <c r="V933" s="27"/>
      <c r="W933" s="27"/>
      <c r="X933" s="27"/>
      <c r="Y933" s="27"/>
      <c r="Z933" s="27"/>
      <c r="AA933" s="25"/>
      <c r="AB933" s="27"/>
      <c r="AC933" s="30" t="str">
        <f aca="false">IF(M933="","",IF(AB933="",M933*Parámetros!$B$6,AB933))</f>
        <v/>
      </c>
      <c r="AD933" s="30" t="str">
        <f aca="false">IF(M933="","",SUM(T933:Z933)+AC933)</f>
        <v/>
      </c>
      <c r="AE933" s="30" t="str">
        <f aca="false">IF(OR(M933="",N933=""),"",M933-N933)</f>
        <v/>
      </c>
      <c r="AF933" s="30" t="str">
        <f aca="false">IF(AE933="","",AE933-AD933)</f>
        <v/>
      </c>
      <c r="AG933" s="28" t="str">
        <f aca="false">IF(OR(AF933="",M933=0),"",AF933/M933)</f>
        <v/>
      </c>
      <c r="AH933" s="32" t="str">
        <f aca="false">IF(OR(AE933="",N933=0),"",AE933/(N933/1000))</f>
        <v/>
      </c>
      <c r="AI933" s="30" t="str">
        <f aca="false">IF(O933="","",M933*P933)</f>
        <v/>
      </c>
      <c r="AJ933" s="11" t="str">
        <f aca="false">IF(O933="","",IF(O933&gt;1,"Error: rend &gt; 100 %",IF(SUM(T933:Z933)=0,"Falta registrar pérdidas",IF(ABS(AG933)&gt;Parámetros!$B$7,"Revisar balance",IF(O933&lt;P933,"Bajo meta","OK")))))</f>
        <v/>
      </c>
      <c r="AK933" s="33"/>
      <c r="AL933" s="10"/>
      <c r="AM933" s="33"/>
      <c r="AN933" s="33"/>
      <c r="AO933" s="10"/>
    </row>
    <row r="934" customFormat="false" ht="15" hidden="false" customHeight="false" outlineLevel="0" collapsed="false">
      <c r="A934" s="22"/>
      <c r="B934" s="23" t="str">
        <f aca="false">IF(A934="","",YEAR(A934-WEEKDAY(A934,2)+4))</f>
        <v/>
      </c>
      <c r="C934" s="23" t="str">
        <f aca="false">IF(A934="","",WEEKNUM(A934,21))</f>
        <v/>
      </c>
      <c r="D934" s="24" t="str">
        <f aca="false">IF(A934="","",DATE(YEAR(A934),MONTH(A934),1))</f>
        <v/>
      </c>
      <c r="E934" s="10"/>
      <c r="F934" s="25"/>
      <c r="G934" s="25"/>
      <c r="H934" s="10"/>
      <c r="I934" s="10"/>
      <c r="J934" s="26"/>
      <c r="K934" s="25"/>
      <c r="L934" s="26"/>
      <c r="M934" s="27"/>
      <c r="N934" s="27"/>
      <c r="O934" s="28" t="str">
        <f aca="false">IF(OR(M934="",M934=0,N934=""),"",N934/M934)</f>
        <v/>
      </c>
      <c r="P934" s="28" t="str">
        <f aca="false">IF(M934="","",IFERROR(IF(INDEX(Parámetros!$B$14:$B$21,MATCH(I934,Parámetros!$A$14:$A$21,0))="",Parámetros!$B$5,INDEX(Parámetros!$B$14:$B$21,MATCH(I934,Parámetros!$A$14:$A$21,0))),Parámetros!$B$5))</f>
        <v/>
      </c>
      <c r="Q934" s="29" t="str">
        <f aca="false">IF(O934="","",(O934-P934)*100)</f>
        <v/>
      </c>
      <c r="R934" s="30" t="str">
        <f aca="false">IF(O934="","",MAX(0,M934*(P934-O934)))</f>
        <v/>
      </c>
      <c r="S934" s="31" t="str">
        <f aca="false">IF(OR(L934="",L934=0,N934=""),"",N934/1000/L934)</f>
        <v/>
      </c>
      <c r="T934" s="27"/>
      <c r="U934" s="27"/>
      <c r="V934" s="27"/>
      <c r="W934" s="27"/>
      <c r="X934" s="27"/>
      <c r="Y934" s="27"/>
      <c r="Z934" s="27"/>
      <c r="AA934" s="25"/>
      <c r="AB934" s="27"/>
      <c r="AC934" s="30" t="str">
        <f aca="false">IF(M934="","",IF(AB934="",M934*Parámetros!$B$6,AB934))</f>
        <v/>
      </c>
      <c r="AD934" s="30" t="str">
        <f aca="false">IF(M934="","",SUM(T934:Z934)+AC934)</f>
        <v/>
      </c>
      <c r="AE934" s="30" t="str">
        <f aca="false">IF(OR(M934="",N934=""),"",M934-N934)</f>
        <v/>
      </c>
      <c r="AF934" s="30" t="str">
        <f aca="false">IF(AE934="","",AE934-AD934)</f>
        <v/>
      </c>
      <c r="AG934" s="28" t="str">
        <f aca="false">IF(OR(AF934="",M934=0),"",AF934/M934)</f>
        <v/>
      </c>
      <c r="AH934" s="32" t="str">
        <f aca="false">IF(OR(AE934="",N934=0),"",AE934/(N934/1000))</f>
        <v/>
      </c>
      <c r="AI934" s="30" t="str">
        <f aca="false">IF(O934="","",M934*P934)</f>
        <v/>
      </c>
      <c r="AJ934" s="11" t="str">
        <f aca="false">IF(O934="","",IF(O934&gt;1,"Error: rend &gt; 100 %",IF(SUM(T934:Z934)=0,"Falta registrar pérdidas",IF(ABS(AG934)&gt;Parámetros!$B$7,"Revisar balance",IF(O934&lt;P934,"Bajo meta","OK")))))</f>
        <v/>
      </c>
      <c r="AK934" s="33"/>
      <c r="AL934" s="10"/>
      <c r="AM934" s="33"/>
      <c r="AN934" s="33"/>
      <c r="AO934" s="10"/>
    </row>
    <row r="935" customFormat="false" ht="15" hidden="false" customHeight="false" outlineLevel="0" collapsed="false">
      <c r="A935" s="22"/>
      <c r="B935" s="23" t="str">
        <f aca="false">IF(A935="","",YEAR(A935-WEEKDAY(A935,2)+4))</f>
        <v/>
      </c>
      <c r="C935" s="23" t="str">
        <f aca="false">IF(A935="","",WEEKNUM(A935,21))</f>
        <v/>
      </c>
      <c r="D935" s="24" t="str">
        <f aca="false">IF(A935="","",DATE(YEAR(A935),MONTH(A935),1))</f>
        <v/>
      </c>
      <c r="E935" s="10"/>
      <c r="F935" s="25"/>
      <c r="G935" s="25"/>
      <c r="H935" s="10"/>
      <c r="I935" s="10"/>
      <c r="J935" s="26"/>
      <c r="K935" s="25"/>
      <c r="L935" s="26"/>
      <c r="M935" s="27"/>
      <c r="N935" s="27"/>
      <c r="O935" s="28" t="str">
        <f aca="false">IF(OR(M935="",M935=0,N935=""),"",N935/M935)</f>
        <v/>
      </c>
      <c r="P935" s="28" t="str">
        <f aca="false">IF(M935="","",IFERROR(IF(INDEX(Parámetros!$B$14:$B$21,MATCH(I935,Parámetros!$A$14:$A$21,0))="",Parámetros!$B$5,INDEX(Parámetros!$B$14:$B$21,MATCH(I935,Parámetros!$A$14:$A$21,0))),Parámetros!$B$5))</f>
        <v/>
      </c>
      <c r="Q935" s="29" t="str">
        <f aca="false">IF(O935="","",(O935-P935)*100)</f>
        <v/>
      </c>
      <c r="R935" s="30" t="str">
        <f aca="false">IF(O935="","",MAX(0,M935*(P935-O935)))</f>
        <v/>
      </c>
      <c r="S935" s="31" t="str">
        <f aca="false">IF(OR(L935="",L935=0,N935=""),"",N935/1000/L935)</f>
        <v/>
      </c>
      <c r="T935" s="27"/>
      <c r="U935" s="27"/>
      <c r="V935" s="27"/>
      <c r="W935" s="27"/>
      <c r="X935" s="27"/>
      <c r="Y935" s="27"/>
      <c r="Z935" s="27"/>
      <c r="AA935" s="25"/>
      <c r="AB935" s="27"/>
      <c r="AC935" s="30" t="str">
        <f aca="false">IF(M935="","",IF(AB935="",M935*Parámetros!$B$6,AB935))</f>
        <v/>
      </c>
      <c r="AD935" s="30" t="str">
        <f aca="false">IF(M935="","",SUM(T935:Z935)+AC935)</f>
        <v/>
      </c>
      <c r="AE935" s="30" t="str">
        <f aca="false">IF(OR(M935="",N935=""),"",M935-N935)</f>
        <v/>
      </c>
      <c r="AF935" s="30" t="str">
        <f aca="false">IF(AE935="","",AE935-AD935)</f>
        <v/>
      </c>
      <c r="AG935" s="28" t="str">
        <f aca="false">IF(OR(AF935="",M935=0),"",AF935/M935)</f>
        <v/>
      </c>
      <c r="AH935" s="32" t="str">
        <f aca="false">IF(OR(AE935="",N935=0),"",AE935/(N935/1000))</f>
        <v/>
      </c>
      <c r="AI935" s="30" t="str">
        <f aca="false">IF(O935="","",M935*P935)</f>
        <v/>
      </c>
      <c r="AJ935" s="11" t="str">
        <f aca="false">IF(O935="","",IF(O935&gt;1,"Error: rend &gt; 100 %",IF(SUM(T935:Z935)=0,"Falta registrar pérdidas",IF(ABS(AG935)&gt;Parámetros!$B$7,"Revisar balance",IF(O935&lt;P935,"Bajo meta","OK")))))</f>
        <v/>
      </c>
      <c r="AK935" s="33"/>
      <c r="AL935" s="10"/>
      <c r="AM935" s="33"/>
      <c r="AN935" s="33"/>
      <c r="AO935" s="10"/>
    </row>
    <row r="936" customFormat="false" ht="15" hidden="false" customHeight="false" outlineLevel="0" collapsed="false">
      <c r="A936" s="22"/>
      <c r="B936" s="23" t="str">
        <f aca="false">IF(A936="","",YEAR(A936-WEEKDAY(A936,2)+4))</f>
        <v/>
      </c>
      <c r="C936" s="23" t="str">
        <f aca="false">IF(A936="","",WEEKNUM(A936,21))</f>
        <v/>
      </c>
      <c r="D936" s="24" t="str">
        <f aca="false">IF(A936="","",DATE(YEAR(A936),MONTH(A936),1))</f>
        <v/>
      </c>
      <c r="E936" s="10"/>
      <c r="F936" s="25"/>
      <c r="G936" s="25"/>
      <c r="H936" s="10"/>
      <c r="I936" s="10"/>
      <c r="J936" s="26"/>
      <c r="K936" s="25"/>
      <c r="L936" s="26"/>
      <c r="M936" s="27"/>
      <c r="N936" s="27"/>
      <c r="O936" s="28" t="str">
        <f aca="false">IF(OR(M936="",M936=0,N936=""),"",N936/M936)</f>
        <v/>
      </c>
      <c r="P936" s="28" t="str">
        <f aca="false">IF(M936="","",IFERROR(IF(INDEX(Parámetros!$B$14:$B$21,MATCH(I936,Parámetros!$A$14:$A$21,0))="",Parámetros!$B$5,INDEX(Parámetros!$B$14:$B$21,MATCH(I936,Parámetros!$A$14:$A$21,0))),Parámetros!$B$5))</f>
        <v/>
      </c>
      <c r="Q936" s="29" t="str">
        <f aca="false">IF(O936="","",(O936-P936)*100)</f>
        <v/>
      </c>
      <c r="R936" s="30" t="str">
        <f aca="false">IF(O936="","",MAX(0,M936*(P936-O936)))</f>
        <v/>
      </c>
      <c r="S936" s="31" t="str">
        <f aca="false">IF(OR(L936="",L936=0,N936=""),"",N936/1000/L936)</f>
        <v/>
      </c>
      <c r="T936" s="27"/>
      <c r="U936" s="27"/>
      <c r="V936" s="27"/>
      <c r="W936" s="27"/>
      <c r="X936" s="27"/>
      <c r="Y936" s="27"/>
      <c r="Z936" s="27"/>
      <c r="AA936" s="25"/>
      <c r="AB936" s="27"/>
      <c r="AC936" s="30" t="str">
        <f aca="false">IF(M936="","",IF(AB936="",M936*Parámetros!$B$6,AB936))</f>
        <v/>
      </c>
      <c r="AD936" s="30" t="str">
        <f aca="false">IF(M936="","",SUM(T936:Z936)+AC936)</f>
        <v/>
      </c>
      <c r="AE936" s="30" t="str">
        <f aca="false">IF(OR(M936="",N936=""),"",M936-N936)</f>
        <v/>
      </c>
      <c r="AF936" s="30" t="str">
        <f aca="false">IF(AE936="","",AE936-AD936)</f>
        <v/>
      </c>
      <c r="AG936" s="28" t="str">
        <f aca="false">IF(OR(AF936="",M936=0),"",AF936/M936)</f>
        <v/>
      </c>
      <c r="AH936" s="32" t="str">
        <f aca="false">IF(OR(AE936="",N936=0),"",AE936/(N936/1000))</f>
        <v/>
      </c>
      <c r="AI936" s="30" t="str">
        <f aca="false">IF(O936="","",M936*P936)</f>
        <v/>
      </c>
      <c r="AJ936" s="11" t="str">
        <f aca="false">IF(O936="","",IF(O936&gt;1,"Error: rend &gt; 100 %",IF(SUM(T936:Z936)=0,"Falta registrar pérdidas",IF(ABS(AG936)&gt;Parámetros!$B$7,"Revisar balance",IF(O936&lt;P936,"Bajo meta","OK")))))</f>
        <v/>
      </c>
      <c r="AK936" s="33"/>
      <c r="AL936" s="10"/>
      <c r="AM936" s="33"/>
      <c r="AN936" s="33"/>
      <c r="AO936" s="10"/>
    </row>
    <row r="937" customFormat="false" ht="15" hidden="false" customHeight="false" outlineLevel="0" collapsed="false">
      <c r="A937" s="22"/>
      <c r="B937" s="23" t="str">
        <f aca="false">IF(A937="","",YEAR(A937-WEEKDAY(A937,2)+4))</f>
        <v/>
      </c>
      <c r="C937" s="23" t="str">
        <f aca="false">IF(A937="","",WEEKNUM(A937,21))</f>
        <v/>
      </c>
      <c r="D937" s="24" t="str">
        <f aca="false">IF(A937="","",DATE(YEAR(A937),MONTH(A937),1))</f>
        <v/>
      </c>
      <c r="E937" s="10"/>
      <c r="F937" s="25"/>
      <c r="G937" s="25"/>
      <c r="H937" s="10"/>
      <c r="I937" s="10"/>
      <c r="J937" s="26"/>
      <c r="K937" s="25"/>
      <c r="L937" s="26"/>
      <c r="M937" s="27"/>
      <c r="N937" s="27"/>
      <c r="O937" s="28" t="str">
        <f aca="false">IF(OR(M937="",M937=0,N937=""),"",N937/M937)</f>
        <v/>
      </c>
      <c r="P937" s="28" t="str">
        <f aca="false">IF(M937="","",IFERROR(IF(INDEX(Parámetros!$B$14:$B$21,MATCH(I937,Parámetros!$A$14:$A$21,0))="",Parámetros!$B$5,INDEX(Parámetros!$B$14:$B$21,MATCH(I937,Parámetros!$A$14:$A$21,0))),Parámetros!$B$5))</f>
        <v/>
      </c>
      <c r="Q937" s="29" t="str">
        <f aca="false">IF(O937="","",(O937-P937)*100)</f>
        <v/>
      </c>
      <c r="R937" s="30" t="str">
        <f aca="false">IF(O937="","",MAX(0,M937*(P937-O937)))</f>
        <v/>
      </c>
      <c r="S937" s="31" t="str">
        <f aca="false">IF(OR(L937="",L937=0,N937=""),"",N937/1000/L937)</f>
        <v/>
      </c>
      <c r="T937" s="27"/>
      <c r="U937" s="27"/>
      <c r="V937" s="27"/>
      <c r="W937" s="27"/>
      <c r="X937" s="27"/>
      <c r="Y937" s="27"/>
      <c r="Z937" s="27"/>
      <c r="AA937" s="25"/>
      <c r="AB937" s="27"/>
      <c r="AC937" s="30" t="str">
        <f aca="false">IF(M937="","",IF(AB937="",M937*Parámetros!$B$6,AB937))</f>
        <v/>
      </c>
      <c r="AD937" s="30" t="str">
        <f aca="false">IF(M937="","",SUM(T937:Z937)+AC937)</f>
        <v/>
      </c>
      <c r="AE937" s="30" t="str">
        <f aca="false">IF(OR(M937="",N937=""),"",M937-N937)</f>
        <v/>
      </c>
      <c r="AF937" s="30" t="str">
        <f aca="false">IF(AE937="","",AE937-AD937)</f>
        <v/>
      </c>
      <c r="AG937" s="28" t="str">
        <f aca="false">IF(OR(AF937="",M937=0),"",AF937/M937)</f>
        <v/>
      </c>
      <c r="AH937" s="32" t="str">
        <f aca="false">IF(OR(AE937="",N937=0),"",AE937/(N937/1000))</f>
        <v/>
      </c>
      <c r="AI937" s="30" t="str">
        <f aca="false">IF(O937="","",M937*P937)</f>
        <v/>
      </c>
      <c r="AJ937" s="11" t="str">
        <f aca="false">IF(O937="","",IF(O937&gt;1,"Error: rend &gt; 100 %",IF(SUM(T937:Z937)=0,"Falta registrar pérdidas",IF(ABS(AG937)&gt;Parámetros!$B$7,"Revisar balance",IF(O937&lt;P937,"Bajo meta","OK")))))</f>
        <v/>
      </c>
      <c r="AK937" s="33"/>
      <c r="AL937" s="10"/>
      <c r="AM937" s="33"/>
      <c r="AN937" s="33"/>
      <c r="AO937" s="10"/>
    </row>
    <row r="938" customFormat="false" ht="15" hidden="false" customHeight="false" outlineLevel="0" collapsed="false">
      <c r="A938" s="22"/>
      <c r="B938" s="23" t="str">
        <f aca="false">IF(A938="","",YEAR(A938-WEEKDAY(A938,2)+4))</f>
        <v/>
      </c>
      <c r="C938" s="23" t="str">
        <f aca="false">IF(A938="","",WEEKNUM(A938,21))</f>
        <v/>
      </c>
      <c r="D938" s="24" t="str">
        <f aca="false">IF(A938="","",DATE(YEAR(A938),MONTH(A938),1))</f>
        <v/>
      </c>
      <c r="E938" s="10"/>
      <c r="F938" s="25"/>
      <c r="G938" s="25"/>
      <c r="H938" s="10"/>
      <c r="I938" s="10"/>
      <c r="J938" s="26"/>
      <c r="K938" s="25"/>
      <c r="L938" s="26"/>
      <c r="M938" s="27"/>
      <c r="N938" s="27"/>
      <c r="O938" s="28" t="str">
        <f aca="false">IF(OR(M938="",M938=0,N938=""),"",N938/M938)</f>
        <v/>
      </c>
      <c r="P938" s="28" t="str">
        <f aca="false">IF(M938="","",IFERROR(IF(INDEX(Parámetros!$B$14:$B$21,MATCH(I938,Parámetros!$A$14:$A$21,0))="",Parámetros!$B$5,INDEX(Parámetros!$B$14:$B$21,MATCH(I938,Parámetros!$A$14:$A$21,0))),Parámetros!$B$5))</f>
        <v/>
      </c>
      <c r="Q938" s="29" t="str">
        <f aca="false">IF(O938="","",(O938-P938)*100)</f>
        <v/>
      </c>
      <c r="R938" s="30" t="str">
        <f aca="false">IF(O938="","",MAX(0,M938*(P938-O938)))</f>
        <v/>
      </c>
      <c r="S938" s="31" t="str">
        <f aca="false">IF(OR(L938="",L938=0,N938=""),"",N938/1000/L938)</f>
        <v/>
      </c>
      <c r="T938" s="27"/>
      <c r="U938" s="27"/>
      <c r="V938" s="27"/>
      <c r="W938" s="27"/>
      <c r="X938" s="27"/>
      <c r="Y938" s="27"/>
      <c r="Z938" s="27"/>
      <c r="AA938" s="25"/>
      <c r="AB938" s="27"/>
      <c r="AC938" s="30" t="str">
        <f aca="false">IF(M938="","",IF(AB938="",M938*Parámetros!$B$6,AB938))</f>
        <v/>
      </c>
      <c r="AD938" s="30" t="str">
        <f aca="false">IF(M938="","",SUM(T938:Z938)+AC938)</f>
        <v/>
      </c>
      <c r="AE938" s="30" t="str">
        <f aca="false">IF(OR(M938="",N938=""),"",M938-N938)</f>
        <v/>
      </c>
      <c r="AF938" s="30" t="str">
        <f aca="false">IF(AE938="","",AE938-AD938)</f>
        <v/>
      </c>
      <c r="AG938" s="28" t="str">
        <f aca="false">IF(OR(AF938="",M938=0),"",AF938/M938)</f>
        <v/>
      </c>
      <c r="AH938" s="32" t="str">
        <f aca="false">IF(OR(AE938="",N938=0),"",AE938/(N938/1000))</f>
        <v/>
      </c>
      <c r="AI938" s="30" t="str">
        <f aca="false">IF(O938="","",M938*P938)</f>
        <v/>
      </c>
      <c r="AJ938" s="11" t="str">
        <f aca="false">IF(O938="","",IF(O938&gt;1,"Error: rend &gt; 100 %",IF(SUM(T938:Z938)=0,"Falta registrar pérdidas",IF(ABS(AG938)&gt;Parámetros!$B$7,"Revisar balance",IF(O938&lt;P938,"Bajo meta","OK")))))</f>
        <v/>
      </c>
      <c r="AK938" s="33"/>
      <c r="AL938" s="10"/>
      <c r="AM938" s="33"/>
      <c r="AN938" s="33"/>
      <c r="AO938" s="10"/>
    </row>
    <row r="939" customFormat="false" ht="15" hidden="false" customHeight="false" outlineLevel="0" collapsed="false">
      <c r="A939" s="22"/>
      <c r="B939" s="23" t="str">
        <f aca="false">IF(A939="","",YEAR(A939-WEEKDAY(A939,2)+4))</f>
        <v/>
      </c>
      <c r="C939" s="23" t="str">
        <f aca="false">IF(A939="","",WEEKNUM(A939,21))</f>
        <v/>
      </c>
      <c r="D939" s="24" t="str">
        <f aca="false">IF(A939="","",DATE(YEAR(A939),MONTH(A939),1))</f>
        <v/>
      </c>
      <c r="E939" s="10"/>
      <c r="F939" s="25"/>
      <c r="G939" s="25"/>
      <c r="H939" s="10"/>
      <c r="I939" s="10"/>
      <c r="J939" s="26"/>
      <c r="K939" s="25"/>
      <c r="L939" s="26"/>
      <c r="M939" s="27"/>
      <c r="N939" s="27"/>
      <c r="O939" s="28" t="str">
        <f aca="false">IF(OR(M939="",M939=0,N939=""),"",N939/M939)</f>
        <v/>
      </c>
      <c r="P939" s="28" t="str">
        <f aca="false">IF(M939="","",IFERROR(IF(INDEX(Parámetros!$B$14:$B$21,MATCH(I939,Parámetros!$A$14:$A$21,0))="",Parámetros!$B$5,INDEX(Parámetros!$B$14:$B$21,MATCH(I939,Parámetros!$A$14:$A$21,0))),Parámetros!$B$5))</f>
        <v/>
      </c>
      <c r="Q939" s="29" t="str">
        <f aca="false">IF(O939="","",(O939-P939)*100)</f>
        <v/>
      </c>
      <c r="R939" s="30" t="str">
        <f aca="false">IF(O939="","",MAX(0,M939*(P939-O939)))</f>
        <v/>
      </c>
      <c r="S939" s="31" t="str">
        <f aca="false">IF(OR(L939="",L939=0,N939=""),"",N939/1000/L939)</f>
        <v/>
      </c>
      <c r="T939" s="27"/>
      <c r="U939" s="27"/>
      <c r="V939" s="27"/>
      <c r="W939" s="27"/>
      <c r="X939" s="27"/>
      <c r="Y939" s="27"/>
      <c r="Z939" s="27"/>
      <c r="AA939" s="25"/>
      <c r="AB939" s="27"/>
      <c r="AC939" s="30" t="str">
        <f aca="false">IF(M939="","",IF(AB939="",M939*Parámetros!$B$6,AB939))</f>
        <v/>
      </c>
      <c r="AD939" s="30" t="str">
        <f aca="false">IF(M939="","",SUM(T939:Z939)+AC939)</f>
        <v/>
      </c>
      <c r="AE939" s="30" t="str">
        <f aca="false">IF(OR(M939="",N939=""),"",M939-N939)</f>
        <v/>
      </c>
      <c r="AF939" s="30" t="str">
        <f aca="false">IF(AE939="","",AE939-AD939)</f>
        <v/>
      </c>
      <c r="AG939" s="28" t="str">
        <f aca="false">IF(OR(AF939="",M939=0),"",AF939/M939)</f>
        <v/>
      </c>
      <c r="AH939" s="32" t="str">
        <f aca="false">IF(OR(AE939="",N939=0),"",AE939/(N939/1000))</f>
        <v/>
      </c>
      <c r="AI939" s="30" t="str">
        <f aca="false">IF(O939="","",M939*P939)</f>
        <v/>
      </c>
      <c r="AJ939" s="11" t="str">
        <f aca="false">IF(O939="","",IF(O939&gt;1,"Error: rend &gt; 100 %",IF(SUM(T939:Z939)=0,"Falta registrar pérdidas",IF(ABS(AG939)&gt;Parámetros!$B$7,"Revisar balance",IF(O939&lt;P939,"Bajo meta","OK")))))</f>
        <v/>
      </c>
      <c r="AK939" s="33"/>
      <c r="AL939" s="10"/>
      <c r="AM939" s="33"/>
      <c r="AN939" s="33"/>
      <c r="AO939" s="10"/>
    </row>
    <row r="940" customFormat="false" ht="15" hidden="false" customHeight="false" outlineLevel="0" collapsed="false">
      <c r="A940" s="22"/>
      <c r="B940" s="23" t="str">
        <f aca="false">IF(A940="","",YEAR(A940-WEEKDAY(A940,2)+4))</f>
        <v/>
      </c>
      <c r="C940" s="23" t="str">
        <f aca="false">IF(A940="","",WEEKNUM(A940,21))</f>
        <v/>
      </c>
      <c r="D940" s="24" t="str">
        <f aca="false">IF(A940="","",DATE(YEAR(A940),MONTH(A940),1))</f>
        <v/>
      </c>
      <c r="E940" s="10"/>
      <c r="F940" s="25"/>
      <c r="G940" s="25"/>
      <c r="H940" s="10"/>
      <c r="I940" s="10"/>
      <c r="J940" s="26"/>
      <c r="K940" s="25"/>
      <c r="L940" s="26"/>
      <c r="M940" s="27"/>
      <c r="N940" s="27"/>
      <c r="O940" s="28" t="str">
        <f aca="false">IF(OR(M940="",M940=0,N940=""),"",N940/M940)</f>
        <v/>
      </c>
      <c r="P940" s="28" t="str">
        <f aca="false">IF(M940="","",IFERROR(IF(INDEX(Parámetros!$B$14:$B$21,MATCH(I940,Parámetros!$A$14:$A$21,0))="",Parámetros!$B$5,INDEX(Parámetros!$B$14:$B$21,MATCH(I940,Parámetros!$A$14:$A$21,0))),Parámetros!$B$5))</f>
        <v/>
      </c>
      <c r="Q940" s="29" t="str">
        <f aca="false">IF(O940="","",(O940-P940)*100)</f>
        <v/>
      </c>
      <c r="R940" s="30" t="str">
        <f aca="false">IF(O940="","",MAX(0,M940*(P940-O940)))</f>
        <v/>
      </c>
      <c r="S940" s="31" t="str">
        <f aca="false">IF(OR(L940="",L940=0,N940=""),"",N940/1000/L940)</f>
        <v/>
      </c>
      <c r="T940" s="27"/>
      <c r="U940" s="27"/>
      <c r="V940" s="27"/>
      <c r="W940" s="27"/>
      <c r="X940" s="27"/>
      <c r="Y940" s="27"/>
      <c r="Z940" s="27"/>
      <c r="AA940" s="25"/>
      <c r="AB940" s="27"/>
      <c r="AC940" s="30" t="str">
        <f aca="false">IF(M940="","",IF(AB940="",M940*Parámetros!$B$6,AB940))</f>
        <v/>
      </c>
      <c r="AD940" s="30" t="str">
        <f aca="false">IF(M940="","",SUM(T940:Z940)+AC940)</f>
        <v/>
      </c>
      <c r="AE940" s="30" t="str">
        <f aca="false">IF(OR(M940="",N940=""),"",M940-N940)</f>
        <v/>
      </c>
      <c r="AF940" s="30" t="str">
        <f aca="false">IF(AE940="","",AE940-AD940)</f>
        <v/>
      </c>
      <c r="AG940" s="28" t="str">
        <f aca="false">IF(OR(AF940="",M940=0),"",AF940/M940)</f>
        <v/>
      </c>
      <c r="AH940" s="32" t="str">
        <f aca="false">IF(OR(AE940="",N940=0),"",AE940/(N940/1000))</f>
        <v/>
      </c>
      <c r="AI940" s="30" t="str">
        <f aca="false">IF(O940="","",M940*P940)</f>
        <v/>
      </c>
      <c r="AJ940" s="11" t="str">
        <f aca="false">IF(O940="","",IF(O940&gt;1,"Error: rend &gt; 100 %",IF(SUM(T940:Z940)=0,"Falta registrar pérdidas",IF(ABS(AG940)&gt;Parámetros!$B$7,"Revisar balance",IF(O940&lt;P940,"Bajo meta","OK")))))</f>
        <v/>
      </c>
      <c r="AK940" s="33"/>
      <c r="AL940" s="10"/>
      <c r="AM940" s="33"/>
      <c r="AN940" s="33"/>
      <c r="AO940" s="10"/>
    </row>
    <row r="941" customFormat="false" ht="15" hidden="false" customHeight="false" outlineLevel="0" collapsed="false">
      <c r="A941" s="22"/>
      <c r="B941" s="23" t="str">
        <f aca="false">IF(A941="","",YEAR(A941-WEEKDAY(A941,2)+4))</f>
        <v/>
      </c>
      <c r="C941" s="23" t="str">
        <f aca="false">IF(A941="","",WEEKNUM(A941,21))</f>
        <v/>
      </c>
      <c r="D941" s="24" t="str">
        <f aca="false">IF(A941="","",DATE(YEAR(A941),MONTH(A941),1))</f>
        <v/>
      </c>
      <c r="E941" s="10"/>
      <c r="F941" s="25"/>
      <c r="G941" s="25"/>
      <c r="H941" s="10"/>
      <c r="I941" s="10"/>
      <c r="J941" s="26"/>
      <c r="K941" s="25"/>
      <c r="L941" s="26"/>
      <c r="M941" s="27"/>
      <c r="N941" s="27"/>
      <c r="O941" s="28" t="str">
        <f aca="false">IF(OR(M941="",M941=0,N941=""),"",N941/M941)</f>
        <v/>
      </c>
      <c r="P941" s="28" t="str">
        <f aca="false">IF(M941="","",IFERROR(IF(INDEX(Parámetros!$B$14:$B$21,MATCH(I941,Parámetros!$A$14:$A$21,0))="",Parámetros!$B$5,INDEX(Parámetros!$B$14:$B$21,MATCH(I941,Parámetros!$A$14:$A$21,0))),Parámetros!$B$5))</f>
        <v/>
      </c>
      <c r="Q941" s="29" t="str">
        <f aca="false">IF(O941="","",(O941-P941)*100)</f>
        <v/>
      </c>
      <c r="R941" s="30" t="str">
        <f aca="false">IF(O941="","",MAX(0,M941*(P941-O941)))</f>
        <v/>
      </c>
      <c r="S941" s="31" t="str">
        <f aca="false">IF(OR(L941="",L941=0,N941=""),"",N941/1000/L941)</f>
        <v/>
      </c>
      <c r="T941" s="27"/>
      <c r="U941" s="27"/>
      <c r="V941" s="27"/>
      <c r="W941" s="27"/>
      <c r="X941" s="27"/>
      <c r="Y941" s="27"/>
      <c r="Z941" s="27"/>
      <c r="AA941" s="25"/>
      <c r="AB941" s="27"/>
      <c r="AC941" s="30" t="str">
        <f aca="false">IF(M941="","",IF(AB941="",M941*Parámetros!$B$6,AB941))</f>
        <v/>
      </c>
      <c r="AD941" s="30" t="str">
        <f aca="false">IF(M941="","",SUM(T941:Z941)+AC941)</f>
        <v/>
      </c>
      <c r="AE941" s="30" t="str">
        <f aca="false">IF(OR(M941="",N941=""),"",M941-N941)</f>
        <v/>
      </c>
      <c r="AF941" s="30" t="str">
        <f aca="false">IF(AE941="","",AE941-AD941)</f>
        <v/>
      </c>
      <c r="AG941" s="28" t="str">
        <f aca="false">IF(OR(AF941="",M941=0),"",AF941/M941)</f>
        <v/>
      </c>
      <c r="AH941" s="32" t="str">
        <f aca="false">IF(OR(AE941="",N941=0),"",AE941/(N941/1000))</f>
        <v/>
      </c>
      <c r="AI941" s="30" t="str">
        <f aca="false">IF(O941="","",M941*P941)</f>
        <v/>
      </c>
      <c r="AJ941" s="11" t="str">
        <f aca="false">IF(O941="","",IF(O941&gt;1,"Error: rend &gt; 100 %",IF(SUM(T941:Z941)=0,"Falta registrar pérdidas",IF(ABS(AG941)&gt;Parámetros!$B$7,"Revisar balance",IF(O941&lt;P941,"Bajo meta","OK")))))</f>
        <v/>
      </c>
      <c r="AK941" s="33"/>
      <c r="AL941" s="10"/>
      <c r="AM941" s="33"/>
      <c r="AN941" s="33"/>
      <c r="AO941" s="10"/>
    </row>
    <row r="942" customFormat="false" ht="15" hidden="false" customHeight="false" outlineLevel="0" collapsed="false">
      <c r="A942" s="22"/>
      <c r="B942" s="23" t="str">
        <f aca="false">IF(A942="","",YEAR(A942-WEEKDAY(A942,2)+4))</f>
        <v/>
      </c>
      <c r="C942" s="23" t="str">
        <f aca="false">IF(A942="","",WEEKNUM(A942,21))</f>
        <v/>
      </c>
      <c r="D942" s="24" t="str">
        <f aca="false">IF(A942="","",DATE(YEAR(A942),MONTH(A942),1))</f>
        <v/>
      </c>
      <c r="E942" s="10"/>
      <c r="F942" s="25"/>
      <c r="G942" s="25"/>
      <c r="H942" s="10"/>
      <c r="I942" s="10"/>
      <c r="J942" s="26"/>
      <c r="K942" s="25"/>
      <c r="L942" s="26"/>
      <c r="M942" s="27"/>
      <c r="N942" s="27"/>
      <c r="O942" s="28" t="str">
        <f aca="false">IF(OR(M942="",M942=0,N942=""),"",N942/M942)</f>
        <v/>
      </c>
      <c r="P942" s="28" t="str">
        <f aca="false">IF(M942="","",IFERROR(IF(INDEX(Parámetros!$B$14:$B$21,MATCH(I942,Parámetros!$A$14:$A$21,0))="",Parámetros!$B$5,INDEX(Parámetros!$B$14:$B$21,MATCH(I942,Parámetros!$A$14:$A$21,0))),Parámetros!$B$5))</f>
        <v/>
      </c>
      <c r="Q942" s="29" t="str">
        <f aca="false">IF(O942="","",(O942-P942)*100)</f>
        <v/>
      </c>
      <c r="R942" s="30" t="str">
        <f aca="false">IF(O942="","",MAX(0,M942*(P942-O942)))</f>
        <v/>
      </c>
      <c r="S942" s="31" t="str">
        <f aca="false">IF(OR(L942="",L942=0,N942=""),"",N942/1000/L942)</f>
        <v/>
      </c>
      <c r="T942" s="27"/>
      <c r="U942" s="27"/>
      <c r="V942" s="27"/>
      <c r="W942" s="27"/>
      <c r="X942" s="27"/>
      <c r="Y942" s="27"/>
      <c r="Z942" s="27"/>
      <c r="AA942" s="25"/>
      <c r="AB942" s="27"/>
      <c r="AC942" s="30" t="str">
        <f aca="false">IF(M942="","",IF(AB942="",M942*Parámetros!$B$6,AB942))</f>
        <v/>
      </c>
      <c r="AD942" s="30" t="str">
        <f aca="false">IF(M942="","",SUM(T942:Z942)+AC942)</f>
        <v/>
      </c>
      <c r="AE942" s="30" t="str">
        <f aca="false">IF(OR(M942="",N942=""),"",M942-N942)</f>
        <v/>
      </c>
      <c r="AF942" s="30" t="str">
        <f aca="false">IF(AE942="","",AE942-AD942)</f>
        <v/>
      </c>
      <c r="AG942" s="28" t="str">
        <f aca="false">IF(OR(AF942="",M942=0),"",AF942/M942)</f>
        <v/>
      </c>
      <c r="AH942" s="32" t="str">
        <f aca="false">IF(OR(AE942="",N942=0),"",AE942/(N942/1000))</f>
        <v/>
      </c>
      <c r="AI942" s="30" t="str">
        <f aca="false">IF(O942="","",M942*P942)</f>
        <v/>
      </c>
      <c r="AJ942" s="11" t="str">
        <f aca="false">IF(O942="","",IF(O942&gt;1,"Error: rend &gt; 100 %",IF(SUM(T942:Z942)=0,"Falta registrar pérdidas",IF(ABS(AG942)&gt;Parámetros!$B$7,"Revisar balance",IF(O942&lt;P942,"Bajo meta","OK")))))</f>
        <v/>
      </c>
      <c r="AK942" s="33"/>
      <c r="AL942" s="10"/>
      <c r="AM942" s="33"/>
      <c r="AN942" s="33"/>
      <c r="AO942" s="10"/>
    </row>
    <row r="943" customFormat="false" ht="15" hidden="false" customHeight="false" outlineLevel="0" collapsed="false">
      <c r="A943" s="22"/>
      <c r="B943" s="23" t="str">
        <f aca="false">IF(A943="","",YEAR(A943-WEEKDAY(A943,2)+4))</f>
        <v/>
      </c>
      <c r="C943" s="23" t="str">
        <f aca="false">IF(A943="","",WEEKNUM(A943,21))</f>
        <v/>
      </c>
      <c r="D943" s="24" t="str">
        <f aca="false">IF(A943="","",DATE(YEAR(A943),MONTH(A943),1))</f>
        <v/>
      </c>
      <c r="E943" s="10"/>
      <c r="F943" s="25"/>
      <c r="G943" s="25"/>
      <c r="H943" s="10"/>
      <c r="I943" s="10"/>
      <c r="J943" s="26"/>
      <c r="K943" s="25"/>
      <c r="L943" s="26"/>
      <c r="M943" s="27"/>
      <c r="N943" s="27"/>
      <c r="O943" s="28" t="str">
        <f aca="false">IF(OR(M943="",M943=0,N943=""),"",N943/M943)</f>
        <v/>
      </c>
      <c r="P943" s="28" t="str">
        <f aca="false">IF(M943="","",IFERROR(IF(INDEX(Parámetros!$B$14:$B$21,MATCH(I943,Parámetros!$A$14:$A$21,0))="",Parámetros!$B$5,INDEX(Parámetros!$B$14:$B$21,MATCH(I943,Parámetros!$A$14:$A$21,0))),Parámetros!$B$5))</f>
        <v/>
      </c>
      <c r="Q943" s="29" t="str">
        <f aca="false">IF(O943="","",(O943-P943)*100)</f>
        <v/>
      </c>
      <c r="R943" s="30" t="str">
        <f aca="false">IF(O943="","",MAX(0,M943*(P943-O943)))</f>
        <v/>
      </c>
      <c r="S943" s="31" t="str">
        <f aca="false">IF(OR(L943="",L943=0,N943=""),"",N943/1000/L943)</f>
        <v/>
      </c>
      <c r="T943" s="27"/>
      <c r="U943" s="27"/>
      <c r="V943" s="27"/>
      <c r="W943" s="27"/>
      <c r="X943" s="27"/>
      <c r="Y943" s="27"/>
      <c r="Z943" s="27"/>
      <c r="AA943" s="25"/>
      <c r="AB943" s="27"/>
      <c r="AC943" s="30" t="str">
        <f aca="false">IF(M943="","",IF(AB943="",M943*Parámetros!$B$6,AB943))</f>
        <v/>
      </c>
      <c r="AD943" s="30" t="str">
        <f aca="false">IF(M943="","",SUM(T943:Z943)+AC943)</f>
        <v/>
      </c>
      <c r="AE943" s="30" t="str">
        <f aca="false">IF(OR(M943="",N943=""),"",M943-N943)</f>
        <v/>
      </c>
      <c r="AF943" s="30" t="str">
        <f aca="false">IF(AE943="","",AE943-AD943)</f>
        <v/>
      </c>
      <c r="AG943" s="28" t="str">
        <f aca="false">IF(OR(AF943="",M943=0),"",AF943/M943)</f>
        <v/>
      </c>
      <c r="AH943" s="32" t="str">
        <f aca="false">IF(OR(AE943="",N943=0),"",AE943/(N943/1000))</f>
        <v/>
      </c>
      <c r="AI943" s="30" t="str">
        <f aca="false">IF(O943="","",M943*P943)</f>
        <v/>
      </c>
      <c r="AJ943" s="11" t="str">
        <f aca="false">IF(O943="","",IF(O943&gt;1,"Error: rend &gt; 100 %",IF(SUM(T943:Z943)=0,"Falta registrar pérdidas",IF(ABS(AG943)&gt;Parámetros!$B$7,"Revisar balance",IF(O943&lt;P943,"Bajo meta","OK")))))</f>
        <v/>
      </c>
      <c r="AK943" s="33"/>
      <c r="AL943" s="10"/>
      <c r="AM943" s="33"/>
      <c r="AN943" s="33"/>
      <c r="AO943" s="10"/>
    </row>
    <row r="944" customFormat="false" ht="15" hidden="false" customHeight="false" outlineLevel="0" collapsed="false">
      <c r="A944" s="22"/>
      <c r="B944" s="23" t="str">
        <f aca="false">IF(A944="","",YEAR(A944-WEEKDAY(A944,2)+4))</f>
        <v/>
      </c>
      <c r="C944" s="23" t="str">
        <f aca="false">IF(A944="","",WEEKNUM(A944,21))</f>
        <v/>
      </c>
      <c r="D944" s="24" t="str">
        <f aca="false">IF(A944="","",DATE(YEAR(A944),MONTH(A944),1))</f>
        <v/>
      </c>
      <c r="E944" s="10"/>
      <c r="F944" s="25"/>
      <c r="G944" s="25"/>
      <c r="H944" s="10"/>
      <c r="I944" s="10"/>
      <c r="J944" s="26"/>
      <c r="K944" s="25"/>
      <c r="L944" s="26"/>
      <c r="M944" s="27"/>
      <c r="N944" s="27"/>
      <c r="O944" s="28" t="str">
        <f aca="false">IF(OR(M944="",M944=0,N944=""),"",N944/M944)</f>
        <v/>
      </c>
      <c r="P944" s="28" t="str">
        <f aca="false">IF(M944="","",IFERROR(IF(INDEX(Parámetros!$B$14:$B$21,MATCH(I944,Parámetros!$A$14:$A$21,0))="",Parámetros!$B$5,INDEX(Parámetros!$B$14:$B$21,MATCH(I944,Parámetros!$A$14:$A$21,0))),Parámetros!$B$5))</f>
        <v/>
      </c>
      <c r="Q944" s="29" t="str">
        <f aca="false">IF(O944="","",(O944-P944)*100)</f>
        <v/>
      </c>
      <c r="R944" s="30" t="str">
        <f aca="false">IF(O944="","",MAX(0,M944*(P944-O944)))</f>
        <v/>
      </c>
      <c r="S944" s="31" t="str">
        <f aca="false">IF(OR(L944="",L944=0,N944=""),"",N944/1000/L944)</f>
        <v/>
      </c>
      <c r="T944" s="27"/>
      <c r="U944" s="27"/>
      <c r="V944" s="27"/>
      <c r="W944" s="27"/>
      <c r="X944" s="27"/>
      <c r="Y944" s="27"/>
      <c r="Z944" s="27"/>
      <c r="AA944" s="25"/>
      <c r="AB944" s="27"/>
      <c r="AC944" s="30" t="str">
        <f aca="false">IF(M944="","",IF(AB944="",M944*Parámetros!$B$6,AB944))</f>
        <v/>
      </c>
      <c r="AD944" s="30" t="str">
        <f aca="false">IF(M944="","",SUM(T944:Z944)+AC944)</f>
        <v/>
      </c>
      <c r="AE944" s="30" t="str">
        <f aca="false">IF(OR(M944="",N944=""),"",M944-N944)</f>
        <v/>
      </c>
      <c r="AF944" s="30" t="str">
        <f aca="false">IF(AE944="","",AE944-AD944)</f>
        <v/>
      </c>
      <c r="AG944" s="28" t="str">
        <f aca="false">IF(OR(AF944="",M944=0),"",AF944/M944)</f>
        <v/>
      </c>
      <c r="AH944" s="32" t="str">
        <f aca="false">IF(OR(AE944="",N944=0),"",AE944/(N944/1000))</f>
        <v/>
      </c>
      <c r="AI944" s="30" t="str">
        <f aca="false">IF(O944="","",M944*P944)</f>
        <v/>
      </c>
      <c r="AJ944" s="11" t="str">
        <f aca="false">IF(O944="","",IF(O944&gt;1,"Error: rend &gt; 100 %",IF(SUM(T944:Z944)=0,"Falta registrar pérdidas",IF(ABS(AG944)&gt;Parámetros!$B$7,"Revisar balance",IF(O944&lt;P944,"Bajo meta","OK")))))</f>
        <v/>
      </c>
      <c r="AK944" s="33"/>
      <c r="AL944" s="10"/>
      <c r="AM944" s="33"/>
      <c r="AN944" s="33"/>
      <c r="AO944" s="10"/>
    </row>
    <row r="945" customFormat="false" ht="15" hidden="false" customHeight="false" outlineLevel="0" collapsed="false">
      <c r="A945" s="22"/>
      <c r="B945" s="23" t="str">
        <f aca="false">IF(A945="","",YEAR(A945-WEEKDAY(A945,2)+4))</f>
        <v/>
      </c>
      <c r="C945" s="23" t="str">
        <f aca="false">IF(A945="","",WEEKNUM(A945,21))</f>
        <v/>
      </c>
      <c r="D945" s="24" t="str">
        <f aca="false">IF(A945="","",DATE(YEAR(A945),MONTH(A945),1))</f>
        <v/>
      </c>
      <c r="E945" s="10"/>
      <c r="F945" s="25"/>
      <c r="G945" s="25"/>
      <c r="H945" s="10"/>
      <c r="I945" s="10"/>
      <c r="J945" s="26"/>
      <c r="K945" s="25"/>
      <c r="L945" s="26"/>
      <c r="M945" s="27"/>
      <c r="N945" s="27"/>
      <c r="O945" s="28" t="str">
        <f aca="false">IF(OR(M945="",M945=0,N945=""),"",N945/M945)</f>
        <v/>
      </c>
      <c r="P945" s="28" t="str">
        <f aca="false">IF(M945="","",IFERROR(IF(INDEX(Parámetros!$B$14:$B$21,MATCH(I945,Parámetros!$A$14:$A$21,0))="",Parámetros!$B$5,INDEX(Parámetros!$B$14:$B$21,MATCH(I945,Parámetros!$A$14:$A$21,0))),Parámetros!$B$5))</f>
        <v/>
      </c>
      <c r="Q945" s="29" t="str">
        <f aca="false">IF(O945="","",(O945-P945)*100)</f>
        <v/>
      </c>
      <c r="R945" s="30" t="str">
        <f aca="false">IF(O945="","",MAX(0,M945*(P945-O945)))</f>
        <v/>
      </c>
      <c r="S945" s="31" t="str">
        <f aca="false">IF(OR(L945="",L945=0,N945=""),"",N945/1000/L945)</f>
        <v/>
      </c>
      <c r="T945" s="27"/>
      <c r="U945" s="27"/>
      <c r="V945" s="27"/>
      <c r="W945" s="27"/>
      <c r="X945" s="27"/>
      <c r="Y945" s="27"/>
      <c r="Z945" s="27"/>
      <c r="AA945" s="25"/>
      <c r="AB945" s="27"/>
      <c r="AC945" s="30" t="str">
        <f aca="false">IF(M945="","",IF(AB945="",M945*Parámetros!$B$6,AB945))</f>
        <v/>
      </c>
      <c r="AD945" s="30" t="str">
        <f aca="false">IF(M945="","",SUM(T945:Z945)+AC945)</f>
        <v/>
      </c>
      <c r="AE945" s="30" t="str">
        <f aca="false">IF(OR(M945="",N945=""),"",M945-N945)</f>
        <v/>
      </c>
      <c r="AF945" s="30" t="str">
        <f aca="false">IF(AE945="","",AE945-AD945)</f>
        <v/>
      </c>
      <c r="AG945" s="28" t="str">
        <f aca="false">IF(OR(AF945="",M945=0),"",AF945/M945)</f>
        <v/>
      </c>
      <c r="AH945" s="32" t="str">
        <f aca="false">IF(OR(AE945="",N945=0),"",AE945/(N945/1000))</f>
        <v/>
      </c>
      <c r="AI945" s="30" t="str">
        <f aca="false">IF(O945="","",M945*P945)</f>
        <v/>
      </c>
      <c r="AJ945" s="11" t="str">
        <f aca="false">IF(O945="","",IF(O945&gt;1,"Error: rend &gt; 100 %",IF(SUM(T945:Z945)=0,"Falta registrar pérdidas",IF(ABS(AG945)&gt;Parámetros!$B$7,"Revisar balance",IF(O945&lt;P945,"Bajo meta","OK")))))</f>
        <v/>
      </c>
      <c r="AK945" s="33"/>
      <c r="AL945" s="10"/>
      <c r="AM945" s="33"/>
      <c r="AN945" s="33"/>
      <c r="AO945" s="10"/>
    </row>
    <row r="946" customFormat="false" ht="15" hidden="false" customHeight="false" outlineLevel="0" collapsed="false">
      <c r="A946" s="22"/>
      <c r="B946" s="23" t="str">
        <f aca="false">IF(A946="","",YEAR(A946-WEEKDAY(A946,2)+4))</f>
        <v/>
      </c>
      <c r="C946" s="23" t="str">
        <f aca="false">IF(A946="","",WEEKNUM(A946,21))</f>
        <v/>
      </c>
      <c r="D946" s="24" t="str">
        <f aca="false">IF(A946="","",DATE(YEAR(A946),MONTH(A946),1))</f>
        <v/>
      </c>
      <c r="E946" s="10"/>
      <c r="F946" s="25"/>
      <c r="G946" s="25"/>
      <c r="H946" s="10"/>
      <c r="I946" s="10"/>
      <c r="J946" s="26"/>
      <c r="K946" s="25"/>
      <c r="L946" s="26"/>
      <c r="M946" s="27"/>
      <c r="N946" s="27"/>
      <c r="O946" s="28" t="str">
        <f aca="false">IF(OR(M946="",M946=0,N946=""),"",N946/M946)</f>
        <v/>
      </c>
      <c r="P946" s="28" t="str">
        <f aca="false">IF(M946="","",IFERROR(IF(INDEX(Parámetros!$B$14:$B$21,MATCH(I946,Parámetros!$A$14:$A$21,0))="",Parámetros!$B$5,INDEX(Parámetros!$B$14:$B$21,MATCH(I946,Parámetros!$A$14:$A$21,0))),Parámetros!$B$5))</f>
        <v/>
      </c>
      <c r="Q946" s="29" t="str">
        <f aca="false">IF(O946="","",(O946-P946)*100)</f>
        <v/>
      </c>
      <c r="R946" s="30" t="str">
        <f aca="false">IF(O946="","",MAX(0,M946*(P946-O946)))</f>
        <v/>
      </c>
      <c r="S946" s="31" t="str">
        <f aca="false">IF(OR(L946="",L946=0,N946=""),"",N946/1000/L946)</f>
        <v/>
      </c>
      <c r="T946" s="27"/>
      <c r="U946" s="27"/>
      <c r="V946" s="27"/>
      <c r="W946" s="27"/>
      <c r="X946" s="27"/>
      <c r="Y946" s="27"/>
      <c r="Z946" s="27"/>
      <c r="AA946" s="25"/>
      <c r="AB946" s="27"/>
      <c r="AC946" s="30" t="str">
        <f aca="false">IF(M946="","",IF(AB946="",M946*Parámetros!$B$6,AB946))</f>
        <v/>
      </c>
      <c r="AD946" s="30" t="str">
        <f aca="false">IF(M946="","",SUM(T946:Z946)+AC946)</f>
        <v/>
      </c>
      <c r="AE946" s="30" t="str">
        <f aca="false">IF(OR(M946="",N946=""),"",M946-N946)</f>
        <v/>
      </c>
      <c r="AF946" s="30" t="str">
        <f aca="false">IF(AE946="","",AE946-AD946)</f>
        <v/>
      </c>
      <c r="AG946" s="28" t="str">
        <f aca="false">IF(OR(AF946="",M946=0),"",AF946/M946)</f>
        <v/>
      </c>
      <c r="AH946" s="32" t="str">
        <f aca="false">IF(OR(AE946="",N946=0),"",AE946/(N946/1000))</f>
        <v/>
      </c>
      <c r="AI946" s="30" t="str">
        <f aca="false">IF(O946="","",M946*P946)</f>
        <v/>
      </c>
      <c r="AJ946" s="11" t="str">
        <f aca="false">IF(O946="","",IF(O946&gt;1,"Error: rend &gt; 100 %",IF(SUM(T946:Z946)=0,"Falta registrar pérdidas",IF(ABS(AG946)&gt;Parámetros!$B$7,"Revisar balance",IF(O946&lt;P946,"Bajo meta","OK")))))</f>
        <v/>
      </c>
      <c r="AK946" s="33"/>
      <c r="AL946" s="10"/>
      <c r="AM946" s="33"/>
      <c r="AN946" s="33"/>
      <c r="AO946" s="10"/>
    </row>
    <row r="947" customFormat="false" ht="15" hidden="false" customHeight="false" outlineLevel="0" collapsed="false">
      <c r="A947" s="22"/>
      <c r="B947" s="23" t="str">
        <f aca="false">IF(A947="","",YEAR(A947-WEEKDAY(A947,2)+4))</f>
        <v/>
      </c>
      <c r="C947" s="23" t="str">
        <f aca="false">IF(A947="","",WEEKNUM(A947,21))</f>
        <v/>
      </c>
      <c r="D947" s="24" t="str">
        <f aca="false">IF(A947="","",DATE(YEAR(A947),MONTH(A947),1))</f>
        <v/>
      </c>
      <c r="E947" s="10"/>
      <c r="F947" s="25"/>
      <c r="G947" s="25"/>
      <c r="H947" s="10"/>
      <c r="I947" s="10"/>
      <c r="J947" s="26"/>
      <c r="K947" s="25"/>
      <c r="L947" s="26"/>
      <c r="M947" s="27"/>
      <c r="N947" s="27"/>
      <c r="O947" s="28" t="str">
        <f aca="false">IF(OR(M947="",M947=0,N947=""),"",N947/M947)</f>
        <v/>
      </c>
      <c r="P947" s="28" t="str">
        <f aca="false">IF(M947="","",IFERROR(IF(INDEX(Parámetros!$B$14:$B$21,MATCH(I947,Parámetros!$A$14:$A$21,0))="",Parámetros!$B$5,INDEX(Parámetros!$B$14:$B$21,MATCH(I947,Parámetros!$A$14:$A$21,0))),Parámetros!$B$5))</f>
        <v/>
      </c>
      <c r="Q947" s="29" t="str">
        <f aca="false">IF(O947="","",(O947-P947)*100)</f>
        <v/>
      </c>
      <c r="R947" s="30" t="str">
        <f aca="false">IF(O947="","",MAX(0,M947*(P947-O947)))</f>
        <v/>
      </c>
      <c r="S947" s="31" t="str">
        <f aca="false">IF(OR(L947="",L947=0,N947=""),"",N947/1000/L947)</f>
        <v/>
      </c>
      <c r="T947" s="27"/>
      <c r="U947" s="27"/>
      <c r="V947" s="27"/>
      <c r="W947" s="27"/>
      <c r="X947" s="27"/>
      <c r="Y947" s="27"/>
      <c r="Z947" s="27"/>
      <c r="AA947" s="25"/>
      <c r="AB947" s="27"/>
      <c r="AC947" s="30" t="str">
        <f aca="false">IF(M947="","",IF(AB947="",M947*Parámetros!$B$6,AB947))</f>
        <v/>
      </c>
      <c r="AD947" s="30" t="str">
        <f aca="false">IF(M947="","",SUM(T947:Z947)+AC947)</f>
        <v/>
      </c>
      <c r="AE947" s="30" t="str">
        <f aca="false">IF(OR(M947="",N947=""),"",M947-N947)</f>
        <v/>
      </c>
      <c r="AF947" s="30" t="str">
        <f aca="false">IF(AE947="","",AE947-AD947)</f>
        <v/>
      </c>
      <c r="AG947" s="28" t="str">
        <f aca="false">IF(OR(AF947="",M947=0),"",AF947/M947)</f>
        <v/>
      </c>
      <c r="AH947" s="32" t="str">
        <f aca="false">IF(OR(AE947="",N947=0),"",AE947/(N947/1000))</f>
        <v/>
      </c>
      <c r="AI947" s="30" t="str">
        <f aca="false">IF(O947="","",M947*P947)</f>
        <v/>
      </c>
      <c r="AJ947" s="11" t="str">
        <f aca="false">IF(O947="","",IF(O947&gt;1,"Error: rend &gt; 100 %",IF(SUM(T947:Z947)=0,"Falta registrar pérdidas",IF(ABS(AG947)&gt;Parámetros!$B$7,"Revisar balance",IF(O947&lt;P947,"Bajo meta","OK")))))</f>
        <v/>
      </c>
      <c r="AK947" s="33"/>
      <c r="AL947" s="10"/>
      <c r="AM947" s="33"/>
      <c r="AN947" s="33"/>
      <c r="AO947" s="10"/>
    </row>
    <row r="948" customFormat="false" ht="15" hidden="false" customHeight="false" outlineLevel="0" collapsed="false">
      <c r="A948" s="22"/>
      <c r="B948" s="23" t="str">
        <f aca="false">IF(A948="","",YEAR(A948-WEEKDAY(A948,2)+4))</f>
        <v/>
      </c>
      <c r="C948" s="23" t="str">
        <f aca="false">IF(A948="","",WEEKNUM(A948,21))</f>
        <v/>
      </c>
      <c r="D948" s="24" t="str">
        <f aca="false">IF(A948="","",DATE(YEAR(A948),MONTH(A948),1))</f>
        <v/>
      </c>
      <c r="E948" s="10"/>
      <c r="F948" s="25"/>
      <c r="G948" s="25"/>
      <c r="H948" s="10"/>
      <c r="I948" s="10"/>
      <c r="J948" s="26"/>
      <c r="K948" s="25"/>
      <c r="L948" s="26"/>
      <c r="M948" s="27"/>
      <c r="N948" s="27"/>
      <c r="O948" s="28" t="str">
        <f aca="false">IF(OR(M948="",M948=0,N948=""),"",N948/M948)</f>
        <v/>
      </c>
      <c r="P948" s="28" t="str">
        <f aca="false">IF(M948="","",IFERROR(IF(INDEX(Parámetros!$B$14:$B$21,MATCH(I948,Parámetros!$A$14:$A$21,0))="",Parámetros!$B$5,INDEX(Parámetros!$B$14:$B$21,MATCH(I948,Parámetros!$A$14:$A$21,0))),Parámetros!$B$5))</f>
        <v/>
      </c>
      <c r="Q948" s="29" t="str">
        <f aca="false">IF(O948="","",(O948-P948)*100)</f>
        <v/>
      </c>
      <c r="R948" s="30" t="str">
        <f aca="false">IF(O948="","",MAX(0,M948*(P948-O948)))</f>
        <v/>
      </c>
      <c r="S948" s="31" t="str">
        <f aca="false">IF(OR(L948="",L948=0,N948=""),"",N948/1000/L948)</f>
        <v/>
      </c>
      <c r="T948" s="27"/>
      <c r="U948" s="27"/>
      <c r="V948" s="27"/>
      <c r="W948" s="27"/>
      <c r="X948" s="27"/>
      <c r="Y948" s="27"/>
      <c r="Z948" s="27"/>
      <c r="AA948" s="25"/>
      <c r="AB948" s="27"/>
      <c r="AC948" s="30" t="str">
        <f aca="false">IF(M948="","",IF(AB948="",M948*Parámetros!$B$6,AB948))</f>
        <v/>
      </c>
      <c r="AD948" s="30" t="str">
        <f aca="false">IF(M948="","",SUM(T948:Z948)+AC948)</f>
        <v/>
      </c>
      <c r="AE948" s="30" t="str">
        <f aca="false">IF(OR(M948="",N948=""),"",M948-N948)</f>
        <v/>
      </c>
      <c r="AF948" s="30" t="str">
        <f aca="false">IF(AE948="","",AE948-AD948)</f>
        <v/>
      </c>
      <c r="AG948" s="28" t="str">
        <f aca="false">IF(OR(AF948="",M948=0),"",AF948/M948)</f>
        <v/>
      </c>
      <c r="AH948" s="32" t="str">
        <f aca="false">IF(OR(AE948="",N948=0),"",AE948/(N948/1000))</f>
        <v/>
      </c>
      <c r="AI948" s="30" t="str">
        <f aca="false">IF(O948="","",M948*P948)</f>
        <v/>
      </c>
      <c r="AJ948" s="11" t="str">
        <f aca="false">IF(O948="","",IF(O948&gt;1,"Error: rend &gt; 100 %",IF(SUM(T948:Z948)=0,"Falta registrar pérdidas",IF(ABS(AG948)&gt;Parámetros!$B$7,"Revisar balance",IF(O948&lt;P948,"Bajo meta","OK")))))</f>
        <v/>
      </c>
      <c r="AK948" s="33"/>
      <c r="AL948" s="10"/>
      <c r="AM948" s="33"/>
      <c r="AN948" s="33"/>
      <c r="AO948" s="10"/>
    </row>
    <row r="949" customFormat="false" ht="15" hidden="false" customHeight="false" outlineLevel="0" collapsed="false">
      <c r="A949" s="22"/>
      <c r="B949" s="23" t="str">
        <f aca="false">IF(A949="","",YEAR(A949-WEEKDAY(A949,2)+4))</f>
        <v/>
      </c>
      <c r="C949" s="23" t="str">
        <f aca="false">IF(A949="","",WEEKNUM(A949,21))</f>
        <v/>
      </c>
      <c r="D949" s="24" t="str">
        <f aca="false">IF(A949="","",DATE(YEAR(A949),MONTH(A949),1))</f>
        <v/>
      </c>
      <c r="E949" s="10"/>
      <c r="F949" s="25"/>
      <c r="G949" s="25"/>
      <c r="H949" s="10"/>
      <c r="I949" s="10"/>
      <c r="J949" s="26"/>
      <c r="K949" s="25"/>
      <c r="L949" s="26"/>
      <c r="M949" s="27"/>
      <c r="N949" s="27"/>
      <c r="O949" s="28" t="str">
        <f aca="false">IF(OR(M949="",M949=0,N949=""),"",N949/M949)</f>
        <v/>
      </c>
      <c r="P949" s="28" t="str">
        <f aca="false">IF(M949="","",IFERROR(IF(INDEX(Parámetros!$B$14:$B$21,MATCH(I949,Parámetros!$A$14:$A$21,0))="",Parámetros!$B$5,INDEX(Parámetros!$B$14:$B$21,MATCH(I949,Parámetros!$A$14:$A$21,0))),Parámetros!$B$5))</f>
        <v/>
      </c>
      <c r="Q949" s="29" t="str">
        <f aca="false">IF(O949="","",(O949-P949)*100)</f>
        <v/>
      </c>
      <c r="R949" s="30" t="str">
        <f aca="false">IF(O949="","",MAX(0,M949*(P949-O949)))</f>
        <v/>
      </c>
      <c r="S949" s="31" t="str">
        <f aca="false">IF(OR(L949="",L949=0,N949=""),"",N949/1000/L949)</f>
        <v/>
      </c>
      <c r="T949" s="27"/>
      <c r="U949" s="27"/>
      <c r="V949" s="27"/>
      <c r="W949" s="27"/>
      <c r="X949" s="27"/>
      <c r="Y949" s="27"/>
      <c r="Z949" s="27"/>
      <c r="AA949" s="25"/>
      <c r="AB949" s="27"/>
      <c r="AC949" s="30" t="str">
        <f aca="false">IF(M949="","",IF(AB949="",M949*Parámetros!$B$6,AB949))</f>
        <v/>
      </c>
      <c r="AD949" s="30" t="str">
        <f aca="false">IF(M949="","",SUM(T949:Z949)+AC949)</f>
        <v/>
      </c>
      <c r="AE949" s="30" t="str">
        <f aca="false">IF(OR(M949="",N949=""),"",M949-N949)</f>
        <v/>
      </c>
      <c r="AF949" s="30" t="str">
        <f aca="false">IF(AE949="","",AE949-AD949)</f>
        <v/>
      </c>
      <c r="AG949" s="28" t="str">
        <f aca="false">IF(OR(AF949="",M949=0),"",AF949/M949)</f>
        <v/>
      </c>
      <c r="AH949" s="32" t="str">
        <f aca="false">IF(OR(AE949="",N949=0),"",AE949/(N949/1000))</f>
        <v/>
      </c>
      <c r="AI949" s="30" t="str">
        <f aca="false">IF(O949="","",M949*P949)</f>
        <v/>
      </c>
      <c r="AJ949" s="11" t="str">
        <f aca="false">IF(O949="","",IF(O949&gt;1,"Error: rend &gt; 100 %",IF(SUM(T949:Z949)=0,"Falta registrar pérdidas",IF(ABS(AG949)&gt;Parámetros!$B$7,"Revisar balance",IF(O949&lt;P949,"Bajo meta","OK")))))</f>
        <v/>
      </c>
      <c r="AK949" s="33"/>
      <c r="AL949" s="10"/>
      <c r="AM949" s="33"/>
      <c r="AN949" s="33"/>
      <c r="AO949" s="10"/>
    </row>
    <row r="950" customFormat="false" ht="15" hidden="false" customHeight="false" outlineLevel="0" collapsed="false">
      <c r="A950" s="22"/>
      <c r="B950" s="23" t="str">
        <f aca="false">IF(A950="","",YEAR(A950-WEEKDAY(A950,2)+4))</f>
        <v/>
      </c>
      <c r="C950" s="23" t="str">
        <f aca="false">IF(A950="","",WEEKNUM(A950,21))</f>
        <v/>
      </c>
      <c r="D950" s="24" t="str">
        <f aca="false">IF(A950="","",DATE(YEAR(A950),MONTH(A950),1))</f>
        <v/>
      </c>
      <c r="E950" s="10"/>
      <c r="F950" s="25"/>
      <c r="G950" s="25"/>
      <c r="H950" s="10"/>
      <c r="I950" s="10"/>
      <c r="J950" s="26"/>
      <c r="K950" s="25"/>
      <c r="L950" s="26"/>
      <c r="M950" s="27"/>
      <c r="N950" s="27"/>
      <c r="O950" s="28" t="str">
        <f aca="false">IF(OR(M950="",M950=0,N950=""),"",N950/M950)</f>
        <v/>
      </c>
      <c r="P950" s="28" t="str">
        <f aca="false">IF(M950="","",IFERROR(IF(INDEX(Parámetros!$B$14:$B$21,MATCH(I950,Parámetros!$A$14:$A$21,0))="",Parámetros!$B$5,INDEX(Parámetros!$B$14:$B$21,MATCH(I950,Parámetros!$A$14:$A$21,0))),Parámetros!$B$5))</f>
        <v/>
      </c>
      <c r="Q950" s="29" t="str">
        <f aca="false">IF(O950="","",(O950-P950)*100)</f>
        <v/>
      </c>
      <c r="R950" s="30" t="str">
        <f aca="false">IF(O950="","",MAX(0,M950*(P950-O950)))</f>
        <v/>
      </c>
      <c r="S950" s="31" t="str">
        <f aca="false">IF(OR(L950="",L950=0,N950=""),"",N950/1000/L950)</f>
        <v/>
      </c>
      <c r="T950" s="27"/>
      <c r="U950" s="27"/>
      <c r="V950" s="27"/>
      <c r="W950" s="27"/>
      <c r="X950" s="27"/>
      <c r="Y950" s="27"/>
      <c r="Z950" s="27"/>
      <c r="AA950" s="25"/>
      <c r="AB950" s="27"/>
      <c r="AC950" s="30" t="str">
        <f aca="false">IF(M950="","",IF(AB950="",M950*Parámetros!$B$6,AB950))</f>
        <v/>
      </c>
      <c r="AD950" s="30" t="str">
        <f aca="false">IF(M950="","",SUM(T950:Z950)+AC950)</f>
        <v/>
      </c>
      <c r="AE950" s="30" t="str">
        <f aca="false">IF(OR(M950="",N950=""),"",M950-N950)</f>
        <v/>
      </c>
      <c r="AF950" s="30" t="str">
        <f aca="false">IF(AE950="","",AE950-AD950)</f>
        <v/>
      </c>
      <c r="AG950" s="28" t="str">
        <f aca="false">IF(OR(AF950="",M950=0),"",AF950/M950)</f>
        <v/>
      </c>
      <c r="AH950" s="32" t="str">
        <f aca="false">IF(OR(AE950="",N950=0),"",AE950/(N950/1000))</f>
        <v/>
      </c>
      <c r="AI950" s="30" t="str">
        <f aca="false">IF(O950="","",M950*P950)</f>
        <v/>
      </c>
      <c r="AJ950" s="11" t="str">
        <f aca="false">IF(O950="","",IF(O950&gt;1,"Error: rend &gt; 100 %",IF(SUM(T950:Z950)=0,"Falta registrar pérdidas",IF(ABS(AG950)&gt;Parámetros!$B$7,"Revisar balance",IF(O950&lt;P950,"Bajo meta","OK")))))</f>
        <v/>
      </c>
      <c r="AK950" s="33"/>
      <c r="AL950" s="10"/>
      <c r="AM950" s="33"/>
      <c r="AN950" s="33"/>
      <c r="AO950" s="10"/>
    </row>
    <row r="951" customFormat="false" ht="15" hidden="false" customHeight="false" outlineLevel="0" collapsed="false">
      <c r="A951" s="22"/>
      <c r="B951" s="23" t="str">
        <f aca="false">IF(A951="","",YEAR(A951-WEEKDAY(A951,2)+4))</f>
        <v/>
      </c>
      <c r="C951" s="23" t="str">
        <f aca="false">IF(A951="","",WEEKNUM(A951,21))</f>
        <v/>
      </c>
      <c r="D951" s="24" t="str">
        <f aca="false">IF(A951="","",DATE(YEAR(A951),MONTH(A951),1))</f>
        <v/>
      </c>
      <c r="E951" s="10"/>
      <c r="F951" s="25"/>
      <c r="G951" s="25"/>
      <c r="H951" s="10"/>
      <c r="I951" s="10"/>
      <c r="J951" s="26"/>
      <c r="K951" s="25"/>
      <c r="L951" s="26"/>
      <c r="M951" s="27"/>
      <c r="N951" s="27"/>
      <c r="O951" s="28" t="str">
        <f aca="false">IF(OR(M951="",M951=0,N951=""),"",N951/M951)</f>
        <v/>
      </c>
      <c r="P951" s="28" t="str">
        <f aca="false">IF(M951="","",IFERROR(IF(INDEX(Parámetros!$B$14:$B$21,MATCH(I951,Parámetros!$A$14:$A$21,0))="",Parámetros!$B$5,INDEX(Parámetros!$B$14:$B$21,MATCH(I951,Parámetros!$A$14:$A$21,0))),Parámetros!$B$5))</f>
        <v/>
      </c>
      <c r="Q951" s="29" t="str">
        <f aca="false">IF(O951="","",(O951-P951)*100)</f>
        <v/>
      </c>
      <c r="R951" s="30" t="str">
        <f aca="false">IF(O951="","",MAX(0,M951*(P951-O951)))</f>
        <v/>
      </c>
      <c r="S951" s="31" t="str">
        <f aca="false">IF(OR(L951="",L951=0,N951=""),"",N951/1000/L951)</f>
        <v/>
      </c>
      <c r="T951" s="27"/>
      <c r="U951" s="27"/>
      <c r="V951" s="27"/>
      <c r="W951" s="27"/>
      <c r="X951" s="27"/>
      <c r="Y951" s="27"/>
      <c r="Z951" s="27"/>
      <c r="AA951" s="25"/>
      <c r="AB951" s="27"/>
      <c r="AC951" s="30" t="str">
        <f aca="false">IF(M951="","",IF(AB951="",M951*Parámetros!$B$6,AB951))</f>
        <v/>
      </c>
      <c r="AD951" s="30" t="str">
        <f aca="false">IF(M951="","",SUM(T951:Z951)+AC951)</f>
        <v/>
      </c>
      <c r="AE951" s="30" t="str">
        <f aca="false">IF(OR(M951="",N951=""),"",M951-N951)</f>
        <v/>
      </c>
      <c r="AF951" s="30" t="str">
        <f aca="false">IF(AE951="","",AE951-AD951)</f>
        <v/>
      </c>
      <c r="AG951" s="28" t="str">
        <f aca="false">IF(OR(AF951="",M951=0),"",AF951/M951)</f>
        <v/>
      </c>
      <c r="AH951" s="32" t="str">
        <f aca="false">IF(OR(AE951="",N951=0),"",AE951/(N951/1000))</f>
        <v/>
      </c>
      <c r="AI951" s="30" t="str">
        <f aca="false">IF(O951="","",M951*P951)</f>
        <v/>
      </c>
      <c r="AJ951" s="11" t="str">
        <f aca="false">IF(O951="","",IF(O951&gt;1,"Error: rend &gt; 100 %",IF(SUM(T951:Z951)=0,"Falta registrar pérdidas",IF(ABS(AG951)&gt;Parámetros!$B$7,"Revisar balance",IF(O951&lt;P951,"Bajo meta","OK")))))</f>
        <v/>
      </c>
      <c r="AK951" s="33"/>
      <c r="AL951" s="10"/>
      <c r="AM951" s="33"/>
      <c r="AN951" s="33"/>
      <c r="AO951" s="10"/>
    </row>
    <row r="952" customFormat="false" ht="15" hidden="false" customHeight="false" outlineLevel="0" collapsed="false">
      <c r="A952" s="22"/>
      <c r="B952" s="23" t="str">
        <f aca="false">IF(A952="","",YEAR(A952-WEEKDAY(A952,2)+4))</f>
        <v/>
      </c>
      <c r="C952" s="23" t="str">
        <f aca="false">IF(A952="","",WEEKNUM(A952,21))</f>
        <v/>
      </c>
      <c r="D952" s="24" t="str">
        <f aca="false">IF(A952="","",DATE(YEAR(A952),MONTH(A952),1))</f>
        <v/>
      </c>
      <c r="E952" s="10"/>
      <c r="F952" s="25"/>
      <c r="G952" s="25"/>
      <c r="H952" s="10"/>
      <c r="I952" s="10"/>
      <c r="J952" s="26"/>
      <c r="K952" s="25"/>
      <c r="L952" s="26"/>
      <c r="M952" s="27"/>
      <c r="N952" s="27"/>
      <c r="O952" s="28" t="str">
        <f aca="false">IF(OR(M952="",M952=0,N952=""),"",N952/M952)</f>
        <v/>
      </c>
      <c r="P952" s="28" t="str">
        <f aca="false">IF(M952="","",IFERROR(IF(INDEX(Parámetros!$B$14:$B$21,MATCH(I952,Parámetros!$A$14:$A$21,0))="",Parámetros!$B$5,INDEX(Parámetros!$B$14:$B$21,MATCH(I952,Parámetros!$A$14:$A$21,0))),Parámetros!$B$5))</f>
        <v/>
      </c>
      <c r="Q952" s="29" t="str">
        <f aca="false">IF(O952="","",(O952-P952)*100)</f>
        <v/>
      </c>
      <c r="R952" s="30" t="str">
        <f aca="false">IF(O952="","",MAX(0,M952*(P952-O952)))</f>
        <v/>
      </c>
      <c r="S952" s="31" t="str">
        <f aca="false">IF(OR(L952="",L952=0,N952=""),"",N952/1000/L952)</f>
        <v/>
      </c>
      <c r="T952" s="27"/>
      <c r="U952" s="27"/>
      <c r="V952" s="27"/>
      <c r="W952" s="27"/>
      <c r="X952" s="27"/>
      <c r="Y952" s="27"/>
      <c r="Z952" s="27"/>
      <c r="AA952" s="25"/>
      <c r="AB952" s="27"/>
      <c r="AC952" s="30" t="str">
        <f aca="false">IF(M952="","",IF(AB952="",M952*Parámetros!$B$6,AB952))</f>
        <v/>
      </c>
      <c r="AD952" s="30" t="str">
        <f aca="false">IF(M952="","",SUM(T952:Z952)+AC952)</f>
        <v/>
      </c>
      <c r="AE952" s="30" t="str">
        <f aca="false">IF(OR(M952="",N952=""),"",M952-N952)</f>
        <v/>
      </c>
      <c r="AF952" s="30" t="str">
        <f aca="false">IF(AE952="","",AE952-AD952)</f>
        <v/>
      </c>
      <c r="AG952" s="28" t="str">
        <f aca="false">IF(OR(AF952="",M952=0),"",AF952/M952)</f>
        <v/>
      </c>
      <c r="AH952" s="32" t="str">
        <f aca="false">IF(OR(AE952="",N952=0),"",AE952/(N952/1000))</f>
        <v/>
      </c>
      <c r="AI952" s="30" t="str">
        <f aca="false">IF(O952="","",M952*P952)</f>
        <v/>
      </c>
      <c r="AJ952" s="11" t="str">
        <f aca="false">IF(O952="","",IF(O952&gt;1,"Error: rend &gt; 100 %",IF(SUM(T952:Z952)=0,"Falta registrar pérdidas",IF(ABS(AG952)&gt;Parámetros!$B$7,"Revisar balance",IF(O952&lt;P952,"Bajo meta","OK")))))</f>
        <v/>
      </c>
      <c r="AK952" s="33"/>
      <c r="AL952" s="10"/>
      <c r="AM952" s="33"/>
      <c r="AN952" s="33"/>
      <c r="AO952" s="10"/>
    </row>
    <row r="953" customFormat="false" ht="15" hidden="false" customHeight="false" outlineLevel="0" collapsed="false">
      <c r="A953" s="22"/>
      <c r="B953" s="23" t="str">
        <f aca="false">IF(A953="","",YEAR(A953-WEEKDAY(A953,2)+4))</f>
        <v/>
      </c>
      <c r="C953" s="23" t="str">
        <f aca="false">IF(A953="","",WEEKNUM(A953,21))</f>
        <v/>
      </c>
      <c r="D953" s="24" t="str">
        <f aca="false">IF(A953="","",DATE(YEAR(A953),MONTH(A953),1))</f>
        <v/>
      </c>
      <c r="E953" s="10"/>
      <c r="F953" s="25"/>
      <c r="G953" s="25"/>
      <c r="H953" s="10"/>
      <c r="I953" s="10"/>
      <c r="J953" s="26"/>
      <c r="K953" s="25"/>
      <c r="L953" s="26"/>
      <c r="M953" s="27"/>
      <c r="N953" s="27"/>
      <c r="O953" s="28" t="str">
        <f aca="false">IF(OR(M953="",M953=0,N953=""),"",N953/M953)</f>
        <v/>
      </c>
      <c r="P953" s="28" t="str">
        <f aca="false">IF(M953="","",IFERROR(IF(INDEX(Parámetros!$B$14:$B$21,MATCH(I953,Parámetros!$A$14:$A$21,0))="",Parámetros!$B$5,INDEX(Parámetros!$B$14:$B$21,MATCH(I953,Parámetros!$A$14:$A$21,0))),Parámetros!$B$5))</f>
        <v/>
      </c>
      <c r="Q953" s="29" t="str">
        <f aca="false">IF(O953="","",(O953-P953)*100)</f>
        <v/>
      </c>
      <c r="R953" s="30" t="str">
        <f aca="false">IF(O953="","",MAX(0,M953*(P953-O953)))</f>
        <v/>
      </c>
      <c r="S953" s="31" t="str">
        <f aca="false">IF(OR(L953="",L953=0,N953=""),"",N953/1000/L953)</f>
        <v/>
      </c>
      <c r="T953" s="27"/>
      <c r="U953" s="27"/>
      <c r="V953" s="27"/>
      <c r="W953" s="27"/>
      <c r="X953" s="27"/>
      <c r="Y953" s="27"/>
      <c r="Z953" s="27"/>
      <c r="AA953" s="25"/>
      <c r="AB953" s="27"/>
      <c r="AC953" s="30" t="str">
        <f aca="false">IF(M953="","",IF(AB953="",M953*Parámetros!$B$6,AB953))</f>
        <v/>
      </c>
      <c r="AD953" s="30" t="str">
        <f aca="false">IF(M953="","",SUM(T953:Z953)+AC953)</f>
        <v/>
      </c>
      <c r="AE953" s="30" t="str">
        <f aca="false">IF(OR(M953="",N953=""),"",M953-N953)</f>
        <v/>
      </c>
      <c r="AF953" s="30" t="str">
        <f aca="false">IF(AE953="","",AE953-AD953)</f>
        <v/>
      </c>
      <c r="AG953" s="28" t="str">
        <f aca="false">IF(OR(AF953="",M953=0),"",AF953/M953)</f>
        <v/>
      </c>
      <c r="AH953" s="32" t="str">
        <f aca="false">IF(OR(AE953="",N953=0),"",AE953/(N953/1000))</f>
        <v/>
      </c>
      <c r="AI953" s="30" t="str">
        <f aca="false">IF(O953="","",M953*P953)</f>
        <v/>
      </c>
      <c r="AJ953" s="11" t="str">
        <f aca="false">IF(O953="","",IF(O953&gt;1,"Error: rend &gt; 100 %",IF(SUM(T953:Z953)=0,"Falta registrar pérdidas",IF(ABS(AG953)&gt;Parámetros!$B$7,"Revisar balance",IF(O953&lt;P953,"Bajo meta","OK")))))</f>
        <v/>
      </c>
      <c r="AK953" s="33"/>
      <c r="AL953" s="10"/>
      <c r="AM953" s="33"/>
      <c r="AN953" s="33"/>
      <c r="AO953" s="10"/>
    </row>
    <row r="954" customFormat="false" ht="15" hidden="false" customHeight="false" outlineLevel="0" collapsed="false">
      <c r="A954" s="22"/>
      <c r="B954" s="23" t="str">
        <f aca="false">IF(A954="","",YEAR(A954-WEEKDAY(A954,2)+4))</f>
        <v/>
      </c>
      <c r="C954" s="23" t="str">
        <f aca="false">IF(A954="","",WEEKNUM(A954,21))</f>
        <v/>
      </c>
      <c r="D954" s="24" t="str">
        <f aca="false">IF(A954="","",DATE(YEAR(A954),MONTH(A954),1))</f>
        <v/>
      </c>
      <c r="E954" s="10"/>
      <c r="F954" s="25"/>
      <c r="G954" s="25"/>
      <c r="H954" s="10"/>
      <c r="I954" s="10"/>
      <c r="J954" s="26"/>
      <c r="K954" s="25"/>
      <c r="L954" s="26"/>
      <c r="M954" s="27"/>
      <c r="N954" s="27"/>
      <c r="O954" s="28" t="str">
        <f aca="false">IF(OR(M954="",M954=0,N954=""),"",N954/M954)</f>
        <v/>
      </c>
      <c r="P954" s="28" t="str">
        <f aca="false">IF(M954="","",IFERROR(IF(INDEX(Parámetros!$B$14:$B$21,MATCH(I954,Parámetros!$A$14:$A$21,0))="",Parámetros!$B$5,INDEX(Parámetros!$B$14:$B$21,MATCH(I954,Parámetros!$A$14:$A$21,0))),Parámetros!$B$5))</f>
        <v/>
      </c>
      <c r="Q954" s="29" t="str">
        <f aca="false">IF(O954="","",(O954-P954)*100)</f>
        <v/>
      </c>
      <c r="R954" s="30" t="str">
        <f aca="false">IF(O954="","",MAX(0,M954*(P954-O954)))</f>
        <v/>
      </c>
      <c r="S954" s="31" t="str">
        <f aca="false">IF(OR(L954="",L954=0,N954=""),"",N954/1000/L954)</f>
        <v/>
      </c>
      <c r="T954" s="27"/>
      <c r="U954" s="27"/>
      <c r="V954" s="27"/>
      <c r="W954" s="27"/>
      <c r="X954" s="27"/>
      <c r="Y954" s="27"/>
      <c r="Z954" s="27"/>
      <c r="AA954" s="25"/>
      <c r="AB954" s="27"/>
      <c r="AC954" s="30" t="str">
        <f aca="false">IF(M954="","",IF(AB954="",M954*Parámetros!$B$6,AB954))</f>
        <v/>
      </c>
      <c r="AD954" s="30" t="str">
        <f aca="false">IF(M954="","",SUM(T954:Z954)+AC954)</f>
        <v/>
      </c>
      <c r="AE954" s="30" t="str">
        <f aca="false">IF(OR(M954="",N954=""),"",M954-N954)</f>
        <v/>
      </c>
      <c r="AF954" s="30" t="str">
        <f aca="false">IF(AE954="","",AE954-AD954)</f>
        <v/>
      </c>
      <c r="AG954" s="28" t="str">
        <f aca="false">IF(OR(AF954="",M954=0),"",AF954/M954)</f>
        <v/>
      </c>
      <c r="AH954" s="32" t="str">
        <f aca="false">IF(OR(AE954="",N954=0),"",AE954/(N954/1000))</f>
        <v/>
      </c>
      <c r="AI954" s="30" t="str">
        <f aca="false">IF(O954="","",M954*P954)</f>
        <v/>
      </c>
      <c r="AJ954" s="11" t="str">
        <f aca="false">IF(O954="","",IF(O954&gt;1,"Error: rend &gt; 100 %",IF(SUM(T954:Z954)=0,"Falta registrar pérdidas",IF(ABS(AG954)&gt;Parámetros!$B$7,"Revisar balance",IF(O954&lt;P954,"Bajo meta","OK")))))</f>
        <v/>
      </c>
      <c r="AK954" s="33"/>
      <c r="AL954" s="10"/>
      <c r="AM954" s="33"/>
      <c r="AN954" s="33"/>
      <c r="AO954" s="10"/>
    </row>
    <row r="955" customFormat="false" ht="15" hidden="false" customHeight="false" outlineLevel="0" collapsed="false">
      <c r="A955" s="22"/>
      <c r="B955" s="23" t="str">
        <f aca="false">IF(A955="","",YEAR(A955-WEEKDAY(A955,2)+4))</f>
        <v/>
      </c>
      <c r="C955" s="23" t="str">
        <f aca="false">IF(A955="","",WEEKNUM(A955,21))</f>
        <v/>
      </c>
      <c r="D955" s="24" t="str">
        <f aca="false">IF(A955="","",DATE(YEAR(A955),MONTH(A955),1))</f>
        <v/>
      </c>
      <c r="E955" s="10"/>
      <c r="F955" s="25"/>
      <c r="G955" s="25"/>
      <c r="H955" s="10"/>
      <c r="I955" s="10"/>
      <c r="J955" s="26"/>
      <c r="K955" s="25"/>
      <c r="L955" s="26"/>
      <c r="M955" s="27"/>
      <c r="N955" s="27"/>
      <c r="O955" s="28" t="str">
        <f aca="false">IF(OR(M955="",M955=0,N955=""),"",N955/M955)</f>
        <v/>
      </c>
      <c r="P955" s="28" t="str">
        <f aca="false">IF(M955="","",IFERROR(IF(INDEX(Parámetros!$B$14:$B$21,MATCH(I955,Parámetros!$A$14:$A$21,0))="",Parámetros!$B$5,INDEX(Parámetros!$B$14:$B$21,MATCH(I955,Parámetros!$A$14:$A$21,0))),Parámetros!$B$5))</f>
        <v/>
      </c>
      <c r="Q955" s="29" t="str">
        <f aca="false">IF(O955="","",(O955-P955)*100)</f>
        <v/>
      </c>
      <c r="R955" s="30" t="str">
        <f aca="false">IF(O955="","",MAX(0,M955*(P955-O955)))</f>
        <v/>
      </c>
      <c r="S955" s="31" t="str">
        <f aca="false">IF(OR(L955="",L955=0,N955=""),"",N955/1000/L955)</f>
        <v/>
      </c>
      <c r="T955" s="27"/>
      <c r="U955" s="27"/>
      <c r="V955" s="27"/>
      <c r="W955" s="27"/>
      <c r="X955" s="27"/>
      <c r="Y955" s="27"/>
      <c r="Z955" s="27"/>
      <c r="AA955" s="25"/>
      <c r="AB955" s="27"/>
      <c r="AC955" s="30" t="str">
        <f aca="false">IF(M955="","",IF(AB955="",M955*Parámetros!$B$6,AB955))</f>
        <v/>
      </c>
      <c r="AD955" s="30" t="str">
        <f aca="false">IF(M955="","",SUM(T955:Z955)+AC955)</f>
        <v/>
      </c>
      <c r="AE955" s="30" t="str">
        <f aca="false">IF(OR(M955="",N955=""),"",M955-N955)</f>
        <v/>
      </c>
      <c r="AF955" s="30" t="str">
        <f aca="false">IF(AE955="","",AE955-AD955)</f>
        <v/>
      </c>
      <c r="AG955" s="28" t="str">
        <f aca="false">IF(OR(AF955="",M955=0),"",AF955/M955)</f>
        <v/>
      </c>
      <c r="AH955" s="32" t="str">
        <f aca="false">IF(OR(AE955="",N955=0),"",AE955/(N955/1000))</f>
        <v/>
      </c>
      <c r="AI955" s="30" t="str">
        <f aca="false">IF(O955="","",M955*P955)</f>
        <v/>
      </c>
      <c r="AJ955" s="11" t="str">
        <f aca="false">IF(O955="","",IF(O955&gt;1,"Error: rend &gt; 100 %",IF(SUM(T955:Z955)=0,"Falta registrar pérdidas",IF(ABS(AG955)&gt;Parámetros!$B$7,"Revisar balance",IF(O955&lt;P955,"Bajo meta","OK")))))</f>
        <v/>
      </c>
      <c r="AK955" s="33"/>
      <c r="AL955" s="10"/>
      <c r="AM955" s="33"/>
      <c r="AN955" s="33"/>
      <c r="AO955" s="10"/>
    </row>
    <row r="956" customFormat="false" ht="15" hidden="false" customHeight="false" outlineLevel="0" collapsed="false">
      <c r="A956" s="22"/>
      <c r="B956" s="23" t="str">
        <f aca="false">IF(A956="","",YEAR(A956-WEEKDAY(A956,2)+4))</f>
        <v/>
      </c>
      <c r="C956" s="23" t="str">
        <f aca="false">IF(A956="","",WEEKNUM(A956,21))</f>
        <v/>
      </c>
      <c r="D956" s="24" t="str">
        <f aca="false">IF(A956="","",DATE(YEAR(A956),MONTH(A956),1))</f>
        <v/>
      </c>
      <c r="E956" s="10"/>
      <c r="F956" s="25"/>
      <c r="G956" s="25"/>
      <c r="H956" s="10"/>
      <c r="I956" s="10"/>
      <c r="J956" s="26"/>
      <c r="K956" s="25"/>
      <c r="L956" s="26"/>
      <c r="M956" s="27"/>
      <c r="N956" s="27"/>
      <c r="O956" s="28" t="str">
        <f aca="false">IF(OR(M956="",M956=0,N956=""),"",N956/M956)</f>
        <v/>
      </c>
      <c r="P956" s="28" t="str">
        <f aca="false">IF(M956="","",IFERROR(IF(INDEX(Parámetros!$B$14:$B$21,MATCH(I956,Parámetros!$A$14:$A$21,0))="",Parámetros!$B$5,INDEX(Parámetros!$B$14:$B$21,MATCH(I956,Parámetros!$A$14:$A$21,0))),Parámetros!$B$5))</f>
        <v/>
      </c>
      <c r="Q956" s="29" t="str">
        <f aca="false">IF(O956="","",(O956-P956)*100)</f>
        <v/>
      </c>
      <c r="R956" s="30" t="str">
        <f aca="false">IF(O956="","",MAX(0,M956*(P956-O956)))</f>
        <v/>
      </c>
      <c r="S956" s="31" t="str">
        <f aca="false">IF(OR(L956="",L956=0,N956=""),"",N956/1000/L956)</f>
        <v/>
      </c>
      <c r="T956" s="27"/>
      <c r="U956" s="27"/>
      <c r="V956" s="27"/>
      <c r="W956" s="27"/>
      <c r="X956" s="27"/>
      <c r="Y956" s="27"/>
      <c r="Z956" s="27"/>
      <c r="AA956" s="25"/>
      <c r="AB956" s="27"/>
      <c r="AC956" s="30" t="str">
        <f aca="false">IF(M956="","",IF(AB956="",M956*Parámetros!$B$6,AB956))</f>
        <v/>
      </c>
      <c r="AD956" s="30" t="str">
        <f aca="false">IF(M956="","",SUM(T956:Z956)+AC956)</f>
        <v/>
      </c>
      <c r="AE956" s="30" t="str">
        <f aca="false">IF(OR(M956="",N956=""),"",M956-N956)</f>
        <v/>
      </c>
      <c r="AF956" s="30" t="str">
        <f aca="false">IF(AE956="","",AE956-AD956)</f>
        <v/>
      </c>
      <c r="AG956" s="28" t="str">
        <f aca="false">IF(OR(AF956="",M956=0),"",AF956/M956)</f>
        <v/>
      </c>
      <c r="AH956" s="32" t="str">
        <f aca="false">IF(OR(AE956="",N956=0),"",AE956/(N956/1000))</f>
        <v/>
      </c>
      <c r="AI956" s="30" t="str">
        <f aca="false">IF(O956="","",M956*P956)</f>
        <v/>
      </c>
      <c r="AJ956" s="11" t="str">
        <f aca="false">IF(O956="","",IF(O956&gt;1,"Error: rend &gt; 100 %",IF(SUM(T956:Z956)=0,"Falta registrar pérdidas",IF(ABS(AG956)&gt;Parámetros!$B$7,"Revisar balance",IF(O956&lt;P956,"Bajo meta","OK")))))</f>
        <v/>
      </c>
      <c r="AK956" s="33"/>
      <c r="AL956" s="10"/>
      <c r="AM956" s="33"/>
      <c r="AN956" s="33"/>
      <c r="AO956" s="10"/>
    </row>
    <row r="957" customFormat="false" ht="15" hidden="false" customHeight="false" outlineLevel="0" collapsed="false">
      <c r="A957" s="22"/>
      <c r="B957" s="23" t="str">
        <f aca="false">IF(A957="","",YEAR(A957-WEEKDAY(A957,2)+4))</f>
        <v/>
      </c>
      <c r="C957" s="23" t="str">
        <f aca="false">IF(A957="","",WEEKNUM(A957,21))</f>
        <v/>
      </c>
      <c r="D957" s="24" t="str">
        <f aca="false">IF(A957="","",DATE(YEAR(A957),MONTH(A957),1))</f>
        <v/>
      </c>
      <c r="E957" s="10"/>
      <c r="F957" s="25"/>
      <c r="G957" s="25"/>
      <c r="H957" s="10"/>
      <c r="I957" s="10"/>
      <c r="J957" s="26"/>
      <c r="K957" s="25"/>
      <c r="L957" s="26"/>
      <c r="M957" s="27"/>
      <c r="N957" s="27"/>
      <c r="O957" s="28" t="str">
        <f aca="false">IF(OR(M957="",M957=0,N957=""),"",N957/M957)</f>
        <v/>
      </c>
      <c r="P957" s="28" t="str">
        <f aca="false">IF(M957="","",IFERROR(IF(INDEX(Parámetros!$B$14:$B$21,MATCH(I957,Parámetros!$A$14:$A$21,0))="",Parámetros!$B$5,INDEX(Parámetros!$B$14:$B$21,MATCH(I957,Parámetros!$A$14:$A$21,0))),Parámetros!$B$5))</f>
        <v/>
      </c>
      <c r="Q957" s="29" t="str">
        <f aca="false">IF(O957="","",(O957-P957)*100)</f>
        <v/>
      </c>
      <c r="R957" s="30" t="str">
        <f aca="false">IF(O957="","",MAX(0,M957*(P957-O957)))</f>
        <v/>
      </c>
      <c r="S957" s="31" t="str">
        <f aca="false">IF(OR(L957="",L957=0,N957=""),"",N957/1000/L957)</f>
        <v/>
      </c>
      <c r="T957" s="27"/>
      <c r="U957" s="27"/>
      <c r="V957" s="27"/>
      <c r="W957" s="27"/>
      <c r="X957" s="27"/>
      <c r="Y957" s="27"/>
      <c r="Z957" s="27"/>
      <c r="AA957" s="25"/>
      <c r="AB957" s="27"/>
      <c r="AC957" s="30" t="str">
        <f aca="false">IF(M957="","",IF(AB957="",M957*Parámetros!$B$6,AB957))</f>
        <v/>
      </c>
      <c r="AD957" s="30" t="str">
        <f aca="false">IF(M957="","",SUM(T957:Z957)+AC957)</f>
        <v/>
      </c>
      <c r="AE957" s="30" t="str">
        <f aca="false">IF(OR(M957="",N957=""),"",M957-N957)</f>
        <v/>
      </c>
      <c r="AF957" s="30" t="str">
        <f aca="false">IF(AE957="","",AE957-AD957)</f>
        <v/>
      </c>
      <c r="AG957" s="28" t="str">
        <f aca="false">IF(OR(AF957="",M957=0),"",AF957/M957)</f>
        <v/>
      </c>
      <c r="AH957" s="32" t="str">
        <f aca="false">IF(OR(AE957="",N957=0),"",AE957/(N957/1000))</f>
        <v/>
      </c>
      <c r="AI957" s="30" t="str">
        <f aca="false">IF(O957="","",M957*P957)</f>
        <v/>
      </c>
      <c r="AJ957" s="11" t="str">
        <f aca="false">IF(O957="","",IF(O957&gt;1,"Error: rend &gt; 100 %",IF(SUM(T957:Z957)=0,"Falta registrar pérdidas",IF(ABS(AG957)&gt;Parámetros!$B$7,"Revisar balance",IF(O957&lt;P957,"Bajo meta","OK")))))</f>
        <v/>
      </c>
      <c r="AK957" s="33"/>
      <c r="AL957" s="10"/>
      <c r="AM957" s="33"/>
      <c r="AN957" s="33"/>
      <c r="AO957" s="10"/>
    </row>
    <row r="958" customFormat="false" ht="15" hidden="false" customHeight="false" outlineLevel="0" collapsed="false">
      <c r="A958" s="22"/>
      <c r="B958" s="23" t="str">
        <f aca="false">IF(A958="","",YEAR(A958-WEEKDAY(A958,2)+4))</f>
        <v/>
      </c>
      <c r="C958" s="23" t="str">
        <f aca="false">IF(A958="","",WEEKNUM(A958,21))</f>
        <v/>
      </c>
      <c r="D958" s="24" t="str">
        <f aca="false">IF(A958="","",DATE(YEAR(A958),MONTH(A958),1))</f>
        <v/>
      </c>
      <c r="E958" s="10"/>
      <c r="F958" s="25"/>
      <c r="G958" s="25"/>
      <c r="H958" s="10"/>
      <c r="I958" s="10"/>
      <c r="J958" s="26"/>
      <c r="K958" s="25"/>
      <c r="L958" s="26"/>
      <c r="M958" s="27"/>
      <c r="N958" s="27"/>
      <c r="O958" s="28" t="str">
        <f aca="false">IF(OR(M958="",M958=0,N958=""),"",N958/M958)</f>
        <v/>
      </c>
      <c r="P958" s="28" t="str">
        <f aca="false">IF(M958="","",IFERROR(IF(INDEX(Parámetros!$B$14:$B$21,MATCH(I958,Parámetros!$A$14:$A$21,0))="",Parámetros!$B$5,INDEX(Parámetros!$B$14:$B$21,MATCH(I958,Parámetros!$A$14:$A$21,0))),Parámetros!$B$5))</f>
        <v/>
      </c>
      <c r="Q958" s="29" t="str">
        <f aca="false">IF(O958="","",(O958-P958)*100)</f>
        <v/>
      </c>
      <c r="R958" s="30" t="str">
        <f aca="false">IF(O958="","",MAX(0,M958*(P958-O958)))</f>
        <v/>
      </c>
      <c r="S958" s="31" t="str">
        <f aca="false">IF(OR(L958="",L958=0,N958=""),"",N958/1000/L958)</f>
        <v/>
      </c>
      <c r="T958" s="27"/>
      <c r="U958" s="27"/>
      <c r="V958" s="27"/>
      <c r="W958" s="27"/>
      <c r="X958" s="27"/>
      <c r="Y958" s="27"/>
      <c r="Z958" s="27"/>
      <c r="AA958" s="25"/>
      <c r="AB958" s="27"/>
      <c r="AC958" s="30" t="str">
        <f aca="false">IF(M958="","",IF(AB958="",M958*Parámetros!$B$6,AB958))</f>
        <v/>
      </c>
      <c r="AD958" s="30" t="str">
        <f aca="false">IF(M958="","",SUM(T958:Z958)+AC958)</f>
        <v/>
      </c>
      <c r="AE958" s="30" t="str">
        <f aca="false">IF(OR(M958="",N958=""),"",M958-N958)</f>
        <v/>
      </c>
      <c r="AF958" s="30" t="str">
        <f aca="false">IF(AE958="","",AE958-AD958)</f>
        <v/>
      </c>
      <c r="AG958" s="28" t="str">
        <f aca="false">IF(OR(AF958="",M958=0),"",AF958/M958)</f>
        <v/>
      </c>
      <c r="AH958" s="32" t="str">
        <f aca="false">IF(OR(AE958="",N958=0),"",AE958/(N958/1000))</f>
        <v/>
      </c>
      <c r="AI958" s="30" t="str">
        <f aca="false">IF(O958="","",M958*P958)</f>
        <v/>
      </c>
      <c r="AJ958" s="11" t="str">
        <f aca="false">IF(O958="","",IF(O958&gt;1,"Error: rend &gt; 100 %",IF(SUM(T958:Z958)=0,"Falta registrar pérdidas",IF(ABS(AG958)&gt;Parámetros!$B$7,"Revisar balance",IF(O958&lt;P958,"Bajo meta","OK")))))</f>
        <v/>
      </c>
      <c r="AK958" s="33"/>
      <c r="AL958" s="10"/>
      <c r="AM958" s="33"/>
      <c r="AN958" s="33"/>
      <c r="AO958" s="10"/>
    </row>
    <row r="959" customFormat="false" ht="15" hidden="false" customHeight="false" outlineLevel="0" collapsed="false">
      <c r="A959" s="22"/>
      <c r="B959" s="23" t="str">
        <f aca="false">IF(A959="","",YEAR(A959-WEEKDAY(A959,2)+4))</f>
        <v/>
      </c>
      <c r="C959" s="23" t="str">
        <f aca="false">IF(A959="","",WEEKNUM(A959,21))</f>
        <v/>
      </c>
      <c r="D959" s="24" t="str">
        <f aca="false">IF(A959="","",DATE(YEAR(A959),MONTH(A959),1))</f>
        <v/>
      </c>
      <c r="E959" s="10"/>
      <c r="F959" s="25"/>
      <c r="G959" s="25"/>
      <c r="H959" s="10"/>
      <c r="I959" s="10"/>
      <c r="J959" s="26"/>
      <c r="K959" s="25"/>
      <c r="L959" s="26"/>
      <c r="M959" s="27"/>
      <c r="N959" s="27"/>
      <c r="O959" s="28" t="str">
        <f aca="false">IF(OR(M959="",M959=0,N959=""),"",N959/M959)</f>
        <v/>
      </c>
      <c r="P959" s="28" t="str">
        <f aca="false">IF(M959="","",IFERROR(IF(INDEX(Parámetros!$B$14:$B$21,MATCH(I959,Parámetros!$A$14:$A$21,0))="",Parámetros!$B$5,INDEX(Parámetros!$B$14:$B$21,MATCH(I959,Parámetros!$A$14:$A$21,0))),Parámetros!$B$5))</f>
        <v/>
      </c>
      <c r="Q959" s="29" t="str">
        <f aca="false">IF(O959="","",(O959-P959)*100)</f>
        <v/>
      </c>
      <c r="R959" s="30" t="str">
        <f aca="false">IF(O959="","",MAX(0,M959*(P959-O959)))</f>
        <v/>
      </c>
      <c r="S959" s="31" t="str">
        <f aca="false">IF(OR(L959="",L959=0,N959=""),"",N959/1000/L959)</f>
        <v/>
      </c>
      <c r="T959" s="27"/>
      <c r="U959" s="27"/>
      <c r="V959" s="27"/>
      <c r="W959" s="27"/>
      <c r="X959" s="27"/>
      <c r="Y959" s="27"/>
      <c r="Z959" s="27"/>
      <c r="AA959" s="25"/>
      <c r="AB959" s="27"/>
      <c r="AC959" s="30" t="str">
        <f aca="false">IF(M959="","",IF(AB959="",M959*Parámetros!$B$6,AB959))</f>
        <v/>
      </c>
      <c r="AD959" s="30" t="str">
        <f aca="false">IF(M959="","",SUM(T959:Z959)+AC959)</f>
        <v/>
      </c>
      <c r="AE959" s="30" t="str">
        <f aca="false">IF(OR(M959="",N959=""),"",M959-N959)</f>
        <v/>
      </c>
      <c r="AF959" s="30" t="str">
        <f aca="false">IF(AE959="","",AE959-AD959)</f>
        <v/>
      </c>
      <c r="AG959" s="28" t="str">
        <f aca="false">IF(OR(AF959="",M959=0),"",AF959/M959)</f>
        <v/>
      </c>
      <c r="AH959" s="32" t="str">
        <f aca="false">IF(OR(AE959="",N959=0),"",AE959/(N959/1000))</f>
        <v/>
      </c>
      <c r="AI959" s="30" t="str">
        <f aca="false">IF(O959="","",M959*P959)</f>
        <v/>
      </c>
      <c r="AJ959" s="11" t="str">
        <f aca="false">IF(O959="","",IF(O959&gt;1,"Error: rend &gt; 100 %",IF(SUM(T959:Z959)=0,"Falta registrar pérdidas",IF(ABS(AG959)&gt;Parámetros!$B$7,"Revisar balance",IF(O959&lt;P959,"Bajo meta","OK")))))</f>
        <v/>
      </c>
      <c r="AK959" s="33"/>
      <c r="AL959" s="10"/>
      <c r="AM959" s="33"/>
      <c r="AN959" s="33"/>
      <c r="AO959" s="10"/>
    </row>
    <row r="960" customFormat="false" ht="15" hidden="false" customHeight="false" outlineLevel="0" collapsed="false">
      <c r="A960" s="22"/>
      <c r="B960" s="23" t="str">
        <f aca="false">IF(A960="","",YEAR(A960-WEEKDAY(A960,2)+4))</f>
        <v/>
      </c>
      <c r="C960" s="23" t="str">
        <f aca="false">IF(A960="","",WEEKNUM(A960,21))</f>
        <v/>
      </c>
      <c r="D960" s="24" t="str">
        <f aca="false">IF(A960="","",DATE(YEAR(A960),MONTH(A960),1))</f>
        <v/>
      </c>
      <c r="E960" s="10"/>
      <c r="F960" s="25"/>
      <c r="G960" s="25"/>
      <c r="H960" s="10"/>
      <c r="I960" s="10"/>
      <c r="J960" s="26"/>
      <c r="K960" s="25"/>
      <c r="L960" s="26"/>
      <c r="M960" s="27"/>
      <c r="N960" s="27"/>
      <c r="O960" s="28" t="str">
        <f aca="false">IF(OR(M960="",M960=0,N960=""),"",N960/M960)</f>
        <v/>
      </c>
      <c r="P960" s="28" t="str">
        <f aca="false">IF(M960="","",IFERROR(IF(INDEX(Parámetros!$B$14:$B$21,MATCH(I960,Parámetros!$A$14:$A$21,0))="",Parámetros!$B$5,INDEX(Parámetros!$B$14:$B$21,MATCH(I960,Parámetros!$A$14:$A$21,0))),Parámetros!$B$5))</f>
        <v/>
      </c>
      <c r="Q960" s="29" t="str">
        <f aca="false">IF(O960="","",(O960-P960)*100)</f>
        <v/>
      </c>
      <c r="R960" s="30" t="str">
        <f aca="false">IF(O960="","",MAX(0,M960*(P960-O960)))</f>
        <v/>
      </c>
      <c r="S960" s="31" t="str">
        <f aca="false">IF(OR(L960="",L960=0,N960=""),"",N960/1000/L960)</f>
        <v/>
      </c>
      <c r="T960" s="27"/>
      <c r="U960" s="27"/>
      <c r="V960" s="27"/>
      <c r="W960" s="27"/>
      <c r="X960" s="27"/>
      <c r="Y960" s="27"/>
      <c r="Z960" s="27"/>
      <c r="AA960" s="25"/>
      <c r="AB960" s="27"/>
      <c r="AC960" s="30" t="str">
        <f aca="false">IF(M960="","",IF(AB960="",M960*Parámetros!$B$6,AB960))</f>
        <v/>
      </c>
      <c r="AD960" s="30" t="str">
        <f aca="false">IF(M960="","",SUM(T960:Z960)+AC960)</f>
        <v/>
      </c>
      <c r="AE960" s="30" t="str">
        <f aca="false">IF(OR(M960="",N960=""),"",M960-N960)</f>
        <v/>
      </c>
      <c r="AF960" s="30" t="str">
        <f aca="false">IF(AE960="","",AE960-AD960)</f>
        <v/>
      </c>
      <c r="AG960" s="28" t="str">
        <f aca="false">IF(OR(AF960="",M960=0),"",AF960/M960)</f>
        <v/>
      </c>
      <c r="AH960" s="32" t="str">
        <f aca="false">IF(OR(AE960="",N960=0),"",AE960/(N960/1000))</f>
        <v/>
      </c>
      <c r="AI960" s="30" t="str">
        <f aca="false">IF(O960="","",M960*P960)</f>
        <v/>
      </c>
      <c r="AJ960" s="11" t="str">
        <f aca="false">IF(O960="","",IF(O960&gt;1,"Error: rend &gt; 100 %",IF(SUM(T960:Z960)=0,"Falta registrar pérdidas",IF(ABS(AG960)&gt;Parámetros!$B$7,"Revisar balance",IF(O960&lt;P960,"Bajo meta","OK")))))</f>
        <v/>
      </c>
      <c r="AK960" s="33"/>
      <c r="AL960" s="10"/>
      <c r="AM960" s="33"/>
      <c r="AN960" s="33"/>
      <c r="AO960" s="10"/>
    </row>
    <row r="961" customFormat="false" ht="15" hidden="false" customHeight="false" outlineLevel="0" collapsed="false">
      <c r="A961" s="22"/>
      <c r="B961" s="23" t="str">
        <f aca="false">IF(A961="","",YEAR(A961-WEEKDAY(A961,2)+4))</f>
        <v/>
      </c>
      <c r="C961" s="23" t="str">
        <f aca="false">IF(A961="","",WEEKNUM(A961,21))</f>
        <v/>
      </c>
      <c r="D961" s="24" t="str">
        <f aca="false">IF(A961="","",DATE(YEAR(A961),MONTH(A961),1))</f>
        <v/>
      </c>
      <c r="E961" s="10"/>
      <c r="F961" s="25"/>
      <c r="G961" s="25"/>
      <c r="H961" s="10"/>
      <c r="I961" s="10"/>
      <c r="J961" s="26"/>
      <c r="K961" s="25"/>
      <c r="L961" s="26"/>
      <c r="M961" s="27"/>
      <c r="N961" s="27"/>
      <c r="O961" s="28" t="str">
        <f aca="false">IF(OR(M961="",M961=0,N961=""),"",N961/M961)</f>
        <v/>
      </c>
      <c r="P961" s="28" t="str">
        <f aca="false">IF(M961="","",IFERROR(IF(INDEX(Parámetros!$B$14:$B$21,MATCH(I961,Parámetros!$A$14:$A$21,0))="",Parámetros!$B$5,INDEX(Parámetros!$B$14:$B$21,MATCH(I961,Parámetros!$A$14:$A$21,0))),Parámetros!$B$5))</f>
        <v/>
      </c>
      <c r="Q961" s="29" t="str">
        <f aca="false">IF(O961="","",(O961-P961)*100)</f>
        <v/>
      </c>
      <c r="R961" s="30" t="str">
        <f aca="false">IF(O961="","",MAX(0,M961*(P961-O961)))</f>
        <v/>
      </c>
      <c r="S961" s="31" t="str">
        <f aca="false">IF(OR(L961="",L961=0,N961=""),"",N961/1000/L961)</f>
        <v/>
      </c>
      <c r="T961" s="27"/>
      <c r="U961" s="27"/>
      <c r="V961" s="27"/>
      <c r="W961" s="27"/>
      <c r="X961" s="27"/>
      <c r="Y961" s="27"/>
      <c r="Z961" s="27"/>
      <c r="AA961" s="25"/>
      <c r="AB961" s="27"/>
      <c r="AC961" s="30" t="str">
        <f aca="false">IF(M961="","",IF(AB961="",M961*Parámetros!$B$6,AB961))</f>
        <v/>
      </c>
      <c r="AD961" s="30" t="str">
        <f aca="false">IF(M961="","",SUM(T961:Z961)+AC961)</f>
        <v/>
      </c>
      <c r="AE961" s="30" t="str">
        <f aca="false">IF(OR(M961="",N961=""),"",M961-N961)</f>
        <v/>
      </c>
      <c r="AF961" s="30" t="str">
        <f aca="false">IF(AE961="","",AE961-AD961)</f>
        <v/>
      </c>
      <c r="AG961" s="28" t="str">
        <f aca="false">IF(OR(AF961="",M961=0),"",AF961/M961)</f>
        <v/>
      </c>
      <c r="AH961" s="32" t="str">
        <f aca="false">IF(OR(AE961="",N961=0),"",AE961/(N961/1000))</f>
        <v/>
      </c>
      <c r="AI961" s="30" t="str">
        <f aca="false">IF(O961="","",M961*P961)</f>
        <v/>
      </c>
      <c r="AJ961" s="11" t="str">
        <f aca="false">IF(O961="","",IF(O961&gt;1,"Error: rend &gt; 100 %",IF(SUM(T961:Z961)=0,"Falta registrar pérdidas",IF(ABS(AG961)&gt;Parámetros!$B$7,"Revisar balance",IF(O961&lt;P961,"Bajo meta","OK")))))</f>
        <v/>
      </c>
      <c r="AK961" s="33"/>
      <c r="AL961" s="10"/>
      <c r="AM961" s="33"/>
      <c r="AN961" s="33"/>
      <c r="AO961" s="10"/>
    </row>
    <row r="962" customFormat="false" ht="15" hidden="false" customHeight="false" outlineLevel="0" collapsed="false">
      <c r="A962" s="22"/>
      <c r="B962" s="23" t="str">
        <f aca="false">IF(A962="","",YEAR(A962-WEEKDAY(A962,2)+4))</f>
        <v/>
      </c>
      <c r="C962" s="23" t="str">
        <f aca="false">IF(A962="","",WEEKNUM(A962,21))</f>
        <v/>
      </c>
      <c r="D962" s="24" t="str">
        <f aca="false">IF(A962="","",DATE(YEAR(A962),MONTH(A962),1))</f>
        <v/>
      </c>
      <c r="E962" s="10"/>
      <c r="F962" s="25"/>
      <c r="G962" s="25"/>
      <c r="H962" s="10"/>
      <c r="I962" s="10"/>
      <c r="J962" s="26"/>
      <c r="K962" s="25"/>
      <c r="L962" s="26"/>
      <c r="M962" s="27"/>
      <c r="N962" s="27"/>
      <c r="O962" s="28" t="str">
        <f aca="false">IF(OR(M962="",M962=0,N962=""),"",N962/M962)</f>
        <v/>
      </c>
      <c r="P962" s="28" t="str">
        <f aca="false">IF(M962="","",IFERROR(IF(INDEX(Parámetros!$B$14:$B$21,MATCH(I962,Parámetros!$A$14:$A$21,0))="",Parámetros!$B$5,INDEX(Parámetros!$B$14:$B$21,MATCH(I962,Parámetros!$A$14:$A$21,0))),Parámetros!$B$5))</f>
        <v/>
      </c>
      <c r="Q962" s="29" t="str">
        <f aca="false">IF(O962="","",(O962-P962)*100)</f>
        <v/>
      </c>
      <c r="R962" s="30" t="str">
        <f aca="false">IF(O962="","",MAX(0,M962*(P962-O962)))</f>
        <v/>
      </c>
      <c r="S962" s="31" t="str">
        <f aca="false">IF(OR(L962="",L962=0,N962=""),"",N962/1000/L962)</f>
        <v/>
      </c>
      <c r="T962" s="27"/>
      <c r="U962" s="27"/>
      <c r="V962" s="27"/>
      <c r="W962" s="27"/>
      <c r="X962" s="27"/>
      <c r="Y962" s="27"/>
      <c r="Z962" s="27"/>
      <c r="AA962" s="25"/>
      <c r="AB962" s="27"/>
      <c r="AC962" s="30" t="str">
        <f aca="false">IF(M962="","",IF(AB962="",M962*Parámetros!$B$6,AB962))</f>
        <v/>
      </c>
      <c r="AD962" s="30" t="str">
        <f aca="false">IF(M962="","",SUM(T962:Z962)+AC962)</f>
        <v/>
      </c>
      <c r="AE962" s="30" t="str">
        <f aca="false">IF(OR(M962="",N962=""),"",M962-N962)</f>
        <v/>
      </c>
      <c r="AF962" s="30" t="str">
        <f aca="false">IF(AE962="","",AE962-AD962)</f>
        <v/>
      </c>
      <c r="AG962" s="28" t="str">
        <f aca="false">IF(OR(AF962="",M962=0),"",AF962/M962)</f>
        <v/>
      </c>
      <c r="AH962" s="32" t="str">
        <f aca="false">IF(OR(AE962="",N962=0),"",AE962/(N962/1000))</f>
        <v/>
      </c>
      <c r="AI962" s="30" t="str">
        <f aca="false">IF(O962="","",M962*P962)</f>
        <v/>
      </c>
      <c r="AJ962" s="11" t="str">
        <f aca="false">IF(O962="","",IF(O962&gt;1,"Error: rend &gt; 100 %",IF(SUM(T962:Z962)=0,"Falta registrar pérdidas",IF(ABS(AG962)&gt;Parámetros!$B$7,"Revisar balance",IF(O962&lt;P962,"Bajo meta","OK")))))</f>
        <v/>
      </c>
      <c r="AK962" s="33"/>
      <c r="AL962" s="10"/>
      <c r="AM962" s="33"/>
      <c r="AN962" s="33"/>
      <c r="AO962" s="10"/>
    </row>
    <row r="963" customFormat="false" ht="15" hidden="false" customHeight="false" outlineLevel="0" collapsed="false">
      <c r="A963" s="22"/>
      <c r="B963" s="23" t="str">
        <f aca="false">IF(A963="","",YEAR(A963-WEEKDAY(A963,2)+4))</f>
        <v/>
      </c>
      <c r="C963" s="23" t="str">
        <f aca="false">IF(A963="","",WEEKNUM(A963,21))</f>
        <v/>
      </c>
      <c r="D963" s="24" t="str">
        <f aca="false">IF(A963="","",DATE(YEAR(A963),MONTH(A963),1))</f>
        <v/>
      </c>
      <c r="E963" s="10"/>
      <c r="F963" s="25"/>
      <c r="G963" s="25"/>
      <c r="H963" s="10"/>
      <c r="I963" s="10"/>
      <c r="J963" s="26"/>
      <c r="K963" s="25"/>
      <c r="L963" s="26"/>
      <c r="M963" s="27"/>
      <c r="N963" s="27"/>
      <c r="O963" s="28" t="str">
        <f aca="false">IF(OR(M963="",M963=0,N963=""),"",N963/M963)</f>
        <v/>
      </c>
      <c r="P963" s="28" t="str">
        <f aca="false">IF(M963="","",IFERROR(IF(INDEX(Parámetros!$B$14:$B$21,MATCH(I963,Parámetros!$A$14:$A$21,0))="",Parámetros!$B$5,INDEX(Parámetros!$B$14:$B$21,MATCH(I963,Parámetros!$A$14:$A$21,0))),Parámetros!$B$5))</f>
        <v/>
      </c>
      <c r="Q963" s="29" t="str">
        <f aca="false">IF(O963="","",(O963-P963)*100)</f>
        <v/>
      </c>
      <c r="R963" s="30" t="str">
        <f aca="false">IF(O963="","",MAX(0,M963*(P963-O963)))</f>
        <v/>
      </c>
      <c r="S963" s="31" t="str">
        <f aca="false">IF(OR(L963="",L963=0,N963=""),"",N963/1000/L963)</f>
        <v/>
      </c>
      <c r="T963" s="27"/>
      <c r="U963" s="27"/>
      <c r="V963" s="27"/>
      <c r="W963" s="27"/>
      <c r="X963" s="27"/>
      <c r="Y963" s="27"/>
      <c r="Z963" s="27"/>
      <c r="AA963" s="25"/>
      <c r="AB963" s="27"/>
      <c r="AC963" s="30" t="str">
        <f aca="false">IF(M963="","",IF(AB963="",M963*Parámetros!$B$6,AB963))</f>
        <v/>
      </c>
      <c r="AD963" s="30" t="str">
        <f aca="false">IF(M963="","",SUM(T963:Z963)+AC963)</f>
        <v/>
      </c>
      <c r="AE963" s="30" t="str">
        <f aca="false">IF(OR(M963="",N963=""),"",M963-N963)</f>
        <v/>
      </c>
      <c r="AF963" s="30" t="str">
        <f aca="false">IF(AE963="","",AE963-AD963)</f>
        <v/>
      </c>
      <c r="AG963" s="28" t="str">
        <f aca="false">IF(OR(AF963="",M963=0),"",AF963/M963)</f>
        <v/>
      </c>
      <c r="AH963" s="32" t="str">
        <f aca="false">IF(OR(AE963="",N963=0),"",AE963/(N963/1000))</f>
        <v/>
      </c>
      <c r="AI963" s="30" t="str">
        <f aca="false">IF(O963="","",M963*P963)</f>
        <v/>
      </c>
      <c r="AJ963" s="11" t="str">
        <f aca="false">IF(O963="","",IF(O963&gt;1,"Error: rend &gt; 100 %",IF(SUM(T963:Z963)=0,"Falta registrar pérdidas",IF(ABS(AG963)&gt;Parámetros!$B$7,"Revisar balance",IF(O963&lt;P963,"Bajo meta","OK")))))</f>
        <v/>
      </c>
      <c r="AK963" s="33"/>
      <c r="AL963" s="10"/>
      <c r="AM963" s="33"/>
      <c r="AN963" s="33"/>
      <c r="AO963" s="10"/>
    </row>
    <row r="964" customFormat="false" ht="15" hidden="false" customHeight="false" outlineLevel="0" collapsed="false">
      <c r="A964" s="22"/>
      <c r="B964" s="23" t="str">
        <f aca="false">IF(A964="","",YEAR(A964-WEEKDAY(A964,2)+4))</f>
        <v/>
      </c>
      <c r="C964" s="23" t="str">
        <f aca="false">IF(A964="","",WEEKNUM(A964,21))</f>
        <v/>
      </c>
      <c r="D964" s="24" t="str">
        <f aca="false">IF(A964="","",DATE(YEAR(A964),MONTH(A964),1))</f>
        <v/>
      </c>
      <c r="E964" s="10"/>
      <c r="F964" s="25"/>
      <c r="G964" s="25"/>
      <c r="H964" s="10"/>
      <c r="I964" s="10"/>
      <c r="J964" s="26"/>
      <c r="K964" s="25"/>
      <c r="L964" s="26"/>
      <c r="M964" s="27"/>
      <c r="N964" s="27"/>
      <c r="O964" s="28" t="str">
        <f aca="false">IF(OR(M964="",M964=0,N964=""),"",N964/M964)</f>
        <v/>
      </c>
      <c r="P964" s="28" t="str">
        <f aca="false">IF(M964="","",IFERROR(IF(INDEX(Parámetros!$B$14:$B$21,MATCH(I964,Parámetros!$A$14:$A$21,0))="",Parámetros!$B$5,INDEX(Parámetros!$B$14:$B$21,MATCH(I964,Parámetros!$A$14:$A$21,0))),Parámetros!$B$5))</f>
        <v/>
      </c>
      <c r="Q964" s="29" t="str">
        <f aca="false">IF(O964="","",(O964-P964)*100)</f>
        <v/>
      </c>
      <c r="R964" s="30" t="str">
        <f aca="false">IF(O964="","",MAX(0,M964*(P964-O964)))</f>
        <v/>
      </c>
      <c r="S964" s="31" t="str">
        <f aca="false">IF(OR(L964="",L964=0,N964=""),"",N964/1000/L964)</f>
        <v/>
      </c>
      <c r="T964" s="27"/>
      <c r="U964" s="27"/>
      <c r="V964" s="27"/>
      <c r="W964" s="27"/>
      <c r="X964" s="27"/>
      <c r="Y964" s="27"/>
      <c r="Z964" s="27"/>
      <c r="AA964" s="25"/>
      <c r="AB964" s="27"/>
      <c r="AC964" s="30" t="str">
        <f aca="false">IF(M964="","",IF(AB964="",M964*Parámetros!$B$6,AB964))</f>
        <v/>
      </c>
      <c r="AD964" s="30" t="str">
        <f aca="false">IF(M964="","",SUM(T964:Z964)+AC964)</f>
        <v/>
      </c>
      <c r="AE964" s="30" t="str">
        <f aca="false">IF(OR(M964="",N964=""),"",M964-N964)</f>
        <v/>
      </c>
      <c r="AF964" s="30" t="str">
        <f aca="false">IF(AE964="","",AE964-AD964)</f>
        <v/>
      </c>
      <c r="AG964" s="28" t="str">
        <f aca="false">IF(OR(AF964="",M964=0),"",AF964/M964)</f>
        <v/>
      </c>
      <c r="AH964" s="32" t="str">
        <f aca="false">IF(OR(AE964="",N964=0),"",AE964/(N964/1000))</f>
        <v/>
      </c>
      <c r="AI964" s="30" t="str">
        <f aca="false">IF(O964="","",M964*P964)</f>
        <v/>
      </c>
      <c r="AJ964" s="11" t="str">
        <f aca="false">IF(O964="","",IF(O964&gt;1,"Error: rend &gt; 100 %",IF(SUM(T964:Z964)=0,"Falta registrar pérdidas",IF(ABS(AG964)&gt;Parámetros!$B$7,"Revisar balance",IF(O964&lt;P964,"Bajo meta","OK")))))</f>
        <v/>
      </c>
      <c r="AK964" s="33"/>
      <c r="AL964" s="10"/>
      <c r="AM964" s="33"/>
      <c r="AN964" s="33"/>
      <c r="AO964" s="10"/>
    </row>
    <row r="965" customFormat="false" ht="15" hidden="false" customHeight="false" outlineLevel="0" collapsed="false">
      <c r="A965" s="22"/>
      <c r="B965" s="23" t="str">
        <f aca="false">IF(A965="","",YEAR(A965-WEEKDAY(A965,2)+4))</f>
        <v/>
      </c>
      <c r="C965" s="23" t="str">
        <f aca="false">IF(A965="","",WEEKNUM(A965,21))</f>
        <v/>
      </c>
      <c r="D965" s="24" t="str">
        <f aca="false">IF(A965="","",DATE(YEAR(A965),MONTH(A965),1))</f>
        <v/>
      </c>
      <c r="E965" s="10"/>
      <c r="F965" s="25"/>
      <c r="G965" s="25"/>
      <c r="H965" s="10"/>
      <c r="I965" s="10"/>
      <c r="J965" s="26"/>
      <c r="K965" s="25"/>
      <c r="L965" s="26"/>
      <c r="M965" s="27"/>
      <c r="N965" s="27"/>
      <c r="O965" s="28" t="str">
        <f aca="false">IF(OR(M965="",M965=0,N965=""),"",N965/M965)</f>
        <v/>
      </c>
      <c r="P965" s="28" t="str">
        <f aca="false">IF(M965="","",IFERROR(IF(INDEX(Parámetros!$B$14:$B$21,MATCH(I965,Parámetros!$A$14:$A$21,0))="",Parámetros!$B$5,INDEX(Parámetros!$B$14:$B$21,MATCH(I965,Parámetros!$A$14:$A$21,0))),Parámetros!$B$5))</f>
        <v/>
      </c>
      <c r="Q965" s="29" t="str">
        <f aca="false">IF(O965="","",(O965-P965)*100)</f>
        <v/>
      </c>
      <c r="R965" s="30" t="str">
        <f aca="false">IF(O965="","",MAX(0,M965*(P965-O965)))</f>
        <v/>
      </c>
      <c r="S965" s="31" t="str">
        <f aca="false">IF(OR(L965="",L965=0,N965=""),"",N965/1000/L965)</f>
        <v/>
      </c>
      <c r="T965" s="27"/>
      <c r="U965" s="27"/>
      <c r="V965" s="27"/>
      <c r="W965" s="27"/>
      <c r="X965" s="27"/>
      <c r="Y965" s="27"/>
      <c r="Z965" s="27"/>
      <c r="AA965" s="25"/>
      <c r="AB965" s="27"/>
      <c r="AC965" s="30" t="str">
        <f aca="false">IF(M965="","",IF(AB965="",M965*Parámetros!$B$6,AB965))</f>
        <v/>
      </c>
      <c r="AD965" s="30" t="str">
        <f aca="false">IF(M965="","",SUM(T965:Z965)+AC965)</f>
        <v/>
      </c>
      <c r="AE965" s="30" t="str">
        <f aca="false">IF(OR(M965="",N965=""),"",M965-N965)</f>
        <v/>
      </c>
      <c r="AF965" s="30" t="str">
        <f aca="false">IF(AE965="","",AE965-AD965)</f>
        <v/>
      </c>
      <c r="AG965" s="28" t="str">
        <f aca="false">IF(OR(AF965="",M965=0),"",AF965/M965)</f>
        <v/>
      </c>
      <c r="AH965" s="32" t="str">
        <f aca="false">IF(OR(AE965="",N965=0),"",AE965/(N965/1000))</f>
        <v/>
      </c>
      <c r="AI965" s="30" t="str">
        <f aca="false">IF(O965="","",M965*P965)</f>
        <v/>
      </c>
      <c r="AJ965" s="11" t="str">
        <f aca="false">IF(O965="","",IF(O965&gt;1,"Error: rend &gt; 100 %",IF(SUM(T965:Z965)=0,"Falta registrar pérdidas",IF(ABS(AG965)&gt;Parámetros!$B$7,"Revisar balance",IF(O965&lt;P965,"Bajo meta","OK")))))</f>
        <v/>
      </c>
      <c r="AK965" s="33"/>
      <c r="AL965" s="10"/>
      <c r="AM965" s="33"/>
      <c r="AN965" s="33"/>
      <c r="AO965" s="10"/>
    </row>
    <row r="966" customFormat="false" ht="15" hidden="false" customHeight="false" outlineLevel="0" collapsed="false">
      <c r="A966" s="22"/>
      <c r="B966" s="23" t="str">
        <f aca="false">IF(A966="","",YEAR(A966-WEEKDAY(A966,2)+4))</f>
        <v/>
      </c>
      <c r="C966" s="23" t="str">
        <f aca="false">IF(A966="","",WEEKNUM(A966,21))</f>
        <v/>
      </c>
      <c r="D966" s="24" t="str">
        <f aca="false">IF(A966="","",DATE(YEAR(A966),MONTH(A966),1))</f>
        <v/>
      </c>
      <c r="E966" s="10"/>
      <c r="F966" s="25"/>
      <c r="G966" s="25"/>
      <c r="H966" s="10"/>
      <c r="I966" s="10"/>
      <c r="J966" s="26"/>
      <c r="K966" s="25"/>
      <c r="L966" s="26"/>
      <c r="M966" s="27"/>
      <c r="N966" s="27"/>
      <c r="O966" s="28" t="str">
        <f aca="false">IF(OR(M966="",M966=0,N966=""),"",N966/M966)</f>
        <v/>
      </c>
      <c r="P966" s="28" t="str">
        <f aca="false">IF(M966="","",IFERROR(IF(INDEX(Parámetros!$B$14:$B$21,MATCH(I966,Parámetros!$A$14:$A$21,0))="",Parámetros!$B$5,INDEX(Parámetros!$B$14:$B$21,MATCH(I966,Parámetros!$A$14:$A$21,0))),Parámetros!$B$5))</f>
        <v/>
      </c>
      <c r="Q966" s="29" t="str">
        <f aca="false">IF(O966="","",(O966-P966)*100)</f>
        <v/>
      </c>
      <c r="R966" s="30" t="str">
        <f aca="false">IF(O966="","",MAX(0,M966*(P966-O966)))</f>
        <v/>
      </c>
      <c r="S966" s="31" t="str">
        <f aca="false">IF(OR(L966="",L966=0,N966=""),"",N966/1000/L966)</f>
        <v/>
      </c>
      <c r="T966" s="27"/>
      <c r="U966" s="27"/>
      <c r="V966" s="27"/>
      <c r="W966" s="27"/>
      <c r="X966" s="27"/>
      <c r="Y966" s="27"/>
      <c r="Z966" s="27"/>
      <c r="AA966" s="25"/>
      <c r="AB966" s="27"/>
      <c r="AC966" s="30" t="str">
        <f aca="false">IF(M966="","",IF(AB966="",M966*Parámetros!$B$6,AB966))</f>
        <v/>
      </c>
      <c r="AD966" s="30" t="str">
        <f aca="false">IF(M966="","",SUM(T966:Z966)+AC966)</f>
        <v/>
      </c>
      <c r="AE966" s="30" t="str">
        <f aca="false">IF(OR(M966="",N966=""),"",M966-N966)</f>
        <v/>
      </c>
      <c r="AF966" s="30" t="str">
        <f aca="false">IF(AE966="","",AE966-AD966)</f>
        <v/>
      </c>
      <c r="AG966" s="28" t="str">
        <f aca="false">IF(OR(AF966="",M966=0),"",AF966/M966)</f>
        <v/>
      </c>
      <c r="AH966" s="32" t="str">
        <f aca="false">IF(OR(AE966="",N966=0),"",AE966/(N966/1000))</f>
        <v/>
      </c>
      <c r="AI966" s="30" t="str">
        <f aca="false">IF(O966="","",M966*P966)</f>
        <v/>
      </c>
      <c r="AJ966" s="11" t="str">
        <f aca="false">IF(O966="","",IF(O966&gt;1,"Error: rend &gt; 100 %",IF(SUM(T966:Z966)=0,"Falta registrar pérdidas",IF(ABS(AG966)&gt;Parámetros!$B$7,"Revisar balance",IF(O966&lt;P966,"Bajo meta","OK")))))</f>
        <v/>
      </c>
      <c r="AK966" s="33"/>
      <c r="AL966" s="10"/>
      <c r="AM966" s="33"/>
      <c r="AN966" s="33"/>
      <c r="AO966" s="10"/>
    </row>
    <row r="967" customFormat="false" ht="15" hidden="false" customHeight="false" outlineLevel="0" collapsed="false">
      <c r="A967" s="22"/>
      <c r="B967" s="23" t="str">
        <f aca="false">IF(A967="","",YEAR(A967-WEEKDAY(A967,2)+4))</f>
        <v/>
      </c>
      <c r="C967" s="23" t="str">
        <f aca="false">IF(A967="","",WEEKNUM(A967,21))</f>
        <v/>
      </c>
      <c r="D967" s="24" t="str">
        <f aca="false">IF(A967="","",DATE(YEAR(A967),MONTH(A967),1))</f>
        <v/>
      </c>
      <c r="E967" s="10"/>
      <c r="F967" s="25"/>
      <c r="G967" s="25"/>
      <c r="H967" s="10"/>
      <c r="I967" s="10"/>
      <c r="J967" s="26"/>
      <c r="K967" s="25"/>
      <c r="L967" s="26"/>
      <c r="M967" s="27"/>
      <c r="N967" s="27"/>
      <c r="O967" s="28" t="str">
        <f aca="false">IF(OR(M967="",M967=0,N967=""),"",N967/M967)</f>
        <v/>
      </c>
      <c r="P967" s="28" t="str">
        <f aca="false">IF(M967="","",IFERROR(IF(INDEX(Parámetros!$B$14:$B$21,MATCH(I967,Parámetros!$A$14:$A$21,0))="",Parámetros!$B$5,INDEX(Parámetros!$B$14:$B$21,MATCH(I967,Parámetros!$A$14:$A$21,0))),Parámetros!$B$5))</f>
        <v/>
      </c>
      <c r="Q967" s="29" t="str">
        <f aca="false">IF(O967="","",(O967-P967)*100)</f>
        <v/>
      </c>
      <c r="R967" s="30" t="str">
        <f aca="false">IF(O967="","",MAX(0,M967*(P967-O967)))</f>
        <v/>
      </c>
      <c r="S967" s="31" t="str">
        <f aca="false">IF(OR(L967="",L967=0,N967=""),"",N967/1000/L967)</f>
        <v/>
      </c>
      <c r="T967" s="27"/>
      <c r="U967" s="27"/>
      <c r="V967" s="27"/>
      <c r="W967" s="27"/>
      <c r="X967" s="27"/>
      <c r="Y967" s="27"/>
      <c r="Z967" s="27"/>
      <c r="AA967" s="25"/>
      <c r="AB967" s="27"/>
      <c r="AC967" s="30" t="str">
        <f aca="false">IF(M967="","",IF(AB967="",M967*Parámetros!$B$6,AB967))</f>
        <v/>
      </c>
      <c r="AD967" s="30" t="str">
        <f aca="false">IF(M967="","",SUM(T967:Z967)+AC967)</f>
        <v/>
      </c>
      <c r="AE967" s="30" t="str">
        <f aca="false">IF(OR(M967="",N967=""),"",M967-N967)</f>
        <v/>
      </c>
      <c r="AF967" s="30" t="str">
        <f aca="false">IF(AE967="","",AE967-AD967)</f>
        <v/>
      </c>
      <c r="AG967" s="28" t="str">
        <f aca="false">IF(OR(AF967="",M967=0),"",AF967/M967)</f>
        <v/>
      </c>
      <c r="AH967" s="32" t="str">
        <f aca="false">IF(OR(AE967="",N967=0),"",AE967/(N967/1000))</f>
        <v/>
      </c>
      <c r="AI967" s="30" t="str">
        <f aca="false">IF(O967="","",M967*P967)</f>
        <v/>
      </c>
      <c r="AJ967" s="11" t="str">
        <f aca="false">IF(O967="","",IF(O967&gt;1,"Error: rend &gt; 100 %",IF(SUM(T967:Z967)=0,"Falta registrar pérdidas",IF(ABS(AG967)&gt;Parámetros!$B$7,"Revisar balance",IF(O967&lt;P967,"Bajo meta","OK")))))</f>
        <v/>
      </c>
      <c r="AK967" s="33"/>
      <c r="AL967" s="10"/>
      <c r="AM967" s="33"/>
      <c r="AN967" s="33"/>
      <c r="AO967" s="10"/>
    </row>
    <row r="968" customFormat="false" ht="15" hidden="false" customHeight="false" outlineLevel="0" collapsed="false">
      <c r="A968" s="22"/>
      <c r="B968" s="23" t="str">
        <f aca="false">IF(A968="","",YEAR(A968-WEEKDAY(A968,2)+4))</f>
        <v/>
      </c>
      <c r="C968" s="23" t="str">
        <f aca="false">IF(A968="","",WEEKNUM(A968,21))</f>
        <v/>
      </c>
      <c r="D968" s="24" t="str">
        <f aca="false">IF(A968="","",DATE(YEAR(A968),MONTH(A968),1))</f>
        <v/>
      </c>
      <c r="E968" s="10"/>
      <c r="F968" s="25"/>
      <c r="G968" s="25"/>
      <c r="H968" s="10"/>
      <c r="I968" s="10"/>
      <c r="J968" s="26"/>
      <c r="K968" s="25"/>
      <c r="L968" s="26"/>
      <c r="M968" s="27"/>
      <c r="N968" s="27"/>
      <c r="O968" s="28" t="str">
        <f aca="false">IF(OR(M968="",M968=0,N968=""),"",N968/M968)</f>
        <v/>
      </c>
      <c r="P968" s="28" t="str">
        <f aca="false">IF(M968="","",IFERROR(IF(INDEX(Parámetros!$B$14:$B$21,MATCH(I968,Parámetros!$A$14:$A$21,0))="",Parámetros!$B$5,INDEX(Parámetros!$B$14:$B$21,MATCH(I968,Parámetros!$A$14:$A$21,0))),Parámetros!$B$5))</f>
        <v/>
      </c>
      <c r="Q968" s="29" t="str">
        <f aca="false">IF(O968="","",(O968-P968)*100)</f>
        <v/>
      </c>
      <c r="R968" s="30" t="str">
        <f aca="false">IF(O968="","",MAX(0,M968*(P968-O968)))</f>
        <v/>
      </c>
      <c r="S968" s="31" t="str">
        <f aca="false">IF(OR(L968="",L968=0,N968=""),"",N968/1000/L968)</f>
        <v/>
      </c>
      <c r="T968" s="27"/>
      <c r="U968" s="27"/>
      <c r="V968" s="27"/>
      <c r="W968" s="27"/>
      <c r="X968" s="27"/>
      <c r="Y968" s="27"/>
      <c r="Z968" s="27"/>
      <c r="AA968" s="25"/>
      <c r="AB968" s="27"/>
      <c r="AC968" s="30" t="str">
        <f aca="false">IF(M968="","",IF(AB968="",M968*Parámetros!$B$6,AB968))</f>
        <v/>
      </c>
      <c r="AD968" s="30" t="str">
        <f aca="false">IF(M968="","",SUM(T968:Z968)+AC968)</f>
        <v/>
      </c>
      <c r="AE968" s="30" t="str">
        <f aca="false">IF(OR(M968="",N968=""),"",M968-N968)</f>
        <v/>
      </c>
      <c r="AF968" s="30" t="str">
        <f aca="false">IF(AE968="","",AE968-AD968)</f>
        <v/>
      </c>
      <c r="AG968" s="28" t="str">
        <f aca="false">IF(OR(AF968="",M968=0),"",AF968/M968)</f>
        <v/>
      </c>
      <c r="AH968" s="32" t="str">
        <f aca="false">IF(OR(AE968="",N968=0),"",AE968/(N968/1000))</f>
        <v/>
      </c>
      <c r="AI968" s="30" t="str">
        <f aca="false">IF(O968="","",M968*P968)</f>
        <v/>
      </c>
      <c r="AJ968" s="11" t="str">
        <f aca="false">IF(O968="","",IF(O968&gt;1,"Error: rend &gt; 100 %",IF(SUM(T968:Z968)=0,"Falta registrar pérdidas",IF(ABS(AG968)&gt;Parámetros!$B$7,"Revisar balance",IF(O968&lt;P968,"Bajo meta","OK")))))</f>
        <v/>
      </c>
      <c r="AK968" s="33"/>
      <c r="AL968" s="10"/>
      <c r="AM968" s="33"/>
      <c r="AN968" s="33"/>
      <c r="AO968" s="10"/>
    </row>
    <row r="969" customFormat="false" ht="15" hidden="false" customHeight="false" outlineLevel="0" collapsed="false">
      <c r="A969" s="22"/>
      <c r="B969" s="23" t="str">
        <f aca="false">IF(A969="","",YEAR(A969-WEEKDAY(A969,2)+4))</f>
        <v/>
      </c>
      <c r="C969" s="23" t="str">
        <f aca="false">IF(A969="","",WEEKNUM(A969,21))</f>
        <v/>
      </c>
      <c r="D969" s="24" t="str">
        <f aca="false">IF(A969="","",DATE(YEAR(A969),MONTH(A969),1))</f>
        <v/>
      </c>
      <c r="E969" s="10"/>
      <c r="F969" s="25"/>
      <c r="G969" s="25"/>
      <c r="H969" s="10"/>
      <c r="I969" s="10"/>
      <c r="J969" s="26"/>
      <c r="K969" s="25"/>
      <c r="L969" s="26"/>
      <c r="M969" s="27"/>
      <c r="N969" s="27"/>
      <c r="O969" s="28" t="str">
        <f aca="false">IF(OR(M969="",M969=0,N969=""),"",N969/M969)</f>
        <v/>
      </c>
      <c r="P969" s="28" t="str">
        <f aca="false">IF(M969="","",IFERROR(IF(INDEX(Parámetros!$B$14:$B$21,MATCH(I969,Parámetros!$A$14:$A$21,0))="",Parámetros!$B$5,INDEX(Parámetros!$B$14:$B$21,MATCH(I969,Parámetros!$A$14:$A$21,0))),Parámetros!$B$5))</f>
        <v/>
      </c>
      <c r="Q969" s="29" t="str">
        <f aca="false">IF(O969="","",(O969-P969)*100)</f>
        <v/>
      </c>
      <c r="R969" s="30" t="str">
        <f aca="false">IF(O969="","",MAX(0,M969*(P969-O969)))</f>
        <v/>
      </c>
      <c r="S969" s="31" t="str">
        <f aca="false">IF(OR(L969="",L969=0,N969=""),"",N969/1000/L969)</f>
        <v/>
      </c>
      <c r="T969" s="27"/>
      <c r="U969" s="27"/>
      <c r="V969" s="27"/>
      <c r="W969" s="27"/>
      <c r="X969" s="27"/>
      <c r="Y969" s="27"/>
      <c r="Z969" s="27"/>
      <c r="AA969" s="25"/>
      <c r="AB969" s="27"/>
      <c r="AC969" s="30" t="str">
        <f aca="false">IF(M969="","",IF(AB969="",M969*Parámetros!$B$6,AB969))</f>
        <v/>
      </c>
      <c r="AD969" s="30" t="str">
        <f aca="false">IF(M969="","",SUM(T969:Z969)+AC969)</f>
        <v/>
      </c>
      <c r="AE969" s="30" t="str">
        <f aca="false">IF(OR(M969="",N969=""),"",M969-N969)</f>
        <v/>
      </c>
      <c r="AF969" s="30" t="str">
        <f aca="false">IF(AE969="","",AE969-AD969)</f>
        <v/>
      </c>
      <c r="AG969" s="28" t="str">
        <f aca="false">IF(OR(AF969="",M969=0),"",AF969/M969)</f>
        <v/>
      </c>
      <c r="AH969" s="32" t="str">
        <f aca="false">IF(OR(AE969="",N969=0),"",AE969/(N969/1000))</f>
        <v/>
      </c>
      <c r="AI969" s="30" t="str">
        <f aca="false">IF(O969="","",M969*P969)</f>
        <v/>
      </c>
      <c r="AJ969" s="11" t="str">
        <f aca="false">IF(O969="","",IF(O969&gt;1,"Error: rend &gt; 100 %",IF(SUM(T969:Z969)=0,"Falta registrar pérdidas",IF(ABS(AG969)&gt;Parámetros!$B$7,"Revisar balance",IF(O969&lt;P969,"Bajo meta","OK")))))</f>
        <v/>
      </c>
      <c r="AK969" s="33"/>
      <c r="AL969" s="10"/>
      <c r="AM969" s="33"/>
      <c r="AN969" s="33"/>
      <c r="AO969" s="10"/>
    </row>
    <row r="970" customFormat="false" ht="15" hidden="false" customHeight="false" outlineLevel="0" collapsed="false">
      <c r="A970" s="22"/>
      <c r="B970" s="23" t="str">
        <f aca="false">IF(A970="","",YEAR(A970-WEEKDAY(A970,2)+4))</f>
        <v/>
      </c>
      <c r="C970" s="23" t="str">
        <f aca="false">IF(A970="","",WEEKNUM(A970,21))</f>
        <v/>
      </c>
      <c r="D970" s="24" t="str">
        <f aca="false">IF(A970="","",DATE(YEAR(A970),MONTH(A970),1))</f>
        <v/>
      </c>
      <c r="E970" s="10"/>
      <c r="F970" s="25"/>
      <c r="G970" s="25"/>
      <c r="H970" s="10"/>
      <c r="I970" s="10"/>
      <c r="J970" s="26"/>
      <c r="K970" s="25"/>
      <c r="L970" s="26"/>
      <c r="M970" s="27"/>
      <c r="N970" s="27"/>
      <c r="O970" s="28" t="str">
        <f aca="false">IF(OR(M970="",M970=0,N970=""),"",N970/M970)</f>
        <v/>
      </c>
      <c r="P970" s="28" t="str">
        <f aca="false">IF(M970="","",IFERROR(IF(INDEX(Parámetros!$B$14:$B$21,MATCH(I970,Parámetros!$A$14:$A$21,0))="",Parámetros!$B$5,INDEX(Parámetros!$B$14:$B$21,MATCH(I970,Parámetros!$A$14:$A$21,0))),Parámetros!$B$5))</f>
        <v/>
      </c>
      <c r="Q970" s="29" t="str">
        <f aca="false">IF(O970="","",(O970-P970)*100)</f>
        <v/>
      </c>
      <c r="R970" s="30" t="str">
        <f aca="false">IF(O970="","",MAX(0,M970*(P970-O970)))</f>
        <v/>
      </c>
      <c r="S970" s="31" t="str">
        <f aca="false">IF(OR(L970="",L970=0,N970=""),"",N970/1000/L970)</f>
        <v/>
      </c>
      <c r="T970" s="27"/>
      <c r="U970" s="27"/>
      <c r="V970" s="27"/>
      <c r="W970" s="27"/>
      <c r="X970" s="27"/>
      <c r="Y970" s="27"/>
      <c r="Z970" s="27"/>
      <c r="AA970" s="25"/>
      <c r="AB970" s="27"/>
      <c r="AC970" s="30" t="str">
        <f aca="false">IF(M970="","",IF(AB970="",M970*Parámetros!$B$6,AB970))</f>
        <v/>
      </c>
      <c r="AD970" s="30" t="str">
        <f aca="false">IF(M970="","",SUM(T970:Z970)+AC970)</f>
        <v/>
      </c>
      <c r="AE970" s="30" t="str">
        <f aca="false">IF(OR(M970="",N970=""),"",M970-N970)</f>
        <v/>
      </c>
      <c r="AF970" s="30" t="str">
        <f aca="false">IF(AE970="","",AE970-AD970)</f>
        <v/>
      </c>
      <c r="AG970" s="28" t="str">
        <f aca="false">IF(OR(AF970="",M970=0),"",AF970/M970)</f>
        <v/>
      </c>
      <c r="AH970" s="32" t="str">
        <f aca="false">IF(OR(AE970="",N970=0),"",AE970/(N970/1000))</f>
        <v/>
      </c>
      <c r="AI970" s="30" t="str">
        <f aca="false">IF(O970="","",M970*P970)</f>
        <v/>
      </c>
      <c r="AJ970" s="11" t="str">
        <f aca="false">IF(O970="","",IF(O970&gt;1,"Error: rend &gt; 100 %",IF(SUM(T970:Z970)=0,"Falta registrar pérdidas",IF(ABS(AG970)&gt;Parámetros!$B$7,"Revisar balance",IF(O970&lt;P970,"Bajo meta","OK")))))</f>
        <v/>
      </c>
      <c r="AK970" s="33"/>
      <c r="AL970" s="10"/>
      <c r="AM970" s="33"/>
      <c r="AN970" s="33"/>
      <c r="AO970" s="10"/>
    </row>
    <row r="971" customFormat="false" ht="15" hidden="false" customHeight="false" outlineLevel="0" collapsed="false">
      <c r="A971" s="22"/>
      <c r="B971" s="23" t="str">
        <f aca="false">IF(A971="","",YEAR(A971-WEEKDAY(A971,2)+4))</f>
        <v/>
      </c>
      <c r="C971" s="23" t="str">
        <f aca="false">IF(A971="","",WEEKNUM(A971,21))</f>
        <v/>
      </c>
      <c r="D971" s="24" t="str">
        <f aca="false">IF(A971="","",DATE(YEAR(A971),MONTH(A971),1))</f>
        <v/>
      </c>
      <c r="E971" s="10"/>
      <c r="F971" s="25"/>
      <c r="G971" s="25"/>
      <c r="H971" s="10"/>
      <c r="I971" s="10"/>
      <c r="J971" s="26"/>
      <c r="K971" s="25"/>
      <c r="L971" s="26"/>
      <c r="M971" s="27"/>
      <c r="N971" s="27"/>
      <c r="O971" s="28" t="str">
        <f aca="false">IF(OR(M971="",M971=0,N971=""),"",N971/M971)</f>
        <v/>
      </c>
      <c r="P971" s="28" t="str">
        <f aca="false">IF(M971="","",IFERROR(IF(INDEX(Parámetros!$B$14:$B$21,MATCH(I971,Parámetros!$A$14:$A$21,0))="",Parámetros!$B$5,INDEX(Parámetros!$B$14:$B$21,MATCH(I971,Parámetros!$A$14:$A$21,0))),Parámetros!$B$5))</f>
        <v/>
      </c>
      <c r="Q971" s="29" t="str">
        <f aca="false">IF(O971="","",(O971-P971)*100)</f>
        <v/>
      </c>
      <c r="R971" s="30" t="str">
        <f aca="false">IF(O971="","",MAX(0,M971*(P971-O971)))</f>
        <v/>
      </c>
      <c r="S971" s="31" t="str">
        <f aca="false">IF(OR(L971="",L971=0,N971=""),"",N971/1000/L971)</f>
        <v/>
      </c>
      <c r="T971" s="27"/>
      <c r="U971" s="27"/>
      <c r="V971" s="27"/>
      <c r="W971" s="27"/>
      <c r="X971" s="27"/>
      <c r="Y971" s="27"/>
      <c r="Z971" s="27"/>
      <c r="AA971" s="25"/>
      <c r="AB971" s="27"/>
      <c r="AC971" s="30" t="str">
        <f aca="false">IF(M971="","",IF(AB971="",M971*Parámetros!$B$6,AB971))</f>
        <v/>
      </c>
      <c r="AD971" s="30" t="str">
        <f aca="false">IF(M971="","",SUM(T971:Z971)+AC971)</f>
        <v/>
      </c>
      <c r="AE971" s="30" t="str">
        <f aca="false">IF(OR(M971="",N971=""),"",M971-N971)</f>
        <v/>
      </c>
      <c r="AF971" s="30" t="str">
        <f aca="false">IF(AE971="","",AE971-AD971)</f>
        <v/>
      </c>
      <c r="AG971" s="28" t="str">
        <f aca="false">IF(OR(AF971="",M971=0),"",AF971/M971)</f>
        <v/>
      </c>
      <c r="AH971" s="32" t="str">
        <f aca="false">IF(OR(AE971="",N971=0),"",AE971/(N971/1000))</f>
        <v/>
      </c>
      <c r="AI971" s="30" t="str">
        <f aca="false">IF(O971="","",M971*P971)</f>
        <v/>
      </c>
      <c r="AJ971" s="11" t="str">
        <f aca="false">IF(O971="","",IF(O971&gt;1,"Error: rend &gt; 100 %",IF(SUM(T971:Z971)=0,"Falta registrar pérdidas",IF(ABS(AG971)&gt;Parámetros!$B$7,"Revisar balance",IF(O971&lt;P971,"Bajo meta","OK")))))</f>
        <v/>
      </c>
      <c r="AK971" s="33"/>
      <c r="AL971" s="10"/>
      <c r="AM971" s="33"/>
      <c r="AN971" s="33"/>
      <c r="AO971" s="10"/>
    </row>
    <row r="972" customFormat="false" ht="15" hidden="false" customHeight="false" outlineLevel="0" collapsed="false">
      <c r="A972" s="22"/>
      <c r="B972" s="23" t="str">
        <f aca="false">IF(A972="","",YEAR(A972-WEEKDAY(A972,2)+4))</f>
        <v/>
      </c>
      <c r="C972" s="23" t="str">
        <f aca="false">IF(A972="","",WEEKNUM(A972,21))</f>
        <v/>
      </c>
      <c r="D972" s="24" t="str">
        <f aca="false">IF(A972="","",DATE(YEAR(A972),MONTH(A972),1))</f>
        <v/>
      </c>
      <c r="E972" s="10"/>
      <c r="F972" s="25"/>
      <c r="G972" s="25"/>
      <c r="H972" s="10"/>
      <c r="I972" s="10"/>
      <c r="J972" s="26"/>
      <c r="K972" s="25"/>
      <c r="L972" s="26"/>
      <c r="M972" s="27"/>
      <c r="N972" s="27"/>
      <c r="O972" s="28" t="str">
        <f aca="false">IF(OR(M972="",M972=0,N972=""),"",N972/M972)</f>
        <v/>
      </c>
      <c r="P972" s="28" t="str">
        <f aca="false">IF(M972="","",IFERROR(IF(INDEX(Parámetros!$B$14:$B$21,MATCH(I972,Parámetros!$A$14:$A$21,0))="",Parámetros!$B$5,INDEX(Parámetros!$B$14:$B$21,MATCH(I972,Parámetros!$A$14:$A$21,0))),Parámetros!$B$5))</f>
        <v/>
      </c>
      <c r="Q972" s="29" t="str">
        <f aca="false">IF(O972="","",(O972-P972)*100)</f>
        <v/>
      </c>
      <c r="R972" s="30" t="str">
        <f aca="false">IF(O972="","",MAX(0,M972*(P972-O972)))</f>
        <v/>
      </c>
      <c r="S972" s="31" t="str">
        <f aca="false">IF(OR(L972="",L972=0,N972=""),"",N972/1000/L972)</f>
        <v/>
      </c>
      <c r="T972" s="27"/>
      <c r="U972" s="27"/>
      <c r="V972" s="27"/>
      <c r="W972" s="27"/>
      <c r="X972" s="27"/>
      <c r="Y972" s="27"/>
      <c r="Z972" s="27"/>
      <c r="AA972" s="25"/>
      <c r="AB972" s="27"/>
      <c r="AC972" s="30" t="str">
        <f aca="false">IF(M972="","",IF(AB972="",M972*Parámetros!$B$6,AB972))</f>
        <v/>
      </c>
      <c r="AD972" s="30" t="str">
        <f aca="false">IF(M972="","",SUM(T972:Z972)+AC972)</f>
        <v/>
      </c>
      <c r="AE972" s="30" t="str">
        <f aca="false">IF(OR(M972="",N972=""),"",M972-N972)</f>
        <v/>
      </c>
      <c r="AF972" s="30" t="str">
        <f aca="false">IF(AE972="","",AE972-AD972)</f>
        <v/>
      </c>
      <c r="AG972" s="28" t="str">
        <f aca="false">IF(OR(AF972="",M972=0),"",AF972/M972)</f>
        <v/>
      </c>
      <c r="AH972" s="32" t="str">
        <f aca="false">IF(OR(AE972="",N972=0),"",AE972/(N972/1000))</f>
        <v/>
      </c>
      <c r="AI972" s="30" t="str">
        <f aca="false">IF(O972="","",M972*P972)</f>
        <v/>
      </c>
      <c r="AJ972" s="11" t="str">
        <f aca="false">IF(O972="","",IF(O972&gt;1,"Error: rend &gt; 100 %",IF(SUM(T972:Z972)=0,"Falta registrar pérdidas",IF(ABS(AG972)&gt;Parámetros!$B$7,"Revisar balance",IF(O972&lt;P972,"Bajo meta","OK")))))</f>
        <v/>
      </c>
      <c r="AK972" s="33"/>
      <c r="AL972" s="10"/>
      <c r="AM972" s="33"/>
      <c r="AN972" s="33"/>
      <c r="AO972" s="10"/>
    </row>
    <row r="973" customFormat="false" ht="15" hidden="false" customHeight="false" outlineLevel="0" collapsed="false">
      <c r="A973" s="22"/>
      <c r="B973" s="23" t="str">
        <f aca="false">IF(A973="","",YEAR(A973-WEEKDAY(A973,2)+4))</f>
        <v/>
      </c>
      <c r="C973" s="23" t="str">
        <f aca="false">IF(A973="","",WEEKNUM(A973,21))</f>
        <v/>
      </c>
      <c r="D973" s="24" t="str">
        <f aca="false">IF(A973="","",DATE(YEAR(A973),MONTH(A973),1))</f>
        <v/>
      </c>
      <c r="E973" s="10"/>
      <c r="F973" s="25"/>
      <c r="G973" s="25"/>
      <c r="H973" s="10"/>
      <c r="I973" s="10"/>
      <c r="J973" s="26"/>
      <c r="K973" s="25"/>
      <c r="L973" s="26"/>
      <c r="M973" s="27"/>
      <c r="N973" s="27"/>
      <c r="O973" s="28" t="str">
        <f aca="false">IF(OR(M973="",M973=0,N973=""),"",N973/M973)</f>
        <v/>
      </c>
      <c r="P973" s="28" t="str">
        <f aca="false">IF(M973="","",IFERROR(IF(INDEX(Parámetros!$B$14:$B$21,MATCH(I973,Parámetros!$A$14:$A$21,0))="",Parámetros!$B$5,INDEX(Parámetros!$B$14:$B$21,MATCH(I973,Parámetros!$A$14:$A$21,0))),Parámetros!$B$5))</f>
        <v/>
      </c>
      <c r="Q973" s="29" t="str">
        <f aca="false">IF(O973="","",(O973-P973)*100)</f>
        <v/>
      </c>
      <c r="R973" s="30" t="str">
        <f aca="false">IF(O973="","",MAX(0,M973*(P973-O973)))</f>
        <v/>
      </c>
      <c r="S973" s="31" t="str">
        <f aca="false">IF(OR(L973="",L973=0,N973=""),"",N973/1000/L973)</f>
        <v/>
      </c>
      <c r="T973" s="27"/>
      <c r="U973" s="27"/>
      <c r="V973" s="27"/>
      <c r="W973" s="27"/>
      <c r="X973" s="27"/>
      <c r="Y973" s="27"/>
      <c r="Z973" s="27"/>
      <c r="AA973" s="25"/>
      <c r="AB973" s="27"/>
      <c r="AC973" s="30" t="str">
        <f aca="false">IF(M973="","",IF(AB973="",M973*Parámetros!$B$6,AB973))</f>
        <v/>
      </c>
      <c r="AD973" s="30" t="str">
        <f aca="false">IF(M973="","",SUM(T973:Z973)+AC973)</f>
        <v/>
      </c>
      <c r="AE973" s="30" t="str">
        <f aca="false">IF(OR(M973="",N973=""),"",M973-N973)</f>
        <v/>
      </c>
      <c r="AF973" s="30" t="str">
        <f aca="false">IF(AE973="","",AE973-AD973)</f>
        <v/>
      </c>
      <c r="AG973" s="28" t="str">
        <f aca="false">IF(OR(AF973="",M973=0),"",AF973/M973)</f>
        <v/>
      </c>
      <c r="AH973" s="32" t="str">
        <f aca="false">IF(OR(AE973="",N973=0),"",AE973/(N973/1000))</f>
        <v/>
      </c>
      <c r="AI973" s="30" t="str">
        <f aca="false">IF(O973="","",M973*P973)</f>
        <v/>
      </c>
      <c r="AJ973" s="11" t="str">
        <f aca="false">IF(O973="","",IF(O973&gt;1,"Error: rend &gt; 100 %",IF(SUM(T973:Z973)=0,"Falta registrar pérdidas",IF(ABS(AG973)&gt;Parámetros!$B$7,"Revisar balance",IF(O973&lt;P973,"Bajo meta","OK")))))</f>
        <v/>
      </c>
      <c r="AK973" s="33"/>
      <c r="AL973" s="10"/>
      <c r="AM973" s="33"/>
      <c r="AN973" s="33"/>
      <c r="AO973" s="10"/>
    </row>
    <row r="974" customFormat="false" ht="15" hidden="false" customHeight="false" outlineLevel="0" collapsed="false">
      <c r="A974" s="22"/>
      <c r="B974" s="23" t="str">
        <f aca="false">IF(A974="","",YEAR(A974-WEEKDAY(A974,2)+4))</f>
        <v/>
      </c>
      <c r="C974" s="23" t="str">
        <f aca="false">IF(A974="","",WEEKNUM(A974,21))</f>
        <v/>
      </c>
      <c r="D974" s="24" t="str">
        <f aca="false">IF(A974="","",DATE(YEAR(A974),MONTH(A974),1))</f>
        <v/>
      </c>
      <c r="E974" s="10"/>
      <c r="F974" s="25"/>
      <c r="G974" s="25"/>
      <c r="H974" s="10"/>
      <c r="I974" s="10"/>
      <c r="J974" s="26"/>
      <c r="K974" s="25"/>
      <c r="L974" s="26"/>
      <c r="M974" s="27"/>
      <c r="N974" s="27"/>
      <c r="O974" s="28" t="str">
        <f aca="false">IF(OR(M974="",M974=0,N974=""),"",N974/M974)</f>
        <v/>
      </c>
      <c r="P974" s="28" t="str">
        <f aca="false">IF(M974="","",IFERROR(IF(INDEX(Parámetros!$B$14:$B$21,MATCH(I974,Parámetros!$A$14:$A$21,0))="",Parámetros!$B$5,INDEX(Parámetros!$B$14:$B$21,MATCH(I974,Parámetros!$A$14:$A$21,0))),Parámetros!$B$5))</f>
        <v/>
      </c>
      <c r="Q974" s="29" t="str">
        <f aca="false">IF(O974="","",(O974-P974)*100)</f>
        <v/>
      </c>
      <c r="R974" s="30" t="str">
        <f aca="false">IF(O974="","",MAX(0,M974*(P974-O974)))</f>
        <v/>
      </c>
      <c r="S974" s="31" t="str">
        <f aca="false">IF(OR(L974="",L974=0,N974=""),"",N974/1000/L974)</f>
        <v/>
      </c>
      <c r="T974" s="27"/>
      <c r="U974" s="27"/>
      <c r="V974" s="27"/>
      <c r="W974" s="27"/>
      <c r="X974" s="27"/>
      <c r="Y974" s="27"/>
      <c r="Z974" s="27"/>
      <c r="AA974" s="25"/>
      <c r="AB974" s="27"/>
      <c r="AC974" s="30" t="str">
        <f aca="false">IF(M974="","",IF(AB974="",M974*Parámetros!$B$6,AB974))</f>
        <v/>
      </c>
      <c r="AD974" s="30" t="str">
        <f aca="false">IF(M974="","",SUM(T974:Z974)+AC974)</f>
        <v/>
      </c>
      <c r="AE974" s="30" t="str">
        <f aca="false">IF(OR(M974="",N974=""),"",M974-N974)</f>
        <v/>
      </c>
      <c r="AF974" s="30" t="str">
        <f aca="false">IF(AE974="","",AE974-AD974)</f>
        <v/>
      </c>
      <c r="AG974" s="28" t="str">
        <f aca="false">IF(OR(AF974="",M974=0),"",AF974/M974)</f>
        <v/>
      </c>
      <c r="AH974" s="32" t="str">
        <f aca="false">IF(OR(AE974="",N974=0),"",AE974/(N974/1000))</f>
        <v/>
      </c>
      <c r="AI974" s="30" t="str">
        <f aca="false">IF(O974="","",M974*P974)</f>
        <v/>
      </c>
      <c r="AJ974" s="11" t="str">
        <f aca="false">IF(O974="","",IF(O974&gt;1,"Error: rend &gt; 100 %",IF(SUM(T974:Z974)=0,"Falta registrar pérdidas",IF(ABS(AG974)&gt;Parámetros!$B$7,"Revisar balance",IF(O974&lt;P974,"Bajo meta","OK")))))</f>
        <v/>
      </c>
      <c r="AK974" s="33"/>
      <c r="AL974" s="10"/>
      <c r="AM974" s="33"/>
      <c r="AN974" s="33"/>
      <c r="AO974" s="10"/>
    </row>
    <row r="975" customFormat="false" ht="15" hidden="false" customHeight="false" outlineLevel="0" collapsed="false">
      <c r="A975" s="22"/>
      <c r="B975" s="23" t="str">
        <f aca="false">IF(A975="","",YEAR(A975-WEEKDAY(A975,2)+4))</f>
        <v/>
      </c>
      <c r="C975" s="23" t="str">
        <f aca="false">IF(A975="","",WEEKNUM(A975,21))</f>
        <v/>
      </c>
      <c r="D975" s="24" t="str">
        <f aca="false">IF(A975="","",DATE(YEAR(A975),MONTH(A975),1))</f>
        <v/>
      </c>
      <c r="E975" s="10"/>
      <c r="F975" s="25"/>
      <c r="G975" s="25"/>
      <c r="H975" s="10"/>
      <c r="I975" s="10"/>
      <c r="J975" s="26"/>
      <c r="K975" s="25"/>
      <c r="L975" s="26"/>
      <c r="M975" s="27"/>
      <c r="N975" s="27"/>
      <c r="O975" s="28" t="str">
        <f aca="false">IF(OR(M975="",M975=0,N975=""),"",N975/M975)</f>
        <v/>
      </c>
      <c r="P975" s="28" t="str">
        <f aca="false">IF(M975="","",IFERROR(IF(INDEX(Parámetros!$B$14:$B$21,MATCH(I975,Parámetros!$A$14:$A$21,0))="",Parámetros!$B$5,INDEX(Parámetros!$B$14:$B$21,MATCH(I975,Parámetros!$A$14:$A$21,0))),Parámetros!$B$5))</f>
        <v/>
      </c>
      <c r="Q975" s="29" t="str">
        <f aca="false">IF(O975="","",(O975-P975)*100)</f>
        <v/>
      </c>
      <c r="R975" s="30" t="str">
        <f aca="false">IF(O975="","",MAX(0,M975*(P975-O975)))</f>
        <v/>
      </c>
      <c r="S975" s="31" t="str">
        <f aca="false">IF(OR(L975="",L975=0,N975=""),"",N975/1000/L975)</f>
        <v/>
      </c>
      <c r="T975" s="27"/>
      <c r="U975" s="27"/>
      <c r="V975" s="27"/>
      <c r="W975" s="27"/>
      <c r="X975" s="27"/>
      <c r="Y975" s="27"/>
      <c r="Z975" s="27"/>
      <c r="AA975" s="25"/>
      <c r="AB975" s="27"/>
      <c r="AC975" s="30" t="str">
        <f aca="false">IF(M975="","",IF(AB975="",M975*Parámetros!$B$6,AB975))</f>
        <v/>
      </c>
      <c r="AD975" s="30" t="str">
        <f aca="false">IF(M975="","",SUM(T975:Z975)+AC975)</f>
        <v/>
      </c>
      <c r="AE975" s="30" t="str">
        <f aca="false">IF(OR(M975="",N975=""),"",M975-N975)</f>
        <v/>
      </c>
      <c r="AF975" s="30" t="str">
        <f aca="false">IF(AE975="","",AE975-AD975)</f>
        <v/>
      </c>
      <c r="AG975" s="28" t="str">
        <f aca="false">IF(OR(AF975="",M975=0),"",AF975/M975)</f>
        <v/>
      </c>
      <c r="AH975" s="32" t="str">
        <f aca="false">IF(OR(AE975="",N975=0),"",AE975/(N975/1000))</f>
        <v/>
      </c>
      <c r="AI975" s="30" t="str">
        <f aca="false">IF(O975="","",M975*P975)</f>
        <v/>
      </c>
      <c r="AJ975" s="11" t="str">
        <f aca="false">IF(O975="","",IF(O975&gt;1,"Error: rend &gt; 100 %",IF(SUM(T975:Z975)=0,"Falta registrar pérdidas",IF(ABS(AG975)&gt;Parámetros!$B$7,"Revisar balance",IF(O975&lt;P975,"Bajo meta","OK")))))</f>
        <v/>
      </c>
      <c r="AK975" s="33"/>
      <c r="AL975" s="10"/>
      <c r="AM975" s="33"/>
      <c r="AN975" s="33"/>
      <c r="AO975" s="10"/>
    </row>
    <row r="976" customFormat="false" ht="15" hidden="false" customHeight="false" outlineLevel="0" collapsed="false">
      <c r="A976" s="22"/>
      <c r="B976" s="23" t="str">
        <f aca="false">IF(A976="","",YEAR(A976-WEEKDAY(A976,2)+4))</f>
        <v/>
      </c>
      <c r="C976" s="23" t="str">
        <f aca="false">IF(A976="","",WEEKNUM(A976,21))</f>
        <v/>
      </c>
      <c r="D976" s="24" t="str">
        <f aca="false">IF(A976="","",DATE(YEAR(A976),MONTH(A976),1))</f>
        <v/>
      </c>
      <c r="E976" s="10"/>
      <c r="F976" s="25"/>
      <c r="G976" s="25"/>
      <c r="H976" s="10"/>
      <c r="I976" s="10"/>
      <c r="J976" s="26"/>
      <c r="K976" s="25"/>
      <c r="L976" s="26"/>
      <c r="M976" s="27"/>
      <c r="N976" s="27"/>
      <c r="O976" s="28" t="str">
        <f aca="false">IF(OR(M976="",M976=0,N976=""),"",N976/M976)</f>
        <v/>
      </c>
      <c r="P976" s="28" t="str">
        <f aca="false">IF(M976="","",IFERROR(IF(INDEX(Parámetros!$B$14:$B$21,MATCH(I976,Parámetros!$A$14:$A$21,0))="",Parámetros!$B$5,INDEX(Parámetros!$B$14:$B$21,MATCH(I976,Parámetros!$A$14:$A$21,0))),Parámetros!$B$5))</f>
        <v/>
      </c>
      <c r="Q976" s="29" t="str">
        <f aca="false">IF(O976="","",(O976-P976)*100)</f>
        <v/>
      </c>
      <c r="R976" s="30" t="str">
        <f aca="false">IF(O976="","",MAX(0,M976*(P976-O976)))</f>
        <v/>
      </c>
      <c r="S976" s="31" t="str">
        <f aca="false">IF(OR(L976="",L976=0,N976=""),"",N976/1000/L976)</f>
        <v/>
      </c>
      <c r="T976" s="27"/>
      <c r="U976" s="27"/>
      <c r="V976" s="27"/>
      <c r="W976" s="27"/>
      <c r="X976" s="27"/>
      <c r="Y976" s="27"/>
      <c r="Z976" s="27"/>
      <c r="AA976" s="25"/>
      <c r="AB976" s="27"/>
      <c r="AC976" s="30" t="str">
        <f aca="false">IF(M976="","",IF(AB976="",M976*Parámetros!$B$6,AB976))</f>
        <v/>
      </c>
      <c r="AD976" s="30" t="str">
        <f aca="false">IF(M976="","",SUM(T976:Z976)+AC976)</f>
        <v/>
      </c>
      <c r="AE976" s="30" t="str">
        <f aca="false">IF(OR(M976="",N976=""),"",M976-N976)</f>
        <v/>
      </c>
      <c r="AF976" s="30" t="str">
        <f aca="false">IF(AE976="","",AE976-AD976)</f>
        <v/>
      </c>
      <c r="AG976" s="28" t="str">
        <f aca="false">IF(OR(AF976="",M976=0),"",AF976/M976)</f>
        <v/>
      </c>
      <c r="AH976" s="32" t="str">
        <f aca="false">IF(OR(AE976="",N976=0),"",AE976/(N976/1000))</f>
        <v/>
      </c>
      <c r="AI976" s="30" t="str">
        <f aca="false">IF(O976="","",M976*P976)</f>
        <v/>
      </c>
      <c r="AJ976" s="11" t="str">
        <f aca="false">IF(O976="","",IF(O976&gt;1,"Error: rend &gt; 100 %",IF(SUM(T976:Z976)=0,"Falta registrar pérdidas",IF(ABS(AG976)&gt;Parámetros!$B$7,"Revisar balance",IF(O976&lt;P976,"Bajo meta","OK")))))</f>
        <v/>
      </c>
      <c r="AK976" s="33"/>
      <c r="AL976" s="10"/>
      <c r="AM976" s="33"/>
      <c r="AN976" s="33"/>
      <c r="AO976" s="10"/>
    </row>
    <row r="977" customFormat="false" ht="15" hidden="false" customHeight="false" outlineLevel="0" collapsed="false">
      <c r="A977" s="22"/>
      <c r="B977" s="23" t="str">
        <f aca="false">IF(A977="","",YEAR(A977-WEEKDAY(A977,2)+4))</f>
        <v/>
      </c>
      <c r="C977" s="23" t="str">
        <f aca="false">IF(A977="","",WEEKNUM(A977,21))</f>
        <v/>
      </c>
      <c r="D977" s="24" t="str">
        <f aca="false">IF(A977="","",DATE(YEAR(A977),MONTH(A977),1))</f>
        <v/>
      </c>
      <c r="E977" s="10"/>
      <c r="F977" s="25"/>
      <c r="G977" s="25"/>
      <c r="H977" s="10"/>
      <c r="I977" s="10"/>
      <c r="J977" s="26"/>
      <c r="K977" s="25"/>
      <c r="L977" s="26"/>
      <c r="M977" s="27"/>
      <c r="N977" s="27"/>
      <c r="O977" s="28" t="str">
        <f aca="false">IF(OR(M977="",M977=0,N977=""),"",N977/M977)</f>
        <v/>
      </c>
      <c r="P977" s="28" t="str">
        <f aca="false">IF(M977="","",IFERROR(IF(INDEX(Parámetros!$B$14:$B$21,MATCH(I977,Parámetros!$A$14:$A$21,0))="",Parámetros!$B$5,INDEX(Parámetros!$B$14:$B$21,MATCH(I977,Parámetros!$A$14:$A$21,0))),Parámetros!$B$5))</f>
        <v/>
      </c>
      <c r="Q977" s="29" t="str">
        <f aca="false">IF(O977="","",(O977-P977)*100)</f>
        <v/>
      </c>
      <c r="R977" s="30" t="str">
        <f aca="false">IF(O977="","",MAX(0,M977*(P977-O977)))</f>
        <v/>
      </c>
      <c r="S977" s="31" t="str">
        <f aca="false">IF(OR(L977="",L977=0,N977=""),"",N977/1000/L977)</f>
        <v/>
      </c>
      <c r="T977" s="27"/>
      <c r="U977" s="27"/>
      <c r="V977" s="27"/>
      <c r="W977" s="27"/>
      <c r="X977" s="27"/>
      <c r="Y977" s="27"/>
      <c r="Z977" s="27"/>
      <c r="AA977" s="25"/>
      <c r="AB977" s="27"/>
      <c r="AC977" s="30" t="str">
        <f aca="false">IF(M977="","",IF(AB977="",M977*Parámetros!$B$6,AB977))</f>
        <v/>
      </c>
      <c r="AD977" s="30" t="str">
        <f aca="false">IF(M977="","",SUM(T977:Z977)+AC977)</f>
        <v/>
      </c>
      <c r="AE977" s="30" t="str">
        <f aca="false">IF(OR(M977="",N977=""),"",M977-N977)</f>
        <v/>
      </c>
      <c r="AF977" s="30" t="str">
        <f aca="false">IF(AE977="","",AE977-AD977)</f>
        <v/>
      </c>
      <c r="AG977" s="28" t="str">
        <f aca="false">IF(OR(AF977="",M977=0),"",AF977/M977)</f>
        <v/>
      </c>
      <c r="AH977" s="32" t="str">
        <f aca="false">IF(OR(AE977="",N977=0),"",AE977/(N977/1000))</f>
        <v/>
      </c>
      <c r="AI977" s="30" t="str">
        <f aca="false">IF(O977="","",M977*P977)</f>
        <v/>
      </c>
      <c r="AJ977" s="11" t="str">
        <f aca="false">IF(O977="","",IF(O977&gt;1,"Error: rend &gt; 100 %",IF(SUM(T977:Z977)=0,"Falta registrar pérdidas",IF(ABS(AG977)&gt;Parámetros!$B$7,"Revisar balance",IF(O977&lt;P977,"Bajo meta","OK")))))</f>
        <v/>
      </c>
      <c r="AK977" s="33"/>
      <c r="AL977" s="10"/>
      <c r="AM977" s="33"/>
      <c r="AN977" s="33"/>
      <c r="AO977" s="10"/>
    </row>
    <row r="978" customFormat="false" ht="15" hidden="false" customHeight="false" outlineLevel="0" collapsed="false">
      <c r="A978" s="22"/>
      <c r="B978" s="23" t="str">
        <f aca="false">IF(A978="","",YEAR(A978-WEEKDAY(A978,2)+4))</f>
        <v/>
      </c>
      <c r="C978" s="23" t="str">
        <f aca="false">IF(A978="","",WEEKNUM(A978,21))</f>
        <v/>
      </c>
      <c r="D978" s="24" t="str">
        <f aca="false">IF(A978="","",DATE(YEAR(A978),MONTH(A978),1))</f>
        <v/>
      </c>
      <c r="E978" s="10"/>
      <c r="F978" s="25"/>
      <c r="G978" s="25"/>
      <c r="H978" s="10"/>
      <c r="I978" s="10"/>
      <c r="J978" s="26"/>
      <c r="K978" s="25"/>
      <c r="L978" s="26"/>
      <c r="M978" s="27"/>
      <c r="N978" s="27"/>
      <c r="O978" s="28" t="str">
        <f aca="false">IF(OR(M978="",M978=0,N978=""),"",N978/M978)</f>
        <v/>
      </c>
      <c r="P978" s="28" t="str">
        <f aca="false">IF(M978="","",IFERROR(IF(INDEX(Parámetros!$B$14:$B$21,MATCH(I978,Parámetros!$A$14:$A$21,0))="",Parámetros!$B$5,INDEX(Parámetros!$B$14:$B$21,MATCH(I978,Parámetros!$A$14:$A$21,0))),Parámetros!$B$5))</f>
        <v/>
      </c>
      <c r="Q978" s="29" t="str">
        <f aca="false">IF(O978="","",(O978-P978)*100)</f>
        <v/>
      </c>
      <c r="R978" s="30" t="str">
        <f aca="false">IF(O978="","",MAX(0,M978*(P978-O978)))</f>
        <v/>
      </c>
      <c r="S978" s="31" t="str">
        <f aca="false">IF(OR(L978="",L978=0,N978=""),"",N978/1000/L978)</f>
        <v/>
      </c>
      <c r="T978" s="27"/>
      <c r="U978" s="27"/>
      <c r="V978" s="27"/>
      <c r="W978" s="27"/>
      <c r="X978" s="27"/>
      <c r="Y978" s="27"/>
      <c r="Z978" s="27"/>
      <c r="AA978" s="25"/>
      <c r="AB978" s="27"/>
      <c r="AC978" s="30" t="str">
        <f aca="false">IF(M978="","",IF(AB978="",M978*Parámetros!$B$6,AB978))</f>
        <v/>
      </c>
      <c r="AD978" s="30" t="str">
        <f aca="false">IF(M978="","",SUM(T978:Z978)+AC978)</f>
        <v/>
      </c>
      <c r="AE978" s="30" t="str">
        <f aca="false">IF(OR(M978="",N978=""),"",M978-N978)</f>
        <v/>
      </c>
      <c r="AF978" s="30" t="str">
        <f aca="false">IF(AE978="","",AE978-AD978)</f>
        <v/>
      </c>
      <c r="AG978" s="28" t="str">
        <f aca="false">IF(OR(AF978="",M978=0),"",AF978/M978)</f>
        <v/>
      </c>
      <c r="AH978" s="32" t="str">
        <f aca="false">IF(OR(AE978="",N978=0),"",AE978/(N978/1000))</f>
        <v/>
      </c>
      <c r="AI978" s="30" t="str">
        <f aca="false">IF(O978="","",M978*P978)</f>
        <v/>
      </c>
      <c r="AJ978" s="11" t="str">
        <f aca="false">IF(O978="","",IF(O978&gt;1,"Error: rend &gt; 100 %",IF(SUM(T978:Z978)=0,"Falta registrar pérdidas",IF(ABS(AG978)&gt;Parámetros!$B$7,"Revisar balance",IF(O978&lt;P978,"Bajo meta","OK")))))</f>
        <v/>
      </c>
      <c r="AK978" s="33"/>
      <c r="AL978" s="10"/>
      <c r="AM978" s="33"/>
      <c r="AN978" s="33"/>
      <c r="AO978" s="10"/>
    </row>
    <row r="979" customFormat="false" ht="15" hidden="false" customHeight="false" outlineLevel="0" collapsed="false">
      <c r="A979" s="22"/>
      <c r="B979" s="23" t="str">
        <f aca="false">IF(A979="","",YEAR(A979-WEEKDAY(A979,2)+4))</f>
        <v/>
      </c>
      <c r="C979" s="23" t="str">
        <f aca="false">IF(A979="","",WEEKNUM(A979,21))</f>
        <v/>
      </c>
      <c r="D979" s="24" t="str">
        <f aca="false">IF(A979="","",DATE(YEAR(A979),MONTH(A979),1))</f>
        <v/>
      </c>
      <c r="E979" s="10"/>
      <c r="F979" s="25"/>
      <c r="G979" s="25"/>
      <c r="H979" s="10"/>
      <c r="I979" s="10"/>
      <c r="J979" s="26"/>
      <c r="K979" s="25"/>
      <c r="L979" s="26"/>
      <c r="M979" s="27"/>
      <c r="N979" s="27"/>
      <c r="O979" s="28" t="str">
        <f aca="false">IF(OR(M979="",M979=0,N979=""),"",N979/M979)</f>
        <v/>
      </c>
      <c r="P979" s="28" t="str">
        <f aca="false">IF(M979="","",IFERROR(IF(INDEX(Parámetros!$B$14:$B$21,MATCH(I979,Parámetros!$A$14:$A$21,0))="",Parámetros!$B$5,INDEX(Parámetros!$B$14:$B$21,MATCH(I979,Parámetros!$A$14:$A$21,0))),Parámetros!$B$5))</f>
        <v/>
      </c>
      <c r="Q979" s="29" t="str">
        <f aca="false">IF(O979="","",(O979-P979)*100)</f>
        <v/>
      </c>
      <c r="R979" s="30" t="str">
        <f aca="false">IF(O979="","",MAX(0,M979*(P979-O979)))</f>
        <v/>
      </c>
      <c r="S979" s="31" t="str">
        <f aca="false">IF(OR(L979="",L979=0,N979=""),"",N979/1000/L979)</f>
        <v/>
      </c>
      <c r="T979" s="27"/>
      <c r="U979" s="27"/>
      <c r="V979" s="27"/>
      <c r="W979" s="27"/>
      <c r="X979" s="27"/>
      <c r="Y979" s="27"/>
      <c r="Z979" s="27"/>
      <c r="AA979" s="25"/>
      <c r="AB979" s="27"/>
      <c r="AC979" s="30" t="str">
        <f aca="false">IF(M979="","",IF(AB979="",M979*Parámetros!$B$6,AB979))</f>
        <v/>
      </c>
      <c r="AD979" s="30" t="str">
        <f aca="false">IF(M979="","",SUM(T979:Z979)+AC979)</f>
        <v/>
      </c>
      <c r="AE979" s="30" t="str">
        <f aca="false">IF(OR(M979="",N979=""),"",M979-N979)</f>
        <v/>
      </c>
      <c r="AF979" s="30" t="str">
        <f aca="false">IF(AE979="","",AE979-AD979)</f>
        <v/>
      </c>
      <c r="AG979" s="28" t="str">
        <f aca="false">IF(OR(AF979="",M979=0),"",AF979/M979)</f>
        <v/>
      </c>
      <c r="AH979" s="32" t="str">
        <f aca="false">IF(OR(AE979="",N979=0),"",AE979/(N979/1000))</f>
        <v/>
      </c>
      <c r="AI979" s="30" t="str">
        <f aca="false">IF(O979="","",M979*P979)</f>
        <v/>
      </c>
      <c r="AJ979" s="11" t="str">
        <f aca="false">IF(O979="","",IF(O979&gt;1,"Error: rend &gt; 100 %",IF(SUM(T979:Z979)=0,"Falta registrar pérdidas",IF(ABS(AG979)&gt;Parámetros!$B$7,"Revisar balance",IF(O979&lt;P979,"Bajo meta","OK")))))</f>
        <v/>
      </c>
      <c r="AK979" s="33"/>
      <c r="AL979" s="10"/>
      <c r="AM979" s="33"/>
      <c r="AN979" s="33"/>
      <c r="AO979" s="10"/>
    </row>
    <row r="980" customFormat="false" ht="15" hidden="false" customHeight="false" outlineLevel="0" collapsed="false">
      <c r="A980" s="22"/>
      <c r="B980" s="23" t="str">
        <f aca="false">IF(A980="","",YEAR(A980-WEEKDAY(A980,2)+4))</f>
        <v/>
      </c>
      <c r="C980" s="23" t="str">
        <f aca="false">IF(A980="","",WEEKNUM(A980,21))</f>
        <v/>
      </c>
      <c r="D980" s="24" t="str">
        <f aca="false">IF(A980="","",DATE(YEAR(A980),MONTH(A980),1))</f>
        <v/>
      </c>
      <c r="E980" s="10"/>
      <c r="F980" s="25"/>
      <c r="G980" s="25"/>
      <c r="H980" s="10"/>
      <c r="I980" s="10"/>
      <c r="J980" s="26"/>
      <c r="K980" s="25"/>
      <c r="L980" s="26"/>
      <c r="M980" s="27"/>
      <c r="N980" s="27"/>
      <c r="O980" s="28" t="str">
        <f aca="false">IF(OR(M980="",M980=0,N980=""),"",N980/M980)</f>
        <v/>
      </c>
      <c r="P980" s="28" t="str">
        <f aca="false">IF(M980="","",IFERROR(IF(INDEX(Parámetros!$B$14:$B$21,MATCH(I980,Parámetros!$A$14:$A$21,0))="",Parámetros!$B$5,INDEX(Parámetros!$B$14:$B$21,MATCH(I980,Parámetros!$A$14:$A$21,0))),Parámetros!$B$5))</f>
        <v/>
      </c>
      <c r="Q980" s="29" t="str">
        <f aca="false">IF(O980="","",(O980-P980)*100)</f>
        <v/>
      </c>
      <c r="R980" s="30" t="str">
        <f aca="false">IF(O980="","",MAX(0,M980*(P980-O980)))</f>
        <v/>
      </c>
      <c r="S980" s="31" t="str">
        <f aca="false">IF(OR(L980="",L980=0,N980=""),"",N980/1000/L980)</f>
        <v/>
      </c>
      <c r="T980" s="27"/>
      <c r="U980" s="27"/>
      <c r="V980" s="27"/>
      <c r="W980" s="27"/>
      <c r="X980" s="27"/>
      <c r="Y980" s="27"/>
      <c r="Z980" s="27"/>
      <c r="AA980" s="25"/>
      <c r="AB980" s="27"/>
      <c r="AC980" s="30" t="str">
        <f aca="false">IF(M980="","",IF(AB980="",M980*Parámetros!$B$6,AB980))</f>
        <v/>
      </c>
      <c r="AD980" s="30" t="str">
        <f aca="false">IF(M980="","",SUM(T980:Z980)+AC980)</f>
        <v/>
      </c>
      <c r="AE980" s="30" t="str">
        <f aca="false">IF(OR(M980="",N980=""),"",M980-N980)</f>
        <v/>
      </c>
      <c r="AF980" s="30" t="str">
        <f aca="false">IF(AE980="","",AE980-AD980)</f>
        <v/>
      </c>
      <c r="AG980" s="28" t="str">
        <f aca="false">IF(OR(AF980="",M980=0),"",AF980/M980)</f>
        <v/>
      </c>
      <c r="AH980" s="32" t="str">
        <f aca="false">IF(OR(AE980="",N980=0),"",AE980/(N980/1000))</f>
        <v/>
      </c>
      <c r="AI980" s="30" t="str">
        <f aca="false">IF(O980="","",M980*P980)</f>
        <v/>
      </c>
      <c r="AJ980" s="11" t="str">
        <f aca="false">IF(O980="","",IF(O980&gt;1,"Error: rend &gt; 100 %",IF(SUM(T980:Z980)=0,"Falta registrar pérdidas",IF(ABS(AG980)&gt;Parámetros!$B$7,"Revisar balance",IF(O980&lt;P980,"Bajo meta","OK")))))</f>
        <v/>
      </c>
      <c r="AK980" s="33"/>
      <c r="AL980" s="10"/>
      <c r="AM980" s="33"/>
      <c r="AN980" s="33"/>
      <c r="AO980" s="10"/>
    </row>
    <row r="981" customFormat="false" ht="15" hidden="false" customHeight="false" outlineLevel="0" collapsed="false">
      <c r="A981" s="22"/>
      <c r="B981" s="23" t="str">
        <f aca="false">IF(A981="","",YEAR(A981-WEEKDAY(A981,2)+4))</f>
        <v/>
      </c>
      <c r="C981" s="23" t="str">
        <f aca="false">IF(A981="","",WEEKNUM(A981,21))</f>
        <v/>
      </c>
      <c r="D981" s="24" t="str">
        <f aca="false">IF(A981="","",DATE(YEAR(A981),MONTH(A981),1))</f>
        <v/>
      </c>
      <c r="E981" s="10"/>
      <c r="F981" s="25"/>
      <c r="G981" s="25"/>
      <c r="H981" s="10"/>
      <c r="I981" s="10"/>
      <c r="J981" s="26"/>
      <c r="K981" s="25"/>
      <c r="L981" s="26"/>
      <c r="M981" s="27"/>
      <c r="N981" s="27"/>
      <c r="O981" s="28" t="str">
        <f aca="false">IF(OR(M981="",M981=0,N981=""),"",N981/M981)</f>
        <v/>
      </c>
      <c r="P981" s="28" t="str">
        <f aca="false">IF(M981="","",IFERROR(IF(INDEX(Parámetros!$B$14:$B$21,MATCH(I981,Parámetros!$A$14:$A$21,0))="",Parámetros!$B$5,INDEX(Parámetros!$B$14:$B$21,MATCH(I981,Parámetros!$A$14:$A$21,0))),Parámetros!$B$5))</f>
        <v/>
      </c>
      <c r="Q981" s="29" t="str">
        <f aca="false">IF(O981="","",(O981-P981)*100)</f>
        <v/>
      </c>
      <c r="R981" s="30" t="str">
        <f aca="false">IF(O981="","",MAX(0,M981*(P981-O981)))</f>
        <v/>
      </c>
      <c r="S981" s="31" t="str">
        <f aca="false">IF(OR(L981="",L981=0,N981=""),"",N981/1000/L981)</f>
        <v/>
      </c>
      <c r="T981" s="27"/>
      <c r="U981" s="27"/>
      <c r="V981" s="27"/>
      <c r="W981" s="27"/>
      <c r="X981" s="27"/>
      <c r="Y981" s="27"/>
      <c r="Z981" s="27"/>
      <c r="AA981" s="25"/>
      <c r="AB981" s="27"/>
      <c r="AC981" s="30" t="str">
        <f aca="false">IF(M981="","",IF(AB981="",M981*Parámetros!$B$6,AB981))</f>
        <v/>
      </c>
      <c r="AD981" s="30" t="str">
        <f aca="false">IF(M981="","",SUM(T981:Z981)+AC981)</f>
        <v/>
      </c>
      <c r="AE981" s="30" t="str">
        <f aca="false">IF(OR(M981="",N981=""),"",M981-N981)</f>
        <v/>
      </c>
      <c r="AF981" s="30" t="str">
        <f aca="false">IF(AE981="","",AE981-AD981)</f>
        <v/>
      </c>
      <c r="AG981" s="28" t="str">
        <f aca="false">IF(OR(AF981="",M981=0),"",AF981/M981)</f>
        <v/>
      </c>
      <c r="AH981" s="32" t="str">
        <f aca="false">IF(OR(AE981="",N981=0),"",AE981/(N981/1000))</f>
        <v/>
      </c>
      <c r="AI981" s="30" t="str">
        <f aca="false">IF(O981="","",M981*P981)</f>
        <v/>
      </c>
      <c r="AJ981" s="11" t="str">
        <f aca="false">IF(O981="","",IF(O981&gt;1,"Error: rend &gt; 100 %",IF(SUM(T981:Z981)=0,"Falta registrar pérdidas",IF(ABS(AG981)&gt;Parámetros!$B$7,"Revisar balance",IF(O981&lt;P981,"Bajo meta","OK")))))</f>
        <v/>
      </c>
      <c r="AK981" s="33"/>
      <c r="AL981" s="10"/>
      <c r="AM981" s="33"/>
      <c r="AN981" s="33"/>
      <c r="AO981" s="10"/>
    </row>
    <row r="982" customFormat="false" ht="15" hidden="false" customHeight="false" outlineLevel="0" collapsed="false">
      <c r="A982" s="22"/>
      <c r="B982" s="23" t="str">
        <f aca="false">IF(A982="","",YEAR(A982-WEEKDAY(A982,2)+4))</f>
        <v/>
      </c>
      <c r="C982" s="23" t="str">
        <f aca="false">IF(A982="","",WEEKNUM(A982,21))</f>
        <v/>
      </c>
      <c r="D982" s="24" t="str">
        <f aca="false">IF(A982="","",DATE(YEAR(A982),MONTH(A982),1))</f>
        <v/>
      </c>
      <c r="E982" s="10"/>
      <c r="F982" s="25"/>
      <c r="G982" s="25"/>
      <c r="H982" s="10"/>
      <c r="I982" s="10"/>
      <c r="J982" s="26"/>
      <c r="K982" s="25"/>
      <c r="L982" s="26"/>
      <c r="M982" s="27"/>
      <c r="N982" s="27"/>
      <c r="O982" s="28" t="str">
        <f aca="false">IF(OR(M982="",M982=0,N982=""),"",N982/M982)</f>
        <v/>
      </c>
      <c r="P982" s="28" t="str">
        <f aca="false">IF(M982="","",IFERROR(IF(INDEX(Parámetros!$B$14:$B$21,MATCH(I982,Parámetros!$A$14:$A$21,0))="",Parámetros!$B$5,INDEX(Parámetros!$B$14:$B$21,MATCH(I982,Parámetros!$A$14:$A$21,0))),Parámetros!$B$5))</f>
        <v/>
      </c>
      <c r="Q982" s="29" t="str">
        <f aca="false">IF(O982="","",(O982-P982)*100)</f>
        <v/>
      </c>
      <c r="R982" s="30" t="str">
        <f aca="false">IF(O982="","",MAX(0,M982*(P982-O982)))</f>
        <v/>
      </c>
      <c r="S982" s="31" t="str">
        <f aca="false">IF(OR(L982="",L982=0,N982=""),"",N982/1000/L982)</f>
        <v/>
      </c>
      <c r="T982" s="27"/>
      <c r="U982" s="27"/>
      <c r="V982" s="27"/>
      <c r="W982" s="27"/>
      <c r="X982" s="27"/>
      <c r="Y982" s="27"/>
      <c r="Z982" s="27"/>
      <c r="AA982" s="25"/>
      <c r="AB982" s="27"/>
      <c r="AC982" s="30" t="str">
        <f aca="false">IF(M982="","",IF(AB982="",M982*Parámetros!$B$6,AB982))</f>
        <v/>
      </c>
      <c r="AD982" s="30" t="str">
        <f aca="false">IF(M982="","",SUM(T982:Z982)+AC982)</f>
        <v/>
      </c>
      <c r="AE982" s="30" t="str">
        <f aca="false">IF(OR(M982="",N982=""),"",M982-N982)</f>
        <v/>
      </c>
      <c r="AF982" s="30" t="str">
        <f aca="false">IF(AE982="","",AE982-AD982)</f>
        <v/>
      </c>
      <c r="AG982" s="28" t="str">
        <f aca="false">IF(OR(AF982="",M982=0),"",AF982/M982)</f>
        <v/>
      </c>
      <c r="AH982" s="32" t="str">
        <f aca="false">IF(OR(AE982="",N982=0),"",AE982/(N982/1000))</f>
        <v/>
      </c>
      <c r="AI982" s="30" t="str">
        <f aca="false">IF(O982="","",M982*P982)</f>
        <v/>
      </c>
      <c r="AJ982" s="11" t="str">
        <f aca="false">IF(O982="","",IF(O982&gt;1,"Error: rend &gt; 100 %",IF(SUM(T982:Z982)=0,"Falta registrar pérdidas",IF(ABS(AG982)&gt;Parámetros!$B$7,"Revisar balance",IF(O982&lt;P982,"Bajo meta","OK")))))</f>
        <v/>
      </c>
      <c r="AK982" s="33"/>
      <c r="AL982" s="10"/>
      <c r="AM982" s="33"/>
      <c r="AN982" s="33"/>
      <c r="AO982" s="10"/>
    </row>
    <row r="983" customFormat="false" ht="15" hidden="false" customHeight="false" outlineLevel="0" collapsed="false">
      <c r="A983" s="22"/>
      <c r="B983" s="23" t="str">
        <f aca="false">IF(A983="","",YEAR(A983-WEEKDAY(A983,2)+4))</f>
        <v/>
      </c>
      <c r="C983" s="23" t="str">
        <f aca="false">IF(A983="","",WEEKNUM(A983,21))</f>
        <v/>
      </c>
      <c r="D983" s="24" t="str">
        <f aca="false">IF(A983="","",DATE(YEAR(A983),MONTH(A983),1))</f>
        <v/>
      </c>
      <c r="E983" s="10"/>
      <c r="F983" s="25"/>
      <c r="G983" s="25"/>
      <c r="H983" s="10"/>
      <c r="I983" s="10"/>
      <c r="J983" s="26"/>
      <c r="K983" s="25"/>
      <c r="L983" s="26"/>
      <c r="M983" s="27"/>
      <c r="N983" s="27"/>
      <c r="O983" s="28" t="str">
        <f aca="false">IF(OR(M983="",M983=0,N983=""),"",N983/M983)</f>
        <v/>
      </c>
      <c r="P983" s="28" t="str">
        <f aca="false">IF(M983="","",IFERROR(IF(INDEX(Parámetros!$B$14:$B$21,MATCH(I983,Parámetros!$A$14:$A$21,0))="",Parámetros!$B$5,INDEX(Parámetros!$B$14:$B$21,MATCH(I983,Parámetros!$A$14:$A$21,0))),Parámetros!$B$5))</f>
        <v/>
      </c>
      <c r="Q983" s="29" t="str">
        <f aca="false">IF(O983="","",(O983-P983)*100)</f>
        <v/>
      </c>
      <c r="R983" s="30" t="str">
        <f aca="false">IF(O983="","",MAX(0,M983*(P983-O983)))</f>
        <v/>
      </c>
      <c r="S983" s="31" t="str">
        <f aca="false">IF(OR(L983="",L983=0,N983=""),"",N983/1000/L983)</f>
        <v/>
      </c>
      <c r="T983" s="27"/>
      <c r="U983" s="27"/>
      <c r="V983" s="27"/>
      <c r="W983" s="27"/>
      <c r="X983" s="27"/>
      <c r="Y983" s="27"/>
      <c r="Z983" s="27"/>
      <c r="AA983" s="25"/>
      <c r="AB983" s="27"/>
      <c r="AC983" s="30" t="str">
        <f aca="false">IF(M983="","",IF(AB983="",M983*Parámetros!$B$6,AB983))</f>
        <v/>
      </c>
      <c r="AD983" s="30" t="str">
        <f aca="false">IF(M983="","",SUM(T983:Z983)+AC983)</f>
        <v/>
      </c>
      <c r="AE983" s="30" t="str">
        <f aca="false">IF(OR(M983="",N983=""),"",M983-N983)</f>
        <v/>
      </c>
      <c r="AF983" s="30" t="str">
        <f aca="false">IF(AE983="","",AE983-AD983)</f>
        <v/>
      </c>
      <c r="AG983" s="28" t="str">
        <f aca="false">IF(OR(AF983="",M983=0),"",AF983/M983)</f>
        <v/>
      </c>
      <c r="AH983" s="32" t="str">
        <f aca="false">IF(OR(AE983="",N983=0),"",AE983/(N983/1000))</f>
        <v/>
      </c>
      <c r="AI983" s="30" t="str">
        <f aca="false">IF(O983="","",M983*P983)</f>
        <v/>
      </c>
      <c r="AJ983" s="11" t="str">
        <f aca="false">IF(O983="","",IF(O983&gt;1,"Error: rend &gt; 100 %",IF(SUM(T983:Z983)=0,"Falta registrar pérdidas",IF(ABS(AG983)&gt;Parámetros!$B$7,"Revisar balance",IF(O983&lt;P983,"Bajo meta","OK")))))</f>
        <v/>
      </c>
      <c r="AK983" s="33"/>
      <c r="AL983" s="10"/>
      <c r="AM983" s="33"/>
      <c r="AN983" s="33"/>
      <c r="AO983" s="10"/>
    </row>
    <row r="984" customFormat="false" ht="15" hidden="false" customHeight="false" outlineLevel="0" collapsed="false">
      <c r="A984" s="22"/>
      <c r="B984" s="23" t="str">
        <f aca="false">IF(A984="","",YEAR(A984-WEEKDAY(A984,2)+4))</f>
        <v/>
      </c>
      <c r="C984" s="23" t="str">
        <f aca="false">IF(A984="","",WEEKNUM(A984,21))</f>
        <v/>
      </c>
      <c r="D984" s="24" t="str">
        <f aca="false">IF(A984="","",DATE(YEAR(A984),MONTH(A984),1))</f>
        <v/>
      </c>
      <c r="E984" s="10"/>
      <c r="F984" s="25"/>
      <c r="G984" s="25"/>
      <c r="H984" s="10"/>
      <c r="I984" s="10"/>
      <c r="J984" s="26"/>
      <c r="K984" s="25"/>
      <c r="L984" s="26"/>
      <c r="M984" s="27"/>
      <c r="N984" s="27"/>
      <c r="O984" s="28" t="str">
        <f aca="false">IF(OR(M984="",M984=0,N984=""),"",N984/M984)</f>
        <v/>
      </c>
      <c r="P984" s="28" t="str">
        <f aca="false">IF(M984="","",IFERROR(IF(INDEX(Parámetros!$B$14:$B$21,MATCH(I984,Parámetros!$A$14:$A$21,0))="",Parámetros!$B$5,INDEX(Parámetros!$B$14:$B$21,MATCH(I984,Parámetros!$A$14:$A$21,0))),Parámetros!$B$5))</f>
        <v/>
      </c>
      <c r="Q984" s="29" t="str">
        <f aca="false">IF(O984="","",(O984-P984)*100)</f>
        <v/>
      </c>
      <c r="R984" s="30" t="str">
        <f aca="false">IF(O984="","",MAX(0,M984*(P984-O984)))</f>
        <v/>
      </c>
      <c r="S984" s="31" t="str">
        <f aca="false">IF(OR(L984="",L984=0,N984=""),"",N984/1000/L984)</f>
        <v/>
      </c>
      <c r="T984" s="27"/>
      <c r="U984" s="27"/>
      <c r="V984" s="27"/>
      <c r="W984" s="27"/>
      <c r="X984" s="27"/>
      <c r="Y984" s="27"/>
      <c r="Z984" s="27"/>
      <c r="AA984" s="25"/>
      <c r="AB984" s="27"/>
      <c r="AC984" s="30" t="str">
        <f aca="false">IF(M984="","",IF(AB984="",M984*Parámetros!$B$6,AB984))</f>
        <v/>
      </c>
      <c r="AD984" s="30" t="str">
        <f aca="false">IF(M984="","",SUM(T984:Z984)+AC984)</f>
        <v/>
      </c>
      <c r="AE984" s="30" t="str">
        <f aca="false">IF(OR(M984="",N984=""),"",M984-N984)</f>
        <v/>
      </c>
      <c r="AF984" s="30" t="str">
        <f aca="false">IF(AE984="","",AE984-AD984)</f>
        <v/>
      </c>
      <c r="AG984" s="28" t="str">
        <f aca="false">IF(OR(AF984="",M984=0),"",AF984/M984)</f>
        <v/>
      </c>
      <c r="AH984" s="32" t="str">
        <f aca="false">IF(OR(AE984="",N984=0),"",AE984/(N984/1000))</f>
        <v/>
      </c>
      <c r="AI984" s="30" t="str">
        <f aca="false">IF(O984="","",M984*P984)</f>
        <v/>
      </c>
      <c r="AJ984" s="11" t="str">
        <f aca="false">IF(O984="","",IF(O984&gt;1,"Error: rend &gt; 100 %",IF(SUM(T984:Z984)=0,"Falta registrar pérdidas",IF(ABS(AG984)&gt;Parámetros!$B$7,"Revisar balance",IF(O984&lt;P984,"Bajo meta","OK")))))</f>
        <v/>
      </c>
      <c r="AK984" s="33"/>
      <c r="AL984" s="10"/>
      <c r="AM984" s="33"/>
      <c r="AN984" s="33"/>
      <c r="AO984" s="10"/>
    </row>
    <row r="985" customFormat="false" ht="15" hidden="false" customHeight="false" outlineLevel="0" collapsed="false">
      <c r="A985" s="22"/>
      <c r="B985" s="23" t="str">
        <f aca="false">IF(A985="","",YEAR(A985-WEEKDAY(A985,2)+4))</f>
        <v/>
      </c>
      <c r="C985" s="23" t="str">
        <f aca="false">IF(A985="","",WEEKNUM(A985,21))</f>
        <v/>
      </c>
      <c r="D985" s="24" t="str">
        <f aca="false">IF(A985="","",DATE(YEAR(A985),MONTH(A985),1))</f>
        <v/>
      </c>
      <c r="E985" s="10"/>
      <c r="F985" s="25"/>
      <c r="G985" s="25"/>
      <c r="H985" s="10"/>
      <c r="I985" s="10"/>
      <c r="J985" s="26"/>
      <c r="K985" s="25"/>
      <c r="L985" s="26"/>
      <c r="M985" s="27"/>
      <c r="N985" s="27"/>
      <c r="O985" s="28" t="str">
        <f aca="false">IF(OR(M985="",M985=0,N985=""),"",N985/M985)</f>
        <v/>
      </c>
      <c r="P985" s="28" t="str">
        <f aca="false">IF(M985="","",IFERROR(IF(INDEX(Parámetros!$B$14:$B$21,MATCH(I985,Parámetros!$A$14:$A$21,0))="",Parámetros!$B$5,INDEX(Parámetros!$B$14:$B$21,MATCH(I985,Parámetros!$A$14:$A$21,0))),Parámetros!$B$5))</f>
        <v/>
      </c>
      <c r="Q985" s="29" t="str">
        <f aca="false">IF(O985="","",(O985-P985)*100)</f>
        <v/>
      </c>
      <c r="R985" s="30" t="str">
        <f aca="false">IF(O985="","",MAX(0,M985*(P985-O985)))</f>
        <v/>
      </c>
      <c r="S985" s="31" t="str">
        <f aca="false">IF(OR(L985="",L985=0,N985=""),"",N985/1000/L985)</f>
        <v/>
      </c>
      <c r="T985" s="27"/>
      <c r="U985" s="27"/>
      <c r="V985" s="27"/>
      <c r="W985" s="27"/>
      <c r="X985" s="27"/>
      <c r="Y985" s="27"/>
      <c r="Z985" s="27"/>
      <c r="AA985" s="25"/>
      <c r="AB985" s="27"/>
      <c r="AC985" s="30" t="str">
        <f aca="false">IF(M985="","",IF(AB985="",M985*Parámetros!$B$6,AB985))</f>
        <v/>
      </c>
      <c r="AD985" s="30" t="str">
        <f aca="false">IF(M985="","",SUM(T985:Z985)+AC985)</f>
        <v/>
      </c>
      <c r="AE985" s="30" t="str">
        <f aca="false">IF(OR(M985="",N985=""),"",M985-N985)</f>
        <v/>
      </c>
      <c r="AF985" s="30" t="str">
        <f aca="false">IF(AE985="","",AE985-AD985)</f>
        <v/>
      </c>
      <c r="AG985" s="28" t="str">
        <f aca="false">IF(OR(AF985="",M985=0),"",AF985/M985)</f>
        <v/>
      </c>
      <c r="AH985" s="32" t="str">
        <f aca="false">IF(OR(AE985="",N985=0),"",AE985/(N985/1000))</f>
        <v/>
      </c>
      <c r="AI985" s="30" t="str">
        <f aca="false">IF(O985="","",M985*P985)</f>
        <v/>
      </c>
      <c r="AJ985" s="11" t="str">
        <f aca="false">IF(O985="","",IF(O985&gt;1,"Error: rend &gt; 100 %",IF(SUM(T985:Z985)=0,"Falta registrar pérdidas",IF(ABS(AG985)&gt;Parámetros!$B$7,"Revisar balance",IF(O985&lt;P985,"Bajo meta","OK")))))</f>
        <v/>
      </c>
      <c r="AK985" s="33"/>
      <c r="AL985" s="10"/>
      <c r="AM985" s="33"/>
      <c r="AN985" s="33"/>
      <c r="AO985" s="10"/>
    </row>
    <row r="986" customFormat="false" ht="15" hidden="false" customHeight="false" outlineLevel="0" collapsed="false">
      <c r="A986" s="22"/>
      <c r="B986" s="23" t="str">
        <f aca="false">IF(A986="","",YEAR(A986-WEEKDAY(A986,2)+4))</f>
        <v/>
      </c>
      <c r="C986" s="23" t="str">
        <f aca="false">IF(A986="","",WEEKNUM(A986,21))</f>
        <v/>
      </c>
      <c r="D986" s="24" t="str">
        <f aca="false">IF(A986="","",DATE(YEAR(A986),MONTH(A986),1))</f>
        <v/>
      </c>
      <c r="E986" s="10"/>
      <c r="F986" s="25"/>
      <c r="G986" s="25"/>
      <c r="H986" s="10"/>
      <c r="I986" s="10"/>
      <c r="J986" s="26"/>
      <c r="K986" s="25"/>
      <c r="L986" s="26"/>
      <c r="M986" s="27"/>
      <c r="N986" s="27"/>
      <c r="O986" s="28" t="str">
        <f aca="false">IF(OR(M986="",M986=0,N986=""),"",N986/M986)</f>
        <v/>
      </c>
      <c r="P986" s="28" t="str">
        <f aca="false">IF(M986="","",IFERROR(IF(INDEX(Parámetros!$B$14:$B$21,MATCH(I986,Parámetros!$A$14:$A$21,0))="",Parámetros!$B$5,INDEX(Parámetros!$B$14:$B$21,MATCH(I986,Parámetros!$A$14:$A$21,0))),Parámetros!$B$5))</f>
        <v/>
      </c>
      <c r="Q986" s="29" t="str">
        <f aca="false">IF(O986="","",(O986-P986)*100)</f>
        <v/>
      </c>
      <c r="R986" s="30" t="str">
        <f aca="false">IF(O986="","",MAX(0,M986*(P986-O986)))</f>
        <v/>
      </c>
      <c r="S986" s="31" t="str">
        <f aca="false">IF(OR(L986="",L986=0,N986=""),"",N986/1000/L986)</f>
        <v/>
      </c>
      <c r="T986" s="27"/>
      <c r="U986" s="27"/>
      <c r="V986" s="27"/>
      <c r="W986" s="27"/>
      <c r="X986" s="27"/>
      <c r="Y986" s="27"/>
      <c r="Z986" s="27"/>
      <c r="AA986" s="25"/>
      <c r="AB986" s="27"/>
      <c r="AC986" s="30" t="str">
        <f aca="false">IF(M986="","",IF(AB986="",M986*Parámetros!$B$6,AB986))</f>
        <v/>
      </c>
      <c r="AD986" s="30" t="str">
        <f aca="false">IF(M986="","",SUM(T986:Z986)+AC986)</f>
        <v/>
      </c>
      <c r="AE986" s="30" t="str">
        <f aca="false">IF(OR(M986="",N986=""),"",M986-N986)</f>
        <v/>
      </c>
      <c r="AF986" s="30" t="str">
        <f aca="false">IF(AE986="","",AE986-AD986)</f>
        <v/>
      </c>
      <c r="AG986" s="28" t="str">
        <f aca="false">IF(OR(AF986="",M986=0),"",AF986/M986)</f>
        <v/>
      </c>
      <c r="AH986" s="32" t="str">
        <f aca="false">IF(OR(AE986="",N986=0),"",AE986/(N986/1000))</f>
        <v/>
      </c>
      <c r="AI986" s="30" t="str">
        <f aca="false">IF(O986="","",M986*P986)</f>
        <v/>
      </c>
      <c r="AJ986" s="11" t="str">
        <f aca="false">IF(O986="","",IF(O986&gt;1,"Error: rend &gt; 100 %",IF(SUM(T986:Z986)=0,"Falta registrar pérdidas",IF(ABS(AG986)&gt;Parámetros!$B$7,"Revisar balance",IF(O986&lt;P986,"Bajo meta","OK")))))</f>
        <v/>
      </c>
      <c r="AK986" s="33"/>
      <c r="AL986" s="10"/>
      <c r="AM986" s="33"/>
      <c r="AN986" s="33"/>
      <c r="AO986" s="10"/>
    </row>
    <row r="987" customFormat="false" ht="15" hidden="false" customHeight="false" outlineLevel="0" collapsed="false">
      <c r="A987" s="22"/>
      <c r="B987" s="23" t="str">
        <f aca="false">IF(A987="","",YEAR(A987-WEEKDAY(A987,2)+4))</f>
        <v/>
      </c>
      <c r="C987" s="23" t="str">
        <f aca="false">IF(A987="","",WEEKNUM(A987,21))</f>
        <v/>
      </c>
      <c r="D987" s="24" t="str">
        <f aca="false">IF(A987="","",DATE(YEAR(A987),MONTH(A987),1))</f>
        <v/>
      </c>
      <c r="E987" s="10"/>
      <c r="F987" s="25"/>
      <c r="G987" s="25"/>
      <c r="H987" s="10"/>
      <c r="I987" s="10"/>
      <c r="J987" s="26"/>
      <c r="K987" s="25"/>
      <c r="L987" s="26"/>
      <c r="M987" s="27"/>
      <c r="N987" s="27"/>
      <c r="O987" s="28" t="str">
        <f aca="false">IF(OR(M987="",M987=0,N987=""),"",N987/M987)</f>
        <v/>
      </c>
      <c r="P987" s="28" t="str">
        <f aca="false">IF(M987="","",IFERROR(IF(INDEX(Parámetros!$B$14:$B$21,MATCH(I987,Parámetros!$A$14:$A$21,0))="",Parámetros!$B$5,INDEX(Parámetros!$B$14:$B$21,MATCH(I987,Parámetros!$A$14:$A$21,0))),Parámetros!$B$5))</f>
        <v/>
      </c>
      <c r="Q987" s="29" t="str">
        <f aca="false">IF(O987="","",(O987-P987)*100)</f>
        <v/>
      </c>
      <c r="R987" s="30" t="str">
        <f aca="false">IF(O987="","",MAX(0,M987*(P987-O987)))</f>
        <v/>
      </c>
      <c r="S987" s="31" t="str">
        <f aca="false">IF(OR(L987="",L987=0,N987=""),"",N987/1000/L987)</f>
        <v/>
      </c>
      <c r="T987" s="27"/>
      <c r="U987" s="27"/>
      <c r="V987" s="27"/>
      <c r="W987" s="27"/>
      <c r="X987" s="27"/>
      <c r="Y987" s="27"/>
      <c r="Z987" s="27"/>
      <c r="AA987" s="25"/>
      <c r="AB987" s="27"/>
      <c r="AC987" s="30" t="str">
        <f aca="false">IF(M987="","",IF(AB987="",M987*Parámetros!$B$6,AB987))</f>
        <v/>
      </c>
      <c r="AD987" s="30" t="str">
        <f aca="false">IF(M987="","",SUM(T987:Z987)+AC987)</f>
        <v/>
      </c>
      <c r="AE987" s="30" t="str">
        <f aca="false">IF(OR(M987="",N987=""),"",M987-N987)</f>
        <v/>
      </c>
      <c r="AF987" s="30" t="str">
        <f aca="false">IF(AE987="","",AE987-AD987)</f>
        <v/>
      </c>
      <c r="AG987" s="28" t="str">
        <f aca="false">IF(OR(AF987="",M987=0),"",AF987/M987)</f>
        <v/>
      </c>
      <c r="AH987" s="32" t="str">
        <f aca="false">IF(OR(AE987="",N987=0),"",AE987/(N987/1000))</f>
        <v/>
      </c>
      <c r="AI987" s="30" t="str">
        <f aca="false">IF(O987="","",M987*P987)</f>
        <v/>
      </c>
      <c r="AJ987" s="11" t="str">
        <f aca="false">IF(O987="","",IF(O987&gt;1,"Error: rend &gt; 100 %",IF(SUM(T987:Z987)=0,"Falta registrar pérdidas",IF(ABS(AG987)&gt;Parámetros!$B$7,"Revisar balance",IF(O987&lt;P987,"Bajo meta","OK")))))</f>
        <v/>
      </c>
      <c r="AK987" s="33"/>
      <c r="AL987" s="10"/>
      <c r="AM987" s="33"/>
      <c r="AN987" s="33"/>
      <c r="AO987" s="10"/>
    </row>
    <row r="988" customFormat="false" ht="15" hidden="false" customHeight="false" outlineLevel="0" collapsed="false">
      <c r="A988" s="22"/>
      <c r="B988" s="23" t="str">
        <f aca="false">IF(A988="","",YEAR(A988-WEEKDAY(A988,2)+4))</f>
        <v/>
      </c>
      <c r="C988" s="23" t="str">
        <f aca="false">IF(A988="","",WEEKNUM(A988,21))</f>
        <v/>
      </c>
      <c r="D988" s="24" t="str">
        <f aca="false">IF(A988="","",DATE(YEAR(A988),MONTH(A988),1))</f>
        <v/>
      </c>
      <c r="E988" s="10"/>
      <c r="F988" s="25"/>
      <c r="G988" s="25"/>
      <c r="H988" s="10"/>
      <c r="I988" s="10"/>
      <c r="J988" s="26"/>
      <c r="K988" s="25"/>
      <c r="L988" s="26"/>
      <c r="M988" s="27"/>
      <c r="N988" s="27"/>
      <c r="O988" s="28" t="str">
        <f aca="false">IF(OR(M988="",M988=0,N988=""),"",N988/M988)</f>
        <v/>
      </c>
      <c r="P988" s="28" t="str">
        <f aca="false">IF(M988="","",IFERROR(IF(INDEX(Parámetros!$B$14:$B$21,MATCH(I988,Parámetros!$A$14:$A$21,0))="",Parámetros!$B$5,INDEX(Parámetros!$B$14:$B$21,MATCH(I988,Parámetros!$A$14:$A$21,0))),Parámetros!$B$5))</f>
        <v/>
      </c>
      <c r="Q988" s="29" t="str">
        <f aca="false">IF(O988="","",(O988-P988)*100)</f>
        <v/>
      </c>
      <c r="R988" s="30" t="str">
        <f aca="false">IF(O988="","",MAX(0,M988*(P988-O988)))</f>
        <v/>
      </c>
      <c r="S988" s="31" t="str">
        <f aca="false">IF(OR(L988="",L988=0,N988=""),"",N988/1000/L988)</f>
        <v/>
      </c>
      <c r="T988" s="27"/>
      <c r="U988" s="27"/>
      <c r="V988" s="27"/>
      <c r="W988" s="27"/>
      <c r="X988" s="27"/>
      <c r="Y988" s="27"/>
      <c r="Z988" s="27"/>
      <c r="AA988" s="25"/>
      <c r="AB988" s="27"/>
      <c r="AC988" s="30" t="str">
        <f aca="false">IF(M988="","",IF(AB988="",M988*Parámetros!$B$6,AB988))</f>
        <v/>
      </c>
      <c r="AD988" s="30" t="str">
        <f aca="false">IF(M988="","",SUM(T988:Z988)+AC988)</f>
        <v/>
      </c>
      <c r="AE988" s="30" t="str">
        <f aca="false">IF(OR(M988="",N988=""),"",M988-N988)</f>
        <v/>
      </c>
      <c r="AF988" s="30" t="str">
        <f aca="false">IF(AE988="","",AE988-AD988)</f>
        <v/>
      </c>
      <c r="AG988" s="28" t="str">
        <f aca="false">IF(OR(AF988="",M988=0),"",AF988/M988)</f>
        <v/>
      </c>
      <c r="AH988" s="32" t="str">
        <f aca="false">IF(OR(AE988="",N988=0),"",AE988/(N988/1000))</f>
        <v/>
      </c>
      <c r="AI988" s="30" t="str">
        <f aca="false">IF(O988="","",M988*P988)</f>
        <v/>
      </c>
      <c r="AJ988" s="11" t="str">
        <f aca="false">IF(O988="","",IF(O988&gt;1,"Error: rend &gt; 100 %",IF(SUM(T988:Z988)=0,"Falta registrar pérdidas",IF(ABS(AG988)&gt;Parámetros!$B$7,"Revisar balance",IF(O988&lt;P988,"Bajo meta","OK")))))</f>
        <v/>
      </c>
      <c r="AK988" s="33"/>
      <c r="AL988" s="10"/>
      <c r="AM988" s="33"/>
      <c r="AN988" s="33"/>
      <c r="AO988" s="10"/>
    </row>
    <row r="989" customFormat="false" ht="15" hidden="false" customHeight="false" outlineLevel="0" collapsed="false">
      <c r="A989" s="22"/>
      <c r="B989" s="23" t="str">
        <f aca="false">IF(A989="","",YEAR(A989-WEEKDAY(A989,2)+4))</f>
        <v/>
      </c>
      <c r="C989" s="23" t="str">
        <f aca="false">IF(A989="","",WEEKNUM(A989,21))</f>
        <v/>
      </c>
      <c r="D989" s="24" t="str">
        <f aca="false">IF(A989="","",DATE(YEAR(A989),MONTH(A989),1))</f>
        <v/>
      </c>
      <c r="E989" s="10"/>
      <c r="F989" s="25"/>
      <c r="G989" s="25"/>
      <c r="H989" s="10"/>
      <c r="I989" s="10"/>
      <c r="J989" s="26"/>
      <c r="K989" s="25"/>
      <c r="L989" s="26"/>
      <c r="M989" s="27"/>
      <c r="N989" s="27"/>
      <c r="O989" s="28" t="str">
        <f aca="false">IF(OR(M989="",M989=0,N989=""),"",N989/M989)</f>
        <v/>
      </c>
      <c r="P989" s="28" t="str">
        <f aca="false">IF(M989="","",IFERROR(IF(INDEX(Parámetros!$B$14:$B$21,MATCH(I989,Parámetros!$A$14:$A$21,0))="",Parámetros!$B$5,INDEX(Parámetros!$B$14:$B$21,MATCH(I989,Parámetros!$A$14:$A$21,0))),Parámetros!$B$5))</f>
        <v/>
      </c>
      <c r="Q989" s="29" t="str">
        <f aca="false">IF(O989="","",(O989-P989)*100)</f>
        <v/>
      </c>
      <c r="R989" s="30" t="str">
        <f aca="false">IF(O989="","",MAX(0,M989*(P989-O989)))</f>
        <v/>
      </c>
      <c r="S989" s="31" t="str">
        <f aca="false">IF(OR(L989="",L989=0,N989=""),"",N989/1000/L989)</f>
        <v/>
      </c>
      <c r="T989" s="27"/>
      <c r="U989" s="27"/>
      <c r="V989" s="27"/>
      <c r="W989" s="27"/>
      <c r="X989" s="27"/>
      <c r="Y989" s="27"/>
      <c r="Z989" s="27"/>
      <c r="AA989" s="25"/>
      <c r="AB989" s="27"/>
      <c r="AC989" s="30" t="str">
        <f aca="false">IF(M989="","",IF(AB989="",M989*Parámetros!$B$6,AB989))</f>
        <v/>
      </c>
      <c r="AD989" s="30" t="str">
        <f aca="false">IF(M989="","",SUM(T989:Z989)+AC989)</f>
        <v/>
      </c>
      <c r="AE989" s="30" t="str">
        <f aca="false">IF(OR(M989="",N989=""),"",M989-N989)</f>
        <v/>
      </c>
      <c r="AF989" s="30" t="str">
        <f aca="false">IF(AE989="","",AE989-AD989)</f>
        <v/>
      </c>
      <c r="AG989" s="28" t="str">
        <f aca="false">IF(OR(AF989="",M989=0),"",AF989/M989)</f>
        <v/>
      </c>
      <c r="AH989" s="32" t="str">
        <f aca="false">IF(OR(AE989="",N989=0),"",AE989/(N989/1000))</f>
        <v/>
      </c>
      <c r="AI989" s="30" t="str">
        <f aca="false">IF(O989="","",M989*P989)</f>
        <v/>
      </c>
      <c r="AJ989" s="11" t="str">
        <f aca="false">IF(O989="","",IF(O989&gt;1,"Error: rend &gt; 100 %",IF(SUM(T989:Z989)=0,"Falta registrar pérdidas",IF(ABS(AG989)&gt;Parámetros!$B$7,"Revisar balance",IF(O989&lt;P989,"Bajo meta","OK")))))</f>
        <v/>
      </c>
      <c r="AK989" s="33"/>
      <c r="AL989" s="10"/>
      <c r="AM989" s="33"/>
      <c r="AN989" s="33"/>
      <c r="AO989" s="10"/>
    </row>
    <row r="990" customFormat="false" ht="15" hidden="false" customHeight="false" outlineLevel="0" collapsed="false">
      <c r="A990" s="22"/>
      <c r="B990" s="23" t="str">
        <f aca="false">IF(A990="","",YEAR(A990-WEEKDAY(A990,2)+4))</f>
        <v/>
      </c>
      <c r="C990" s="23" t="str">
        <f aca="false">IF(A990="","",WEEKNUM(A990,21))</f>
        <v/>
      </c>
      <c r="D990" s="24" t="str">
        <f aca="false">IF(A990="","",DATE(YEAR(A990),MONTH(A990),1))</f>
        <v/>
      </c>
      <c r="E990" s="10"/>
      <c r="F990" s="25"/>
      <c r="G990" s="25"/>
      <c r="H990" s="10"/>
      <c r="I990" s="10"/>
      <c r="J990" s="26"/>
      <c r="K990" s="25"/>
      <c r="L990" s="26"/>
      <c r="M990" s="27"/>
      <c r="N990" s="27"/>
      <c r="O990" s="28" t="str">
        <f aca="false">IF(OR(M990="",M990=0,N990=""),"",N990/M990)</f>
        <v/>
      </c>
      <c r="P990" s="28" t="str">
        <f aca="false">IF(M990="","",IFERROR(IF(INDEX(Parámetros!$B$14:$B$21,MATCH(I990,Parámetros!$A$14:$A$21,0))="",Parámetros!$B$5,INDEX(Parámetros!$B$14:$B$21,MATCH(I990,Parámetros!$A$14:$A$21,0))),Parámetros!$B$5))</f>
        <v/>
      </c>
      <c r="Q990" s="29" t="str">
        <f aca="false">IF(O990="","",(O990-P990)*100)</f>
        <v/>
      </c>
      <c r="R990" s="30" t="str">
        <f aca="false">IF(O990="","",MAX(0,M990*(P990-O990)))</f>
        <v/>
      </c>
      <c r="S990" s="31" t="str">
        <f aca="false">IF(OR(L990="",L990=0,N990=""),"",N990/1000/L990)</f>
        <v/>
      </c>
      <c r="T990" s="27"/>
      <c r="U990" s="27"/>
      <c r="V990" s="27"/>
      <c r="W990" s="27"/>
      <c r="X990" s="27"/>
      <c r="Y990" s="27"/>
      <c r="Z990" s="27"/>
      <c r="AA990" s="25"/>
      <c r="AB990" s="27"/>
      <c r="AC990" s="30" t="str">
        <f aca="false">IF(M990="","",IF(AB990="",M990*Parámetros!$B$6,AB990))</f>
        <v/>
      </c>
      <c r="AD990" s="30" t="str">
        <f aca="false">IF(M990="","",SUM(T990:Z990)+AC990)</f>
        <v/>
      </c>
      <c r="AE990" s="30" t="str">
        <f aca="false">IF(OR(M990="",N990=""),"",M990-N990)</f>
        <v/>
      </c>
      <c r="AF990" s="30" t="str">
        <f aca="false">IF(AE990="","",AE990-AD990)</f>
        <v/>
      </c>
      <c r="AG990" s="28" t="str">
        <f aca="false">IF(OR(AF990="",M990=0),"",AF990/M990)</f>
        <v/>
      </c>
      <c r="AH990" s="32" t="str">
        <f aca="false">IF(OR(AE990="",N990=0),"",AE990/(N990/1000))</f>
        <v/>
      </c>
      <c r="AI990" s="30" t="str">
        <f aca="false">IF(O990="","",M990*P990)</f>
        <v/>
      </c>
      <c r="AJ990" s="11" t="str">
        <f aca="false">IF(O990="","",IF(O990&gt;1,"Error: rend &gt; 100 %",IF(SUM(T990:Z990)=0,"Falta registrar pérdidas",IF(ABS(AG990)&gt;Parámetros!$B$7,"Revisar balance",IF(O990&lt;P990,"Bajo meta","OK")))))</f>
        <v/>
      </c>
      <c r="AK990" s="33"/>
      <c r="AL990" s="10"/>
      <c r="AM990" s="33"/>
      <c r="AN990" s="33"/>
      <c r="AO990" s="10"/>
    </row>
    <row r="991" customFormat="false" ht="15" hidden="false" customHeight="false" outlineLevel="0" collapsed="false">
      <c r="A991" s="22"/>
      <c r="B991" s="23" t="str">
        <f aca="false">IF(A991="","",YEAR(A991-WEEKDAY(A991,2)+4))</f>
        <v/>
      </c>
      <c r="C991" s="23" t="str">
        <f aca="false">IF(A991="","",WEEKNUM(A991,21))</f>
        <v/>
      </c>
      <c r="D991" s="24" t="str">
        <f aca="false">IF(A991="","",DATE(YEAR(A991),MONTH(A991),1))</f>
        <v/>
      </c>
      <c r="E991" s="10"/>
      <c r="F991" s="25"/>
      <c r="G991" s="25"/>
      <c r="H991" s="10"/>
      <c r="I991" s="10"/>
      <c r="J991" s="26"/>
      <c r="K991" s="25"/>
      <c r="L991" s="26"/>
      <c r="M991" s="27"/>
      <c r="N991" s="27"/>
      <c r="O991" s="28" t="str">
        <f aca="false">IF(OR(M991="",M991=0,N991=""),"",N991/M991)</f>
        <v/>
      </c>
      <c r="P991" s="28" t="str">
        <f aca="false">IF(M991="","",IFERROR(IF(INDEX(Parámetros!$B$14:$B$21,MATCH(I991,Parámetros!$A$14:$A$21,0))="",Parámetros!$B$5,INDEX(Parámetros!$B$14:$B$21,MATCH(I991,Parámetros!$A$14:$A$21,0))),Parámetros!$B$5))</f>
        <v/>
      </c>
      <c r="Q991" s="29" t="str">
        <f aca="false">IF(O991="","",(O991-P991)*100)</f>
        <v/>
      </c>
      <c r="R991" s="30" t="str">
        <f aca="false">IF(O991="","",MAX(0,M991*(P991-O991)))</f>
        <v/>
      </c>
      <c r="S991" s="31" t="str">
        <f aca="false">IF(OR(L991="",L991=0,N991=""),"",N991/1000/L991)</f>
        <v/>
      </c>
      <c r="T991" s="27"/>
      <c r="U991" s="27"/>
      <c r="V991" s="27"/>
      <c r="W991" s="27"/>
      <c r="X991" s="27"/>
      <c r="Y991" s="27"/>
      <c r="Z991" s="27"/>
      <c r="AA991" s="25"/>
      <c r="AB991" s="27"/>
      <c r="AC991" s="30" t="str">
        <f aca="false">IF(M991="","",IF(AB991="",M991*Parámetros!$B$6,AB991))</f>
        <v/>
      </c>
      <c r="AD991" s="30" t="str">
        <f aca="false">IF(M991="","",SUM(T991:Z991)+AC991)</f>
        <v/>
      </c>
      <c r="AE991" s="30" t="str">
        <f aca="false">IF(OR(M991="",N991=""),"",M991-N991)</f>
        <v/>
      </c>
      <c r="AF991" s="30" t="str">
        <f aca="false">IF(AE991="","",AE991-AD991)</f>
        <v/>
      </c>
      <c r="AG991" s="28" t="str">
        <f aca="false">IF(OR(AF991="",M991=0),"",AF991/M991)</f>
        <v/>
      </c>
      <c r="AH991" s="32" t="str">
        <f aca="false">IF(OR(AE991="",N991=0),"",AE991/(N991/1000))</f>
        <v/>
      </c>
      <c r="AI991" s="30" t="str">
        <f aca="false">IF(O991="","",M991*P991)</f>
        <v/>
      </c>
      <c r="AJ991" s="11" t="str">
        <f aca="false">IF(O991="","",IF(O991&gt;1,"Error: rend &gt; 100 %",IF(SUM(T991:Z991)=0,"Falta registrar pérdidas",IF(ABS(AG991)&gt;Parámetros!$B$7,"Revisar balance",IF(O991&lt;P991,"Bajo meta","OK")))))</f>
        <v/>
      </c>
      <c r="AK991" s="33"/>
      <c r="AL991" s="10"/>
      <c r="AM991" s="33"/>
      <c r="AN991" s="33"/>
      <c r="AO991" s="10"/>
    </row>
    <row r="992" customFormat="false" ht="15" hidden="false" customHeight="false" outlineLevel="0" collapsed="false">
      <c r="A992" s="22"/>
      <c r="B992" s="23" t="str">
        <f aca="false">IF(A992="","",YEAR(A992-WEEKDAY(A992,2)+4))</f>
        <v/>
      </c>
      <c r="C992" s="23" t="str">
        <f aca="false">IF(A992="","",WEEKNUM(A992,21))</f>
        <v/>
      </c>
      <c r="D992" s="24" t="str">
        <f aca="false">IF(A992="","",DATE(YEAR(A992),MONTH(A992),1))</f>
        <v/>
      </c>
      <c r="E992" s="10"/>
      <c r="F992" s="25"/>
      <c r="G992" s="25"/>
      <c r="H992" s="10"/>
      <c r="I992" s="10"/>
      <c r="J992" s="26"/>
      <c r="K992" s="25"/>
      <c r="L992" s="26"/>
      <c r="M992" s="27"/>
      <c r="N992" s="27"/>
      <c r="O992" s="28" t="str">
        <f aca="false">IF(OR(M992="",M992=0,N992=""),"",N992/M992)</f>
        <v/>
      </c>
      <c r="P992" s="28" t="str">
        <f aca="false">IF(M992="","",IFERROR(IF(INDEX(Parámetros!$B$14:$B$21,MATCH(I992,Parámetros!$A$14:$A$21,0))="",Parámetros!$B$5,INDEX(Parámetros!$B$14:$B$21,MATCH(I992,Parámetros!$A$14:$A$21,0))),Parámetros!$B$5))</f>
        <v/>
      </c>
      <c r="Q992" s="29" t="str">
        <f aca="false">IF(O992="","",(O992-P992)*100)</f>
        <v/>
      </c>
      <c r="R992" s="30" t="str">
        <f aca="false">IF(O992="","",MAX(0,M992*(P992-O992)))</f>
        <v/>
      </c>
      <c r="S992" s="31" t="str">
        <f aca="false">IF(OR(L992="",L992=0,N992=""),"",N992/1000/L992)</f>
        <v/>
      </c>
      <c r="T992" s="27"/>
      <c r="U992" s="27"/>
      <c r="V992" s="27"/>
      <c r="W992" s="27"/>
      <c r="X992" s="27"/>
      <c r="Y992" s="27"/>
      <c r="Z992" s="27"/>
      <c r="AA992" s="25"/>
      <c r="AB992" s="27"/>
      <c r="AC992" s="30" t="str">
        <f aca="false">IF(M992="","",IF(AB992="",M992*Parámetros!$B$6,AB992))</f>
        <v/>
      </c>
      <c r="AD992" s="30" t="str">
        <f aca="false">IF(M992="","",SUM(T992:Z992)+AC992)</f>
        <v/>
      </c>
      <c r="AE992" s="30" t="str">
        <f aca="false">IF(OR(M992="",N992=""),"",M992-N992)</f>
        <v/>
      </c>
      <c r="AF992" s="30" t="str">
        <f aca="false">IF(AE992="","",AE992-AD992)</f>
        <v/>
      </c>
      <c r="AG992" s="28" t="str">
        <f aca="false">IF(OR(AF992="",M992=0),"",AF992/M992)</f>
        <v/>
      </c>
      <c r="AH992" s="32" t="str">
        <f aca="false">IF(OR(AE992="",N992=0),"",AE992/(N992/1000))</f>
        <v/>
      </c>
      <c r="AI992" s="30" t="str">
        <f aca="false">IF(O992="","",M992*P992)</f>
        <v/>
      </c>
      <c r="AJ992" s="11" t="str">
        <f aca="false">IF(O992="","",IF(O992&gt;1,"Error: rend &gt; 100 %",IF(SUM(T992:Z992)=0,"Falta registrar pérdidas",IF(ABS(AG992)&gt;Parámetros!$B$7,"Revisar balance",IF(O992&lt;P992,"Bajo meta","OK")))))</f>
        <v/>
      </c>
      <c r="AK992" s="33"/>
      <c r="AL992" s="10"/>
      <c r="AM992" s="33"/>
      <c r="AN992" s="33"/>
      <c r="AO992" s="10"/>
    </row>
    <row r="993" customFormat="false" ht="15" hidden="false" customHeight="false" outlineLevel="0" collapsed="false">
      <c r="A993" s="22"/>
      <c r="B993" s="23" t="str">
        <f aca="false">IF(A993="","",YEAR(A993-WEEKDAY(A993,2)+4))</f>
        <v/>
      </c>
      <c r="C993" s="23" t="str">
        <f aca="false">IF(A993="","",WEEKNUM(A993,21))</f>
        <v/>
      </c>
      <c r="D993" s="24" t="str">
        <f aca="false">IF(A993="","",DATE(YEAR(A993),MONTH(A993),1))</f>
        <v/>
      </c>
      <c r="E993" s="10"/>
      <c r="F993" s="25"/>
      <c r="G993" s="25"/>
      <c r="H993" s="10"/>
      <c r="I993" s="10"/>
      <c r="J993" s="26"/>
      <c r="K993" s="25"/>
      <c r="L993" s="26"/>
      <c r="M993" s="27"/>
      <c r="N993" s="27"/>
      <c r="O993" s="28" t="str">
        <f aca="false">IF(OR(M993="",M993=0,N993=""),"",N993/M993)</f>
        <v/>
      </c>
      <c r="P993" s="28" t="str">
        <f aca="false">IF(M993="","",IFERROR(IF(INDEX(Parámetros!$B$14:$B$21,MATCH(I993,Parámetros!$A$14:$A$21,0))="",Parámetros!$B$5,INDEX(Parámetros!$B$14:$B$21,MATCH(I993,Parámetros!$A$14:$A$21,0))),Parámetros!$B$5))</f>
        <v/>
      </c>
      <c r="Q993" s="29" t="str">
        <f aca="false">IF(O993="","",(O993-P993)*100)</f>
        <v/>
      </c>
      <c r="R993" s="30" t="str">
        <f aca="false">IF(O993="","",MAX(0,M993*(P993-O993)))</f>
        <v/>
      </c>
      <c r="S993" s="31" t="str">
        <f aca="false">IF(OR(L993="",L993=0,N993=""),"",N993/1000/L993)</f>
        <v/>
      </c>
      <c r="T993" s="27"/>
      <c r="U993" s="27"/>
      <c r="V993" s="27"/>
      <c r="W993" s="27"/>
      <c r="X993" s="27"/>
      <c r="Y993" s="27"/>
      <c r="Z993" s="27"/>
      <c r="AA993" s="25"/>
      <c r="AB993" s="27"/>
      <c r="AC993" s="30" t="str">
        <f aca="false">IF(M993="","",IF(AB993="",M993*Parámetros!$B$6,AB993))</f>
        <v/>
      </c>
      <c r="AD993" s="30" t="str">
        <f aca="false">IF(M993="","",SUM(T993:Z993)+AC993)</f>
        <v/>
      </c>
      <c r="AE993" s="30" t="str">
        <f aca="false">IF(OR(M993="",N993=""),"",M993-N993)</f>
        <v/>
      </c>
      <c r="AF993" s="30" t="str">
        <f aca="false">IF(AE993="","",AE993-AD993)</f>
        <v/>
      </c>
      <c r="AG993" s="28" t="str">
        <f aca="false">IF(OR(AF993="",M993=0),"",AF993/M993)</f>
        <v/>
      </c>
      <c r="AH993" s="32" t="str">
        <f aca="false">IF(OR(AE993="",N993=0),"",AE993/(N993/1000))</f>
        <v/>
      </c>
      <c r="AI993" s="30" t="str">
        <f aca="false">IF(O993="","",M993*P993)</f>
        <v/>
      </c>
      <c r="AJ993" s="11" t="str">
        <f aca="false">IF(O993="","",IF(O993&gt;1,"Error: rend &gt; 100 %",IF(SUM(T993:Z993)=0,"Falta registrar pérdidas",IF(ABS(AG993)&gt;Parámetros!$B$7,"Revisar balance",IF(O993&lt;P993,"Bajo meta","OK")))))</f>
        <v/>
      </c>
      <c r="AK993" s="33"/>
      <c r="AL993" s="10"/>
      <c r="AM993" s="33"/>
      <c r="AN993" s="33"/>
      <c r="AO993" s="10"/>
    </row>
    <row r="994" customFormat="false" ht="15" hidden="false" customHeight="false" outlineLevel="0" collapsed="false">
      <c r="A994" s="22"/>
      <c r="B994" s="23" t="str">
        <f aca="false">IF(A994="","",YEAR(A994-WEEKDAY(A994,2)+4))</f>
        <v/>
      </c>
      <c r="C994" s="23" t="str">
        <f aca="false">IF(A994="","",WEEKNUM(A994,21))</f>
        <v/>
      </c>
      <c r="D994" s="24" t="str">
        <f aca="false">IF(A994="","",DATE(YEAR(A994),MONTH(A994),1))</f>
        <v/>
      </c>
      <c r="E994" s="10"/>
      <c r="F994" s="25"/>
      <c r="G994" s="25"/>
      <c r="H994" s="10"/>
      <c r="I994" s="10"/>
      <c r="J994" s="26"/>
      <c r="K994" s="25"/>
      <c r="L994" s="26"/>
      <c r="M994" s="27"/>
      <c r="N994" s="27"/>
      <c r="O994" s="28" t="str">
        <f aca="false">IF(OR(M994="",M994=0,N994=""),"",N994/M994)</f>
        <v/>
      </c>
      <c r="P994" s="28" t="str">
        <f aca="false">IF(M994="","",IFERROR(IF(INDEX(Parámetros!$B$14:$B$21,MATCH(I994,Parámetros!$A$14:$A$21,0))="",Parámetros!$B$5,INDEX(Parámetros!$B$14:$B$21,MATCH(I994,Parámetros!$A$14:$A$21,0))),Parámetros!$B$5))</f>
        <v/>
      </c>
      <c r="Q994" s="29" t="str">
        <f aca="false">IF(O994="","",(O994-P994)*100)</f>
        <v/>
      </c>
      <c r="R994" s="30" t="str">
        <f aca="false">IF(O994="","",MAX(0,M994*(P994-O994)))</f>
        <v/>
      </c>
      <c r="S994" s="31" t="str">
        <f aca="false">IF(OR(L994="",L994=0,N994=""),"",N994/1000/L994)</f>
        <v/>
      </c>
      <c r="T994" s="27"/>
      <c r="U994" s="27"/>
      <c r="V994" s="27"/>
      <c r="W994" s="27"/>
      <c r="X994" s="27"/>
      <c r="Y994" s="27"/>
      <c r="Z994" s="27"/>
      <c r="AA994" s="25"/>
      <c r="AB994" s="27"/>
      <c r="AC994" s="30" t="str">
        <f aca="false">IF(M994="","",IF(AB994="",M994*Parámetros!$B$6,AB994))</f>
        <v/>
      </c>
      <c r="AD994" s="30" t="str">
        <f aca="false">IF(M994="","",SUM(T994:Z994)+AC994)</f>
        <v/>
      </c>
      <c r="AE994" s="30" t="str">
        <f aca="false">IF(OR(M994="",N994=""),"",M994-N994)</f>
        <v/>
      </c>
      <c r="AF994" s="30" t="str">
        <f aca="false">IF(AE994="","",AE994-AD994)</f>
        <v/>
      </c>
      <c r="AG994" s="28" t="str">
        <f aca="false">IF(OR(AF994="",M994=0),"",AF994/M994)</f>
        <v/>
      </c>
      <c r="AH994" s="32" t="str">
        <f aca="false">IF(OR(AE994="",N994=0),"",AE994/(N994/1000))</f>
        <v/>
      </c>
      <c r="AI994" s="30" t="str">
        <f aca="false">IF(O994="","",M994*P994)</f>
        <v/>
      </c>
      <c r="AJ994" s="11" t="str">
        <f aca="false">IF(O994="","",IF(O994&gt;1,"Error: rend &gt; 100 %",IF(SUM(T994:Z994)=0,"Falta registrar pérdidas",IF(ABS(AG994)&gt;Parámetros!$B$7,"Revisar balance",IF(O994&lt;P994,"Bajo meta","OK")))))</f>
        <v/>
      </c>
      <c r="AK994" s="33"/>
      <c r="AL994" s="10"/>
      <c r="AM994" s="33"/>
      <c r="AN994" s="33"/>
      <c r="AO994" s="10"/>
    </row>
    <row r="995" customFormat="false" ht="15" hidden="false" customHeight="false" outlineLevel="0" collapsed="false">
      <c r="A995" s="22"/>
      <c r="B995" s="23" t="str">
        <f aca="false">IF(A995="","",YEAR(A995-WEEKDAY(A995,2)+4))</f>
        <v/>
      </c>
      <c r="C995" s="23" t="str">
        <f aca="false">IF(A995="","",WEEKNUM(A995,21))</f>
        <v/>
      </c>
      <c r="D995" s="24" t="str">
        <f aca="false">IF(A995="","",DATE(YEAR(A995),MONTH(A995),1))</f>
        <v/>
      </c>
      <c r="E995" s="10"/>
      <c r="F995" s="25"/>
      <c r="G995" s="25"/>
      <c r="H995" s="10"/>
      <c r="I995" s="10"/>
      <c r="J995" s="26"/>
      <c r="K995" s="25"/>
      <c r="L995" s="26"/>
      <c r="M995" s="27"/>
      <c r="N995" s="27"/>
      <c r="O995" s="28" t="str">
        <f aca="false">IF(OR(M995="",M995=0,N995=""),"",N995/M995)</f>
        <v/>
      </c>
      <c r="P995" s="28" t="str">
        <f aca="false">IF(M995="","",IFERROR(IF(INDEX(Parámetros!$B$14:$B$21,MATCH(I995,Parámetros!$A$14:$A$21,0))="",Parámetros!$B$5,INDEX(Parámetros!$B$14:$B$21,MATCH(I995,Parámetros!$A$14:$A$21,0))),Parámetros!$B$5))</f>
        <v/>
      </c>
      <c r="Q995" s="29" t="str">
        <f aca="false">IF(O995="","",(O995-P995)*100)</f>
        <v/>
      </c>
      <c r="R995" s="30" t="str">
        <f aca="false">IF(O995="","",MAX(0,M995*(P995-O995)))</f>
        <v/>
      </c>
      <c r="S995" s="31" t="str">
        <f aca="false">IF(OR(L995="",L995=0,N995=""),"",N995/1000/L995)</f>
        <v/>
      </c>
      <c r="T995" s="27"/>
      <c r="U995" s="27"/>
      <c r="V995" s="27"/>
      <c r="W995" s="27"/>
      <c r="X995" s="27"/>
      <c r="Y995" s="27"/>
      <c r="Z995" s="27"/>
      <c r="AA995" s="25"/>
      <c r="AB995" s="27"/>
      <c r="AC995" s="30" t="str">
        <f aca="false">IF(M995="","",IF(AB995="",M995*Parámetros!$B$6,AB995))</f>
        <v/>
      </c>
      <c r="AD995" s="30" t="str">
        <f aca="false">IF(M995="","",SUM(T995:Z995)+AC995)</f>
        <v/>
      </c>
      <c r="AE995" s="30" t="str">
        <f aca="false">IF(OR(M995="",N995=""),"",M995-N995)</f>
        <v/>
      </c>
      <c r="AF995" s="30" t="str">
        <f aca="false">IF(AE995="","",AE995-AD995)</f>
        <v/>
      </c>
      <c r="AG995" s="28" t="str">
        <f aca="false">IF(OR(AF995="",M995=0),"",AF995/M995)</f>
        <v/>
      </c>
      <c r="AH995" s="32" t="str">
        <f aca="false">IF(OR(AE995="",N995=0),"",AE995/(N995/1000))</f>
        <v/>
      </c>
      <c r="AI995" s="30" t="str">
        <f aca="false">IF(O995="","",M995*P995)</f>
        <v/>
      </c>
      <c r="AJ995" s="11" t="str">
        <f aca="false">IF(O995="","",IF(O995&gt;1,"Error: rend &gt; 100 %",IF(SUM(T995:Z995)=0,"Falta registrar pérdidas",IF(ABS(AG995)&gt;Parámetros!$B$7,"Revisar balance",IF(O995&lt;P995,"Bajo meta","OK")))))</f>
        <v/>
      </c>
      <c r="AK995" s="33"/>
      <c r="AL995" s="10"/>
      <c r="AM995" s="33"/>
      <c r="AN995" s="33"/>
      <c r="AO995" s="10"/>
    </row>
    <row r="996" customFormat="false" ht="15" hidden="false" customHeight="false" outlineLevel="0" collapsed="false">
      <c r="A996" s="22"/>
      <c r="B996" s="23" t="str">
        <f aca="false">IF(A996="","",YEAR(A996-WEEKDAY(A996,2)+4))</f>
        <v/>
      </c>
      <c r="C996" s="23" t="str">
        <f aca="false">IF(A996="","",WEEKNUM(A996,21))</f>
        <v/>
      </c>
      <c r="D996" s="24" t="str">
        <f aca="false">IF(A996="","",DATE(YEAR(A996),MONTH(A996),1))</f>
        <v/>
      </c>
      <c r="E996" s="10"/>
      <c r="F996" s="25"/>
      <c r="G996" s="25"/>
      <c r="H996" s="10"/>
      <c r="I996" s="10"/>
      <c r="J996" s="26"/>
      <c r="K996" s="25"/>
      <c r="L996" s="26"/>
      <c r="M996" s="27"/>
      <c r="N996" s="27"/>
      <c r="O996" s="28" t="str">
        <f aca="false">IF(OR(M996="",M996=0,N996=""),"",N996/M996)</f>
        <v/>
      </c>
      <c r="P996" s="28" t="str">
        <f aca="false">IF(M996="","",IFERROR(IF(INDEX(Parámetros!$B$14:$B$21,MATCH(I996,Parámetros!$A$14:$A$21,0))="",Parámetros!$B$5,INDEX(Parámetros!$B$14:$B$21,MATCH(I996,Parámetros!$A$14:$A$21,0))),Parámetros!$B$5))</f>
        <v/>
      </c>
      <c r="Q996" s="29" t="str">
        <f aca="false">IF(O996="","",(O996-P996)*100)</f>
        <v/>
      </c>
      <c r="R996" s="30" t="str">
        <f aca="false">IF(O996="","",MAX(0,M996*(P996-O996)))</f>
        <v/>
      </c>
      <c r="S996" s="31" t="str">
        <f aca="false">IF(OR(L996="",L996=0,N996=""),"",N996/1000/L996)</f>
        <v/>
      </c>
      <c r="T996" s="27"/>
      <c r="U996" s="27"/>
      <c r="V996" s="27"/>
      <c r="W996" s="27"/>
      <c r="X996" s="27"/>
      <c r="Y996" s="27"/>
      <c r="Z996" s="27"/>
      <c r="AA996" s="25"/>
      <c r="AB996" s="27"/>
      <c r="AC996" s="30" t="str">
        <f aca="false">IF(M996="","",IF(AB996="",M996*Parámetros!$B$6,AB996))</f>
        <v/>
      </c>
      <c r="AD996" s="30" t="str">
        <f aca="false">IF(M996="","",SUM(T996:Z996)+AC996)</f>
        <v/>
      </c>
      <c r="AE996" s="30" t="str">
        <f aca="false">IF(OR(M996="",N996=""),"",M996-N996)</f>
        <v/>
      </c>
      <c r="AF996" s="30" t="str">
        <f aca="false">IF(AE996="","",AE996-AD996)</f>
        <v/>
      </c>
      <c r="AG996" s="28" t="str">
        <f aca="false">IF(OR(AF996="",M996=0),"",AF996/M996)</f>
        <v/>
      </c>
      <c r="AH996" s="32" t="str">
        <f aca="false">IF(OR(AE996="",N996=0),"",AE996/(N996/1000))</f>
        <v/>
      </c>
      <c r="AI996" s="30" t="str">
        <f aca="false">IF(O996="","",M996*P996)</f>
        <v/>
      </c>
      <c r="AJ996" s="11" t="str">
        <f aca="false">IF(O996="","",IF(O996&gt;1,"Error: rend &gt; 100 %",IF(SUM(T996:Z996)=0,"Falta registrar pérdidas",IF(ABS(AG996)&gt;Parámetros!$B$7,"Revisar balance",IF(O996&lt;P996,"Bajo meta","OK")))))</f>
        <v/>
      </c>
      <c r="AK996" s="33"/>
      <c r="AL996" s="10"/>
      <c r="AM996" s="33"/>
      <c r="AN996" s="33"/>
      <c r="AO996" s="10"/>
    </row>
    <row r="997" customFormat="false" ht="15" hidden="false" customHeight="false" outlineLevel="0" collapsed="false">
      <c r="A997" s="22"/>
      <c r="B997" s="23" t="str">
        <f aca="false">IF(A997="","",YEAR(A997-WEEKDAY(A997,2)+4))</f>
        <v/>
      </c>
      <c r="C997" s="23" t="str">
        <f aca="false">IF(A997="","",WEEKNUM(A997,21))</f>
        <v/>
      </c>
      <c r="D997" s="24" t="str">
        <f aca="false">IF(A997="","",DATE(YEAR(A997),MONTH(A997),1))</f>
        <v/>
      </c>
      <c r="E997" s="10"/>
      <c r="F997" s="25"/>
      <c r="G997" s="25"/>
      <c r="H997" s="10"/>
      <c r="I997" s="10"/>
      <c r="J997" s="26"/>
      <c r="K997" s="25"/>
      <c r="L997" s="26"/>
      <c r="M997" s="27"/>
      <c r="N997" s="27"/>
      <c r="O997" s="28" t="str">
        <f aca="false">IF(OR(M997="",M997=0,N997=""),"",N997/M997)</f>
        <v/>
      </c>
      <c r="P997" s="28" t="str">
        <f aca="false">IF(M997="","",IFERROR(IF(INDEX(Parámetros!$B$14:$B$21,MATCH(I997,Parámetros!$A$14:$A$21,0))="",Parámetros!$B$5,INDEX(Parámetros!$B$14:$B$21,MATCH(I997,Parámetros!$A$14:$A$21,0))),Parámetros!$B$5))</f>
        <v/>
      </c>
      <c r="Q997" s="29" t="str">
        <f aca="false">IF(O997="","",(O997-P997)*100)</f>
        <v/>
      </c>
      <c r="R997" s="30" t="str">
        <f aca="false">IF(O997="","",MAX(0,M997*(P997-O997)))</f>
        <v/>
      </c>
      <c r="S997" s="31" t="str">
        <f aca="false">IF(OR(L997="",L997=0,N997=""),"",N997/1000/L997)</f>
        <v/>
      </c>
      <c r="T997" s="27"/>
      <c r="U997" s="27"/>
      <c r="V997" s="27"/>
      <c r="W997" s="27"/>
      <c r="X997" s="27"/>
      <c r="Y997" s="27"/>
      <c r="Z997" s="27"/>
      <c r="AA997" s="25"/>
      <c r="AB997" s="27"/>
      <c r="AC997" s="30" t="str">
        <f aca="false">IF(M997="","",IF(AB997="",M997*Parámetros!$B$6,AB997))</f>
        <v/>
      </c>
      <c r="AD997" s="30" t="str">
        <f aca="false">IF(M997="","",SUM(T997:Z997)+AC997)</f>
        <v/>
      </c>
      <c r="AE997" s="30" t="str">
        <f aca="false">IF(OR(M997="",N997=""),"",M997-N997)</f>
        <v/>
      </c>
      <c r="AF997" s="30" t="str">
        <f aca="false">IF(AE997="","",AE997-AD997)</f>
        <v/>
      </c>
      <c r="AG997" s="28" t="str">
        <f aca="false">IF(OR(AF997="",M997=0),"",AF997/M997)</f>
        <v/>
      </c>
      <c r="AH997" s="32" t="str">
        <f aca="false">IF(OR(AE997="",N997=0),"",AE997/(N997/1000))</f>
        <v/>
      </c>
      <c r="AI997" s="30" t="str">
        <f aca="false">IF(O997="","",M997*P997)</f>
        <v/>
      </c>
      <c r="AJ997" s="11" t="str">
        <f aca="false">IF(O997="","",IF(O997&gt;1,"Error: rend &gt; 100 %",IF(SUM(T997:Z997)=0,"Falta registrar pérdidas",IF(ABS(AG997)&gt;Parámetros!$B$7,"Revisar balance",IF(O997&lt;P997,"Bajo meta","OK")))))</f>
        <v/>
      </c>
      <c r="AK997" s="33"/>
      <c r="AL997" s="10"/>
      <c r="AM997" s="33"/>
      <c r="AN997" s="33"/>
      <c r="AO997" s="10"/>
    </row>
    <row r="998" customFormat="false" ht="15" hidden="false" customHeight="false" outlineLevel="0" collapsed="false">
      <c r="A998" s="22"/>
      <c r="B998" s="23" t="str">
        <f aca="false">IF(A998="","",YEAR(A998-WEEKDAY(A998,2)+4))</f>
        <v/>
      </c>
      <c r="C998" s="23" t="str">
        <f aca="false">IF(A998="","",WEEKNUM(A998,21))</f>
        <v/>
      </c>
      <c r="D998" s="24" t="str">
        <f aca="false">IF(A998="","",DATE(YEAR(A998),MONTH(A998),1))</f>
        <v/>
      </c>
      <c r="E998" s="10"/>
      <c r="F998" s="25"/>
      <c r="G998" s="25"/>
      <c r="H998" s="10"/>
      <c r="I998" s="10"/>
      <c r="J998" s="26"/>
      <c r="K998" s="25"/>
      <c r="L998" s="26"/>
      <c r="M998" s="27"/>
      <c r="N998" s="27"/>
      <c r="O998" s="28" t="str">
        <f aca="false">IF(OR(M998="",M998=0,N998=""),"",N998/M998)</f>
        <v/>
      </c>
      <c r="P998" s="28" t="str">
        <f aca="false">IF(M998="","",IFERROR(IF(INDEX(Parámetros!$B$14:$B$21,MATCH(I998,Parámetros!$A$14:$A$21,0))="",Parámetros!$B$5,INDEX(Parámetros!$B$14:$B$21,MATCH(I998,Parámetros!$A$14:$A$21,0))),Parámetros!$B$5))</f>
        <v/>
      </c>
      <c r="Q998" s="29" t="str">
        <f aca="false">IF(O998="","",(O998-P998)*100)</f>
        <v/>
      </c>
      <c r="R998" s="30" t="str">
        <f aca="false">IF(O998="","",MAX(0,M998*(P998-O998)))</f>
        <v/>
      </c>
      <c r="S998" s="31" t="str">
        <f aca="false">IF(OR(L998="",L998=0,N998=""),"",N998/1000/L998)</f>
        <v/>
      </c>
      <c r="T998" s="27"/>
      <c r="U998" s="27"/>
      <c r="V998" s="27"/>
      <c r="W998" s="27"/>
      <c r="X998" s="27"/>
      <c r="Y998" s="27"/>
      <c r="Z998" s="27"/>
      <c r="AA998" s="25"/>
      <c r="AB998" s="27"/>
      <c r="AC998" s="30" t="str">
        <f aca="false">IF(M998="","",IF(AB998="",M998*Parámetros!$B$6,AB998))</f>
        <v/>
      </c>
      <c r="AD998" s="30" t="str">
        <f aca="false">IF(M998="","",SUM(T998:Z998)+AC998)</f>
        <v/>
      </c>
      <c r="AE998" s="30" t="str">
        <f aca="false">IF(OR(M998="",N998=""),"",M998-N998)</f>
        <v/>
      </c>
      <c r="AF998" s="30" t="str">
        <f aca="false">IF(AE998="","",AE998-AD998)</f>
        <v/>
      </c>
      <c r="AG998" s="28" t="str">
        <f aca="false">IF(OR(AF998="",M998=0),"",AF998/M998)</f>
        <v/>
      </c>
      <c r="AH998" s="32" t="str">
        <f aca="false">IF(OR(AE998="",N998=0),"",AE998/(N998/1000))</f>
        <v/>
      </c>
      <c r="AI998" s="30" t="str">
        <f aca="false">IF(O998="","",M998*P998)</f>
        <v/>
      </c>
      <c r="AJ998" s="11" t="str">
        <f aca="false">IF(O998="","",IF(O998&gt;1,"Error: rend &gt; 100 %",IF(SUM(T998:Z998)=0,"Falta registrar pérdidas",IF(ABS(AG998)&gt;Parámetros!$B$7,"Revisar balance",IF(O998&lt;P998,"Bajo meta","OK")))))</f>
        <v/>
      </c>
      <c r="AK998" s="33"/>
      <c r="AL998" s="10"/>
      <c r="AM998" s="33"/>
      <c r="AN998" s="33"/>
      <c r="AO998" s="10"/>
    </row>
    <row r="999" customFormat="false" ht="15" hidden="false" customHeight="false" outlineLevel="0" collapsed="false">
      <c r="A999" s="22"/>
      <c r="B999" s="23" t="str">
        <f aca="false">IF(A999="","",YEAR(A999-WEEKDAY(A999,2)+4))</f>
        <v/>
      </c>
      <c r="C999" s="23" t="str">
        <f aca="false">IF(A999="","",WEEKNUM(A999,21))</f>
        <v/>
      </c>
      <c r="D999" s="24" t="str">
        <f aca="false">IF(A999="","",DATE(YEAR(A999),MONTH(A999),1))</f>
        <v/>
      </c>
      <c r="E999" s="10"/>
      <c r="F999" s="25"/>
      <c r="G999" s="25"/>
      <c r="H999" s="10"/>
      <c r="I999" s="10"/>
      <c r="J999" s="26"/>
      <c r="K999" s="25"/>
      <c r="L999" s="26"/>
      <c r="M999" s="27"/>
      <c r="N999" s="27"/>
      <c r="O999" s="28" t="str">
        <f aca="false">IF(OR(M999="",M999=0,N999=""),"",N999/M999)</f>
        <v/>
      </c>
      <c r="P999" s="28" t="str">
        <f aca="false">IF(M999="","",IFERROR(IF(INDEX(Parámetros!$B$14:$B$21,MATCH(I999,Parámetros!$A$14:$A$21,0))="",Parámetros!$B$5,INDEX(Parámetros!$B$14:$B$21,MATCH(I999,Parámetros!$A$14:$A$21,0))),Parámetros!$B$5))</f>
        <v/>
      </c>
      <c r="Q999" s="29" t="str">
        <f aca="false">IF(O999="","",(O999-P999)*100)</f>
        <v/>
      </c>
      <c r="R999" s="30" t="str">
        <f aca="false">IF(O999="","",MAX(0,M999*(P999-O999)))</f>
        <v/>
      </c>
      <c r="S999" s="31" t="str">
        <f aca="false">IF(OR(L999="",L999=0,N999=""),"",N999/1000/L999)</f>
        <v/>
      </c>
      <c r="T999" s="27"/>
      <c r="U999" s="27"/>
      <c r="V999" s="27"/>
      <c r="W999" s="27"/>
      <c r="X999" s="27"/>
      <c r="Y999" s="27"/>
      <c r="Z999" s="27"/>
      <c r="AA999" s="25"/>
      <c r="AB999" s="27"/>
      <c r="AC999" s="30" t="str">
        <f aca="false">IF(M999="","",IF(AB999="",M999*Parámetros!$B$6,AB999))</f>
        <v/>
      </c>
      <c r="AD999" s="30" t="str">
        <f aca="false">IF(M999="","",SUM(T999:Z999)+AC999)</f>
        <v/>
      </c>
      <c r="AE999" s="30" t="str">
        <f aca="false">IF(OR(M999="",N999=""),"",M999-N999)</f>
        <v/>
      </c>
      <c r="AF999" s="30" t="str">
        <f aca="false">IF(AE999="","",AE999-AD999)</f>
        <v/>
      </c>
      <c r="AG999" s="28" t="str">
        <f aca="false">IF(OR(AF999="",M999=0),"",AF999/M999)</f>
        <v/>
      </c>
      <c r="AH999" s="32" t="str">
        <f aca="false">IF(OR(AE999="",N999=0),"",AE999/(N999/1000))</f>
        <v/>
      </c>
      <c r="AI999" s="30" t="str">
        <f aca="false">IF(O999="","",M999*P999)</f>
        <v/>
      </c>
      <c r="AJ999" s="11" t="str">
        <f aca="false">IF(O999="","",IF(O999&gt;1,"Error: rend &gt; 100 %",IF(SUM(T999:Z999)=0,"Falta registrar pérdidas",IF(ABS(AG999)&gt;Parámetros!$B$7,"Revisar balance",IF(O999&lt;P999,"Bajo meta","OK")))))</f>
        <v/>
      </c>
      <c r="AK999" s="33"/>
      <c r="AL999" s="10"/>
      <c r="AM999" s="33"/>
      <c r="AN999" s="33"/>
      <c r="AO999" s="10"/>
    </row>
    <row r="1000" customFormat="false" ht="15" hidden="false" customHeight="false" outlineLevel="0" collapsed="false">
      <c r="A1000" s="22"/>
      <c r="B1000" s="23" t="str">
        <f aca="false">IF(A1000="","",YEAR(A1000-WEEKDAY(A1000,2)+4))</f>
        <v/>
      </c>
      <c r="C1000" s="23" t="str">
        <f aca="false">IF(A1000="","",WEEKNUM(A1000,21))</f>
        <v/>
      </c>
      <c r="D1000" s="24" t="str">
        <f aca="false">IF(A1000="","",DATE(YEAR(A1000),MONTH(A1000),1))</f>
        <v/>
      </c>
      <c r="E1000" s="10"/>
      <c r="F1000" s="25"/>
      <c r="G1000" s="25"/>
      <c r="H1000" s="10"/>
      <c r="I1000" s="10"/>
      <c r="J1000" s="26"/>
      <c r="K1000" s="25"/>
      <c r="L1000" s="26"/>
      <c r="M1000" s="27"/>
      <c r="N1000" s="27"/>
      <c r="O1000" s="28" t="str">
        <f aca="false">IF(OR(M1000="",M1000=0,N1000=""),"",N1000/M1000)</f>
        <v/>
      </c>
      <c r="P1000" s="28" t="str">
        <f aca="false">IF(M1000="","",IFERROR(IF(INDEX(Parámetros!$B$14:$B$21,MATCH(I1000,Parámetros!$A$14:$A$21,0))="",Parámetros!$B$5,INDEX(Parámetros!$B$14:$B$21,MATCH(I1000,Parámetros!$A$14:$A$21,0))),Parámetros!$B$5))</f>
        <v/>
      </c>
      <c r="Q1000" s="29" t="str">
        <f aca="false">IF(O1000="","",(O1000-P1000)*100)</f>
        <v/>
      </c>
      <c r="R1000" s="30" t="str">
        <f aca="false">IF(O1000="","",MAX(0,M1000*(P1000-O1000)))</f>
        <v/>
      </c>
      <c r="S1000" s="31" t="str">
        <f aca="false">IF(OR(L1000="",L1000=0,N1000=""),"",N1000/1000/L1000)</f>
        <v/>
      </c>
      <c r="T1000" s="27"/>
      <c r="U1000" s="27"/>
      <c r="V1000" s="27"/>
      <c r="W1000" s="27"/>
      <c r="X1000" s="27"/>
      <c r="Y1000" s="27"/>
      <c r="Z1000" s="27"/>
      <c r="AA1000" s="25"/>
      <c r="AB1000" s="27"/>
      <c r="AC1000" s="30" t="str">
        <f aca="false">IF(M1000="","",IF(AB1000="",M1000*Parámetros!$B$6,AB1000))</f>
        <v/>
      </c>
      <c r="AD1000" s="30" t="str">
        <f aca="false">IF(M1000="","",SUM(T1000:Z1000)+AC1000)</f>
        <v/>
      </c>
      <c r="AE1000" s="30" t="str">
        <f aca="false">IF(OR(M1000="",N1000=""),"",M1000-N1000)</f>
        <v/>
      </c>
      <c r="AF1000" s="30" t="str">
        <f aca="false">IF(AE1000="","",AE1000-AD1000)</f>
        <v/>
      </c>
      <c r="AG1000" s="28" t="str">
        <f aca="false">IF(OR(AF1000="",M1000=0),"",AF1000/M1000)</f>
        <v/>
      </c>
      <c r="AH1000" s="32" t="str">
        <f aca="false">IF(OR(AE1000="",N1000=0),"",AE1000/(N1000/1000))</f>
        <v/>
      </c>
      <c r="AI1000" s="30" t="str">
        <f aca="false">IF(O1000="","",M1000*P1000)</f>
        <v/>
      </c>
      <c r="AJ1000" s="11" t="str">
        <f aca="false">IF(O1000="","",IF(O1000&gt;1,"Error: rend &gt; 100 %",IF(SUM(T1000:Z1000)=0,"Falta registrar pérdidas",IF(ABS(AG1000)&gt;Parámetros!$B$7,"Revisar balance",IF(O1000&lt;P1000,"Bajo meta","OK")))))</f>
        <v/>
      </c>
      <c r="AK1000" s="33"/>
      <c r="AL1000" s="10"/>
      <c r="AM1000" s="33"/>
      <c r="AN1000" s="33"/>
      <c r="AO1000" s="10"/>
    </row>
    <row r="1001" customFormat="false" ht="15" hidden="false" customHeight="false" outlineLevel="0" collapsed="false">
      <c r="A1001" s="22"/>
      <c r="B1001" s="23" t="str">
        <f aca="false">IF(A1001="","",YEAR(A1001-WEEKDAY(A1001,2)+4))</f>
        <v/>
      </c>
      <c r="C1001" s="23" t="str">
        <f aca="false">IF(A1001="","",WEEKNUM(A1001,21))</f>
        <v/>
      </c>
      <c r="D1001" s="24" t="str">
        <f aca="false">IF(A1001="","",DATE(YEAR(A1001),MONTH(A1001),1))</f>
        <v/>
      </c>
      <c r="E1001" s="10"/>
      <c r="F1001" s="25"/>
      <c r="G1001" s="25"/>
      <c r="H1001" s="10"/>
      <c r="I1001" s="10"/>
      <c r="J1001" s="26"/>
      <c r="K1001" s="25"/>
      <c r="L1001" s="26"/>
      <c r="M1001" s="27"/>
      <c r="N1001" s="27"/>
      <c r="O1001" s="28" t="str">
        <f aca="false">IF(OR(M1001="",M1001=0,N1001=""),"",N1001/M1001)</f>
        <v/>
      </c>
      <c r="P1001" s="28" t="str">
        <f aca="false">IF(M1001="","",IFERROR(IF(INDEX(Parámetros!$B$14:$B$21,MATCH(I1001,Parámetros!$A$14:$A$21,0))="",Parámetros!$B$5,INDEX(Parámetros!$B$14:$B$21,MATCH(I1001,Parámetros!$A$14:$A$21,0))),Parámetros!$B$5))</f>
        <v/>
      </c>
      <c r="Q1001" s="29" t="str">
        <f aca="false">IF(O1001="","",(O1001-P1001)*100)</f>
        <v/>
      </c>
      <c r="R1001" s="30" t="str">
        <f aca="false">IF(O1001="","",MAX(0,M1001*(P1001-O1001)))</f>
        <v/>
      </c>
      <c r="S1001" s="31" t="str">
        <f aca="false">IF(OR(L1001="",L1001=0,N1001=""),"",N1001/1000/L1001)</f>
        <v/>
      </c>
      <c r="T1001" s="27"/>
      <c r="U1001" s="27"/>
      <c r="V1001" s="27"/>
      <c r="W1001" s="27"/>
      <c r="X1001" s="27"/>
      <c r="Y1001" s="27"/>
      <c r="Z1001" s="27"/>
      <c r="AA1001" s="25"/>
      <c r="AB1001" s="27"/>
      <c r="AC1001" s="30" t="str">
        <f aca="false">IF(M1001="","",IF(AB1001="",M1001*Parámetros!$B$6,AB1001))</f>
        <v/>
      </c>
      <c r="AD1001" s="30" t="str">
        <f aca="false">IF(M1001="","",SUM(T1001:Z1001)+AC1001)</f>
        <v/>
      </c>
      <c r="AE1001" s="30" t="str">
        <f aca="false">IF(OR(M1001="",N1001=""),"",M1001-N1001)</f>
        <v/>
      </c>
      <c r="AF1001" s="30" t="str">
        <f aca="false">IF(AE1001="","",AE1001-AD1001)</f>
        <v/>
      </c>
      <c r="AG1001" s="28" t="str">
        <f aca="false">IF(OR(AF1001="",M1001=0),"",AF1001/M1001)</f>
        <v/>
      </c>
      <c r="AH1001" s="32" t="str">
        <f aca="false">IF(OR(AE1001="",N1001=0),"",AE1001/(N1001/1000))</f>
        <v/>
      </c>
      <c r="AI1001" s="30" t="str">
        <f aca="false">IF(O1001="","",M1001*P1001)</f>
        <v/>
      </c>
      <c r="AJ1001" s="11" t="str">
        <f aca="false">IF(O1001="","",IF(O1001&gt;1,"Error: rend &gt; 100 %",IF(SUM(T1001:Z1001)=0,"Falta registrar pérdidas",IF(ABS(AG1001)&gt;Parámetros!$B$7,"Revisar balance",IF(O1001&lt;P1001,"Bajo meta","OK")))))</f>
        <v/>
      </c>
      <c r="AK1001" s="33"/>
      <c r="AL1001" s="10"/>
      <c r="AM1001" s="33"/>
      <c r="AN1001" s="33"/>
      <c r="AO1001" s="10"/>
    </row>
    <row r="1002" customFormat="false" ht="15" hidden="false" customHeight="false" outlineLevel="0" collapsed="false">
      <c r="A1002" s="22"/>
      <c r="B1002" s="23" t="str">
        <f aca="false">IF(A1002="","",YEAR(A1002-WEEKDAY(A1002,2)+4))</f>
        <v/>
      </c>
      <c r="C1002" s="23" t="str">
        <f aca="false">IF(A1002="","",WEEKNUM(A1002,21))</f>
        <v/>
      </c>
      <c r="D1002" s="24" t="str">
        <f aca="false">IF(A1002="","",DATE(YEAR(A1002),MONTH(A1002),1))</f>
        <v/>
      </c>
      <c r="E1002" s="10"/>
      <c r="F1002" s="25"/>
      <c r="G1002" s="25"/>
      <c r="H1002" s="10"/>
      <c r="I1002" s="10"/>
      <c r="J1002" s="26"/>
      <c r="K1002" s="25"/>
      <c r="L1002" s="26"/>
      <c r="M1002" s="27"/>
      <c r="N1002" s="27"/>
      <c r="O1002" s="28" t="str">
        <f aca="false">IF(OR(M1002="",M1002=0,N1002=""),"",N1002/M1002)</f>
        <v/>
      </c>
      <c r="P1002" s="28" t="str">
        <f aca="false">IF(M1002="","",IFERROR(IF(INDEX(Parámetros!$B$14:$B$21,MATCH(I1002,Parámetros!$A$14:$A$21,0))="",Parámetros!$B$5,INDEX(Parámetros!$B$14:$B$21,MATCH(I1002,Parámetros!$A$14:$A$21,0))),Parámetros!$B$5))</f>
        <v/>
      </c>
      <c r="Q1002" s="29" t="str">
        <f aca="false">IF(O1002="","",(O1002-P1002)*100)</f>
        <v/>
      </c>
      <c r="R1002" s="30" t="str">
        <f aca="false">IF(O1002="","",MAX(0,M1002*(P1002-O1002)))</f>
        <v/>
      </c>
      <c r="S1002" s="31" t="str">
        <f aca="false">IF(OR(L1002="",L1002=0,N1002=""),"",N1002/1000/L1002)</f>
        <v/>
      </c>
      <c r="T1002" s="27"/>
      <c r="U1002" s="27"/>
      <c r="V1002" s="27"/>
      <c r="W1002" s="27"/>
      <c r="X1002" s="27"/>
      <c r="Y1002" s="27"/>
      <c r="Z1002" s="27"/>
      <c r="AA1002" s="25"/>
      <c r="AB1002" s="27"/>
      <c r="AC1002" s="30" t="str">
        <f aca="false">IF(M1002="","",IF(AB1002="",M1002*Parámetros!$B$6,AB1002))</f>
        <v/>
      </c>
      <c r="AD1002" s="30" t="str">
        <f aca="false">IF(M1002="","",SUM(T1002:Z1002)+AC1002)</f>
        <v/>
      </c>
      <c r="AE1002" s="30" t="str">
        <f aca="false">IF(OR(M1002="",N1002=""),"",M1002-N1002)</f>
        <v/>
      </c>
      <c r="AF1002" s="30" t="str">
        <f aca="false">IF(AE1002="","",AE1002-AD1002)</f>
        <v/>
      </c>
      <c r="AG1002" s="28" t="str">
        <f aca="false">IF(OR(AF1002="",M1002=0),"",AF1002/M1002)</f>
        <v/>
      </c>
      <c r="AH1002" s="32" t="str">
        <f aca="false">IF(OR(AE1002="",N1002=0),"",AE1002/(N1002/1000))</f>
        <v/>
      </c>
      <c r="AI1002" s="30" t="str">
        <f aca="false">IF(O1002="","",M1002*P1002)</f>
        <v/>
      </c>
      <c r="AJ1002" s="11" t="str">
        <f aca="false">IF(O1002="","",IF(O1002&gt;1,"Error: rend &gt; 100 %",IF(SUM(T1002:Z1002)=0,"Falta registrar pérdidas",IF(ABS(AG1002)&gt;Parámetros!$B$7,"Revisar balance",IF(O1002&lt;P1002,"Bajo meta","OK")))))</f>
        <v/>
      </c>
      <c r="AK1002" s="33"/>
      <c r="AL1002" s="10"/>
      <c r="AM1002" s="33"/>
      <c r="AN1002" s="33"/>
      <c r="AO1002" s="10"/>
    </row>
    <row r="1003" customFormat="false" ht="15" hidden="false" customHeight="false" outlineLevel="0" collapsed="false">
      <c r="A1003" s="22"/>
      <c r="B1003" s="23" t="str">
        <f aca="false">IF(A1003="","",YEAR(A1003-WEEKDAY(A1003,2)+4))</f>
        <v/>
      </c>
      <c r="C1003" s="23" t="str">
        <f aca="false">IF(A1003="","",WEEKNUM(A1003,21))</f>
        <v/>
      </c>
      <c r="D1003" s="24" t="str">
        <f aca="false">IF(A1003="","",DATE(YEAR(A1003),MONTH(A1003),1))</f>
        <v/>
      </c>
      <c r="E1003" s="10"/>
      <c r="F1003" s="25"/>
      <c r="G1003" s="25"/>
      <c r="H1003" s="10"/>
      <c r="I1003" s="10"/>
      <c r="J1003" s="26"/>
      <c r="K1003" s="25"/>
      <c r="L1003" s="26"/>
      <c r="M1003" s="27"/>
      <c r="N1003" s="27"/>
      <c r="O1003" s="28" t="str">
        <f aca="false">IF(OR(M1003="",M1003=0,N1003=""),"",N1003/M1003)</f>
        <v/>
      </c>
      <c r="P1003" s="28" t="str">
        <f aca="false">IF(M1003="","",IFERROR(IF(INDEX(Parámetros!$B$14:$B$21,MATCH(I1003,Parámetros!$A$14:$A$21,0))="",Parámetros!$B$5,INDEX(Parámetros!$B$14:$B$21,MATCH(I1003,Parámetros!$A$14:$A$21,0))),Parámetros!$B$5))</f>
        <v/>
      </c>
      <c r="Q1003" s="29" t="str">
        <f aca="false">IF(O1003="","",(O1003-P1003)*100)</f>
        <v/>
      </c>
      <c r="R1003" s="30" t="str">
        <f aca="false">IF(O1003="","",MAX(0,M1003*(P1003-O1003)))</f>
        <v/>
      </c>
      <c r="S1003" s="31" t="str">
        <f aca="false">IF(OR(L1003="",L1003=0,N1003=""),"",N1003/1000/L1003)</f>
        <v/>
      </c>
      <c r="T1003" s="27"/>
      <c r="U1003" s="27"/>
      <c r="V1003" s="27"/>
      <c r="W1003" s="27"/>
      <c r="X1003" s="27"/>
      <c r="Y1003" s="27"/>
      <c r="Z1003" s="27"/>
      <c r="AA1003" s="25"/>
      <c r="AB1003" s="27"/>
      <c r="AC1003" s="30" t="str">
        <f aca="false">IF(M1003="","",IF(AB1003="",M1003*Parámetros!$B$6,AB1003))</f>
        <v/>
      </c>
      <c r="AD1003" s="30" t="str">
        <f aca="false">IF(M1003="","",SUM(T1003:Z1003)+AC1003)</f>
        <v/>
      </c>
      <c r="AE1003" s="30" t="str">
        <f aca="false">IF(OR(M1003="",N1003=""),"",M1003-N1003)</f>
        <v/>
      </c>
      <c r="AF1003" s="30" t="str">
        <f aca="false">IF(AE1003="","",AE1003-AD1003)</f>
        <v/>
      </c>
      <c r="AG1003" s="28" t="str">
        <f aca="false">IF(OR(AF1003="",M1003=0),"",AF1003/M1003)</f>
        <v/>
      </c>
      <c r="AH1003" s="32" t="str">
        <f aca="false">IF(OR(AE1003="",N1003=0),"",AE1003/(N1003/1000))</f>
        <v/>
      </c>
      <c r="AI1003" s="30" t="str">
        <f aca="false">IF(O1003="","",M1003*P1003)</f>
        <v/>
      </c>
      <c r="AJ1003" s="11" t="str">
        <f aca="false">IF(O1003="","",IF(O1003&gt;1,"Error: rend &gt; 100 %",IF(SUM(T1003:Z1003)=0,"Falta registrar pérdidas",IF(ABS(AG1003)&gt;Parámetros!$B$7,"Revisar balance",IF(O1003&lt;P1003,"Bajo meta","OK")))))</f>
        <v/>
      </c>
      <c r="AK1003" s="33"/>
      <c r="AL1003" s="10"/>
      <c r="AM1003" s="33"/>
      <c r="AN1003" s="33"/>
      <c r="AO1003" s="10"/>
    </row>
    <row r="1004" customFormat="false" ht="15" hidden="false" customHeight="false" outlineLevel="0" collapsed="false">
      <c r="A1004" s="22"/>
      <c r="B1004" s="23" t="str">
        <f aca="false">IF(A1004="","",YEAR(A1004-WEEKDAY(A1004,2)+4))</f>
        <v/>
      </c>
      <c r="C1004" s="23" t="str">
        <f aca="false">IF(A1004="","",WEEKNUM(A1004,21))</f>
        <v/>
      </c>
      <c r="D1004" s="24" t="str">
        <f aca="false">IF(A1004="","",DATE(YEAR(A1004),MONTH(A1004),1))</f>
        <v/>
      </c>
      <c r="E1004" s="10"/>
      <c r="F1004" s="25"/>
      <c r="G1004" s="25"/>
      <c r="H1004" s="10"/>
      <c r="I1004" s="10"/>
      <c r="J1004" s="26"/>
      <c r="K1004" s="25"/>
      <c r="L1004" s="26"/>
      <c r="M1004" s="27"/>
      <c r="N1004" s="27"/>
      <c r="O1004" s="28" t="str">
        <f aca="false">IF(OR(M1004="",M1004=0,N1004=""),"",N1004/M1004)</f>
        <v/>
      </c>
      <c r="P1004" s="28" t="str">
        <f aca="false">IF(M1004="","",IFERROR(IF(INDEX(Parámetros!$B$14:$B$21,MATCH(I1004,Parámetros!$A$14:$A$21,0))="",Parámetros!$B$5,INDEX(Parámetros!$B$14:$B$21,MATCH(I1004,Parámetros!$A$14:$A$21,0))),Parámetros!$B$5))</f>
        <v/>
      </c>
      <c r="Q1004" s="29" t="str">
        <f aca="false">IF(O1004="","",(O1004-P1004)*100)</f>
        <v/>
      </c>
      <c r="R1004" s="30" t="str">
        <f aca="false">IF(O1004="","",MAX(0,M1004*(P1004-O1004)))</f>
        <v/>
      </c>
      <c r="S1004" s="31" t="str">
        <f aca="false">IF(OR(L1004="",L1004=0,N1004=""),"",N1004/1000/L1004)</f>
        <v/>
      </c>
      <c r="T1004" s="27"/>
      <c r="U1004" s="27"/>
      <c r="V1004" s="27"/>
      <c r="W1004" s="27"/>
      <c r="X1004" s="27"/>
      <c r="Y1004" s="27"/>
      <c r="Z1004" s="27"/>
      <c r="AA1004" s="25"/>
      <c r="AB1004" s="27"/>
      <c r="AC1004" s="30" t="str">
        <f aca="false">IF(M1004="","",IF(AB1004="",M1004*Parámetros!$B$6,AB1004))</f>
        <v/>
      </c>
      <c r="AD1004" s="30" t="str">
        <f aca="false">IF(M1004="","",SUM(T1004:Z1004)+AC1004)</f>
        <v/>
      </c>
      <c r="AE1004" s="30" t="str">
        <f aca="false">IF(OR(M1004="",N1004=""),"",M1004-N1004)</f>
        <v/>
      </c>
      <c r="AF1004" s="30" t="str">
        <f aca="false">IF(AE1004="","",AE1004-AD1004)</f>
        <v/>
      </c>
      <c r="AG1004" s="28" t="str">
        <f aca="false">IF(OR(AF1004="",M1004=0),"",AF1004/M1004)</f>
        <v/>
      </c>
      <c r="AH1004" s="32" t="str">
        <f aca="false">IF(OR(AE1004="",N1004=0),"",AE1004/(N1004/1000))</f>
        <v/>
      </c>
      <c r="AI1004" s="30" t="str">
        <f aca="false">IF(O1004="","",M1004*P1004)</f>
        <v/>
      </c>
      <c r="AJ1004" s="11" t="str">
        <f aca="false">IF(O1004="","",IF(O1004&gt;1,"Error: rend &gt; 100 %",IF(SUM(T1004:Z1004)=0,"Falta registrar pérdidas",IF(ABS(AG1004)&gt;Parámetros!$B$7,"Revisar balance",IF(O1004&lt;P1004,"Bajo meta","OK")))))</f>
        <v/>
      </c>
      <c r="AK1004" s="33"/>
      <c r="AL1004" s="10"/>
      <c r="AM1004" s="33"/>
      <c r="AN1004" s="33"/>
      <c r="AO1004" s="10"/>
    </row>
    <row r="1005" customFormat="false" ht="15" hidden="false" customHeight="false" outlineLevel="0" collapsed="false">
      <c r="A1005" s="22"/>
      <c r="B1005" s="23" t="str">
        <f aca="false">IF(A1005="","",YEAR(A1005-WEEKDAY(A1005,2)+4))</f>
        <v/>
      </c>
      <c r="C1005" s="23" t="str">
        <f aca="false">IF(A1005="","",WEEKNUM(A1005,21))</f>
        <v/>
      </c>
      <c r="D1005" s="24" t="str">
        <f aca="false">IF(A1005="","",DATE(YEAR(A1005),MONTH(A1005),1))</f>
        <v/>
      </c>
      <c r="E1005" s="10"/>
      <c r="F1005" s="25"/>
      <c r="G1005" s="25"/>
      <c r="H1005" s="10"/>
      <c r="I1005" s="10"/>
      <c r="J1005" s="26"/>
      <c r="K1005" s="25"/>
      <c r="L1005" s="26"/>
      <c r="M1005" s="27"/>
      <c r="N1005" s="27"/>
      <c r="O1005" s="28" t="str">
        <f aca="false">IF(OR(M1005="",M1005=0,N1005=""),"",N1005/M1005)</f>
        <v/>
      </c>
      <c r="P1005" s="28" t="str">
        <f aca="false">IF(M1005="","",IFERROR(IF(INDEX(Parámetros!$B$14:$B$21,MATCH(I1005,Parámetros!$A$14:$A$21,0))="",Parámetros!$B$5,INDEX(Parámetros!$B$14:$B$21,MATCH(I1005,Parámetros!$A$14:$A$21,0))),Parámetros!$B$5))</f>
        <v/>
      </c>
      <c r="Q1005" s="29" t="str">
        <f aca="false">IF(O1005="","",(O1005-P1005)*100)</f>
        <v/>
      </c>
      <c r="R1005" s="30" t="str">
        <f aca="false">IF(O1005="","",MAX(0,M1005*(P1005-O1005)))</f>
        <v/>
      </c>
      <c r="S1005" s="31" t="str">
        <f aca="false">IF(OR(L1005="",L1005=0,N1005=""),"",N1005/1000/L1005)</f>
        <v/>
      </c>
      <c r="T1005" s="27"/>
      <c r="U1005" s="27"/>
      <c r="V1005" s="27"/>
      <c r="W1005" s="27"/>
      <c r="X1005" s="27"/>
      <c r="Y1005" s="27"/>
      <c r="Z1005" s="27"/>
      <c r="AA1005" s="25"/>
      <c r="AB1005" s="27"/>
      <c r="AC1005" s="30" t="str">
        <f aca="false">IF(M1005="","",IF(AB1005="",M1005*Parámetros!$B$6,AB1005))</f>
        <v/>
      </c>
      <c r="AD1005" s="30" t="str">
        <f aca="false">IF(M1005="","",SUM(T1005:Z1005)+AC1005)</f>
        <v/>
      </c>
      <c r="AE1005" s="30" t="str">
        <f aca="false">IF(OR(M1005="",N1005=""),"",M1005-N1005)</f>
        <v/>
      </c>
      <c r="AF1005" s="30" t="str">
        <f aca="false">IF(AE1005="","",AE1005-AD1005)</f>
        <v/>
      </c>
      <c r="AG1005" s="28" t="str">
        <f aca="false">IF(OR(AF1005="",M1005=0),"",AF1005/M1005)</f>
        <v/>
      </c>
      <c r="AH1005" s="32" t="str">
        <f aca="false">IF(OR(AE1005="",N1005=0),"",AE1005/(N1005/1000))</f>
        <v/>
      </c>
      <c r="AI1005" s="30" t="str">
        <f aca="false">IF(O1005="","",M1005*P1005)</f>
        <v/>
      </c>
      <c r="AJ1005" s="11" t="str">
        <f aca="false">IF(O1005="","",IF(O1005&gt;1,"Error: rend &gt; 100 %",IF(SUM(T1005:Z1005)=0,"Falta registrar pérdidas",IF(ABS(AG1005)&gt;Parámetros!$B$7,"Revisar balance",IF(O1005&lt;P1005,"Bajo meta","OK")))))</f>
        <v/>
      </c>
      <c r="AK1005" s="33"/>
      <c r="AL1005" s="10"/>
      <c r="AM1005" s="33"/>
      <c r="AN1005" s="33"/>
      <c r="AO1005" s="10"/>
    </row>
  </sheetData>
  <autoFilter ref="A5:AO1005"/>
  <mergeCells count="5">
    <mergeCell ref="A4:K4"/>
    <mergeCell ref="L4:S4"/>
    <mergeCell ref="T4:AD4"/>
    <mergeCell ref="AE4:AJ4"/>
    <mergeCell ref="AK4:AO4"/>
  </mergeCells>
  <conditionalFormatting sqref="AJ6:AJ1005">
    <cfRule type="expression" priority="2" aboveAverage="0" equalAverage="0" bottom="0" percent="0" rank="0" text="" dxfId="7">
      <formula>LEFT($AJ6,5)="Error"</formula>
    </cfRule>
    <cfRule type="expression" priority="3" aboveAverage="0" equalAverage="0" bottom="0" percent="0" rank="0" text="" dxfId="8">
      <formula>$AJ6="Bajo meta"</formula>
    </cfRule>
    <cfRule type="expression" priority="4" aboveAverage="0" equalAverage="0" bottom="0" percent="0" rank="0" text="" dxfId="9">
      <formula>OR($AJ6="Revisar balance",$AJ6="Falta registrar pérdidas")</formula>
    </cfRule>
    <cfRule type="expression" priority="5" aboveAverage="0" equalAverage="0" bottom="0" percent="0" rank="0" text="" dxfId="10">
      <formula>$AJ6="OK"</formula>
    </cfRule>
  </conditionalFormatting>
  <conditionalFormatting sqref="O6:O1005">
    <cfRule type="expression" priority="6" aboveAverage="0" equalAverage="0" bottom="0" percent="0" rank="0" text="" dxfId="11">
      <formula>AND($O6&lt;&gt;"",$O6&lt;$P6)</formula>
    </cfRule>
  </conditionalFormatting>
  <dataValidations count="4">
    <dataValidation allowBlank="true" error="Elija un valor de la lista (hoja Parámetros)." errorStyle="stop" errorTitle="Valor no válido" operator="between" showDropDown="false" showErrorMessage="false" showInputMessage="false" sqref="I6:I1005" type="list">
      <formula1>Parámetros!$A$14:$A$21</formula1>
      <formula2>0</formula2>
    </dataValidation>
    <dataValidation allowBlank="true" error="Elija un valor de la lista (hoja Parámetros)." errorStyle="stop" errorTitle="Valor no válido" operator="between" showDropDown="false" showErrorMessage="false" showInputMessage="false" sqref="E6:E1005" type="list">
      <formula1>Parámetros!$D$14:$D$17</formula1>
      <formula2>0</formula2>
    </dataValidation>
    <dataValidation allowBlank="true" error="Elija un valor de la lista (hoja Parámetros)." errorStyle="stop" errorTitle="Valor no válido" operator="between" showDropDown="false" showErrorMessage="false" showInputMessage="false" sqref="AL6:AL1005" type="list">
      <formula1>Parámetros!$F$14:$F$23</formula1>
      <formula2>0</formula2>
    </dataValidation>
    <dataValidation allowBlank="true" error="Ingrese un número ≥ 0 (kg)." errorStyle="stop" operator="greaterThanOrEqual" showDropDown="false" showErrorMessage="false" showInputMessage="false" sqref="L6:N1005 T6:Z1005 AB6:AB10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7" min="5" style="0" width="9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7" min="10" style="0" width="10"/>
    <col collapsed="false" customWidth="true" hidden="false" outlineLevel="0" max="20" min="18" style="0" width="11"/>
    <col collapsed="false" customWidth="true" hidden="false" outlineLevel="0" max="22" min="21" style="0" width="9"/>
    <col collapsed="false" customWidth="true" hidden="false" outlineLevel="0" max="23" min="23" style="0" width="10"/>
  </cols>
  <sheetData>
    <row r="1" customFormat="false" ht="17.35" hidden="false" customHeight="false" outlineLevel="0" collapsed="false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18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5" hidden="false" customHeight="false" outlineLevel="0" collapsed="false">
      <c r="A3" s="17" t="s">
        <v>97</v>
      </c>
      <c r="B3" s="34" t="n">
        <f aca="false">Parámetros!B4</f>
        <v>2026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42" hidden="false" customHeight="true" outlineLevel="0" collapsed="false">
      <c r="A5" s="20" t="s">
        <v>54</v>
      </c>
      <c r="B5" s="20" t="s">
        <v>98</v>
      </c>
      <c r="C5" s="20" t="s">
        <v>63</v>
      </c>
      <c r="D5" s="20" t="s">
        <v>64</v>
      </c>
      <c r="E5" s="20" t="s">
        <v>65</v>
      </c>
      <c r="F5" s="20" t="s">
        <v>3</v>
      </c>
      <c r="G5" s="20" t="s">
        <v>4</v>
      </c>
      <c r="H5" s="20" t="s">
        <v>5</v>
      </c>
      <c r="I5" s="20" t="s">
        <v>10</v>
      </c>
      <c r="J5" s="20" t="s">
        <v>69</v>
      </c>
      <c r="K5" s="20" t="s">
        <v>70</v>
      </c>
      <c r="L5" s="20" t="s">
        <v>71</v>
      </c>
      <c r="M5" s="20" t="s">
        <v>72</v>
      </c>
      <c r="N5" s="20" t="s">
        <v>73</v>
      </c>
      <c r="O5" s="20" t="s">
        <v>74</v>
      </c>
      <c r="P5" s="20" t="s">
        <v>75</v>
      </c>
      <c r="Q5" s="20" t="s">
        <v>99</v>
      </c>
      <c r="R5" s="20" t="s">
        <v>79</v>
      </c>
      <c r="S5" s="20" t="s">
        <v>6</v>
      </c>
      <c r="T5" s="20" t="s">
        <v>7</v>
      </c>
      <c r="U5" s="20" t="s">
        <v>8</v>
      </c>
      <c r="V5" s="20" t="s">
        <v>100</v>
      </c>
      <c r="W5" s="20" t="s">
        <v>68</v>
      </c>
    </row>
    <row r="6" customFormat="false" ht="15" hidden="false" customHeight="false" outlineLevel="0" collapsed="false">
      <c r="A6" s="35" t="n">
        <f aca="false">DATE($B$3,1,1)</f>
        <v>46023</v>
      </c>
      <c r="B6" s="23" t="n">
        <f aca="false">COUNTIFS(Registro!$D$6:$D$1005,$A6,Registro!$M$6:$M$1005,"&gt;0")</f>
        <v>0</v>
      </c>
      <c r="C6" s="30" t="n">
        <f aca="false">SUMIFS(Registro!$M$6:$M$1005,Registro!$D$6:$D$1005,$A6)</f>
        <v>0</v>
      </c>
      <c r="D6" s="30" t="n">
        <f aca="false">SUMIFS(Registro!$N$6:$N$1005,Registro!$D$6:$D$1005,$A6)</f>
        <v>0</v>
      </c>
      <c r="E6" s="28" t="str">
        <f aca="false">IF(C6=0,"",D6/C6)</f>
        <v/>
      </c>
      <c r="F6" s="28" t="str">
        <f aca="false">IF(C6=0,"",SUMIFS(Registro!$AI$6:$AI$1005,Registro!$D$6:$D$1005,$A6)/C6)</f>
        <v/>
      </c>
      <c r="G6" s="29" t="str">
        <f aca="false">IF(E6="","",(E6-F6)*100)</f>
        <v/>
      </c>
      <c r="H6" s="30" t="n">
        <f aca="false">SUMIFS(Registro!$R$6:$R$1005,Registro!$D$6:$D$1005,$A6)</f>
        <v>0</v>
      </c>
      <c r="I6" s="23" t="n">
        <f aca="false">COUNTIFS(Registro!$D$6:$D$1005,$A6,Registro!$AJ$6:$AJ$1005,"Bajo meta")</f>
        <v>0</v>
      </c>
      <c r="J6" s="30" t="n">
        <f aca="false">SUMIFS(Registro!$T$6:$T$1005,Registro!$D$6:$D$1005,$A6)</f>
        <v>0</v>
      </c>
      <c r="K6" s="30" t="n">
        <f aca="false">SUMIFS(Registro!$U$6:$U$1005,Registro!$D$6:$D$1005,$A6)</f>
        <v>0</v>
      </c>
      <c r="L6" s="30" t="n">
        <f aca="false">SUMIFS(Registro!$V$6:$V$1005,Registro!$D$6:$D$1005,$A6)</f>
        <v>0</v>
      </c>
      <c r="M6" s="30" t="n">
        <f aca="false">SUMIFS(Registro!$W$6:$W$1005,Registro!$D$6:$D$1005,$A6)</f>
        <v>0</v>
      </c>
      <c r="N6" s="30" t="n">
        <f aca="false">SUMIFS(Registro!$X$6:$X$1005,Registro!$D$6:$D$1005,$A6)</f>
        <v>0</v>
      </c>
      <c r="O6" s="30" t="n">
        <f aca="false">SUMIFS(Registro!$Y$6:$Y$1005,Registro!$D$6:$D$1005,$A6)</f>
        <v>0</v>
      </c>
      <c r="P6" s="30" t="n">
        <f aca="false">SUMIFS(Registro!$Z$6:$Z$1005,Registro!$D$6:$D$1005,$A6)</f>
        <v>0</v>
      </c>
      <c r="Q6" s="30" t="n">
        <f aca="false">SUMIFS(Registro!$AC$6:$AC$1005,Registro!$D$6:$D$1005,$A6)</f>
        <v>0</v>
      </c>
      <c r="R6" s="30" t="n">
        <f aca="false">SUM(J6:Q6)</f>
        <v>0</v>
      </c>
      <c r="S6" s="30" t="n">
        <f aca="false">SUMIFS(Registro!$AE$6:$AE$1005,Registro!$D$6:$D$1005,$A6)</f>
        <v>0</v>
      </c>
      <c r="T6" s="30" t="n">
        <f aca="false">S6-R6</f>
        <v>0</v>
      </c>
      <c r="U6" s="28" t="str">
        <f aca="false">IF(C6=0,"",T6/C6)</f>
        <v/>
      </c>
      <c r="V6" s="32" t="str">
        <f aca="false">IF(D6=0,"",S6/(D6/1000))</f>
        <v/>
      </c>
      <c r="W6" s="31" t="str">
        <f aca="false">IFERROR(D6/1000/SUMIFS(Registro!$L$6:$L$1005,Registro!$D$6:$D$1005,$A6),"")</f>
        <v/>
      </c>
    </row>
    <row r="7" customFormat="false" ht="15" hidden="false" customHeight="false" outlineLevel="0" collapsed="false">
      <c r="A7" s="35" t="n">
        <f aca="false">DATE($B$3,2,1)</f>
        <v>46054</v>
      </c>
      <c r="B7" s="23" t="n">
        <f aca="false">COUNTIFS(Registro!$D$6:$D$1005,$A7,Registro!$M$6:$M$1005,"&gt;0")</f>
        <v>0</v>
      </c>
      <c r="C7" s="30" t="n">
        <f aca="false">SUMIFS(Registro!$M$6:$M$1005,Registro!$D$6:$D$1005,$A7)</f>
        <v>0</v>
      </c>
      <c r="D7" s="30" t="n">
        <f aca="false">SUMIFS(Registro!$N$6:$N$1005,Registro!$D$6:$D$1005,$A7)</f>
        <v>0</v>
      </c>
      <c r="E7" s="28" t="str">
        <f aca="false">IF(C7=0,"",D7/C7)</f>
        <v/>
      </c>
      <c r="F7" s="28" t="str">
        <f aca="false">IF(C7=0,"",SUMIFS(Registro!$AI$6:$AI$1005,Registro!$D$6:$D$1005,$A7)/C7)</f>
        <v/>
      </c>
      <c r="G7" s="29" t="str">
        <f aca="false">IF(E7="","",(E7-F7)*100)</f>
        <v/>
      </c>
      <c r="H7" s="30" t="n">
        <f aca="false">SUMIFS(Registro!$R$6:$R$1005,Registro!$D$6:$D$1005,$A7)</f>
        <v>0</v>
      </c>
      <c r="I7" s="23" t="n">
        <f aca="false">COUNTIFS(Registro!$D$6:$D$1005,$A7,Registro!$AJ$6:$AJ$1005,"Bajo meta")</f>
        <v>0</v>
      </c>
      <c r="J7" s="30" t="n">
        <f aca="false">SUMIFS(Registro!$T$6:$T$1005,Registro!$D$6:$D$1005,$A7)</f>
        <v>0</v>
      </c>
      <c r="K7" s="30" t="n">
        <f aca="false">SUMIFS(Registro!$U$6:$U$1005,Registro!$D$6:$D$1005,$A7)</f>
        <v>0</v>
      </c>
      <c r="L7" s="30" t="n">
        <f aca="false">SUMIFS(Registro!$V$6:$V$1005,Registro!$D$6:$D$1005,$A7)</f>
        <v>0</v>
      </c>
      <c r="M7" s="30" t="n">
        <f aca="false">SUMIFS(Registro!$W$6:$W$1005,Registro!$D$6:$D$1005,$A7)</f>
        <v>0</v>
      </c>
      <c r="N7" s="30" t="n">
        <f aca="false">SUMIFS(Registro!$X$6:$X$1005,Registro!$D$6:$D$1005,$A7)</f>
        <v>0</v>
      </c>
      <c r="O7" s="30" t="n">
        <f aca="false">SUMIFS(Registro!$Y$6:$Y$1005,Registro!$D$6:$D$1005,$A7)</f>
        <v>0</v>
      </c>
      <c r="P7" s="30" t="n">
        <f aca="false">SUMIFS(Registro!$Z$6:$Z$1005,Registro!$D$6:$D$1005,$A7)</f>
        <v>0</v>
      </c>
      <c r="Q7" s="30" t="n">
        <f aca="false">SUMIFS(Registro!$AC$6:$AC$1005,Registro!$D$6:$D$1005,$A7)</f>
        <v>0</v>
      </c>
      <c r="R7" s="30" t="n">
        <f aca="false">SUM(J7:Q7)</f>
        <v>0</v>
      </c>
      <c r="S7" s="30" t="n">
        <f aca="false">SUMIFS(Registro!$AE$6:$AE$1005,Registro!$D$6:$D$1005,$A7)</f>
        <v>0</v>
      </c>
      <c r="T7" s="30" t="n">
        <f aca="false">S7-R7</f>
        <v>0</v>
      </c>
      <c r="U7" s="28" t="str">
        <f aca="false">IF(C7=0,"",T7/C7)</f>
        <v/>
      </c>
      <c r="V7" s="32" t="str">
        <f aca="false">IF(D7=0,"",S7/(D7/1000))</f>
        <v/>
      </c>
      <c r="W7" s="31" t="str">
        <f aca="false">IFERROR(D7/1000/SUMIFS(Registro!$L$6:$L$1005,Registro!$D$6:$D$1005,$A7),"")</f>
        <v/>
      </c>
    </row>
    <row r="8" customFormat="false" ht="15" hidden="false" customHeight="false" outlineLevel="0" collapsed="false">
      <c r="A8" s="35" t="n">
        <f aca="false">DATE($B$3,3,1)</f>
        <v>46082</v>
      </c>
      <c r="B8" s="23" t="n">
        <f aca="false">COUNTIFS(Registro!$D$6:$D$1005,$A8,Registro!$M$6:$M$1005,"&gt;0")</f>
        <v>0</v>
      </c>
      <c r="C8" s="30" t="n">
        <f aca="false">SUMIFS(Registro!$M$6:$M$1005,Registro!$D$6:$D$1005,$A8)</f>
        <v>0</v>
      </c>
      <c r="D8" s="30" t="n">
        <f aca="false">SUMIFS(Registro!$N$6:$N$1005,Registro!$D$6:$D$1005,$A8)</f>
        <v>0</v>
      </c>
      <c r="E8" s="28" t="str">
        <f aca="false">IF(C8=0,"",D8/C8)</f>
        <v/>
      </c>
      <c r="F8" s="28" t="str">
        <f aca="false">IF(C8=0,"",SUMIFS(Registro!$AI$6:$AI$1005,Registro!$D$6:$D$1005,$A8)/C8)</f>
        <v/>
      </c>
      <c r="G8" s="29" t="str">
        <f aca="false">IF(E8="","",(E8-F8)*100)</f>
        <v/>
      </c>
      <c r="H8" s="30" t="n">
        <f aca="false">SUMIFS(Registro!$R$6:$R$1005,Registro!$D$6:$D$1005,$A8)</f>
        <v>0</v>
      </c>
      <c r="I8" s="23" t="n">
        <f aca="false">COUNTIFS(Registro!$D$6:$D$1005,$A8,Registro!$AJ$6:$AJ$1005,"Bajo meta")</f>
        <v>0</v>
      </c>
      <c r="J8" s="30" t="n">
        <f aca="false">SUMIFS(Registro!$T$6:$T$1005,Registro!$D$6:$D$1005,$A8)</f>
        <v>0</v>
      </c>
      <c r="K8" s="30" t="n">
        <f aca="false">SUMIFS(Registro!$U$6:$U$1005,Registro!$D$6:$D$1005,$A8)</f>
        <v>0</v>
      </c>
      <c r="L8" s="30" t="n">
        <f aca="false">SUMIFS(Registro!$V$6:$V$1005,Registro!$D$6:$D$1005,$A8)</f>
        <v>0</v>
      </c>
      <c r="M8" s="30" t="n">
        <f aca="false">SUMIFS(Registro!$W$6:$W$1005,Registro!$D$6:$D$1005,$A8)</f>
        <v>0</v>
      </c>
      <c r="N8" s="30" t="n">
        <f aca="false">SUMIFS(Registro!$X$6:$X$1005,Registro!$D$6:$D$1005,$A8)</f>
        <v>0</v>
      </c>
      <c r="O8" s="30" t="n">
        <f aca="false">SUMIFS(Registro!$Y$6:$Y$1005,Registro!$D$6:$D$1005,$A8)</f>
        <v>0</v>
      </c>
      <c r="P8" s="30" t="n">
        <f aca="false">SUMIFS(Registro!$Z$6:$Z$1005,Registro!$D$6:$D$1005,$A8)</f>
        <v>0</v>
      </c>
      <c r="Q8" s="30" t="n">
        <f aca="false">SUMIFS(Registro!$AC$6:$AC$1005,Registro!$D$6:$D$1005,$A8)</f>
        <v>0</v>
      </c>
      <c r="R8" s="30" t="n">
        <f aca="false">SUM(J8:Q8)</f>
        <v>0</v>
      </c>
      <c r="S8" s="30" t="n">
        <f aca="false">SUMIFS(Registro!$AE$6:$AE$1005,Registro!$D$6:$D$1005,$A8)</f>
        <v>0</v>
      </c>
      <c r="T8" s="30" t="n">
        <f aca="false">S8-R8</f>
        <v>0</v>
      </c>
      <c r="U8" s="28" t="str">
        <f aca="false">IF(C8=0,"",T8/C8)</f>
        <v/>
      </c>
      <c r="V8" s="32" t="str">
        <f aca="false">IF(D8=0,"",S8/(D8/1000))</f>
        <v/>
      </c>
      <c r="W8" s="31" t="str">
        <f aca="false">IFERROR(D8/1000/SUMIFS(Registro!$L$6:$L$1005,Registro!$D$6:$D$1005,$A8),"")</f>
        <v/>
      </c>
    </row>
    <row r="9" customFormat="false" ht="15" hidden="false" customHeight="false" outlineLevel="0" collapsed="false">
      <c r="A9" s="35" t="n">
        <f aca="false">DATE($B$3,4,1)</f>
        <v>46113</v>
      </c>
      <c r="B9" s="23" t="n">
        <f aca="false">COUNTIFS(Registro!$D$6:$D$1005,$A9,Registro!$M$6:$M$1005,"&gt;0")</f>
        <v>0</v>
      </c>
      <c r="C9" s="30" t="n">
        <f aca="false">SUMIFS(Registro!$M$6:$M$1005,Registro!$D$6:$D$1005,$A9)</f>
        <v>0</v>
      </c>
      <c r="D9" s="30" t="n">
        <f aca="false">SUMIFS(Registro!$N$6:$N$1005,Registro!$D$6:$D$1005,$A9)</f>
        <v>0</v>
      </c>
      <c r="E9" s="28" t="str">
        <f aca="false">IF(C9=0,"",D9/C9)</f>
        <v/>
      </c>
      <c r="F9" s="28" t="str">
        <f aca="false">IF(C9=0,"",SUMIFS(Registro!$AI$6:$AI$1005,Registro!$D$6:$D$1005,$A9)/C9)</f>
        <v/>
      </c>
      <c r="G9" s="29" t="str">
        <f aca="false">IF(E9="","",(E9-F9)*100)</f>
        <v/>
      </c>
      <c r="H9" s="30" t="n">
        <f aca="false">SUMIFS(Registro!$R$6:$R$1005,Registro!$D$6:$D$1005,$A9)</f>
        <v>0</v>
      </c>
      <c r="I9" s="23" t="n">
        <f aca="false">COUNTIFS(Registro!$D$6:$D$1005,$A9,Registro!$AJ$6:$AJ$1005,"Bajo meta")</f>
        <v>0</v>
      </c>
      <c r="J9" s="30" t="n">
        <f aca="false">SUMIFS(Registro!$T$6:$T$1005,Registro!$D$6:$D$1005,$A9)</f>
        <v>0</v>
      </c>
      <c r="K9" s="30" t="n">
        <f aca="false">SUMIFS(Registro!$U$6:$U$1005,Registro!$D$6:$D$1005,$A9)</f>
        <v>0</v>
      </c>
      <c r="L9" s="30" t="n">
        <f aca="false">SUMIFS(Registro!$V$6:$V$1005,Registro!$D$6:$D$1005,$A9)</f>
        <v>0</v>
      </c>
      <c r="M9" s="30" t="n">
        <f aca="false">SUMIFS(Registro!$W$6:$W$1005,Registro!$D$6:$D$1005,$A9)</f>
        <v>0</v>
      </c>
      <c r="N9" s="30" t="n">
        <f aca="false">SUMIFS(Registro!$X$6:$X$1005,Registro!$D$6:$D$1005,$A9)</f>
        <v>0</v>
      </c>
      <c r="O9" s="30" t="n">
        <f aca="false">SUMIFS(Registro!$Y$6:$Y$1005,Registro!$D$6:$D$1005,$A9)</f>
        <v>0</v>
      </c>
      <c r="P9" s="30" t="n">
        <f aca="false">SUMIFS(Registro!$Z$6:$Z$1005,Registro!$D$6:$D$1005,$A9)</f>
        <v>0</v>
      </c>
      <c r="Q9" s="30" t="n">
        <f aca="false">SUMIFS(Registro!$AC$6:$AC$1005,Registro!$D$6:$D$1005,$A9)</f>
        <v>0</v>
      </c>
      <c r="R9" s="30" t="n">
        <f aca="false">SUM(J9:Q9)</f>
        <v>0</v>
      </c>
      <c r="S9" s="30" t="n">
        <f aca="false">SUMIFS(Registro!$AE$6:$AE$1005,Registro!$D$6:$D$1005,$A9)</f>
        <v>0</v>
      </c>
      <c r="T9" s="30" t="n">
        <f aca="false">S9-R9</f>
        <v>0</v>
      </c>
      <c r="U9" s="28" t="str">
        <f aca="false">IF(C9=0,"",T9/C9)</f>
        <v/>
      </c>
      <c r="V9" s="32" t="str">
        <f aca="false">IF(D9=0,"",S9/(D9/1000))</f>
        <v/>
      </c>
      <c r="W9" s="31" t="str">
        <f aca="false">IFERROR(D9/1000/SUMIFS(Registro!$L$6:$L$1005,Registro!$D$6:$D$1005,$A9),"")</f>
        <v/>
      </c>
    </row>
    <row r="10" customFormat="false" ht="15" hidden="false" customHeight="false" outlineLevel="0" collapsed="false">
      <c r="A10" s="35" t="n">
        <f aca="false">DATE($B$3,5,1)</f>
        <v>46143</v>
      </c>
      <c r="B10" s="23" t="n">
        <f aca="false">COUNTIFS(Registro!$D$6:$D$1005,$A10,Registro!$M$6:$M$1005,"&gt;0")</f>
        <v>0</v>
      </c>
      <c r="C10" s="30" t="n">
        <f aca="false">SUMIFS(Registro!$M$6:$M$1005,Registro!$D$6:$D$1005,$A10)</f>
        <v>0</v>
      </c>
      <c r="D10" s="30" t="n">
        <f aca="false">SUMIFS(Registro!$N$6:$N$1005,Registro!$D$6:$D$1005,$A10)</f>
        <v>0</v>
      </c>
      <c r="E10" s="28" t="str">
        <f aca="false">IF(C10=0,"",D10/C10)</f>
        <v/>
      </c>
      <c r="F10" s="28" t="str">
        <f aca="false">IF(C10=0,"",SUMIFS(Registro!$AI$6:$AI$1005,Registro!$D$6:$D$1005,$A10)/C10)</f>
        <v/>
      </c>
      <c r="G10" s="29" t="str">
        <f aca="false">IF(E10="","",(E10-F10)*100)</f>
        <v/>
      </c>
      <c r="H10" s="30" t="n">
        <f aca="false">SUMIFS(Registro!$R$6:$R$1005,Registro!$D$6:$D$1005,$A10)</f>
        <v>0</v>
      </c>
      <c r="I10" s="23" t="n">
        <f aca="false">COUNTIFS(Registro!$D$6:$D$1005,$A10,Registro!$AJ$6:$AJ$1005,"Bajo meta")</f>
        <v>0</v>
      </c>
      <c r="J10" s="30" t="n">
        <f aca="false">SUMIFS(Registro!$T$6:$T$1005,Registro!$D$6:$D$1005,$A10)</f>
        <v>0</v>
      </c>
      <c r="K10" s="30" t="n">
        <f aca="false">SUMIFS(Registro!$U$6:$U$1005,Registro!$D$6:$D$1005,$A10)</f>
        <v>0</v>
      </c>
      <c r="L10" s="30" t="n">
        <f aca="false">SUMIFS(Registro!$V$6:$V$1005,Registro!$D$6:$D$1005,$A10)</f>
        <v>0</v>
      </c>
      <c r="M10" s="30" t="n">
        <f aca="false">SUMIFS(Registro!$W$6:$W$1005,Registro!$D$6:$D$1005,$A10)</f>
        <v>0</v>
      </c>
      <c r="N10" s="30" t="n">
        <f aca="false">SUMIFS(Registro!$X$6:$X$1005,Registro!$D$6:$D$1005,$A10)</f>
        <v>0</v>
      </c>
      <c r="O10" s="30" t="n">
        <f aca="false">SUMIFS(Registro!$Y$6:$Y$1005,Registro!$D$6:$D$1005,$A10)</f>
        <v>0</v>
      </c>
      <c r="P10" s="30" t="n">
        <f aca="false">SUMIFS(Registro!$Z$6:$Z$1005,Registro!$D$6:$D$1005,$A10)</f>
        <v>0</v>
      </c>
      <c r="Q10" s="30" t="n">
        <f aca="false">SUMIFS(Registro!$AC$6:$AC$1005,Registro!$D$6:$D$1005,$A10)</f>
        <v>0</v>
      </c>
      <c r="R10" s="30" t="n">
        <f aca="false">SUM(J10:Q10)</f>
        <v>0</v>
      </c>
      <c r="S10" s="30" t="n">
        <f aca="false">SUMIFS(Registro!$AE$6:$AE$1005,Registro!$D$6:$D$1005,$A10)</f>
        <v>0</v>
      </c>
      <c r="T10" s="30" t="n">
        <f aca="false">S10-R10</f>
        <v>0</v>
      </c>
      <c r="U10" s="28" t="str">
        <f aca="false">IF(C10=0,"",T10/C10)</f>
        <v/>
      </c>
      <c r="V10" s="32" t="str">
        <f aca="false">IF(D10=0,"",S10/(D10/1000))</f>
        <v/>
      </c>
      <c r="W10" s="31" t="str">
        <f aca="false">IFERROR(D10/1000/SUMIFS(Registro!$L$6:$L$1005,Registro!$D$6:$D$1005,$A10),"")</f>
        <v/>
      </c>
    </row>
    <row r="11" customFormat="false" ht="15" hidden="false" customHeight="false" outlineLevel="0" collapsed="false">
      <c r="A11" s="35" t="n">
        <f aca="false">DATE($B$3,6,1)</f>
        <v>46174</v>
      </c>
      <c r="B11" s="23" t="n">
        <f aca="false">COUNTIFS(Registro!$D$6:$D$1005,$A11,Registro!$M$6:$M$1005,"&gt;0")</f>
        <v>0</v>
      </c>
      <c r="C11" s="30" t="n">
        <f aca="false">SUMIFS(Registro!$M$6:$M$1005,Registro!$D$6:$D$1005,$A11)</f>
        <v>0</v>
      </c>
      <c r="D11" s="30" t="n">
        <f aca="false">SUMIFS(Registro!$N$6:$N$1005,Registro!$D$6:$D$1005,$A11)</f>
        <v>0</v>
      </c>
      <c r="E11" s="28" t="str">
        <f aca="false">IF(C11=0,"",D11/C11)</f>
        <v/>
      </c>
      <c r="F11" s="28" t="str">
        <f aca="false">IF(C11=0,"",SUMIFS(Registro!$AI$6:$AI$1005,Registro!$D$6:$D$1005,$A11)/C11)</f>
        <v/>
      </c>
      <c r="G11" s="29" t="str">
        <f aca="false">IF(E11="","",(E11-F11)*100)</f>
        <v/>
      </c>
      <c r="H11" s="30" t="n">
        <f aca="false">SUMIFS(Registro!$R$6:$R$1005,Registro!$D$6:$D$1005,$A11)</f>
        <v>0</v>
      </c>
      <c r="I11" s="23" t="n">
        <f aca="false">COUNTIFS(Registro!$D$6:$D$1005,$A11,Registro!$AJ$6:$AJ$1005,"Bajo meta")</f>
        <v>0</v>
      </c>
      <c r="J11" s="30" t="n">
        <f aca="false">SUMIFS(Registro!$T$6:$T$1005,Registro!$D$6:$D$1005,$A11)</f>
        <v>0</v>
      </c>
      <c r="K11" s="30" t="n">
        <f aca="false">SUMIFS(Registro!$U$6:$U$1005,Registro!$D$6:$D$1005,$A11)</f>
        <v>0</v>
      </c>
      <c r="L11" s="30" t="n">
        <f aca="false">SUMIFS(Registro!$V$6:$V$1005,Registro!$D$6:$D$1005,$A11)</f>
        <v>0</v>
      </c>
      <c r="M11" s="30" t="n">
        <f aca="false">SUMIFS(Registro!$W$6:$W$1005,Registro!$D$6:$D$1005,$A11)</f>
        <v>0</v>
      </c>
      <c r="N11" s="30" t="n">
        <f aca="false">SUMIFS(Registro!$X$6:$X$1005,Registro!$D$6:$D$1005,$A11)</f>
        <v>0</v>
      </c>
      <c r="O11" s="30" t="n">
        <f aca="false">SUMIFS(Registro!$Y$6:$Y$1005,Registro!$D$6:$D$1005,$A11)</f>
        <v>0</v>
      </c>
      <c r="P11" s="30" t="n">
        <f aca="false">SUMIFS(Registro!$Z$6:$Z$1005,Registro!$D$6:$D$1005,$A11)</f>
        <v>0</v>
      </c>
      <c r="Q11" s="30" t="n">
        <f aca="false">SUMIFS(Registro!$AC$6:$AC$1005,Registro!$D$6:$D$1005,$A11)</f>
        <v>0</v>
      </c>
      <c r="R11" s="30" t="n">
        <f aca="false">SUM(J11:Q11)</f>
        <v>0</v>
      </c>
      <c r="S11" s="30" t="n">
        <f aca="false">SUMIFS(Registro!$AE$6:$AE$1005,Registro!$D$6:$D$1005,$A11)</f>
        <v>0</v>
      </c>
      <c r="T11" s="30" t="n">
        <f aca="false">S11-R11</f>
        <v>0</v>
      </c>
      <c r="U11" s="28" t="str">
        <f aca="false">IF(C11=0,"",T11/C11)</f>
        <v/>
      </c>
      <c r="V11" s="32" t="str">
        <f aca="false">IF(D11=0,"",S11/(D11/1000))</f>
        <v/>
      </c>
      <c r="W11" s="31" t="str">
        <f aca="false">IFERROR(D11/1000/SUMIFS(Registro!$L$6:$L$1005,Registro!$D$6:$D$1005,$A11),"")</f>
        <v/>
      </c>
    </row>
    <row r="12" customFormat="false" ht="15" hidden="false" customHeight="false" outlineLevel="0" collapsed="false">
      <c r="A12" s="35" t="n">
        <f aca="false">DATE($B$3,7,1)</f>
        <v>46204</v>
      </c>
      <c r="B12" s="23" t="n">
        <f aca="false">COUNTIFS(Registro!$D$6:$D$1005,$A12,Registro!$M$6:$M$1005,"&gt;0")</f>
        <v>0</v>
      </c>
      <c r="C12" s="30" t="n">
        <f aca="false">SUMIFS(Registro!$M$6:$M$1005,Registro!$D$6:$D$1005,$A12)</f>
        <v>0</v>
      </c>
      <c r="D12" s="30" t="n">
        <f aca="false">SUMIFS(Registro!$N$6:$N$1005,Registro!$D$6:$D$1005,$A12)</f>
        <v>0</v>
      </c>
      <c r="E12" s="28" t="str">
        <f aca="false">IF(C12=0,"",D12/C12)</f>
        <v/>
      </c>
      <c r="F12" s="28" t="str">
        <f aca="false">IF(C12=0,"",SUMIFS(Registro!$AI$6:$AI$1005,Registro!$D$6:$D$1005,$A12)/C12)</f>
        <v/>
      </c>
      <c r="G12" s="29" t="str">
        <f aca="false">IF(E12="","",(E12-F12)*100)</f>
        <v/>
      </c>
      <c r="H12" s="30" t="n">
        <f aca="false">SUMIFS(Registro!$R$6:$R$1005,Registro!$D$6:$D$1005,$A12)</f>
        <v>0</v>
      </c>
      <c r="I12" s="23" t="n">
        <f aca="false">COUNTIFS(Registro!$D$6:$D$1005,$A12,Registro!$AJ$6:$AJ$1005,"Bajo meta")</f>
        <v>0</v>
      </c>
      <c r="J12" s="30" t="n">
        <f aca="false">SUMIFS(Registro!$T$6:$T$1005,Registro!$D$6:$D$1005,$A12)</f>
        <v>0</v>
      </c>
      <c r="K12" s="30" t="n">
        <f aca="false">SUMIFS(Registro!$U$6:$U$1005,Registro!$D$6:$D$1005,$A12)</f>
        <v>0</v>
      </c>
      <c r="L12" s="30" t="n">
        <f aca="false">SUMIFS(Registro!$V$6:$V$1005,Registro!$D$6:$D$1005,$A12)</f>
        <v>0</v>
      </c>
      <c r="M12" s="30" t="n">
        <f aca="false">SUMIFS(Registro!$W$6:$W$1005,Registro!$D$6:$D$1005,$A12)</f>
        <v>0</v>
      </c>
      <c r="N12" s="30" t="n">
        <f aca="false">SUMIFS(Registro!$X$6:$X$1005,Registro!$D$6:$D$1005,$A12)</f>
        <v>0</v>
      </c>
      <c r="O12" s="30" t="n">
        <f aca="false">SUMIFS(Registro!$Y$6:$Y$1005,Registro!$D$6:$D$1005,$A12)</f>
        <v>0</v>
      </c>
      <c r="P12" s="30" t="n">
        <f aca="false">SUMIFS(Registro!$Z$6:$Z$1005,Registro!$D$6:$D$1005,$A12)</f>
        <v>0</v>
      </c>
      <c r="Q12" s="30" t="n">
        <f aca="false">SUMIFS(Registro!$AC$6:$AC$1005,Registro!$D$6:$D$1005,$A12)</f>
        <v>0</v>
      </c>
      <c r="R12" s="30" t="n">
        <f aca="false">SUM(J12:Q12)</f>
        <v>0</v>
      </c>
      <c r="S12" s="30" t="n">
        <f aca="false">SUMIFS(Registro!$AE$6:$AE$1005,Registro!$D$6:$D$1005,$A12)</f>
        <v>0</v>
      </c>
      <c r="T12" s="30" t="n">
        <f aca="false">S12-R12</f>
        <v>0</v>
      </c>
      <c r="U12" s="28" t="str">
        <f aca="false">IF(C12=0,"",T12/C12)</f>
        <v/>
      </c>
      <c r="V12" s="32" t="str">
        <f aca="false">IF(D12=0,"",S12/(D12/1000))</f>
        <v/>
      </c>
      <c r="W12" s="31" t="str">
        <f aca="false">IFERROR(D12/1000/SUMIFS(Registro!$L$6:$L$1005,Registro!$D$6:$D$1005,$A12),"")</f>
        <v/>
      </c>
    </row>
    <row r="13" customFormat="false" ht="15" hidden="false" customHeight="false" outlineLevel="0" collapsed="false">
      <c r="A13" s="35" t="n">
        <f aca="false">DATE($B$3,8,1)</f>
        <v>46235</v>
      </c>
      <c r="B13" s="23" t="n">
        <f aca="false">COUNTIFS(Registro!$D$6:$D$1005,$A13,Registro!$M$6:$M$1005,"&gt;0")</f>
        <v>0</v>
      </c>
      <c r="C13" s="30" t="n">
        <f aca="false">SUMIFS(Registro!$M$6:$M$1005,Registro!$D$6:$D$1005,$A13)</f>
        <v>0</v>
      </c>
      <c r="D13" s="30" t="n">
        <f aca="false">SUMIFS(Registro!$N$6:$N$1005,Registro!$D$6:$D$1005,$A13)</f>
        <v>0</v>
      </c>
      <c r="E13" s="28" t="str">
        <f aca="false">IF(C13=0,"",D13/C13)</f>
        <v/>
      </c>
      <c r="F13" s="28" t="str">
        <f aca="false">IF(C13=0,"",SUMIFS(Registro!$AI$6:$AI$1005,Registro!$D$6:$D$1005,$A13)/C13)</f>
        <v/>
      </c>
      <c r="G13" s="29" t="str">
        <f aca="false">IF(E13="","",(E13-F13)*100)</f>
        <v/>
      </c>
      <c r="H13" s="30" t="n">
        <f aca="false">SUMIFS(Registro!$R$6:$R$1005,Registro!$D$6:$D$1005,$A13)</f>
        <v>0</v>
      </c>
      <c r="I13" s="23" t="n">
        <f aca="false">COUNTIFS(Registro!$D$6:$D$1005,$A13,Registro!$AJ$6:$AJ$1005,"Bajo meta")</f>
        <v>0</v>
      </c>
      <c r="J13" s="30" t="n">
        <f aca="false">SUMIFS(Registro!$T$6:$T$1005,Registro!$D$6:$D$1005,$A13)</f>
        <v>0</v>
      </c>
      <c r="K13" s="30" t="n">
        <f aca="false">SUMIFS(Registro!$U$6:$U$1005,Registro!$D$6:$D$1005,$A13)</f>
        <v>0</v>
      </c>
      <c r="L13" s="30" t="n">
        <f aca="false">SUMIFS(Registro!$V$6:$V$1005,Registro!$D$6:$D$1005,$A13)</f>
        <v>0</v>
      </c>
      <c r="M13" s="30" t="n">
        <f aca="false">SUMIFS(Registro!$W$6:$W$1005,Registro!$D$6:$D$1005,$A13)</f>
        <v>0</v>
      </c>
      <c r="N13" s="30" t="n">
        <f aca="false">SUMIFS(Registro!$X$6:$X$1005,Registro!$D$6:$D$1005,$A13)</f>
        <v>0</v>
      </c>
      <c r="O13" s="30" t="n">
        <f aca="false">SUMIFS(Registro!$Y$6:$Y$1005,Registro!$D$6:$D$1005,$A13)</f>
        <v>0</v>
      </c>
      <c r="P13" s="30" t="n">
        <f aca="false">SUMIFS(Registro!$Z$6:$Z$1005,Registro!$D$6:$D$1005,$A13)</f>
        <v>0</v>
      </c>
      <c r="Q13" s="30" t="n">
        <f aca="false">SUMIFS(Registro!$AC$6:$AC$1005,Registro!$D$6:$D$1005,$A13)</f>
        <v>0</v>
      </c>
      <c r="R13" s="30" t="n">
        <f aca="false">SUM(J13:Q13)</f>
        <v>0</v>
      </c>
      <c r="S13" s="30" t="n">
        <f aca="false">SUMIFS(Registro!$AE$6:$AE$1005,Registro!$D$6:$D$1005,$A13)</f>
        <v>0</v>
      </c>
      <c r="T13" s="30" t="n">
        <f aca="false">S13-R13</f>
        <v>0</v>
      </c>
      <c r="U13" s="28" t="str">
        <f aca="false">IF(C13=0,"",T13/C13)</f>
        <v/>
      </c>
      <c r="V13" s="32" t="str">
        <f aca="false">IF(D13=0,"",S13/(D13/1000))</f>
        <v/>
      </c>
      <c r="W13" s="31" t="str">
        <f aca="false">IFERROR(D13/1000/SUMIFS(Registro!$L$6:$L$1005,Registro!$D$6:$D$1005,$A13),"")</f>
        <v/>
      </c>
    </row>
    <row r="14" customFormat="false" ht="15" hidden="false" customHeight="false" outlineLevel="0" collapsed="false">
      <c r="A14" s="35" t="n">
        <f aca="false">DATE($B$3,9,1)</f>
        <v>46266</v>
      </c>
      <c r="B14" s="23" t="n">
        <f aca="false">COUNTIFS(Registro!$D$6:$D$1005,$A14,Registro!$M$6:$M$1005,"&gt;0")</f>
        <v>0</v>
      </c>
      <c r="C14" s="30" t="n">
        <f aca="false">SUMIFS(Registro!$M$6:$M$1005,Registro!$D$6:$D$1005,$A14)</f>
        <v>0</v>
      </c>
      <c r="D14" s="30" t="n">
        <f aca="false">SUMIFS(Registro!$N$6:$N$1005,Registro!$D$6:$D$1005,$A14)</f>
        <v>0</v>
      </c>
      <c r="E14" s="28" t="str">
        <f aca="false">IF(C14=0,"",D14/C14)</f>
        <v/>
      </c>
      <c r="F14" s="28" t="str">
        <f aca="false">IF(C14=0,"",SUMIFS(Registro!$AI$6:$AI$1005,Registro!$D$6:$D$1005,$A14)/C14)</f>
        <v/>
      </c>
      <c r="G14" s="29" t="str">
        <f aca="false">IF(E14="","",(E14-F14)*100)</f>
        <v/>
      </c>
      <c r="H14" s="30" t="n">
        <f aca="false">SUMIFS(Registro!$R$6:$R$1005,Registro!$D$6:$D$1005,$A14)</f>
        <v>0</v>
      </c>
      <c r="I14" s="23" t="n">
        <f aca="false">COUNTIFS(Registro!$D$6:$D$1005,$A14,Registro!$AJ$6:$AJ$1005,"Bajo meta")</f>
        <v>0</v>
      </c>
      <c r="J14" s="30" t="n">
        <f aca="false">SUMIFS(Registro!$T$6:$T$1005,Registro!$D$6:$D$1005,$A14)</f>
        <v>0</v>
      </c>
      <c r="K14" s="30" t="n">
        <f aca="false">SUMIFS(Registro!$U$6:$U$1005,Registro!$D$6:$D$1005,$A14)</f>
        <v>0</v>
      </c>
      <c r="L14" s="30" t="n">
        <f aca="false">SUMIFS(Registro!$V$6:$V$1005,Registro!$D$6:$D$1005,$A14)</f>
        <v>0</v>
      </c>
      <c r="M14" s="30" t="n">
        <f aca="false">SUMIFS(Registro!$W$6:$W$1005,Registro!$D$6:$D$1005,$A14)</f>
        <v>0</v>
      </c>
      <c r="N14" s="30" t="n">
        <f aca="false">SUMIFS(Registro!$X$6:$X$1005,Registro!$D$6:$D$1005,$A14)</f>
        <v>0</v>
      </c>
      <c r="O14" s="30" t="n">
        <f aca="false">SUMIFS(Registro!$Y$6:$Y$1005,Registro!$D$6:$D$1005,$A14)</f>
        <v>0</v>
      </c>
      <c r="P14" s="30" t="n">
        <f aca="false">SUMIFS(Registro!$Z$6:$Z$1005,Registro!$D$6:$D$1005,$A14)</f>
        <v>0</v>
      </c>
      <c r="Q14" s="30" t="n">
        <f aca="false">SUMIFS(Registro!$AC$6:$AC$1005,Registro!$D$6:$D$1005,$A14)</f>
        <v>0</v>
      </c>
      <c r="R14" s="30" t="n">
        <f aca="false">SUM(J14:Q14)</f>
        <v>0</v>
      </c>
      <c r="S14" s="30" t="n">
        <f aca="false">SUMIFS(Registro!$AE$6:$AE$1005,Registro!$D$6:$D$1005,$A14)</f>
        <v>0</v>
      </c>
      <c r="T14" s="30" t="n">
        <f aca="false">S14-R14</f>
        <v>0</v>
      </c>
      <c r="U14" s="28" t="str">
        <f aca="false">IF(C14=0,"",T14/C14)</f>
        <v/>
      </c>
      <c r="V14" s="32" t="str">
        <f aca="false">IF(D14=0,"",S14/(D14/1000))</f>
        <v/>
      </c>
      <c r="W14" s="31" t="str">
        <f aca="false">IFERROR(D14/1000/SUMIFS(Registro!$L$6:$L$1005,Registro!$D$6:$D$1005,$A14),"")</f>
        <v/>
      </c>
    </row>
    <row r="15" customFormat="false" ht="15" hidden="false" customHeight="false" outlineLevel="0" collapsed="false">
      <c r="A15" s="35" t="n">
        <f aca="false">DATE($B$3,10,1)</f>
        <v>46296</v>
      </c>
      <c r="B15" s="23" t="n">
        <f aca="false">COUNTIFS(Registro!$D$6:$D$1005,$A15,Registro!$M$6:$M$1005,"&gt;0")</f>
        <v>0</v>
      </c>
      <c r="C15" s="30" t="n">
        <f aca="false">SUMIFS(Registro!$M$6:$M$1005,Registro!$D$6:$D$1005,$A15)</f>
        <v>0</v>
      </c>
      <c r="D15" s="30" t="n">
        <f aca="false">SUMIFS(Registro!$N$6:$N$1005,Registro!$D$6:$D$1005,$A15)</f>
        <v>0</v>
      </c>
      <c r="E15" s="28" t="str">
        <f aca="false">IF(C15=0,"",D15/C15)</f>
        <v/>
      </c>
      <c r="F15" s="28" t="str">
        <f aca="false">IF(C15=0,"",SUMIFS(Registro!$AI$6:$AI$1005,Registro!$D$6:$D$1005,$A15)/C15)</f>
        <v/>
      </c>
      <c r="G15" s="29" t="str">
        <f aca="false">IF(E15="","",(E15-F15)*100)</f>
        <v/>
      </c>
      <c r="H15" s="30" t="n">
        <f aca="false">SUMIFS(Registro!$R$6:$R$1005,Registro!$D$6:$D$1005,$A15)</f>
        <v>0</v>
      </c>
      <c r="I15" s="23" t="n">
        <f aca="false">COUNTIFS(Registro!$D$6:$D$1005,$A15,Registro!$AJ$6:$AJ$1005,"Bajo meta")</f>
        <v>0</v>
      </c>
      <c r="J15" s="30" t="n">
        <f aca="false">SUMIFS(Registro!$T$6:$T$1005,Registro!$D$6:$D$1005,$A15)</f>
        <v>0</v>
      </c>
      <c r="K15" s="30" t="n">
        <f aca="false">SUMIFS(Registro!$U$6:$U$1005,Registro!$D$6:$D$1005,$A15)</f>
        <v>0</v>
      </c>
      <c r="L15" s="30" t="n">
        <f aca="false">SUMIFS(Registro!$V$6:$V$1005,Registro!$D$6:$D$1005,$A15)</f>
        <v>0</v>
      </c>
      <c r="M15" s="30" t="n">
        <f aca="false">SUMIFS(Registro!$W$6:$W$1005,Registro!$D$6:$D$1005,$A15)</f>
        <v>0</v>
      </c>
      <c r="N15" s="30" t="n">
        <f aca="false">SUMIFS(Registro!$X$6:$X$1005,Registro!$D$6:$D$1005,$A15)</f>
        <v>0</v>
      </c>
      <c r="O15" s="30" t="n">
        <f aca="false">SUMIFS(Registro!$Y$6:$Y$1005,Registro!$D$6:$D$1005,$A15)</f>
        <v>0</v>
      </c>
      <c r="P15" s="30" t="n">
        <f aca="false">SUMIFS(Registro!$Z$6:$Z$1005,Registro!$D$6:$D$1005,$A15)</f>
        <v>0</v>
      </c>
      <c r="Q15" s="30" t="n">
        <f aca="false">SUMIFS(Registro!$AC$6:$AC$1005,Registro!$D$6:$D$1005,$A15)</f>
        <v>0</v>
      </c>
      <c r="R15" s="30" t="n">
        <f aca="false">SUM(J15:Q15)</f>
        <v>0</v>
      </c>
      <c r="S15" s="30" t="n">
        <f aca="false">SUMIFS(Registro!$AE$6:$AE$1005,Registro!$D$6:$D$1005,$A15)</f>
        <v>0</v>
      </c>
      <c r="T15" s="30" t="n">
        <f aca="false">S15-R15</f>
        <v>0</v>
      </c>
      <c r="U15" s="28" t="str">
        <f aca="false">IF(C15=0,"",T15/C15)</f>
        <v/>
      </c>
      <c r="V15" s="32" t="str">
        <f aca="false">IF(D15=0,"",S15/(D15/1000))</f>
        <v/>
      </c>
      <c r="W15" s="31" t="str">
        <f aca="false">IFERROR(D15/1000/SUMIFS(Registro!$L$6:$L$1005,Registro!$D$6:$D$1005,$A15),"")</f>
        <v/>
      </c>
    </row>
    <row r="16" customFormat="false" ht="15" hidden="false" customHeight="false" outlineLevel="0" collapsed="false">
      <c r="A16" s="35" t="n">
        <f aca="false">DATE($B$3,11,1)</f>
        <v>46327</v>
      </c>
      <c r="B16" s="23" t="n">
        <f aca="false">COUNTIFS(Registro!$D$6:$D$1005,$A16,Registro!$M$6:$M$1005,"&gt;0")</f>
        <v>0</v>
      </c>
      <c r="C16" s="30" t="n">
        <f aca="false">SUMIFS(Registro!$M$6:$M$1005,Registro!$D$6:$D$1005,$A16)</f>
        <v>0</v>
      </c>
      <c r="D16" s="30" t="n">
        <f aca="false">SUMIFS(Registro!$N$6:$N$1005,Registro!$D$6:$D$1005,$A16)</f>
        <v>0</v>
      </c>
      <c r="E16" s="28" t="str">
        <f aca="false">IF(C16=0,"",D16/C16)</f>
        <v/>
      </c>
      <c r="F16" s="28" t="str">
        <f aca="false">IF(C16=0,"",SUMIFS(Registro!$AI$6:$AI$1005,Registro!$D$6:$D$1005,$A16)/C16)</f>
        <v/>
      </c>
      <c r="G16" s="29" t="str">
        <f aca="false">IF(E16="","",(E16-F16)*100)</f>
        <v/>
      </c>
      <c r="H16" s="30" t="n">
        <f aca="false">SUMIFS(Registro!$R$6:$R$1005,Registro!$D$6:$D$1005,$A16)</f>
        <v>0</v>
      </c>
      <c r="I16" s="23" t="n">
        <f aca="false">COUNTIFS(Registro!$D$6:$D$1005,$A16,Registro!$AJ$6:$AJ$1005,"Bajo meta")</f>
        <v>0</v>
      </c>
      <c r="J16" s="30" t="n">
        <f aca="false">SUMIFS(Registro!$T$6:$T$1005,Registro!$D$6:$D$1005,$A16)</f>
        <v>0</v>
      </c>
      <c r="K16" s="30" t="n">
        <f aca="false">SUMIFS(Registro!$U$6:$U$1005,Registro!$D$6:$D$1005,$A16)</f>
        <v>0</v>
      </c>
      <c r="L16" s="30" t="n">
        <f aca="false">SUMIFS(Registro!$V$6:$V$1005,Registro!$D$6:$D$1005,$A16)</f>
        <v>0</v>
      </c>
      <c r="M16" s="30" t="n">
        <f aca="false">SUMIFS(Registro!$W$6:$W$1005,Registro!$D$6:$D$1005,$A16)</f>
        <v>0</v>
      </c>
      <c r="N16" s="30" t="n">
        <f aca="false">SUMIFS(Registro!$X$6:$X$1005,Registro!$D$6:$D$1005,$A16)</f>
        <v>0</v>
      </c>
      <c r="O16" s="30" t="n">
        <f aca="false">SUMIFS(Registro!$Y$6:$Y$1005,Registro!$D$6:$D$1005,$A16)</f>
        <v>0</v>
      </c>
      <c r="P16" s="30" t="n">
        <f aca="false">SUMIFS(Registro!$Z$6:$Z$1005,Registro!$D$6:$D$1005,$A16)</f>
        <v>0</v>
      </c>
      <c r="Q16" s="30" t="n">
        <f aca="false">SUMIFS(Registro!$AC$6:$AC$1005,Registro!$D$6:$D$1005,$A16)</f>
        <v>0</v>
      </c>
      <c r="R16" s="30" t="n">
        <f aca="false">SUM(J16:Q16)</f>
        <v>0</v>
      </c>
      <c r="S16" s="30" t="n">
        <f aca="false">SUMIFS(Registro!$AE$6:$AE$1005,Registro!$D$6:$D$1005,$A16)</f>
        <v>0</v>
      </c>
      <c r="T16" s="30" t="n">
        <f aca="false">S16-R16</f>
        <v>0</v>
      </c>
      <c r="U16" s="28" t="str">
        <f aca="false">IF(C16=0,"",T16/C16)</f>
        <v/>
      </c>
      <c r="V16" s="32" t="str">
        <f aca="false">IF(D16=0,"",S16/(D16/1000))</f>
        <v/>
      </c>
      <c r="W16" s="31" t="str">
        <f aca="false">IFERROR(D16/1000/SUMIFS(Registro!$L$6:$L$1005,Registro!$D$6:$D$1005,$A16),"")</f>
        <v/>
      </c>
    </row>
    <row r="17" customFormat="false" ht="15" hidden="false" customHeight="false" outlineLevel="0" collapsed="false">
      <c r="A17" s="35" t="n">
        <f aca="false">DATE($B$3,12,1)</f>
        <v>46357</v>
      </c>
      <c r="B17" s="23" t="n">
        <f aca="false">COUNTIFS(Registro!$D$6:$D$1005,$A17,Registro!$M$6:$M$1005,"&gt;0")</f>
        <v>0</v>
      </c>
      <c r="C17" s="30" t="n">
        <f aca="false">SUMIFS(Registro!$M$6:$M$1005,Registro!$D$6:$D$1005,$A17)</f>
        <v>0</v>
      </c>
      <c r="D17" s="30" t="n">
        <f aca="false">SUMIFS(Registro!$N$6:$N$1005,Registro!$D$6:$D$1005,$A17)</f>
        <v>0</v>
      </c>
      <c r="E17" s="28" t="str">
        <f aca="false">IF(C17=0,"",D17/C17)</f>
        <v/>
      </c>
      <c r="F17" s="28" t="str">
        <f aca="false">IF(C17=0,"",SUMIFS(Registro!$AI$6:$AI$1005,Registro!$D$6:$D$1005,$A17)/C17)</f>
        <v/>
      </c>
      <c r="G17" s="29" t="str">
        <f aca="false">IF(E17="","",(E17-F17)*100)</f>
        <v/>
      </c>
      <c r="H17" s="30" t="n">
        <f aca="false">SUMIFS(Registro!$R$6:$R$1005,Registro!$D$6:$D$1005,$A17)</f>
        <v>0</v>
      </c>
      <c r="I17" s="23" t="n">
        <f aca="false">COUNTIFS(Registro!$D$6:$D$1005,$A17,Registro!$AJ$6:$AJ$1005,"Bajo meta")</f>
        <v>0</v>
      </c>
      <c r="J17" s="30" t="n">
        <f aca="false">SUMIFS(Registro!$T$6:$T$1005,Registro!$D$6:$D$1005,$A17)</f>
        <v>0</v>
      </c>
      <c r="K17" s="30" t="n">
        <f aca="false">SUMIFS(Registro!$U$6:$U$1005,Registro!$D$6:$D$1005,$A17)</f>
        <v>0</v>
      </c>
      <c r="L17" s="30" t="n">
        <f aca="false">SUMIFS(Registro!$V$6:$V$1005,Registro!$D$6:$D$1005,$A17)</f>
        <v>0</v>
      </c>
      <c r="M17" s="30" t="n">
        <f aca="false">SUMIFS(Registro!$W$6:$W$1005,Registro!$D$6:$D$1005,$A17)</f>
        <v>0</v>
      </c>
      <c r="N17" s="30" t="n">
        <f aca="false">SUMIFS(Registro!$X$6:$X$1005,Registro!$D$6:$D$1005,$A17)</f>
        <v>0</v>
      </c>
      <c r="O17" s="30" t="n">
        <f aca="false">SUMIFS(Registro!$Y$6:$Y$1005,Registro!$D$6:$D$1005,$A17)</f>
        <v>0</v>
      </c>
      <c r="P17" s="30" t="n">
        <f aca="false">SUMIFS(Registro!$Z$6:$Z$1005,Registro!$D$6:$D$1005,$A17)</f>
        <v>0</v>
      </c>
      <c r="Q17" s="30" t="n">
        <f aca="false">SUMIFS(Registro!$AC$6:$AC$1005,Registro!$D$6:$D$1005,$A17)</f>
        <v>0</v>
      </c>
      <c r="R17" s="30" t="n">
        <f aca="false">SUM(J17:Q17)</f>
        <v>0</v>
      </c>
      <c r="S17" s="30" t="n">
        <f aca="false">SUMIFS(Registro!$AE$6:$AE$1005,Registro!$D$6:$D$1005,$A17)</f>
        <v>0</v>
      </c>
      <c r="T17" s="30" t="n">
        <f aca="false">S17-R17</f>
        <v>0</v>
      </c>
      <c r="U17" s="28" t="str">
        <f aca="false">IF(C17=0,"",T17/C17)</f>
        <v/>
      </c>
      <c r="V17" s="32" t="str">
        <f aca="false">IF(D17=0,"",S17/(D17/1000))</f>
        <v/>
      </c>
      <c r="W17" s="31" t="str">
        <f aca="false">IFERROR(D17/1000/SUMIFS(Registro!$L$6:$L$1005,Registro!$D$6:$D$1005,$A17),"")</f>
        <v/>
      </c>
    </row>
    <row r="18" customFormat="false" ht="15" hidden="false" customHeight="false" outlineLevel="0" collapsed="false">
      <c r="A18" s="36" t="s">
        <v>97</v>
      </c>
      <c r="B18" s="37" t="n">
        <f aca="false">SUM(B6:B17)</f>
        <v>0</v>
      </c>
      <c r="C18" s="38" t="n">
        <f aca="false">SUM(C6:C17)</f>
        <v>0</v>
      </c>
      <c r="D18" s="38" t="n">
        <f aca="false">SUM(D6:D17)</f>
        <v>0</v>
      </c>
      <c r="E18" s="39" t="str">
        <f aca="false">IF(C18=0,"",D18/C18)</f>
        <v/>
      </c>
      <c r="F18" s="39" t="str">
        <f aca="false">IF(C18=0,"",SUMIFS(Registro!$AI$6:$AI$1005,Registro!$D$6:$D$1005,"&gt;="&amp;A6,Registro!$D$6:$D$1005,"&lt;="&amp;A17)/C18)</f>
        <v/>
      </c>
      <c r="G18" s="40" t="str">
        <f aca="false">IF(E18="","",(E18-F18)*100)</f>
        <v/>
      </c>
      <c r="H18" s="38" t="n">
        <f aca="false">SUM(H6:H17)</f>
        <v>0</v>
      </c>
      <c r="I18" s="37" t="n">
        <f aca="false">SUM(I6:I17)</f>
        <v>0</v>
      </c>
      <c r="J18" s="38" t="n">
        <f aca="false">SUM(J6:J17)</f>
        <v>0</v>
      </c>
      <c r="K18" s="38" t="n">
        <f aca="false">SUM(K6:K17)</f>
        <v>0</v>
      </c>
      <c r="L18" s="38" t="n">
        <f aca="false">SUM(L6:L17)</f>
        <v>0</v>
      </c>
      <c r="M18" s="38" t="n">
        <f aca="false">SUM(M6:M17)</f>
        <v>0</v>
      </c>
      <c r="N18" s="38" t="n">
        <f aca="false">SUM(N6:N17)</f>
        <v>0</v>
      </c>
      <c r="O18" s="38" t="n">
        <f aca="false">SUM(O6:O17)</f>
        <v>0</v>
      </c>
      <c r="P18" s="38" t="n">
        <f aca="false">SUM(P6:P17)</f>
        <v>0</v>
      </c>
      <c r="Q18" s="38" t="n">
        <f aca="false">SUM(Q6:Q17)</f>
        <v>0</v>
      </c>
      <c r="R18" s="38" t="n">
        <f aca="false">SUM(R6:R17)</f>
        <v>0</v>
      </c>
      <c r="S18" s="38" t="n">
        <f aca="false">SUM(S6:S17)</f>
        <v>0</v>
      </c>
      <c r="T18" s="38" t="n">
        <f aca="false">SUM(T6:T17)</f>
        <v>0</v>
      </c>
      <c r="U18" s="39" t="str">
        <f aca="false">IF(C18=0,"",T18/C18)</f>
        <v/>
      </c>
      <c r="V18" s="41" t="str">
        <f aca="false">IF(D18=0,"",S18/(D18/1000))</f>
        <v/>
      </c>
      <c r="W18" s="42" t="str">
        <f aca="false">IFERROR(D18/1000/SUMIFS(Registro!$L$6:$L$1005,Registro!$D$6:$D$1005,"&gt;="&amp;A6,Registro!$D$6:$D$1005,"&lt;="&amp;A17),"")</f>
        <v/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15" hidden="false" customHeight="false" outlineLevel="0" collapsed="false">
      <c r="A21" s="3" t="s">
        <v>101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42" hidden="false" customHeight="true" outlineLevel="0" collapsed="false">
      <c r="A22" s="20" t="s">
        <v>59</v>
      </c>
      <c r="B22" s="43" t="n">
        <f aca="false">A6</f>
        <v>46023</v>
      </c>
      <c r="C22" s="43" t="n">
        <f aca="false">A7</f>
        <v>46054</v>
      </c>
      <c r="D22" s="43" t="n">
        <f aca="false">A8</f>
        <v>46082</v>
      </c>
      <c r="E22" s="43" t="n">
        <f aca="false">A9</f>
        <v>46113</v>
      </c>
      <c r="F22" s="43" t="n">
        <f aca="false">A10</f>
        <v>46143</v>
      </c>
      <c r="G22" s="43" t="n">
        <f aca="false">A11</f>
        <v>46174</v>
      </c>
      <c r="H22" s="43" t="n">
        <f aca="false">A12</f>
        <v>46204</v>
      </c>
      <c r="I22" s="43" t="n">
        <f aca="false">A13</f>
        <v>46235</v>
      </c>
      <c r="J22" s="43" t="n">
        <f aca="false">A14</f>
        <v>46266</v>
      </c>
      <c r="K22" s="43" t="n">
        <f aca="false">A15</f>
        <v>46296</v>
      </c>
      <c r="L22" s="43" t="n">
        <f aca="false">A16</f>
        <v>46327</v>
      </c>
      <c r="M22" s="43" t="n">
        <f aca="false">A17</f>
        <v>46357</v>
      </c>
      <c r="N22" s="20" t="s">
        <v>97</v>
      </c>
      <c r="O22" s="20" t="s">
        <v>66</v>
      </c>
      <c r="P22" s="2"/>
      <c r="Q22" s="2"/>
      <c r="R22" s="2"/>
      <c r="S22" s="2"/>
      <c r="T22" s="2"/>
      <c r="U22" s="2"/>
      <c r="V22" s="2"/>
      <c r="W22" s="2"/>
    </row>
    <row r="23" customFormat="false" ht="15" hidden="false" customHeight="false" outlineLevel="0" collapsed="false">
      <c r="A23" s="17" t="str">
        <f aca="false">Parámetros!A14</f>
        <v>B Hormigón</v>
      </c>
      <c r="B23" s="44" t="str">
        <f aca="false">IFERROR(SUMIFS(Registro!$N$6:$N$1005,Registro!$I$6:$I$1005,$A23,Registro!$D$6:$D$1005,B$22)/SUMIFS(Registro!$M$6:$M$1005,Registro!$I$6:$I$1005,$A23,Registro!$D$6:$D$1005,B$22),"")</f>
        <v/>
      </c>
      <c r="C23" s="44" t="str">
        <f aca="false">IFERROR(SUMIFS(Registro!$N$6:$N$1005,Registro!$I$6:$I$1005,$A23,Registro!$D$6:$D$1005,C$22)/SUMIFS(Registro!$M$6:$M$1005,Registro!$I$6:$I$1005,$A23,Registro!$D$6:$D$1005,C$22),"")</f>
        <v/>
      </c>
      <c r="D23" s="44" t="str">
        <f aca="false">IFERROR(SUMIFS(Registro!$N$6:$N$1005,Registro!$I$6:$I$1005,$A23,Registro!$D$6:$D$1005,D$22)/SUMIFS(Registro!$M$6:$M$1005,Registro!$I$6:$I$1005,$A23,Registro!$D$6:$D$1005,D$22),"")</f>
        <v/>
      </c>
      <c r="E23" s="44" t="str">
        <f aca="false">IFERROR(SUMIFS(Registro!$N$6:$N$1005,Registro!$I$6:$I$1005,$A23,Registro!$D$6:$D$1005,E$22)/SUMIFS(Registro!$M$6:$M$1005,Registro!$I$6:$I$1005,$A23,Registro!$D$6:$D$1005,E$22),"")</f>
        <v/>
      </c>
      <c r="F23" s="44" t="str">
        <f aca="false">IFERROR(SUMIFS(Registro!$N$6:$N$1005,Registro!$I$6:$I$1005,$A23,Registro!$D$6:$D$1005,F$22)/SUMIFS(Registro!$M$6:$M$1005,Registro!$I$6:$I$1005,$A23,Registro!$D$6:$D$1005,F$22),"")</f>
        <v/>
      </c>
      <c r="G23" s="44" t="str">
        <f aca="false">IFERROR(SUMIFS(Registro!$N$6:$N$1005,Registro!$I$6:$I$1005,$A23,Registro!$D$6:$D$1005,G$22)/SUMIFS(Registro!$M$6:$M$1005,Registro!$I$6:$I$1005,$A23,Registro!$D$6:$D$1005,G$22),"")</f>
        <v/>
      </c>
      <c r="H23" s="44" t="str">
        <f aca="false">IFERROR(SUMIFS(Registro!$N$6:$N$1005,Registro!$I$6:$I$1005,$A23,Registro!$D$6:$D$1005,H$22)/SUMIFS(Registro!$M$6:$M$1005,Registro!$I$6:$I$1005,$A23,Registro!$D$6:$D$1005,H$22),"")</f>
        <v/>
      </c>
      <c r="I23" s="44" t="str">
        <f aca="false">IFERROR(SUMIFS(Registro!$N$6:$N$1005,Registro!$I$6:$I$1005,$A23,Registro!$D$6:$D$1005,I$22)/SUMIFS(Registro!$M$6:$M$1005,Registro!$I$6:$I$1005,$A23,Registro!$D$6:$D$1005,I$22),"")</f>
        <v/>
      </c>
      <c r="J23" s="44" t="str">
        <f aca="false">IFERROR(SUMIFS(Registro!$N$6:$N$1005,Registro!$I$6:$I$1005,$A23,Registro!$D$6:$D$1005,J$22)/SUMIFS(Registro!$M$6:$M$1005,Registro!$I$6:$I$1005,$A23,Registro!$D$6:$D$1005,J$22),"")</f>
        <v/>
      </c>
      <c r="K23" s="44" t="str">
        <f aca="false">IFERROR(SUMIFS(Registro!$N$6:$N$1005,Registro!$I$6:$I$1005,$A23,Registro!$D$6:$D$1005,K$22)/SUMIFS(Registro!$M$6:$M$1005,Registro!$I$6:$I$1005,$A23,Registro!$D$6:$D$1005,K$22),"")</f>
        <v/>
      </c>
      <c r="L23" s="44" t="str">
        <f aca="false">IFERROR(SUMIFS(Registro!$N$6:$N$1005,Registro!$I$6:$I$1005,$A23,Registro!$D$6:$D$1005,L$22)/SUMIFS(Registro!$M$6:$M$1005,Registro!$I$6:$I$1005,$A23,Registro!$D$6:$D$1005,L$22),"")</f>
        <v/>
      </c>
      <c r="M23" s="44" t="str">
        <f aca="false">IFERROR(SUMIFS(Registro!$N$6:$N$1005,Registro!$I$6:$I$1005,$A23,Registro!$D$6:$D$1005,M$22)/SUMIFS(Registro!$M$6:$M$1005,Registro!$I$6:$I$1005,$A23,Registro!$D$6:$D$1005,M$22),"")</f>
        <v/>
      </c>
      <c r="N23" s="44" t="str">
        <f aca="false">IFERROR(SUMIFS(Registro!$N$6:$N$1005,Registro!$I$6:$I$1005,$A23,Registro!$D$6:$D$1005,"&gt;="&amp;$A$6,Registro!$D$6:$D$1005,"&lt;="&amp;$A$17)/SUMIFS(Registro!$M$6:$M$1005,Registro!$I$6:$I$1005,$A23,Registro!$D$6:$D$1005,"&gt;="&amp;$A$6,Registro!$D$6:$D$1005,"&lt;="&amp;$A$17),"")</f>
        <v/>
      </c>
      <c r="O23" s="44" t="n">
        <f aca="false">IF(Parámetros!B14="",Parámetros!$B$5,Parámetros!B14)</f>
        <v>0.9576</v>
      </c>
      <c r="P23" s="2"/>
      <c r="Q23" s="2"/>
      <c r="R23" s="2"/>
      <c r="S23" s="2"/>
      <c r="T23" s="2"/>
      <c r="U23" s="2"/>
      <c r="V23" s="2"/>
      <c r="W23" s="2"/>
    </row>
    <row r="24" customFormat="false" ht="15" hidden="false" customHeight="false" outlineLevel="0" collapsed="false">
      <c r="A24" s="17" t="str">
        <f aca="false">Parámetros!A15</f>
        <v>Redondo liso</v>
      </c>
      <c r="B24" s="44" t="str">
        <f aca="false">IFERROR(SUMIFS(Registro!$N$6:$N$1005,Registro!$I$6:$I$1005,$A24,Registro!$D$6:$D$1005,B$22)/SUMIFS(Registro!$M$6:$M$1005,Registro!$I$6:$I$1005,$A24,Registro!$D$6:$D$1005,B$22),"")</f>
        <v/>
      </c>
      <c r="C24" s="44" t="str">
        <f aca="false">IFERROR(SUMIFS(Registro!$N$6:$N$1005,Registro!$I$6:$I$1005,$A24,Registro!$D$6:$D$1005,C$22)/SUMIFS(Registro!$M$6:$M$1005,Registro!$I$6:$I$1005,$A24,Registro!$D$6:$D$1005,C$22),"")</f>
        <v/>
      </c>
      <c r="D24" s="44" t="str">
        <f aca="false">IFERROR(SUMIFS(Registro!$N$6:$N$1005,Registro!$I$6:$I$1005,$A24,Registro!$D$6:$D$1005,D$22)/SUMIFS(Registro!$M$6:$M$1005,Registro!$I$6:$I$1005,$A24,Registro!$D$6:$D$1005,D$22),"")</f>
        <v/>
      </c>
      <c r="E24" s="44" t="str">
        <f aca="false">IFERROR(SUMIFS(Registro!$N$6:$N$1005,Registro!$I$6:$I$1005,$A24,Registro!$D$6:$D$1005,E$22)/SUMIFS(Registro!$M$6:$M$1005,Registro!$I$6:$I$1005,$A24,Registro!$D$6:$D$1005,E$22),"")</f>
        <v/>
      </c>
      <c r="F24" s="44" t="str">
        <f aca="false">IFERROR(SUMIFS(Registro!$N$6:$N$1005,Registro!$I$6:$I$1005,$A24,Registro!$D$6:$D$1005,F$22)/SUMIFS(Registro!$M$6:$M$1005,Registro!$I$6:$I$1005,$A24,Registro!$D$6:$D$1005,F$22),"")</f>
        <v/>
      </c>
      <c r="G24" s="44" t="str">
        <f aca="false">IFERROR(SUMIFS(Registro!$N$6:$N$1005,Registro!$I$6:$I$1005,$A24,Registro!$D$6:$D$1005,G$22)/SUMIFS(Registro!$M$6:$M$1005,Registro!$I$6:$I$1005,$A24,Registro!$D$6:$D$1005,G$22),"")</f>
        <v/>
      </c>
      <c r="H24" s="44" t="str">
        <f aca="false">IFERROR(SUMIFS(Registro!$N$6:$N$1005,Registro!$I$6:$I$1005,$A24,Registro!$D$6:$D$1005,H$22)/SUMIFS(Registro!$M$6:$M$1005,Registro!$I$6:$I$1005,$A24,Registro!$D$6:$D$1005,H$22),"")</f>
        <v/>
      </c>
      <c r="I24" s="44" t="str">
        <f aca="false">IFERROR(SUMIFS(Registro!$N$6:$N$1005,Registro!$I$6:$I$1005,$A24,Registro!$D$6:$D$1005,I$22)/SUMIFS(Registro!$M$6:$M$1005,Registro!$I$6:$I$1005,$A24,Registro!$D$6:$D$1005,I$22),"")</f>
        <v/>
      </c>
      <c r="J24" s="44" t="str">
        <f aca="false">IFERROR(SUMIFS(Registro!$N$6:$N$1005,Registro!$I$6:$I$1005,$A24,Registro!$D$6:$D$1005,J$22)/SUMIFS(Registro!$M$6:$M$1005,Registro!$I$6:$I$1005,$A24,Registro!$D$6:$D$1005,J$22),"")</f>
        <v/>
      </c>
      <c r="K24" s="44" t="str">
        <f aca="false">IFERROR(SUMIFS(Registro!$N$6:$N$1005,Registro!$I$6:$I$1005,$A24,Registro!$D$6:$D$1005,K$22)/SUMIFS(Registro!$M$6:$M$1005,Registro!$I$6:$I$1005,$A24,Registro!$D$6:$D$1005,K$22),"")</f>
        <v/>
      </c>
      <c r="L24" s="44" t="str">
        <f aca="false">IFERROR(SUMIFS(Registro!$N$6:$N$1005,Registro!$I$6:$I$1005,$A24,Registro!$D$6:$D$1005,L$22)/SUMIFS(Registro!$M$6:$M$1005,Registro!$I$6:$I$1005,$A24,Registro!$D$6:$D$1005,L$22),"")</f>
        <v/>
      </c>
      <c r="M24" s="44" t="str">
        <f aca="false">IFERROR(SUMIFS(Registro!$N$6:$N$1005,Registro!$I$6:$I$1005,$A24,Registro!$D$6:$D$1005,M$22)/SUMIFS(Registro!$M$6:$M$1005,Registro!$I$6:$I$1005,$A24,Registro!$D$6:$D$1005,M$22),"")</f>
        <v/>
      </c>
      <c r="N24" s="44" t="str">
        <f aca="false">IFERROR(SUMIFS(Registro!$N$6:$N$1005,Registro!$I$6:$I$1005,$A24,Registro!$D$6:$D$1005,"&gt;="&amp;$A$6,Registro!$D$6:$D$1005,"&lt;="&amp;$A$17)/SUMIFS(Registro!$M$6:$M$1005,Registro!$I$6:$I$1005,$A24,Registro!$D$6:$D$1005,"&gt;="&amp;$A$6,Registro!$D$6:$D$1005,"&lt;="&amp;$A$17),"")</f>
        <v/>
      </c>
      <c r="O24" s="44" t="n">
        <f aca="false">IF(Parámetros!B15="",Parámetros!$B$5,Parámetros!B15)</f>
        <v>0.9538</v>
      </c>
      <c r="P24" s="2"/>
      <c r="Q24" s="2"/>
      <c r="R24" s="2"/>
      <c r="S24" s="2"/>
      <c r="T24" s="2"/>
      <c r="U24" s="2"/>
      <c r="V24" s="2"/>
      <c r="W24" s="2"/>
    </row>
    <row r="25" customFormat="false" ht="15" hidden="false" customHeight="false" outlineLevel="0" collapsed="false">
      <c r="A25" s="17" t="str">
        <f aca="false">Parámetros!A16</f>
        <v>Plana</v>
      </c>
      <c r="B25" s="44" t="str">
        <f aca="false">IFERROR(SUMIFS(Registro!$N$6:$N$1005,Registro!$I$6:$I$1005,$A25,Registro!$D$6:$D$1005,B$22)/SUMIFS(Registro!$M$6:$M$1005,Registro!$I$6:$I$1005,$A25,Registro!$D$6:$D$1005,B$22),"")</f>
        <v/>
      </c>
      <c r="C25" s="44" t="str">
        <f aca="false">IFERROR(SUMIFS(Registro!$N$6:$N$1005,Registro!$I$6:$I$1005,$A25,Registro!$D$6:$D$1005,C$22)/SUMIFS(Registro!$M$6:$M$1005,Registro!$I$6:$I$1005,$A25,Registro!$D$6:$D$1005,C$22),"")</f>
        <v/>
      </c>
      <c r="D25" s="44" t="str">
        <f aca="false">IFERROR(SUMIFS(Registro!$N$6:$N$1005,Registro!$I$6:$I$1005,$A25,Registro!$D$6:$D$1005,D$22)/SUMIFS(Registro!$M$6:$M$1005,Registro!$I$6:$I$1005,$A25,Registro!$D$6:$D$1005,D$22),"")</f>
        <v/>
      </c>
      <c r="E25" s="44" t="str">
        <f aca="false">IFERROR(SUMIFS(Registro!$N$6:$N$1005,Registro!$I$6:$I$1005,$A25,Registro!$D$6:$D$1005,E$22)/SUMIFS(Registro!$M$6:$M$1005,Registro!$I$6:$I$1005,$A25,Registro!$D$6:$D$1005,E$22),"")</f>
        <v/>
      </c>
      <c r="F25" s="44" t="str">
        <f aca="false">IFERROR(SUMIFS(Registro!$N$6:$N$1005,Registro!$I$6:$I$1005,$A25,Registro!$D$6:$D$1005,F$22)/SUMIFS(Registro!$M$6:$M$1005,Registro!$I$6:$I$1005,$A25,Registro!$D$6:$D$1005,F$22),"")</f>
        <v/>
      </c>
      <c r="G25" s="44" t="str">
        <f aca="false">IFERROR(SUMIFS(Registro!$N$6:$N$1005,Registro!$I$6:$I$1005,$A25,Registro!$D$6:$D$1005,G$22)/SUMIFS(Registro!$M$6:$M$1005,Registro!$I$6:$I$1005,$A25,Registro!$D$6:$D$1005,G$22),"")</f>
        <v/>
      </c>
      <c r="H25" s="44" t="str">
        <f aca="false">IFERROR(SUMIFS(Registro!$N$6:$N$1005,Registro!$I$6:$I$1005,$A25,Registro!$D$6:$D$1005,H$22)/SUMIFS(Registro!$M$6:$M$1005,Registro!$I$6:$I$1005,$A25,Registro!$D$6:$D$1005,H$22),"")</f>
        <v/>
      </c>
      <c r="I25" s="44" t="str">
        <f aca="false">IFERROR(SUMIFS(Registro!$N$6:$N$1005,Registro!$I$6:$I$1005,$A25,Registro!$D$6:$D$1005,I$22)/SUMIFS(Registro!$M$6:$M$1005,Registro!$I$6:$I$1005,$A25,Registro!$D$6:$D$1005,I$22),"")</f>
        <v/>
      </c>
      <c r="J25" s="44" t="str">
        <f aca="false">IFERROR(SUMIFS(Registro!$N$6:$N$1005,Registro!$I$6:$I$1005,$A25,Registro!$D$6:$D$1005,J$22)/SUMIFS(Registro!$M$6:$M$1005,Registro!$I$6:$I$1005,$A25,Registro!$D$6:$D$1005,J$22),"")</f>
        <v/>
      </c>
      <c r="K25" s="44" t="str">
        <f aca="false">IFERROR(SUMIFS(Registro!$N$6:$N$1005,Registro!$I$6:$I$1005,$A25,Registro!$D$6:$D$1005,K$22)/SUMIFS(Registro!$M$6:$M$1005,Registro!$I$6:$I$1005,$A25,Registro!$D$6:$D$1005,K$22),"")</f>
        <v/>
      </c>
      <c r="L25" s="44" t="str">
        <f aca="false">IFERROR(SUMIFS(Registro!$N$6:$N$1005,Registro!$I$6:$I$1005,$A25,Registro!$D$6:$D$1005,L$22)/SUMIFS(Registro!$M$6:$M$1005,Registro!$I$6:$I$1005,$A25,Registro!$D$6:$D$1005,L$22),"")</f>
        <v/>
      </c>
      <c r="M25" s="44" t="str">
        <f aca="false">IFERROR(SUMIFS(Registro!$N$6:$N$1005,Registro!$I$6:$I$1005,$A25,Registro!$D$6:$D$1005,M$22)/SUMIFS(Registro!$M$6:$M$1005,Registro!$I$6:$I$1005,$A25,Registro!$D$6:$D$1005,M$22),"")</f>
        <v/>
      </c>
      <c r="N25" s="44" t="str">
        <f aca="false">IFERROR(SUMIFS(Registro!$N$6:$N$1005,Registro!$I$6:$I$1005,$A25,Registro!$D$6:$D$1005,"&gt;="&amp;$A$6,Registro!$D$6:$D$1005,"&lt;="&amp;$A$17)/SUMIFS(Registro!$M$6:$M$1005,Registro!$I$6:$I$1005,$A25,Registro!$D$6:$D$1005,"&gt;="&amp;$A$6,Registro!$D$6:$D$1005,"&lt;="&amp;$A$17),"")</f>
        <v/>
      </c>
      <c r="O25" s="44" t="n">
        <f aca="false">IF(Parámetros!B16="",Parámetros!$B$5,Parámetros!B16)</f>
        <v>0.9609</v>
      </c>
      <c r="P25" s="2"/>
      <c r="Q25" s="2"/>
      <c r="R25" s="2"/>
      <c r="S25" s="2"/>
      <c r="T25" s="2"/>
      <c r="U25" s="2"/>
      <c r="V25" s="2"/>
      <c r="W25" s="2"/>
    </row>
    <row r="26" customFormat="false" ht="15" hidden="false" customHeight="false" outlineLevel="0" collapsed="false">
      <c r="A26" s="17" t="str">
        <f aca="false">Parámetros!A17</f>
        <v>Ángulo</v>
      </c>
      <c r="B26" s="44" t="str">
        <f aca="false">IFERROR(SUMIFS(Registro!$N$6:$N$1005,Registro!$I$6:$I$1005,$A26,Registro!$D$6:$D$1005,B$22)/SUMIFS(Registro!$M$6:$M$1005,Registro!$I$6:$I$1005,$A26,Registro!$D$6:$D$1005,B$22),"")</f>
        <v/>
      </c>
      <c r="C26" s="44" t="str">
        <f aca="false">IFERROR(SUMIFS(Registro!$N$6:$N$1005,Registro!$I$6:$I$1005,$A26,Registro!$D$6:$D$1005,C$22)/SUMIFS(Registro!$M$6:$M$1005,Registro!$I$6:$I$1005,$A26,Registro!$D$6:$D$1005,C$22),"")</f>
        <v/>
      </c>
      <c r="D26" s="44" t="str">
        <f aca="false">IFERROR(SUMIFS(Registro!$N$6:$N$1005,Registro!$I$6:$I$1005,$A26,Registro!$D$6:$D$1005,D$22)/SUMIFS(Registro!$M$6:$M$1005,Registro!$I$6:$I$1005,$A26,Registro!$D$6:$D$1005,D$22),"")</f>
        <v/>
      </c>
      <c r="E26" s="44" t="str">
        <f aca="false">IFERROR(SUMIFS(Registro!$N$6:$N$1005,Registro!$I$6:$I$1005,$A26,Registro!$D$6:$D$1005,E$22)/SUMIFS(Registro!$M$6:$M$1005,Registro!$I$6:$I$1005,$A26,Registro!$D$6:$D$1005,E$22),"")</f>
        <v/>
      </c>
      <c r="F26" s="44" t="str">
        <f aca="false">IFERROR(SUMIFS(Registro!$N$6:$N$1005,Registro!$I$6:$I$1005,$A26,Registro!$D$6:$D$1005,F$22)/SUMIFS(Registro!$M$6:$M$1005,Registro!$I$6:$I$1005,$A26,Registro!$D$6:$D$1005,F$22),"")</f>
        <v/>
      </c>
      <c r="G26" s="44" t="str">
        <f aca="false">IFERROR(SUMIFS(Registro!$N$6:$N$1005,Registro!$I$6:$I$1005,$A26,Registro!$D$6:$D$1005,G$22)/SUMIFS(Registro!$M$6:$M$1005,Registro!$I$6:$I$1005,$A26,Registro!$D$6:$D$1005,G$22),"")</f>
        <v/>
      </c>
      <c r="H26" s="44" t="str">
        <f aca="false">IFERROR(SUMIFS(Registro!$N$6:$N$1005,Registro!$I$6:$I$1005,$A26,Registro!$D$6:$D$1005,H$22)/SUMIFS(Registro!$M$6:$M$1005,Registro!$I$6:$I$1005,$A26,Registro!$D$6:$D$1005,H$22),"")</f>
        <v/>
      </c>
      <c r="I26" s="44" t="str">
        <f aca="false">IFERROR(SUMIFS(Registro!$N$6:$N$1005,Registro!$I$6:$I$1005,$A26,Registro!$D$6:$D$1005,I$22)/SUMIFS(Registro!$M$6:$M$1005,Registro!$I$6:$I$1005,$A26,Registro!$D$6:$D$1005,I$22),"")</f>
        <v/>
      </c>
      <c r="J26" s="44" t="str">
        <f aca="false">IFERROR(SUMIFS(Registro!$N$6:$N$1005,Registro!$I$6:$I$1005,$A26,Registro!$D$6:$D$1005,J$22)/SUMIFS(Registro!$M$6:$M$1005,Registro!$I$6:$I$1005,$A26,Registro!$D$6:$D$1005,J$22),"")</f>
        <v/>
      </c>
      <c r="K26" s="44" t="str">
        <f aca="false">IFERROR(SUMIFS(Registro!$N$6:$N$1005,Registro!$I$6:$I$1005,$A26,Registro!$D$6:$D$1005,K$22)/SUMIFS(Registro!$M$6:$M$1005,Registro!$I$6:$I$1005,$A26,Registro!$D$6:$D$1005,K$22),"")</f>
        <v/>
      </c>
      <c r="L26" s="44" t="str">
        <f aca="false">IFERROR(SUMIFS(Registro!$N$6:$N$1005,Registro!$I$6:$I$1005,$A26,Registro!$D$6:$D$1005,L$22)/SUMIFS(Registro!$M$6:$M$1005,Registro!$I$6:$I$1005,$A26,Registro!$D$6:$D$1005,L$22),"")</f>
        <v/>
      </c>
      <c r="M26" s="44" t="str">
        <f aca="false">IFERROR(SUMIFS(Registro!$N$6:$N$1005,Registro!$I$6:$I$1005,$A26,Registro!$D$6:$D$1005,M$22)/SUMIFS(Registro!$M$6:$M$1005,Registro!$I$6:$I$1005,$A26,Registro!$D$6:$D$1005,M$22),"")</f>
        <v/>
      </c>
      <c r="N26" s="44" t="str">
        <f aca="false">IFERROR(SUMIFS(Registro!$N$6:$N$1005,Registro!$I$6:$I$1005,$A26,Registro!$D$6:$D$1005,"&gt;="&amp;$A$6,Registro!$D$6:$D$1005,"&lt;="&amp;$A$17)/SUMIFS(Registro!$M$6:$M$1005,Registro!$I$6:$I$1005,$A26,Registro!$D$6:$D$1005,"&gt;="&amp;$A$6,Registro!$D$6:$D$1005,"&lt;="&amp;$A$17),"")</f>
        <v/>
      </c>
      <c r="O26" s="44" t="n">
        <f aca="false">IF(Parámetros!B17="",Parámetros!$B$5,Parámetros!B17)</f>
        <v>0.9551</v>
      </c>
      <c r="P26" s="2"/>
      <c r="Q26" s="2"/>
      <c r="R26" s="2"/>
      <c r="S26" s="2"/>
      <c r="T26" s="2"/>
      <c r="U26" s="2"/>
      <c r="V26" s="2"/>
      <c r="W26" s="2"/>
    </row>
    <row r="27" customFormat="false" ht="15" hidden="false" customHeight="false" outlineLevel="0" collapsed="false">
      <c r="A27" s="17" t="str">
        <f aca="false">Parámetros!A18</f>
        <v>Cuadrado</v>
      </c>
      <c r="B27" s="44" t="str">
        <f aca="false">IFERROR(SUMIFS(Registro!$N$6:$N$1005,Registro!$I$6:$I$1005,$A27,Registro!$D$6:$D$1005,B$22)/SUMIFS(Registro!$M$6:$M$1005,Registro!$I$6:$I$1005,$A27,Registro!$D$6:$D$1005,B$22),"")</f>
        <v/>
      </c>
      <c r="C27" s="44" t="str">
        <f aca="false">IFERROR(SUMIFS(Registro!$N$6:$N$1005,Registro!$I$6:$I$1005,$A27,Registro!$D$6:$D$1005,C$22)/SUMIFS(Registro!$M$6:$M$1005,Registro!$I$6:$I$1005,$A27,Registro!$D$6:$D$1005,C$22),"")</f>
        <v/>
      </c>
      <c r="D27" s="44" t="str">
        <f aca="false">IFERROR(SUMIFS(Registro!$N$6:$N$1005,Registro!$I$6:$I$1005,$A27,Registro!$D$6:$D$1005,D$22)/SUMIFS(Registro!$M$6:$M$1005,Registro!$I$6:$I$1005,$A27,Registro!$D$6:$D$1005,D$22),"")</f>
        <v/>
      </c>
      <c r="E27" s="44" t="str">
        <f aca="false">IFERROR(SUMIFS(Registro!$N$6:$N$1005,Registro!$I$6:$I$1005,$A27,Registro!$D$6:$D$1005,E$22)/SUMIFS(Registro!$M$6:$M$1005,Registro!$I$6:$I$1005,$A27,Registro!$D$6:$D$1005,E$22),"")</f>
        <v/>
      </c>
      <c r="F27" s="44" t="str">
        <f aca="false">IFERROR(SUMIFS(Registro!$N$6:$N$1005,Registro!$I$6:$I$1005,$A27,Registro!$D$6:$D$1005,F$22)/SUMIFS(Registro!$M$6:$M$1005,Registro!$I$6:$I$1005,$A27,Registro!$D$6:$D$1005,F$22),"")</f>
        <v/>
      </c>
      <c r="G27" s="44" t="str">
        <f aca="false">IFERROR(SUMIFS(Registro!$N$6:$N$1005,Registro!$I$6:$I$1005,$A27,Registro!$D$6:$D$1005,G$22)/SUMIFS(Registro!$M$6:$M$1005,Registro!$I$6:$I$1005,$A27,Registro!$D$6:$D$1005,G$22),"")</f>
        <v/>
      </c>
      <c r="H27" s="44" t="str">
        <f aca="false">IFERROR(SUMIFS(Registro!$N$6:$N$1005,Registro!$I$6:$I$1005,$A27,Registro!$D$6:$D$1005,H$22)/SUMIFS(Registro!$M$6:$M$1005,Registro!$I$6:$I$1005,$A27,Registro!$D$6:$D$1005,H$22),"")</f>
        <v/>
      </c>
      <c r="I27" s="44" t="str">
        <f aca="false">IFERROR(SUMIFS(Registro!$N$6:$N$1005,Registro!$I$6:$I$1005,$A27,Registro!$D$6:$D$1005,I$22)/SUMIFS(Registro!$M$6:$M$1005,Registro!$I$6:$I$1005,$A27,Registro!$D$6:$D$1005,I$22),"")</f>
        <v/>
      </c>
      <c r="J27" s="44" t="str">
        <f aca="false">IFERROR(SUMIFS(Registro!$N$6:$N$1005,Registro!$I$6:$I$1005,$A27,Registro!$D$6:$D$1005,J$22)/SUMIFS(Registro!$M$6:$M$1005,Registro!$I$6:$I$1005,$A27,Registro!$D$6:$D$1005,J$22),"")</f>
        <v/>
      </c>
      <c r="K27" s="44" t="str">
        <f aca="false">IFERROR(SUMIFS(Registro!$N$6:$N$1005,Registro!$I$6:$I$1005,$A27,Registro!$D$6:$D$1005,K$22)/SUMIFS(Registro!$M$6:$M$1005,Registro!$I$6:$I$1005,$A27,Registro!$D$6:$D$1005,K$22),"")</f>
        <v/>
      </c>
      <c r="L27" s="44" t="str">
        <f aca="false">IFERROR(SUMIFS(Registro!$N$6:$N$1005,Registro!$I$6:$I$1005,$A27,Registro!$D$6:$D$1005,L$22)/SUMIFS(Registro!$M$6:$M$1005,Registro!$I$6:$I$1005,$A27,Registro!$D$6:$D$1005,L$22),"")</f>
        <v/>
      </c>
      <c r="M27" s="44" t="str">
        <f aca="false">IFERROR(SUMIFS(Registro!$N$6:$N$1005,Registro!$I$6:$I$1005,$A27,Registro!$D$6:$D$1005,M$22)/SUMIFS(Registro!$M$6:$M$1005,Registro!$I$6:$I$1005,$A27,Registro!$D$6:$D$1005,M$22),"")</f>
        <v/>
      </c>
      <c r="N27" s="44" t="str">
        <f aca="false">IFERROR(SUMIFS(Registro!$N$6:$N$1005,Registro!$I$6:$I$1005,$A27,Registro!$D$6:$D$1005,"&gt;="&amp;$A$6,Registro!$D$6:$D$1005,"&lt;="&amp;$A$17)/SUMIFS(Registro!$M$6:$M$1005,Registro!$I$6:$I$1005,$A27,Registro!$D$6:$D$1005,"&gt;="&amp;$A$6,Registro!$D$6:$D$1005,"&lt;="&amp;$A$17),"")</f>
        <v/>
      </c>
      <c r="O27" s="44" t="n">
        <f aca="false">IF(Parámetros!B18="",Parámetros!$B$5,Parámetros!B18)</f>
        <v>0.9648</v>
      </c>
      <c r="P27" s="2"/>
      <c r="Q27" s="2"/>
      <c r="R27" s="2"/>
      <c r="S27" s="2"/>
      <c r="T27" s="2"/>
      <c r="U27" s="2"/>
      <c r="V27" s="2"/>
      <c r="W27" s="2"/>
    </row>
    <row r="28" customFormat="false" ht="15" hidden="false" customHeight="false" outlineLevel="0" collapsed="false">
      <c r="A28" s="17" t="str">
        <f aca="false">Parámetros!A19</f>
        <v>Estrella</v>
      </c>
      <c r="B28" s="44" t="str">
        <f aca="false">IFERROR(SUMIFS(Registro!$N$6:$N$1005,Registro!$I$6:$I$1005,$A28,Registro!$D$6:$D$1005,B$22)/SUMIFS(Registro!$M$6:$M$1005,Registro!$I$6:$I$1005,$A28,Registro!$D$6:$D$1005,B$22),"")</f>
        <v/>
      </c>
      <c r="C28" s="44" t="str">
        <f aca="false">IFERROR(SUMIFS(Registro!$N$6:$N$1005,Registro!$I$6:$I$1005,$A28,Registro!$D$6:$D$1005,C$22)/SUMIFS(Registro!$M$6:$M$1005,Registro!$I$6:$I$1005,$A28,Registro!$D$6:$D$1005,C$22),"")</f>
        <v/>
      </c>
      <c r="D28" s="44" t="str">
        <f aca="false">IFERROR(SUMIFS(Registro!$N$6:$N$1005,Registro!$I$6:$I$1005,$A28,Registro!$D$6:$D$1005,D$22)/SUMIFS(Registro!$M$6:$M$1005,Registro!$I$6:$I$1005,$A28,Registro!$D$6:$D$1005,D$22),"")</f>
        <v/>
      </c>
      <c r="E28" s="44" t="str">
        <f aca="false">IFERROR(SUMIFS(Registro!$N$6:$N$1005,Registro!$I$6:$I$1005,$A28,Registro!$D$6:$D$1005,E$22)/SUMIFS(Registro!$M$6:$M$1005,Registro!$I$6:$I$1005,$A28,Registro!$D$6:$D$1005,E$22),"")</f>
        <v/>
      </c>
      <c r="F28" s="44" t="str">
        <f aca="false">IFERROR(SUMIFS(Registro!$N$6:$N$1005,Registro!$I$6:$I$1005,$A28,Registro!$D$6:$D$1005,F$22)/SUMIFS(Registro!$M$6:$M$1005,Registro!$I$6:$I$1005,$A28,Registro!$D$6:$D$1005,F$22),"")</f>
        <v/>
      </c>
      <c r="G28" s="44" t="str">
        <f aca="false">IFERROR(SUMIFS(Registro!$N$6:$N$1005,Registro!$I$6:$I$1005,$A28,Registro!$D$6:$D$1005,G$22)/SUMIFS(Registro!$M$6:$M$1005,Registro!$I$6:$I$1005,$A28,Registro!$D$6:$D$1005,G$22),"")</f>
        <v/>
      </c>
      <c r="H28" s="44" t="str">
        <f aca="false">IFERROR(SUMIFS(Registro!$N$6:$N$1005,Registro!$I$6:$I$1005,$A28,Registro!$D$6:$D$1005,H$22)/SUMIFS(Registro!$M$6:$M$1005,Registro!$I$6:$I$1005,$A28,Registro!$D$6:$D$1005,H$22),"")</f>
        <v/>
      </c>
      <c r="I28" s="44" t="str">
        <f aca="false">IFERROR(SUMIFS(Registro!$N$6:$N$1005,Registro!$I$6:$I$1005,$A28,Registro!$D$6:$D$1005,I$22)/SUMIFS(Registro!$M$6:$M$1005,Registro!$I$6:$I$1005,$A28,Registro!$D$6:$D$1005,I$22),"")</f>
        <v/>
      </c>
      <c r="J28" s="44" t="str">
        <f aca="false">IFERROR(SUMIFS(Registro!$N$6:$N$1005,Registro!$I$6:$I$1005,$A28,Registro!$D$6:$D$1005,J$22)/SUMIFS(Registro!$M$6:$M$1005,Registro!$I$6:$I$1005,$A28,Registro!$D$6:$D$1005,J$22),"")</f>
        <v/>
      </c>
      <c r="K28" s="44" t="str">
        <f aca="false">IFERROR(SUMIFS(Registro!$N$6:$N$1005,Registro!$I$6:$I$1005,$A28,Registro!$D$6:$D$1005,K$22)/SUMIFS(Registro!$M$6:$M$1005,Registro!$I$6:$I$1005,$A28,Registro!$D$6:$D$1005,K$22),"")</f>
        <v/>
      </c>
      <c r="L28" s="44" t="str">
        <f aca="false">IFERROR(SUMIFS(Registro!$N$6:$N$1005,Registro!$I$6:$I$1005,$A28,Registro!$D$6:$D$1005,L$22)/SUMIFS(Registro!$M$6:$M$1005,Registro!$I$6:$I$1005,$A28,Registro!$D$6:$D$1005,L$22),"")</f>
        <v/>
      </c>
      <c r="M28" s="44" t="str">
        <f aca="false">IFERROR(SUMIFS(Registro!$N$6:$N$1005,Registro!$I$6:$I$1005,$A28,Registro!$D$6:$D$1005,M$22)/SUMIFS(Registro!$M$6:$M$1005,Registro!$I$6:$I$1005,$A28,Registro!$D$6:$D$1005,M$22),"")</f>
        <v/>
      </c>
      <c r="N28" s="44" t="str">
        <f aca="false">IFERROR(SUMIFS(Registro!$N$6:$N$1005,Registro!$I$6:$I$1005,$A28,Registro!$D$6:$D$1005,"&gt;="&amp;$A$6,Registro!$D$6:$D$1005,"&lt;="&amp;$A$17)/SUMIFS(Registro!$M$6:$M$1005,Registro!$I$6:$I$1005,$A28,Registro!$D$6:$D$1005,"&gt;="&amp;$A$6,Registro!$D$6:$D$1005,"&lt;="&amp;$A$17),"")</f>
        <v/>
      </c>
      <c r="O28" s="44" t="n">
        <f aca="false">IF(Parámetros!B19="",Parámetros!$B$5,Parámetros!B19)</f>
        <v>0.958</v>
      </c>
      <c r="P28" s="2"/>
      <c r="Q28" s="2"/>
      <c r="R28" s="2"/>
      <c r="S28" s="2"/>
      <c r="T28" s="2"/>
      <c r="U28" s="2"/>
      <c r="V28" s="2"/>
      <c r="W28" s="2"/>
    </row>
    <row r="29" customFormat="false" ht="15" hidden="false" customHeight="false" outlineLevel="0" collapsed="false">
      <c r="A29" s="17" t="str">
        <f aca="false">Parámetros!A20</f>
        <v>Saferock</v>
      </c>
      <c r="B29" s="44" t="str">
        <f aca="false">IFERROR(SUMIFS(Registro!$N$6:$N$1005,Registro!$I$6:$I$1005,$A29,Registro!$D$6:$D$1005,B$22)/SUMIFS(Registro!$M$6:$M$1005,Registro!$I$6:$I$1005,$A29,Registro!$D$6:$D$1005,B$22),"")</f>
        <v/>
      </c>
      <c r="C29" s="44" t="str">
        <f aca="false">IFERROR(SUMIFS(Registro!$N$6:$N$1005,Registro!$I$6:$I$1005,$A29,Registro!$D$6:$D$1005,C$22)/SUMIFS(Registro!$M$6:$M$1005,Registro!$I$6:$I$1005,$A29,Registro!$D$6:$D$1005,C$22),"")</f>
        <v/>
      </c>
      <c r="D29" s="44" t="str">
        <f aca="false">IFERROR(SUMIFS(Registro!$N$6:$N$1005,Registro!$I$6:$I$1005,$A29,Registro!$D$6:$D$1005,D$22)/SUMIFS(Registro!$M$6:$M$1005,Registro!$I$6:$I$1005,$A29,Registro!$D$6:$D$1005,D$22),"")</f>
        <v/>
      </c>
      <c r="E29" s="44" t="str">
        <f aca="false">IFERROR(SUMIFS(Registro!$N$6:$N$1005,Registro!$I$6:$I$1005,$A29,Registro!$D$6:$D$1005,E$22)/SUMIFS(Registro!$M$6:$M$1005,Registro!$I$6:$I$1005,$A29,Registro!$D$6:$D$1005,E$22),"")</f>
        <v/>
      </c>
      <c r="F29" s="44" t="str">
        <f aca="false">IFERROR(SUMIFS(Registro!$N$6:$N$1005,Registro!$I$6:$I$1005,$A29,Registro!$D$6:$D$1005,F$22)/SUMIFS(Registro!$M$6:$M$1005,Registro!$I$6:$I$1005,$A29,Registro!$D$6:$D$1005,F$22),"")</f>
        <v/>
      </c>
      <c r="G29" s="44" t="str">
        <f aca="false">IFERROR(SUMIFS(Registro!$N$6:$N$1005,Registro!$I$6:$I$1005,$A29,Registro!$D$6:$D$1005,G$22)/SUMIFS(Registro!$M$6:$M$1005,Registro!$I$6:$I$1005,$A29,Registro!$D$6:$D$1005,G$22),"")</f>
        <v/>
      </c>
      <c r="H29" s="44" t="str">
        <f aca="false">IFERROR(SUMIFS(Registro!$N$6:$N$1005,Registro!$I$6:$I$1005,$A29,Registro!$D$6:$D$1005,H$22)/SUMIFS(Registro!$M$6:$M$1005,Registro!$I$6:$I$1005,$A29,Registro!$D$6:$D$1005,H$22),"")</f>
        <v/>
      </c>
      <c r="I29" s="44" t="str">
        <f aca="false">IFERROR(SUMIFS(Registro!$N$6:$N$1005,Registro!$I$6:$I$1005,$A29,Registro!$D$6:$D$1005,I$22)/SUMIFS(Registro!$M$6:$M$1005,Registro!$I$6:$I$1005,$A29,Registro!$D$6:$D$1005,I$22),"")</f>
        <v/>
      </c>
      <c r="J29" s="44" t="str">
        <f aca="false">IFERROR(SUMIFS(Registro!$N$6:$N$1005,Registro!$I$6:$I$1005,$A29,Registro!$D$6:$D$1005,J$22)/SUMIFS(Registro!$M$6:$M$1005,Registro!$I$6:$I$1005,$A29,Registro!$D$6:$D$1005,J$22),"")</f>
        <v/>
      </c>
      <c r="K29" s="44" t="str">
        <f aca="false">IFERROR(SUMIFS(Registro!$N$6:$N$1005,Registro!$I$6:$I$1005,$A29,Registro!$D$6:$D$1005,K$22)/SUMIFS(Registro!$M$6:$M$1005,Registro!$I$6:$I$1005,$A29,Registro!$D$6:$D$1005,K$22),"")</f>
        <v/>
      </c>
      <c r="L29" s="44" t="str">
        <f aca="false">IFERROR(SUMIFS(Registro!$N$6:$N$1005,Registro!$I$6:$I$1005,$A29,Registro!$D$6:$D$1005,L$22)/SUMIFS(Registro!$M$6:$M$1005,Registro!$I$6:$I$1005,$A29,Registro!$D$6:$D$1005,L$22),"")</f>
        <v/>
      </c>
      <c r="M29" s="44" t="str">
        <f aca="false">IFERROR(SUMIFS(Registro!$N$6:$N$1005,Registro!$I$6:$I$1005,$A29,Registro!$D$6:$D$1005,M$22)/SUMIFS(Registro!$M$6:$M$1005,Registro!$I$6:$I$1005,$A29,Registro!$D$6:$D$1005,M$22),"")</f>
        <v/>
      </c>
      <c r="N29" s="44" t="str">
        <f aca="false">IFERROR(SUMIFS(Registro!$N$6:$N$1005,Registro!$I$6:$I$1005,$A29,Registro!$D$6:$D$1005,"&gt;="&amp;$A$6,Registro!$D$6:$D$1005,"&lt;="&amp;$A$17)/SUMIFS(Registro!$M$6:$M$1005,Registro!$I$6:$I$1005,$A29,Registro!$D$6:$D$1005,"&gt;="&amp;$A$6,Registro!$D$6:$D$1005,"&lt;="&amp;$A$17),"")</f>
        <v/>
      </c>
      <c r="O29" s="44" t="n">
        <f aca="false">IF(Parámetros!B20="",Parámetros!$B$5,Parámetros!B20)</f>
        <v>0.9584</v>
      </c>
      <c r="P29" s="2"/>
      <c r="Q29" s="2"/>
      <c r="R29" s="2"/>
      <c r="S29" s="2"/>
      <c r="T29" s="2"/>
      <c r="U29" s="2"/>
      <c r="V29" s="2"/>
      <c r="W29" s="2"/>
    </row>
    <row r="30" customFormat="false" ht="15" hidden="false" customHeight="false" outlineLevel="0" collapsed="false">
      <c r="A30" s="17" t="str">
        <f aca="false">Parámetros!A21</f>
        <v>Hexágono</v>
      </c>
      <c r="B30" s="44" t="str">
        <f aca="false">IFERROR(SUMIFS(Registro!$N$6:$N$1005,Registro!$I$6:$I$1005,$A30,Registro!$D$6:$D$1005,B$22)/SUMIFS(Registro!$M$6:$M$1005,Registro!$I$6:$I$1005,$A30,Registro!$D$6:$D$1005,B$22),"")</f>
        <v/>
      </c>
      <c r="C30" s="44" t="str">
        <f aca="false">IFERROR(SUMIFS(Registro!$N$6:$N$1005,Registro!$I$6:$I$1005,$A30,Registro!$D$6:$D$1005,C$22)/SUMIFS(Registro!$M$6:$M$1005,Registro!$I$6:$I$1005,$A30,Registro!$D$6:$D$1005,C$22),"")</f>
        <v/>
      </c>
      <c r="D30" s="44" t="str">
        <f aca="false">IFERROR(SUMIFS(Registro!$N$6:$N$1005,Registro!$I$6:$I$1005,$A30,Registro!$D$6:$D$1005,D$22)/SUMIFS(Registro!$M$6:$M$1005,Registro!$I$6:$I$1005,$A30,Registro!$D$6:$D$1005,D$22),"")</f>
        <v/>
      </c>
      <c r="E30" s="44" t="str">
        <f aca="false">IFERROR(SUMIFS(Registro!$N$6:$N$1005,Registro!$I$6:$I$1005,$A30,Registro!$D$6:$D$1005,E$22)/SUMIFS(Registro!$M$6:$M$1005,Registro!$I$6:$I$1005,$A30,Registro!$D$6:$D$1005,E$22),"")</f>
        <v/>
      </c>
      <c r="F30" s="44" t="str">
        <f aca="false">IFERROR(SUMIFS(Registro!$N$6:$N$1005,Registro!$I$6:$I$1005,$A30,Registro!$D$6:$D$1005,F$22)/SUMIFS(Registro!$M$6:$M$1005,Registro!$I$6:$I$1005,$A30,Registro!$D$6:$D$1005,F$22),"")</f>
        <v/>
      </c>
      <c r="G30" s="44" t="str">
        <f aca="false">IFERROR(SUMIFS(Registro!$N$6:$N$1005,Registro!$I$6:$I$1005,$A30,Registro!$D$6:$D$1005,G$22)/SUMIFS(Registro!$M$6:$M$1005,Registro!$I$6:$I$1005,$A30,Registro!$D$6:$D$1005,G$22),"")</f>
        <v/>
      </c>
      <c r="H30" s="44" t="str">
        <f aca="false">IFERROR(SUMIFS(Registro!$N$6:$N$1005,Registro!$I$6:$I$1005,$A30,Registro!$D$6:$D$1005,H$22)/SUMIFS(Registro!$M$6:$M$1005,Registro!$I$6:$I$1005,$A30,Registro!$D$6:$D$1005,H$22),"")</f>
        <v/>
      </c>
      <c r="I30" s="44" t="str">
        <f aca="false">IFERROR(SUMIFS(Registro!$N$6:$N$1005,Registro!$I$6:$I$1005,$A30,Registro!$D$6:$D$1005,I$22)/SUMIFS(Registro!$M$6:$M$1005,Registro!$I$6:$I$1005,$A30,Registro!$D$6:$D$1005,I$22),"")</f>
        <v/>
      </c>
      <c r="J30" s="44" t="str">
        <f aca="false">IFERROR(SUMIFS(Registro!$N$6:$N$1005,Registro!$I$6:$I$1005,$A30,Registro!$D$6:$D$1005,J$22)/SUMIFS(Registro!$M$6:$M$1005,Registro!$I$6:$I$1005,$A30,Registro!$D$6:$D$1005,J$22),"")</f>
        <v/>
      </c>
      <c r="K30" s="44" t="str">
        <f aca="false">IFERROR(SUMIFS(Registro!$N$6:$N$1005,Registro!$I$6:$I$1005,$A30,Registro!$D$6:$D$1005,K$22)/SUMIFS(Registro!$M$6:$M$1005,Registro!$I$6:$I$1005,$A30,Registro!$D$6:$D$1005,K$22),"")</f>
        <v/>
      </c>
      <c r="L30" s="44" t="str">
        <f aca="false">IFERROR(SUMIFS(Registro!$N$6:$N$1005,Registro!$I$6:$I$1005,$A30,Registro!$D$6:$D$1005,L$22)/SUMIFS(Registro!$M$6:$M$1005,Registro!$I$6:$I$1005,$A30,Registro!$D$6:$D$1005,L$22),"")</f>
        <v/>
      </c>
      <c r="M30" s="44" t="str">
        <f aca="false">IFERROR(SUMIFS(Registro!$N$6:$N$1005,Registro!$I$6:$I$1005,$A30,Registro!$D$6:$D$1005,M$22)/SUMIFS(Registro!$M$6:$M$1005,Registro!$I$6:$I$1005,$A30,Registro!$D$6:$D$1005,M$22),"")</f>
        <v/>
      </c>
      <c r="N30" s="44" t="str">
        <f aca="false">IFERROR(SUMIFS(Registro!$N$6:$N$1005,Registro!$I$6:$I$1005,$A30,Registro!$D$6:$D$1005,"&gt;="&amp;$A$6,Registro!$D$6:$D$1005,"&lt;="&amp;$A$17)/SUMIFS(Registro!$M$6:$M$1005,Registro!$I$6:$I$1005,$A30,Registro!$D$6:$D$1005,"&gt;="&amp;$A$6,Registro!$D$6:$D$1005,"&lt;="&amp;$A$17),"")</f>
        <v/>
      </c>
      <c r="O30" s="44" t="n">
        <f aca="false">IF(Parámetros!B21="",Parámetros!$B$5,Parámetros!B21)</f>
        <v>0.9444</v>
      </c>
      <c r="P30" s="2"/>
      <c r="Q30" s="2"/>
      <c r="R30" s="2"/>
      <c r="S30" s="2"/>
      <c r="T30" s="2"/>
      <c r="U30" s="2"/>
      <c r="V30" s="2"/>
      <c r="W30" s="2"/>
    </row>
    <row r="31" customFormat="false" ht="15" hidden="false" customHeight="false" outlineLevel="0" collapsed="false">
      <c r="A31" s="18" t="s">
        <v>102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</sheetData>
  <conditionalFormatting sqref="G6:G18">
    <cfRule type="cellIs" priority="2" operator="lessThan" aboveAverage="0" equalAverage="0" bottom="0" percent="0" rank="0" text="" dxfId="11">
      <formula>0</formula>
    </cfRule>
  </conditionalFormatting>
  <conditionalFormatting sqref="U6:U18">
    <cfRule type="expression" priority="3" aboveAverage="0" equalAverage="0" bottom="0" percent="0" rank="0" text="" dxfId="9">
      <formula>AND(U6&lt;&gt;"",ABS(U6)&gt;Parámetros!$B$7)</formula>
    </cfRule>
  </conditionalFormatting>
  <conditionalFormatting sqref="B23:N30">
    <cfRule type="expression" priority="4" aboveAverage="0" equalAverage="0" bottom="0" percent="0" rank="0" text="" dxfId="8">
      <formula>AND(B23&lt;&gt;"",B23&lt;$O23)</formula>
    </cfRule>
    <cfRule type="expression" priority="5" aboveAverage="0" equalAverage="0" bottom="0" percent="0" rank="0" text="" dxfId="10">
      <formula>AND(B23&lt;&gt;"",B23&gt;=$O23)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6" min="5" style="0" width="10"/>
    <col collapsed="false" customWidth="true" hidden="false" outlineLevel="0" max="10" min="7" style="0" width="9"/>
    <col collapsed="false" customWidth="true" hidden="false" outlineLevel="0" max="11" min="11" style="0" width="10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8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7" t="s">
        <v>105</v>
      </c>
      <c r="B4" s="45" t="str">
        <f aca="false">'Resumen mensual'!E18</f>
        <v/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17" t="s">
        <v>106</v>
      </c>
      <c r="B5" s="46" t="str">
        <f aca="false">IFERROR(AVERAGE(F12:F64),"")</f>
        <v/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17" t="s">
        <v>107</v>
      </c>
      <c r="B6" s="46" t="str">
        <f aca="false">IF(B5="","",B5/Parámetros!B8)</f>
        <v/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17" t="s">
        <v>108</v>
      </c>
      <c r="B7" s="47" t="str">
        <f aca="false">IF(OR(B4="",B6=""),"",B4+3*B6)</f>
        <v/>
      </c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17" t="s">
        <v>109</v>
      </c>
      <c r="B8" s="47" t="str">
        <f aca="false">IF(OR(B4="",B6=""),"",B4-3*B6)</f>
        <v/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17" t="s">
        <v>110</v>
      </c>
      <c r="B9" s="45" t="str">
        <f aca="false">'Resumen mensual'!F18</f>
        <v/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42" hidden="false" customHeight="true" outlineLevel="0" collapsed="false">
      <c r="A11" s="20" t="s">
        <v>111</v>
      </c>
      <c r="B11" s="20" t="s">
        <v>112</v>
      </c>
      <c r="C11" s="20" t="s">
        <v>63</v>
      </c>
      <c r="D11" s="20" t="s">
        <v>64</v>
      </c>
      <c r="E11" s="20" t="s">
        <v>113</v>
      </c>
      <c r="F11" s="20" t="s">
        <v>114</v>
      </c>
      <c r="G11" s="20" t="s">
        <v>115</v>
      </c>
      <c r="H11" s="20" t="s">
        <v>116</v>
      </c>
      <c r="I11" s="20" t="s">
        <v>117</v>
      </c>
      <c r="J11" s="20" t="s">
        <v>66</v>
      </c>
      <c r="K11" s="20" t="s">
        <v>118</v>
      </c>
      <c r="L11" s="20" t="s">
        <v>119</v>
      </c>
    </row>
    <row r="12" customFormat="false" ht="15" hidden="false" customHeight="false" outlineLevel="0" collapsed="false">
      <c r="A12" s="4" t="n">
        <v>1</v>
      </c>
      <c r="B12" s="4" t="str">
        <f aca="false">"S"&amp;TEXT(A12,"00")</f>
        <v>S01</v>
      </c>
      <c r="C12" s="48" t="n">
        <f aca="false">SUMIFS(Registro!$M$6:$M$1005,Registro!$B$6:$B$1005,Parámetros!$B$4,Registro!$C$6:$C$1005,1)</f>
        <v>0</v>
      </c>
      <c r="D12" s="48" t="n">
        <f aca="false">SUMIFS(Registro!$N$6:$N$1005,Registro!$B$6:$B$1005,Parámetros!$B$4,Registro!$C$6:$C$1005,1)</f>
        <v>0</v>
      </c>
      <c r="E12" s="49" t="str">
        <f aca="false">IF(C12=0,"",D12/C12)</f>
        <v/>
      </c>
      <c r="F12" s="50"/>
      <c r="G12" s="49" t="str">
        <f aca="false">$B$4</f>
        <v/>
      </c>
      <c r="H12" s="49" t="str">
        <f aca="false">$B$7</f>
        <v/>
      </c>
      <c r="I12" s="49" t="str">
        <f aca="false">$B$8</f>
        <v/>
      </c>
      <c r="J12" s="49" t="str">
        <f aca="false">$B$9</f>
        <v/>
      </c>
      <c r="K12" s="51" t="str">
        <f aca="false">IF(OR(E12="",$B$4=""),"",IF(E12&lt;G12,0+1,0))</f>
        <v/>
      </c>
      <c r="L12" s="4" t="str">
        <f aca="false">IF(E12="","",IF(AND(H12&lt;&gt;"",OR(E12&gt;H12,E12&lt;I12)),"Fuera de control",IF(K12&gt;=8,"Tendencia: 8+ semanas bajo LC",IF(E12&lt;J12,"Bajo meta","OK"))))</f>
        <v/>
      </c>
    </row>
    <row r="13" customFormat="false" ht="15" hidden="false" customHeight="false" outlineLevel="0" collapsed="false">
      <c r="A13" s="4" t="n">
        <v>2</v>
      </c>
      <c r="B13" s="4" t="str">
        <f aca="false">"S"&amp;TEXT(A13,"00")</f>
        <v>S02</v>
      </c>
      <c r="C13" s="48" t="n">
        <f aca="false">SUMIFS(Registro!$M$6:$M$1005,Registro!$B$6:$B$1005,Parámetros!$B$4,Registro!$C$6:$C$1005,2)</f>
        <v>0</v>
      </c>
      <c r="D13" s="48" t="n">
        <f aca="false">SUMIFS(Registro!$N$6:$N$1005,Registro!$B$6:$B$1005,Parámetros!$B$4,Registro!$C$6:$C$1005,2)</f>
        <v>0</v>
      </c>
      <c r="E13" s="49" t="str">
        <f aca="false">IF(C13=0,"",D13/C13)</f>
        <v/>
      </c>
      <c r="F13" s="50" t="str">
        <f aca="false">IF(OR(E13="",E12=""),"",ABS(E13-E12))</f>
        <v/>
      </c>
      <c r="G13" s="49" t="str">
        <f aca="false">$B$4</f>
        <v/>
      </c>
      <c r="H13" s="49" t="str">
        <f aca="false">$B$7</f>
        <v/>
      </c>
      <c r="I13" s="49" t="str">
        <f aca="false">$B$8</f>
        <v/>
      </c>
      <c r="J13" s="49" t="str">
        <f aca="false">$B$9</f>
        <v/>
      </c>
      <c r="K13" s="51" t="str">
        <f aca="false">IF(OR(E13="",$B$4=""),"",IF(E13&lt;G13,N(K12)+1,0))</f>
        <v/>
      </c>
      <c r="L13" s="4" t="str">
        <f aca="false">IF(E13="","",IF(AND(H13&lt;&gt;"",OR(E13&gt;H13,E13&lt;I13)),"Fuera de control",IF(K13&gt;=8,"Tendencia: 8+ semanas bajo LC",IF(E13&lt;J13,"Bajo meta","OK"))))</f>
        <v/>
      </c>
    </row>
    <row r="14" customFormat="false" ht="15" hidden="false" customHeight="false" outlineLevel="0" collapsed="false">
      <c r="A14" s="4" t="n">
        <v>3</v>
      </c>
      <c r="B14" s="4" t="str">
        <f aca="false">"S"&amp;TEXT(A14,"00")</f>
        <v>S03</v>
      </c>
      <c r="C14" s="48" t="n">
        <f aca="false">SUMIFS(Registro!$M$6:$M$1005,Registro!$B$6:$B$1005,Parámetros!$B$4,Registro!$C$6:$C$1005,3)</f>
        <v>0</v>
      </c>
      <c r="D14" s="48" t="n">
        <f aca="false">SUMIFS(Registro!$N$6:$N$1005,Registro!$B$6:$B$1005,Parámetros!$B$4,Registro!$C$6:$C$1005,3)</f>
        <v>0</v>
      </c>
      <c r="E14" s="49" t="str">
        <f aca="false">IF(C14=0,"",D14/C14)</f>
        <v/>
      </c>
      <c r="F14" s="50" t="str">
        <f aca="false">IF(OR(E14="",E13=""),"",ABS(E14-E13))</f>
        <v/>
      </c>
      <c r="G14" s="49" t="str">
        <f aca="false">$B$4</f>
        <v/>
      </c>
      <c r="H14" s="49" t="str">
        <f aca="false">$B$7</f>
        <v/>
      </c>
      <c r="I14" s="49" t="str">
        <f aca="false">$B$8</f>
        <v/>
      </c>
      <c r="J14" s="49" t="str">
        <f aca="false">$B$9</f>
        <v/>
      </c>
      <c r="K14" s="51" t="str">
        <f aca="false">IF(OR(E14="",$B$4=""),"",IF(E14&lt;G14,N(K13)+1,0))</f>
        <v/>
      </c>
      <c r="L14" s="4" t="str">
        <f aca="false">IF(E14="","",IF(AND(H14&lt;&gt;"",OR(E14&gt;H14,E14&lt;I14)),"Fuera de control",IF(K14&gt;=8,"Tendencia: 8+ semanas bajo LC",IF(E14&lt;J14,"Bajo meta","OK"))))</f>
        <v/>
      </c>
    </row>
    <row r="15" customFormat="false" ht="15" hidden="false" customHeight="false" outlineLevel="0" collapsed="false">
      <c r="A15" s="4" t="n">
        <v>4</v>
      </c>
      <c r="B15" s="4" t="str">
        <f aca="false">"S"&amp;TEXT(A15,"00")</f>
        <v>S04</v>
      </c>
      <c r="C15" s="48" t="n">
        <f aca="false">SUMIFS(Registro!$M$6:$M$1005,Registro!$B$6:$B$1005,Parámetros!$B$4,Registro!$C$6:$C$1005,4)</f>
        <v>0</v>
      </c>
      <c r="D15" s="48" t="n">
        <f aca="false">SUMIFS(Registro!$N$6:$N$1005,Registro!$B$6:$B$1005,Parámetros!$B$4,Registro!$C$6:$C$1005,4)</f>
        <v>0</v>
      </c>
      <c r="E15" s="49" t="str">
        <f aca="false">IF(C15=0,"",D15/C15)</f>
        <v/>
      </c>
      <c r="F15" s="50" t="str">
        <f aca="false">IF(OR(E15="",E14=""),"",ABS(E15-E14))</f>
        <v/>
      </c>
      <c r="G15" s="49" t="str">
        <f aca="false">$B$4</f>
        <v/>
      </c>
      <c r="H15" s="49" t="str">
        <f aca="false">$B$7</f>
        <v/>
      </c>
      <c r="I15" s="49" t="str">
        <f aca="false">$B$8</f>
        <v/>
      </c>
      <c r="J15" s="49" t="str">
        <f aca="false">$B$9</f>
        <v/>
      </c>
      <c r="K15" s="51" t="str">
        <f aca="false">IF(OR(E15="",$B$4=""),"",IF(E15&lt;G15,N(K14)+1,0))</f>
        <v/>
      </c>
      <c r="L15" s="4" t="str">
        <f aca="false">IF(E15="","",IF(AND(H15&lt;&gt;"",OR(E15&gt;H15,E15&lt;I15)),"Fuera de control",IF(K15&gt;=8,"Tendencia: 8+ semanas bajo LC",IF(E15&lt;J15,"Bajo meta","OK"))))</f>
        <v/>
      </c>
    </row>
    <row r="16" customFormat="false" ht="15" hidden="false" customHeight="false" outlineLevel="0" collapsed="false">
      <c r="A16" s="4" t="n">
        <v>5</v>
      </c>
      <c r="B16" s="4" t="str">
        <f aca="false">"S"&amp;TEXT(A16,"00")</f>
        <v>S05</v>
      </c>
      <c r="C16" s="48" t="n">
        <f aca="false">SUMIFS(Registro!$M$6:$M$1005,Registro!$B$6:$B$1005,Parámetros!$B$4,Registro!$C$6:$C$1005,5)</f>
        <v>0</v>
      </c>
      <c r="D16" s="48" t="n">
        <f aca="false">SUMIFS(Registro!$N$6:$N$1005,Registro!$B$6:$B$1005,Parámetros!$B$4,Registro!$C$6:$C$1005,5)</f>
        <v>0</v>
      </c>
      <c r="E16" s="49" t="str">
        <f aca="false">IF(C16=0,"",D16/C16)</f>
        <v/>
      </c>
      <c r="F16" s="50" t="str">
        <f aca="false">IF(OR(E16="",E15=""),"",ABS(E16-E15))</f>
        <v/>
      </c>
      <c r="G16" s="49" t="str">
        <f aca="false">$B$4</f>
        <v/>
      </c>
      <c r="H16" s="49" t="str">
        <f aca="false">$B$7</f>
        <v/>
      </c>
      <c r="I16" s="49" t="str">
        <f aca="false">$B$8</f>
        <v/>
      </c>
      <c r="J16" s="49" t="str">
        <f aca="false">$B$9</f>
        <v/>
      </c>
      <c r="K16" s="51" t="str">
        <f aca="false">IF(OR(E16="",$B$4=""),"",IF(E16&lt;G16,N(K15)+1,0))</f>
        <v/>
      </c>
      <c r="L16" s="4" t="str">
        <f aca="false">IF(E16="","",IF(AND(H16&lt;&gt;"",OR(E16&gt;H16,E16&lt;I16)),"Fuera de control",IF(K16&gt;=8,"Tendencia: 8+ semanas bajo LC",IF(E16&lt;J16,"Bajo meta","OK"))))</f>
        <v/>
      </c>
    </row>
    <row r="17" customFormat="false" ht="15" hidden="false" customHeight="false" outlineLevel="0" collapsed="false">
      <c r="A17" s="4" t="n">
        <v>6</v>
      </c>
      <c r="B17" s="4" t="str">
        <f aca="false">"S"&amp;TEXT(A17,"00")</f>
        <v>S06</v>
      </c>
      <c r="C17" s="48" t="n">
        <f aca="false">SUMIFS(Registro!$M$6:$M$1005,Registro!$B$6:$B$1005,Parámetros!$B$4,Registro!$C$6:$C$1005,6)</f>
        <v>0</v>
      </c>
      <c r="D17" s="48" t="n">
        <f aca="false">SUMIFS(Registro!$N$6:$N$1005,Registro!$B$6:$B$1005,Parámetros!$B$4,Registro!$C$6:$C$1005,6)</f>
        <v>0</v>
      </c>
      <c r="E17" s="49" t="str">
        <f aca="false">IF(C17=0,"",D17/C17)</f>
        <v/>
      </c>
      <c r="F17" s="50" t="str">
        <f aca="false">IF(OR(E17="",E16=""),"",ABS(E17-E16))</f>
        <v/>
      </c>
      <c r="G17" s="49" t="str">
        <f aca="false">$B$4</f>
        <v/>
      </c>
      <c r="H17" s="49" t="str">
        <f aca="false">$B$7</f>
        <v/>
      </c>
      <c r="I17" s="49" t="str">
        <f aca="false">$B$8</f>
        <v/>
      </c>
      <c r="J17" s="49" t="str">
        <f aca="false">$B$9</f>
        <v/>
      </c>
      <c r="K17" s="51" t="str">
        <f aca="false">IF(OR(E17="",$B$4=""),"",IF(E17&lt;G17,N(K16)+1,0))</f>
        <v/>
      </c>
      <c r="L17" s="4" t="str">
        <f aca="false">IF(E17="","",IF(AND(H17&lt;&gt;"",OR(E17&gt;H17,E17&lt;I17)),"Fuera de control",IF(K17&gt;=8,"Tendencia: 8+ semanas bajo LC",IF(E17&lt;J17,"Bajo meta","OK"))))</f>
        <v/>
      </c>
    </row>
    <row r="18" customFormat="false" ht="15" hidden="false" customHeight="false" outlineLevel="0" collapsed="false">
      <c r="A18" s="4" t="n">
        <v>7</v>
      </c>
      <c r="B18" s="4" t="str">
        <f aca="false">"S"&amp;TEXT(A18,"00")</f>
        <v>S07</v>
      </c>
      <c r="C18" s="48" t="n">
        <f aca="false">SUMIFS(Registro!$M$6:$M$1005,Registro!$B$6:$B$1005,Parámetros!$B$4,Registro!$C$6:$C$1005,7)</f>
        <v>0</v>
      </c>
      <c r="D18" s="48" t="n">
        <f aca="false">SUMIFS(Registro!$N$6:$N$1005,Registro!$B$6:$B$1005,Parámetros!$B$4,Registro!$C$6:$C$1005,7)</f>
        <v>0</v>
      </c>
      <c r="E18" s="49" t="str">
        <f aca="false">IF(C18=0,"",D18/C18)</f>
        <v/>
      </c>
      <c r="F18" s="50" t="str">
        <f aca="false">IF(OR(E18="",E17=""),"",ABS(E18-E17))</f>
        <v/>
      </c>
      <c r="G18" s="49" t="str">
        <f aca="false">$B$4</f>
        <v/>
      </c>
      <c r="H18" s="49" t="str">
        <f aca="false">$B$7</f>
        <v/>
      </c>
      <c r="I18" s="49" t="str">
        <f aca="false">$B$8</f>
        <v/>
      </c>
      <c r="J18" s="49" t="str">
        <f aca="false">$B$9</f>
        <v/>
      </c>
      <c r="K18" s="51" t="str">
        <f aca="false">IF(OR(E18="",$B$4=""),"",IF(E18&lt;G18,N(K17)+1,0))</f>
        <v/>
      </c>
      <c r="L18" s="4" t="str">
        <f aca="false">IF(E18="","",IF(AND(H18&lt;&gt;"",OR(E18&gt;H18,E18&lt;I18)),"Fuera de control",IF(K18&gt;=8,"Tendencia: 8+ semanas bajo LC",IF(E18&lt;J18,"Bajo meta","OK"))))</f>
        <v/>
      </c>
    </row>
    <row r="19" customFormat="false" ht="15" hidden="false" customHeight="false" outlineLevel="0" collapsed="false">
      <c r="A19" s="4" t="n">
        <v>8</v>
      </c>
      <c r="B19" s="4" t="str">
        <f aca="false">"S"&amp;TEXT(A19,"00")</f>
        <v>S08</v>
      </c>
      <c r="C19" s="48" t="n">
        <f aca="false">SUMIFS(Registro!$M$6:$M$1005,Registro!$B$6:$B$1005,Parámetros!$B$4,Registro!$C$6:$C$1005,8)</f>
        <v>0</v>
      </c>
      <c r="D19" s="48" t="n">
        <f aca="false">SUMIFS(Registro!$N$6:$N$1005,Registro!$B$6:$B$1005,Parámetros!$B$4,Registro!$C$6:$C$1005,8)</f>
        <v>0</v>
      </c>
      <c r="E19" s="49" t="str">
        <f aca="false">IF(C19=0,"",D19/C19)</f>
        <v/>
      </c>
      <c r="F19" s="50" t="str">
        <f aca="false">IF(OR(E19="",E18=""),"",ABS(E19-E18))</f>
        <v/>
      </c>
      <c r="G19" s="49" t="str">
        <f aca="false">$B$4</f>
        <v/>
      </c>
      <c r="H19" s="49" t="str">
        <f aca="false">$B$7</f>
        <v/>
      </c>
      <c r="I19" s="49" t="str">
        <f aca="false">$B$8</f>
        <v/>
      </c>
      <c r="J19" s="49" t="str">
        <f aca="false">$B$9</f>
        <v/>
      </c>
      <c r="K19" s="51" t="str">
        <f aca="false">IF(OR(E19="",$B$4=""),"",IF(E19&lt;G19,N(K18)+1,0))</f>
        <v/>
      </c>
      <c r="L19" s="4" t="str">
        <f aca="false">IF(E19="","",IF(AND(H19&lt;&gt;"",OR(E19&gt;H19,E19&lt;I19)),"Fuera de control",IF(K19&gt;=8,"Tendencia: 8+ semanas bajo LC",IF(E19&lt;J19,"Bajo meta","OK"))))</f>
        <v/>
      </c>
    </row>
    <row r="20" customFormat="false" ht="15" hidden="false" customHeight="false" outlineLevel="0" collapsed="false">
      <c r="A20" s="4" t="n">
        <v>9</v>
      </c>
      <c r="B20" s="4" t="str">
        <f aca="false">"S"&amp;TEXT(A20,"00")</f>
        <v>S09</v>
      </c>
      <c r="C20" s="48" t="n">
        <f aca="false">SUMIFS(Registro!$M$6:$M$1005,Registro!$B$6:$B$1005,Parámetros!$B$4,Registro!$C$6:$C$1005,9)</f>
        <v>0</v>
      </c>
      <c r="D20" s="48" t="n">
        <f aca="false">SUMIFS(Registro!$N$6:$N$1005,Registro!$B$6:$B$1005,Parámetros!$B$4,Registro!$C$6:$C$1005,9)</f>
        <v>0</v>
      </c>
      <c r="E20" s="49" t="str">
        <f aca="false">IF(C20=0,"",D20/C20)</f>
        <v/>
      </c>
      <c r="F20" s="50" t="str">
        <f aca="false">IF(OR(E20="",E19=""),"",ABS(E20-E19))</f>
        <v/>
      </c>
      <c r="G20" s="49" t="str">
        <f aca="false">$B$4</f>
        <v/>
      </c>
      <c r="H20" s="49" t="str">
        <f aca="false">$B$7</f>
        <v/>
      </c>
      <c r="I20" s="49" t="str">
        <f aca="false">$B$8</f>
        <v/>
      </c>
      <c r="J20" s="49" t="str">
        <f aca="false">$B$9</f>
        <v/>
      </c>
      <c r="K20" s="51" t="str">
        <f aca="false">IF(OR(E20="",$B$4=""),"",IF(E20&lt;G20,N(K19)+1,0))</f>
        <v/>
      </c>
      <c r="L20" s="4" t="str">
        <f aca="false">IF(E20="","",IF(AND(H20&lt;&gt;"",OR(E20&gt;H20,E20&lt;I20)),"Fuera de control",IF(K20&gt;=8,"Tendencia: 8+ semanas bajo LC",IF(E20&lt;J20,"Bajo meta","OK"))))</f>
        <v/>
      </c>
    </row>
    <row r="21" customFormat="false" ht="15" hidden="false" customHeight="false" outlineLevel="0" collapsed="false">
      <c r="A21" s="4" t="n">
        <v>10</v>
      </c>
      <c r="B21" s="4" t="str">
        <f aca="false">"S"&amp;TEXT(A21,"00")</f>
        <v>S10</v>
      </c>
      <c r="C21" s="48" t="n">
        <f aca="false">SUMIFS(Registro!$M$6:$M$1005,Registro!$B$6:$B$1005,Parámetros!$B$4,Registro!$C$6:$C$1005,10)</f>
        <v>0</v>
      </c>
      <c r="D21" s="48" t="n">
        <f aca="false">SUMIFS(Registro!$N$6:$N$1005,Registro!$B$6:$B$1005,Parámetros!$B$4,Registro!$C$6:$C$1005,10)</f>
        <v>0</v>
      </c>
      <c r="E21" s="49" t="str">
        <f aca="false">IF(C21=0,"",D21/C21)</f>
        <v/>
      </c>
      <c r="F21" s="50" t="str">
        <f aca="false">IF(OR(E21="",E20=""),"",ABS(E21-E20))</f>
        <v/>
      </c>
      <c r="G21" s="49" t="str">
        <f aca="false">$B$4</f>
        <v/>
      </c>
      <c r="H21" s="49" t="str">
        <f aca="false">$B$7</f>
        <v/>
      </c>
      <c r="I21" s="49" t="str">
        <f aca="false">$B$8</f>
        <v/>
      </c>
      <c r="J21" s="49" t="str">
        <f aca="false">$B$9</f>
        <v/>
      </c>
      <c r="K21" s="51" t="str">
        <f aca="false">IF(OR(E21="",$B$4=""),"",IF(E21&lt;G21,N(K20)+1,0))</f>
        <v/>
      </c>
      <c r="L21" s="4" t="str">
        <f aca="false">IF(E21="","",IF(AND(H21&lt;&gt;"",OR(E21&gt;H21,E21&lt;I21)),"Fuera de control",IF(K21&gt;=8,"Tendencia: 8+ semanas bajo LC",IF(E21&lt;J21,"Bajo meta","OK"))))</f>
        <v/>
      </c>
    </row>
    <row r="22" customFormat="false" ht="15" hidden="false" customHeight="false" outlineLevel="0" collapsed="false">
      <c r="A22" s="4" t="n">
        <v>11</v>
      </c>
      <c r="B22" s="4" t="str">
        <f aca="false">"S"&amp;TEXT(A22,"00")</f>
        <v>S11</v>
      </c>
      <c r="C22" s="48" t="n">
        <f aca="false">SUMIFS(Registro!$M$6:$M$1005,Registro!$B$6:$B$1005,Parámetros!$B$4,Registro!$C$6:$C$1005,11)</f>
        <v>0</v>
      </c>
      <c r="D22" s="48" t="n">
        <f aca="false">SUMIFS(Registro!$N$6:$N$1005,Registro!$B$6:$B$1005,Parámetros!$B$4,Registro!$C$6:$C$1005,11)</f>
        <v>0</v>
      </c>
      <c r="E22" s="49" t="str">
        <f aca="false">IF(C22=0,"",D22/C22)</f>
        <v/>
      </c>
      <c r="F22" s="50" t="str">
        <f aca="false">IF(OR(E22="",E21=""),"",ABS(E22-E21))</f>
        <v/>
      </c>
      <c r="G22" s="49" t="str">
        <f aca="false">$B$4</f>
        <v/>
      </c>
      <c r="H22" s="49" t="str">
        <f aca="false">$B$7</f>
        <v/>
      </c>
      <c r="I22" s="49" t="str">
        <f aca="false">$B$8</f>
        <v/>
      </c>
      <c r="J22" s="49" t="str">
        <f aca="false">$B$9</f>
        <v/>
      </c>
      <c r="K22" s="51" t="str">
        <f aca="false">IF(OR(E22="",$B$4=""),"",IF(E22&lt;G22,N(K21)+1,0))</f>
        <v/>
      </c>
      <c r="L22" s="4" t="str">
        <f aca="false">IF(E22="","",IF(AND(H22&lt;&gt;"",OR(E22&gt;H22,E22&lt;I22)),"Fuera de control",IF(K22&gt;=8,"Tendencia: 8+ semanas bajo LC",IF(E22&lt;J22,"Bajo meta","OK"))))</f>
        <v/>
      </c>
    </row>
    <row r="23" customFormat="false" ht="15" hidden="false" customHeight="false" outlineLevel="0" collapsed="false">
      <c r="A23" s="4" t="n">
        <v>12</v>
      </c>
      <c r="B23" s="4" t="str">
        <f aca="false">"S"&amp;TEXT(A23,"00")</f>
        <v>S12</v>
      </c>
      <c r="C23" s="48" t="n">
        <f aca="false">SUMIFS(Registro!$M$6:$M$1005,Registro!$B$6:$B$1005,Parámetros!$B$4,Registro!$C$6:$C$1005,12)</f>
        <v>0</v>
      </c>
      <c r="D23" s="48" t="n">
        <f aca="false">SUMIFS(Registro!$N$6:$N$1005,Registro!$B$6:$B$1005,Parámetros!$B$4,Registro!$C$6:$C$1005,12)</f>
        <v>0</v>
      </c>
      <c r="E23" s="49" t="str">
        <f aca="false">IF(C23=0,"",D23/C23)</f>
        <v/>
      </c>
      <c r="F23" s="50" t="str">
        <f aca="false">IF(OR(E23="",E22=""),"",ABS(E23-E22))</f>
        <v/>
      </c>
      <c r="G23" s="49" t="str">
        <f aca="false">$B$4</f>
        <v/>
      </c>
      <c r="H23" s="49" t="str">
        <f aca="false">$B$7</f>
        <v/>
      </c>
      <c r="I23" s="49" t="str">
        <f aca="false">$B$8</f>
        <v/>
      </c>
      <c r="J23" s="49" t="str">
        <f aca="false">$B$9</f>
        <v/>
      </c>
      <c r="K23" s="51" t="str">
        <f aca="false">IF(OR(E23="",$B$4=""),"",IF(E23&lt;G23,N(K22)+1,0))</f>
        <v/>
      </c>
      <c r="L23" s="4" t="str">
        <f aca="false">IF(E23="","",IF(AND(H23&lt;&gt;"",OR(E23&gt;H23,E23&lt;I23)),"Fuera de control",IF(K23&gt;=8,"Tendencia: 8+ semanas bajo LC",IF(E23&lt;J23,"Bajo meta","OK"))))</f>
        <v/>
      </c>
    </row>
    <row r="24" customFormat="false" ht="15" hidden="false" customHeight="false" outlineLevel="0" collapsed="false">
      <c r="A24" s="4" t="n">
        <v>13</v>
      </c>
      <c r="B24" s="4" t="str">
        <f aca="false">"S"&amp;TEXT(A24,"00")</f>
        <v>S13</v>
      </c>
      <c r="C24" s="48" t="n">
        <f aca="false">SUMIFS(Registro!$M$6:$M$1005,Registro!$B$6:$B$1005,Parámetros!$B$4,Registro!$C$6:$C$1005,13)</f>
        <v>0</v>
      </c>
      <c r="D24" s="48" t="n">
        <f aca="false">SUMIFS(Registro!$N$6:$N$1005,Registro!$B$6:$B$1005,Parámetros!$B$4,Registro!$C$6:$C$1005,13)</f>
        <v>0</v>
      </c>
      <c r="E24" s="49" t="str">
        <f aca="false">IF(C24=0,"",D24/C24)</f>
        <v/>
      </c>
      <c r="F24" s="50" t="str">
        <f aca="false">IF(OR(E24="",E23=""),"",ABS(E24-E23))</f>
        <v/>
      </c>
      <c r="G24" s="49" t="str">
        <f aca="false">$B$4</f>
        <v/>
      </c>
      <c r="H24" s="49" t="str">
        <f aca="false">$B$7</f>
        <v/>
      </c>
      <c r="I24" s="49" t="str">
        <f aca="false">$B$8</f>
        <v/>
      </c>
      <c r="J24" s="49" t="str">
        <f aca="false">$B$9</f>
        <v/>
      </c>
      <c r="K24" s="51" t="str">
        <f aca="false">IF(OR(E24="",$B$4=""),"",IF(E24&lt;G24,N(K23)+1,0))</f>
        <v/>
      </c>
      <c r="L24" s="4" t="str">
        <f aca="false">IF(E24="","",IF(AND(H24&lt;&gt;"",OR(E24&gt;H24,E24&lt;I24)),"Fuera de control",IF(K24&gt;=8,"Tendencia: 8+ semanas bajo LC",IF(E24&lt;J24,"Bajo meta","OK"))))</f>
        <v/>
      </c>
    </row>
    <row r="25" customFormat="false" ht="15" hidden="false" customHeight="false" outlineLevel="0" collapsed="false">
      <c r="A25" s="4" t="n">
        <v>14</v>
      </c>
      <c r="B25" s="4" t="str">
        <f aca="false">"S"&amp;TEXT(A25,"00")</f>
        <v>S14</v>
      </c>
      <c r="C25" s="48" t="n">
        <f aca="false">SUMIFS(Registro!$M$6:$M$1005,Registro!$B$6:$B$1005,Parámetros!$B$4,Registro!$C$6:$C$1005,14)</f>
        <v>0</v>
      </c>
      <c r="D25" s="48" t="n">
        <f aca="false">SUMIFS(Registro!$N$6:$N$1005,Registro!$B$6:$B$1005,Parámetros!$B$4,Registro!$C$6:$C$1005,14)</f>
        <v>0</v>
      </c>
      <c r="E25" s="49" t="str">
        <f aca="false">IF(C25=0,"",D25/C25)</f>
        <v/>
      </c>
      <c r="F25" s="50" t="str">
        <f aca="false">IF(OR(E25="",E24=""),"",ABS(E25-E24))</f>
        <v/>
      </c>
      <c r="G25" s="49" t="str">
        <f aca="false">$B$4</f>
        <v/>
      </c>
      <c r="H25" s="49" t="str">
        <f aca="false">$B$7</f>
        <v/>
      </c>
      <c r="I25" s="49" t="str">
        <f aca="false">$B$8</f>
        <v/>
      </c>
      <c r="J25" s="49" t="str">
        <f aca="false">$B$9</f>
        <v/>
      </c>
      <c r="K25" s="51" t="str">
        <f aca="false">IF(OR(E25="",$B$4=""),"",IF(E25&lt;G25,N(K24)+1,0))</f>
        <v/>
      </c>
      <c r="L25" s="4" t="str">
        <f aca="false">IF(E25="","",IF(AND(H25&lt;&gt;"",OR(E25&gt;H25,E25&lt;I25)),"Fuera de control",IF(K25&gt;=8,"Tendencia: 8+ semanas bajo LC",IF(E25&lt;J25,"Bajo meta","OK"))))</f>
        <v/>
      </c>
    </row>
    <row r="26" customFormat="false" ht="15" hidden="false" customHeight="false" outlineLevel="0" collapsed="false">
      <c r="A26" s="4" t="n">
        <v>15</v>
      </c>
      <c r="B26" s="4" t="str">
        <f aca="false">"S"&amp;TEXT(A26,"00")</f>
        <v>S15</v>
      </c>
      <c r="C26" s="48" t="n">
        <f aca="false">SUMIFS(Registro!$M$6:$M$1005,Registro!$B$6:$B$1005,Parámetros!$B$4,Registro!$C$6:$C$1005,15)</f>
        <v>0</v>
      </c>
      <c r="D26" s="48" t="n">
        <f aca="false">SUMIFS(Registro!$N$6:$N$1005,Registro!$B$6:$B$1005,Parámetros!$B$4,Registro!$C$6:$C$1005,15)</f>
        <v>0</v>
      </c>
      <c r="E26" s="49" t="str">
        <f aca="false">IF(C26=0,"",D26/C26)</f>
        <v/>
      </c>
      <c r="F26" s="50" t="str">
        <f aca="false">IF(OR(E26="",E25=""),"",ABS(E26-E25))</f>
        <v/>
      </c>
      <c r="G26" s="49" t="str">
        <f aca="false">$B$4</f>
        <v/>
      </c>
      <c r="H26" s="49" t="str">
        <f aca="false">$B$7</f>
        <v/>
      </c>
      <c r="I26" s="49" t="str">
        <f aca="false">$B$8</f>
        <v/>
      </c>
      <c r="J26" s="49" t="str">
        <f aca="false">$B$9</f>
        <v/>
      </c>
      <c r="K26" s="51" t="str">
        <f aca="false">IF(OR(E26="",$B$4=""),"",IF(E26&lt;G26,N(K25)+1,0))</f>
        <v/>
      </c>
      <c r="L26" s="4" t="str">
        <f aca="false">IF(E26="","",IF(AND(H26&lt;&gt;"",OR(E26&gt;H26,E26&lt;I26)),"Fuera de control",IF(K26&gt;=8,"Tendencia: 8+ semanas bajo LC",IF(E26&lt;J26,"Bajo meta","OK"))))</f>
        <v/>
      </c>
    </row>
    <row r="27" customFormat="false" ht="15" hidden="false" customHeight="false" outlineLevel="0" collapsed="false">
      <c r="A27" s="4" t="n">
        <v>16</v>
      </c>
      <c r="B27" s="4" t="str">
        <f aca="false">"S"&amp;TEXT(A27,"00")</f>
        <v>S16</v>
      </c>
      <c r="C27" s="48" t="n">
        <f aca="false">SUMIFS(Registro!$M$6:$M$1005,Registro!$B$6:$B$1005,Parámetros!$B$4,Registro!$C$6:$C$1005,16)</f>
        <v>0</v>
      </c>
      <c r="D27" s="48" t="n">
        <f aca="false">SUMIFS(Registro!$N$6:$N$1005,Registro!$B$6:$B$1005,Parámetros!$B$4,Registro!$C$6:$C$1005,16)</f>
        <v>0</v>
      </c>
      <c r="E27" s="49" t="str">
        <f aca="false">IF(C27=0,"",D27/C27)</f>
        <v/>
      </c>
      <c r="F27" s="50" t="str">
        <f aca="false">IF(OR(E27="",E26=""),"",ABS(E27-E26))</f>
        <v/>
      </c>
      <c r="G27" s="49" t="str">
        <f aca="false">$B$4</f>
        <v/>
      </c>
      <c r="H27" s="49" t="str">
        <f aca="false">$B$7</f>
        <v/>
      </c>
      <c r="I27" s="49" t="str">
        <f aca="false">$B$8</f>
        <v/>
      </c>
      <c r="J27" s="49" t="str">
        <f aca="false">$B$9</f>
        <v/>
      </c>
      <c r="K27" s="51" t="str">
        <f aca="false">IF(OR(E27="",$B$4=""),"",IF(E27&lt;G27,N(K26)+1,0))</f>
        <v/>
      </c>
      <c r="L27" s="4" t="str">
        <f aca="false">IF(E27="","",IF(AND(H27&lt;&gt;"",OR(E27&gt;H27,E27&lt;I27)),"Fuera de control",IF(K27&gt;=8,"Tendencia: 8+ semanas bajo LC",IF(E27&lt;J27,"Bajo meta","OK"))))</f>
        <v/>
      </c>
    </row>
    <row r="28" customFormat="false" ht="15" hidden="false" customHeight="false" outlineLevel="0" collapsed="false">
      <c r="A28" s="4" t="n">
        <v>17</v>
      </c>
      <c r="B28" s="4" t="str">
        <f aca="false">"S"&amp;TEXT(A28,"00")</f>
        <v>S17</v>
      </c>
      <c r="C28" s="48" t="n">
        <f aca="false">SUMIFS(Registro!$M$6:$M$1005,Registro!$B$6:$B$1005,Parámetros!$B$4,Registro!$C$6:$C$1005,17)</f>
        <v>0</v>
      </c>
      <c r="D28" s="48" t="n">
        <f aca="false">SUMIFS(Registro!$N$6:$N$1005,Registro!$B$6:$B$1005,Parámetros!$B$4,Registro!$C$6:$C$1005,17)</f>
        <v>0</v>
      </c>
      <c r="E28" s="49" t="str">
        <f aca="false">IF(C28=0,"",D28/C28)</f>
        <v/>
      </c>
      <c r="F28" s="50" t="str">
        <f aca="false">IF(OR(E28="",E27=""),"",ABS(E28-E27))</f>
        <v/>
      </c>
      <c r="G28" s="49" t="str">
        <f aca="false">$B$4</f>
        <v/>
      </c>
      <c r="H28" s="49" t="str">
        <f aca="false">$B$7</f>
        <v/>
      </c>
      <c r="I28" s="49" t="str">
        <f aca="false">$B$8</f>
        <v/>
      </c>
      <c r="J28" s="49" t="str">
        <f aca="false">$B$9</f>
        <v/>
      </c>
      <c r="K28" s="51" t="str">
        <f aca="false">IF(OR(E28="",$B$4=""),"",IF(E28&lt;G28,N(K27)+1,0))</f>
        <v/>
      </c>
      <c r="L28" s="4" t="str">
        <f aca="false">IF(E28="","",IF(AND(H28&lt;&gt;"",OR(E28&gt;H28,E28&lt;I28)),"Fuera de control",IF(K28&gt;=8,"Tendencia: 8+ semanas bajo LC",IF(E28&lt;J28,"Bajo meta","OK"))))</f>
        <v/>
      </c>
    </row>
    <row r="29" customFormat="false" ht="15" hidden="false" customHeight="false" outlineLevel="0" collapsed="false">
      <c r="A29" s="4" t="n">
        <v>18</v>
      </c>
      <c r="B29" s="4" t="str">
        <f aca="false">"S"&amp;TEXT(A29,"00")</f>
        <v>S18</v>
      </c>
      <c r="C29" s="48" t="n">
        <f aca="false">SUMIFS(Registro!$M$6:$M$1005,Registro!$B$6:$B$1005,Parámetros!$B$4,Registro!$C$6:$C$1005,18)</f>
        <v>0</v>
      </c>
      <c r="D29" s="48" t="n">
        <f aca="false">SUMIFS(Registro!$N$6:$N$1005,Registro!$B$6:$B$1005,Parámetros!$B$4,Registro!$C$6:$C$1005,18)</f>
        <v>0</v>
      </c>
      <c r="E29" s="49" t="str">
        <f aca="false">IF(C29=0,"",D29/C29)</f>
        <v/>
      </c>
      <c r="F29" s="50" t="str">
        <f aca="false">IF(OR(E29="",E28=""),"",ABS(E29-E28))</f>
        <v/>
      </c>
      <c r="G29" s="49" t="str">
        <f aca="false">$B$4</f>
        <v/>
      </c>
      <c r="H29" s="49" t="str">
        <f aca="false">$B$7</f>
        <v/>
      </c>
      <c r="I29" s="49" t="str">
        <f aca="false">$B$8</f>
        <v/>
      </c>
      <c r="J29" s="49" t="str">
        <f aca="false">$B$9</f>
        <v/>
      </c>
      <c r="K29" s="51" t="str">
        <f aca="false">IF(OR(E29="",$B$4=""),"",IF(E29&lt;G29,N(K28)+1,0))</f>
        <v/>
      </c>
      <c r="L29" s="4" t="str">
        <f aca="false">IF(E29="","",IF(AND(H29&lt;&gt;"",OR(E29&gt;H29,E29&lt;I29)),"Fuera de control",IF(K29&gt;=8,"Tendencia: 8+ semanas bajo LC",IF(E29&lt;J29,"Bajo meta","OK"))))</f>
        <v/>
      </c>
    </row>
    <row r="30" customFormat="false" ht="15" hidden="false" customHeight="false" outlineLevel="0" collapsed="false">
      <c r="A30" s="4" t="n">
        <v>19</v>
      </c>
      <c r="B30" s="4" t="str">
        <f aca="false">"S"&amp;TEXT(A30,"00")</f>
        <v>S19</v>
      </c>
      <c r="C30" s="48" t="n">
        <f aca="false">SUMIFS(Registro!$M$6:$M$1005,Registro!$B$6:$B$1005,Parámetros!$B$4,Registro!$C$6:$C$1005,19)</f>
        <v>0</v>
      </c>
      <c r="D30" s="48" t="n">
        <f aca="false">SUMIFS(Registro!$N$6:$N$1005,Registro!$B$6:$B$1005,Parámetros!$B$4,Registro!$C$6:$C$1005,19)</f>
        <v>0</v>
      </c>
      <c r="E30" s="49" t="str">
        <f aca="false">IF(C30=0,"",D30/C30)</f>
        <v/>
      </c>
      <c r="F30" s="50" t="str">
        <f aca="false">IF(OR(E30="",E29=""),"",ABS(E30-E29))</f>
        <v/>
      </c>
      <c r="G30" s="49" t="str">
        <f aca="false">$B$4</f>
        <v/>
      </c>
      <c r="H30" s="49" t="str">
        <f aca="false">$B$7</f>
        <v/>
      </c>
      <c r="I30" s="49" t="str">
        <f aca="false">$B$8</f>
        <v/>
      </c>
      <c r="J30" s="49" t="str">
        <f aca="false">$B$9</f>
        <v/>
      </c>
      <c r="K30" s="51" t="str">
        <f aca="false">IF(OR(E30="",$B$4=""),"",IF(E30&lt;G30,N(K29)+1,0))</f>
        <v/>
      </c>
      <c r="L30" s="4" t="str">
        <f aca="false">IF(E30="","",IF(AND(H30&lt;&gt;"",OR(E30&gt;H30,E30&lt;I30)),"Fuera de control",IF(K30&gt;=8,"Tendencia: 8+ semanas bajo LC",IF(E30&lt;J30,"Bajo meta","OK"))))</f>
        <v/>
      </c>
    </row>
    <row r="31" customFormat="false" ht="15" hidden="false" customHeight="false" outlineLevel="0" collapsed="false">
      <c r="A31" s="4" t="n">
        <v>20</v>
      </c>
      <c r="B31" s="4" t="str">
        <f aca="false">"S"&amp;TEXT(A31,"00")</f>
        <v>S20</v>
      </c>
      <c r="C31" s="48" t="n">
        <f aca="false">SUMIFS(Registro!$M$6:$M$1005,Registro!$B$6:$B$1005,Parámetros!$B$4,Registro!$C$6:$C$1005,20)</f>
        <v>0</v>
      </c>
      <c r="D31" s="48" t="n">
        <f aca="false">SUMIFS(Registro!$N$6:$N$1005,Registro!$B$6:$B$1005,Parámetros!$B$4,Registro!$C$6:$C$1005,20)</f>
        <v>0</v>
      </c>
      <c r="E31" s="49" t="str">
        <f aca="false">IF(C31=0,"",D31/C31)</f>
        <v/>
      </c>
      <c r="F31" s="50" t="str">
        <f aca="false">IF(OR(E31="",E30=""),"",ABS(E31-E30))</f>
        <v/>
      </c>
      <c r="G31" s="49" t="str">
        <f aca="false">$B$4</f>
        <v/>
      </c>
      <c r="H31" s="49" t="str">
        <f aca="false">$B$7</f>
        <v/>
      </c>
      <c r="I31" s="49" t="str">
        <f aca="false">$B$8</f>
        <v/>
      </c>
      <c r="J31" s="49" t="str">
        <f aca="false">$B$9</f>
        <v/>
      </c>
      <c r="K31" s="51" t="str">
        <f aca="false">IF(OR(E31="",$B$4=""),"",IF(E31&lt;G31,N(K30)+1,0))</f>
        <v/>
      </c>
      <c r="L31" s="4" t="str">
        <f aca="false">IF(E31="","",IF(AND(H31&lt;&gt;"",OR(E31&gt;H31,E31&lt;I31)),"Fuera de control",IF(K31&gt;=8,"Tendencia: 8+ semanas bajo LC",IF(E31&lt;J31,"Bajo meta","OK"))))</f>
        <v/>
      </c>
    </row>
    <row r="32" customFormat="false" ht="15" hidden="false" customHeight="false" outlineLevel="0" collapsed="false">
      <c r="A32" s="4" t="n">
        <v>21</v>
      </c>
      <c r="B32" s="4" t="str">
        <f aca="false">"S"&amp;TEXT(A32,"00")</f>
        <v>S21</v>
      </c>
      <c r="C32" s="48" t="n">
        <f aca="false">SUMIFS(Registro!$M$6:$M$1005,Registro!$B$6:$B$1005,Parámetros!$B$4,Registro!$C$6:$C$1005,21)</f>
        <v>0</v>
      </c>
      <c r="D32" s="48" t="n">
        <f aca="false">SUMIFS(Registro!$N$6:$N$1005,Registro!$B$6:$B$1005,Parámetros!$B$4,Registro!$C$6:$C$1005,21)</f>
        <v>0</v>
      </c>
      <c r="E32" s="49" t="str">
        <f aca="false">IF(C32=0,"",D32/C32)</f>
        <v/>
      </c>
      <c r="F32" s="50" t="str">
        <f aca="false">IF(OR(E32="",E31=""),"",ABS(E32-E31))</f>
        <v/>
      </c>
      <c r="G32" s="49" t="str">
        <f aca="false">$B$4</f>
        <v/>
      </c>
      <c r="H32" s="49" t="str">
        <f aca="false">$B$7</f>
        <v/>
      </c>
      <c r="I32" s="49" t="str">
        <f aca="false">$B$8</f>
        <v/>
      </c>
      <c r="J32" s="49" t="str">
        <f aca="false">$B$9</f>
        <v/>
      </c>
      <c r="K32" s="51" t="str">
        <f aca="false">IF(OR(E32="",$B$4=""),"",IF(E32&lt;G32,N(K31)+1,0))</f>
        <v/>
      </c>
      <c r="L32" s="4" t="str">
        <f aca="false">IF(E32="","",IF(AND(H32&lt;&gt;"",OR(E32&gt;H32,E32&lt;I32)),"Fuera de control",IF(K32&gt;=8,"Tendencia: 8+ semanas bajo LC",IF(E32&lt;J32,"Bajo meta","OK"))))</f>
        <v/>
      </c>
    </row>
    <row r="33" customFormat="false" ht="15" hidden="false" customHeight="false" outlineLevel="0" collapsed="false">
      <c r="A33" s="4" t="n">
        <v>22</v>
      </c>
      <c r="B33" s="4" t="str">
        <f aca="false">"S"&amp;TEXT(A33,"00")</f>
        <v>S22</v>
      </c>
      <c r="C33" s="48" t="n">
        <f aca="false">SUMIFS(Registro!$M$6:$M$1005,Registro!$B$6:$B$1005,Parámetros!$B$4,Registro!$C$6:$C$1005,22)</f>
        <v>0</v>
      </c>
      <c r="D33" s="48" t="n">
        <f aca="false">SUMIFS(Registro!$N$6:$N$1005,Registro!$B$6:$B$1005,Parámetros!$B$4,Registro!$C$6:$C$1005,22)</f>
        <v>0</v>
      </c>
      <c r="E33" s="49" t="str">
        <f aca="false">IF(C33=0,"",D33/C33)</f>
        <v/>
      </c>
      <c r="F33" s="50" t="str">
        <f aca="false">IF(OR(E33="",E32=""),"",ABS(E33-E32))</f>
        <v/>
      </c>
      <c r="G33" s="49" t="str">
        <f aca="false">$B$4</f>
        <v/>
      </c>
      <c r="H33" s="49" t="str">
        <f aca="false">$B$7</f>
        <v/>
      </c>
      <c r="I33" s="49" t="str">
        <f aca="false">$B$8</f>
        <v/>
      </c>
      <c r="J33" s="49" t="str">
        <f aca="false">$B$9</f>
        <v/>
      </c>
      <c r="K33" s="51" t="str">
        <f aca="false">IF(OR(E33="",$B$4=""),"",IF(E33&lt;G33,N(K32)+1,0))</f>
        <v/>
      </c>
      <c r="L33" s="4" t="str">
        <f aca="false">IF(E33="","",IF(AND(H33&lt;&gt;"",OR(E33&gt;H33,E33&lt;I33)),"Fuera de control",IF(K33&gt;=8,"Tendencia: 8+ semanas bajo LC",IF(E33&lt;J33,"Bajo meta","OK"))))</f>
        <v/>
      </c>
    </row>
    <row r="34" customFormat="false" ht="15" hidden="false" customHeight="false" outlineLevel="0" collapsed="false">
      <c r="A34" s="4" t="n">
        <v>23</v>
      </c>
      <c r="B34" s="4" t="str">
        <f aca="false">"S"&amp;TEXT(A34,"00")</f>
        <v>S23</v>
      </c>
      <c r="C34" s="48" t="n">
        <f aca="false">SUMIFS(Registro!$M$6:$M$1005,Registro!$B$6:$B$1005,Parámetros!$B$4,Registro!$C$6:$C$1005,23)</f>
        <v>0</v>
      </c>
      <c r="D34" s="48" t="n">
        <f aca="false">SUMIFS(Registro!$N$6:$N$1005,Registro!$B$6:$B$1005,Parámetros!$B$4,Registro!$C$6:$C$1005,23)</f>
        <v>0</v>
      </c>
      <c r="E34" s="49" t="str">
        <f aca="false">IF(C34=0,"",D34/C34)</f>
        <v/>
      </c>
      <c r="F34" s="50" t="str">
        <f aca="false">IF(OR(E34="",E33=""),"",ABS(E34-E33))</f>
        <v/>
      </c>
      <c r="G34" s="49" t="str">
        <f aca="false">$B$4</f>
        <v/>
      </c>
      <c r="H34" s="49" t="str">
        <f aca="false">$B$7</f>
        <v/>
      </c>
      <c r="I34" s="49" t="str">
        <f aca="false">$B$8</f>
        <v/>
      </c>
      <c r="J34" s="49" t="str">
        <f aca="false">$B$9</f>
        <v/>
      </c>
      <c r="K34" s="51" t="str">
        <f aca="false">IF(OR(E34="",$B$4=""),"",IF(E34&lt;G34,N(K33)+1,0))</f>
        <v/>
      </c>
      <c r="L34" s="4" t="str">
        <f aca="false">IF(E34="","",IF(AND(H34&lt;&gt;"",OR(E34&gt;H34,E34&lt;I34)),"Fuera de control",IF(K34&gt;=8,"Tendencia: 8+ semanas bajo LC",IF(E34&lt;J34,"Bajo meta","OK"))))</f>
        <v/>
      </c>
    </row>
    <row r="35" customFormat="false" ht="15" hidden="false" customHeight="false" outlineLevel="0" collapsed="false">
      <c r="A35" s="4" t="n">
        <v>24</v>
      </c>
      <c r="B35" s="4" t="str">
        <f aca="false">"S"&amp;TEXT(A35,"00")</f>
        <v>S24</v>
      </c>
      <c r="C35" s="48" t="n">
        <f aca="false">SUMIFS(Registro!$M$6:$M$1005,Registro!$B$6:$B$1005,Parámetros!$B$4,Registro!$C$6:$C$1005,24)</f>
        <v>0</v>
      </c>
      <c r="D35" s="48" t="n">
        <f aca="false">SUMIFS(Registro!$N$6:$N$1005,Registro!$B$6:$B$1005,Parámetros!$B$4,Registro!$C$6:$C$1005,24)</f>
        <v>0</v>
      </c>
      <c r="E35" s="49" t="str">
        <f aca="false">IF(C35=0,"",D35/C35)</f>
        <v/>
      </c>
      <c r="F35" s="50" t="str">
        <f aca="false">IF(OR(E35="",E34=""),"",ABS(E35-E34))</f>
        <v/>
      </c>
      <c r="G35" s="49" t="str">
        <f aca="false">$B$4</f>
        <v/>
      </c>
      <c r="H35" s="49" t="str">
        <f aca="false">$B$7</f>
        <v/>
      </c>
      <c r="I35" s="49" t="str">
        <f aca="false">$B$8</f>
        <v/>
      </c>
      <c r="J35" s="49" t="str">
        <f aca="false">$B$9</f>
        <v/>
      </c>
      <c r="K35" s="51" t="str">
        <f aca="false">IF(OR(E35="",$B$4=""),"",IF(E35&lt;G35,N(K34)+1,0))</f>
        <v/>
      </c>
      <c r="L35" s="4" t="str">
        <f aca="false">IF(E35="","",IF(AND(H35&lt;&gt;"",OR(E35&gt;H35,E35&lt;I35)),"Fuera de control",IF(K35&gt;=8,"Tendencia: 8+ semanas bajo LC",IF(E35&lt;J35,"Bajo meta","OK"))))</f>
        <v/>
      </c>
    </row>
    <row r="36" customFormat="false" ht="15" hidden="false" customHeight="false" outlineLevel="0" collapsed="false">
      <c r="A36" s="4" t="n">
        <v>25</v>
      </c>
      <c r="B36" s="4" t="str">
        <f aca="false">"S"&amp;TEXT(A36,"00")</f>
        <v>S25</v>
      </c>
      <c r="C36" s="48" t="n">
        <f aca="false">SUMIFS(Registro!$M$6:$M$1005,Registro!$B$6:$B$1005,Parámetros!$B$4,Registro!$C$6:$C$1005,25)</f>
        <v>0</v>
      </c>
      <c r="D36" s="48" t="n">
        <f aca="false">SUMIFS(Registro!$N$6:$N$1005,Registro!$B$6:$B$1005,Parámetros!$B$4,Registro!$C$6:$C$1005,25)</f>
        <v>0</v>
      </c>
      <c r="E36" s="49" t="str">
        <f aca="false">IF(C36=0,"",D36/C36)</f>
        <v/>
      </c>
      <c r="F36" s="50" t="str">
        <f aca="false">IF(OR(E36="",E35=""),"",ABS(E36-E35))</f>
        <v/>
      </c>
      <c r="G36" s="49" t="str">
        <f aca="false">$B$4</f>
        <v/>
      </c>
      <c r="H36" s="49" t="str">
        <f aca="false">$B$7</f>
        <v/>
      </c>
      <c r="I36" s="49" t="str">
        <f aca="false">$B$8</f>
        <v/>
      </c>
      <c r="J36" s="49" t="str">
        <f aca="false">$B$9</f>
        <v/>
      </c>
      <c r="K36" s="51" t="str">
        <f aca="false">IF(OR(E36="",$B$4=""),"",IF(E36&lt;G36,N(K35)+1,0))</f>
        <v/>
      </c>
      <c r="L36" s="4" t="str">
        <f aca="false">IF(E36="","",IF(AND(H36&lt;&gt;"",OR(E36&gt;H36,E36&lt;I36)),"Fuera de control",IF(K36&gt;=8,"Tendencia: 8+ semanas bajo LC",IF(E36&lt;J36,"Bajo meta","OK"))))</f>
        <v/>
      </c>
    </row>
    <row r="37" customFormat="false" ht="15" hidden="false" customHeight="false" outlineLevel="0" collapsed="false">
      <c r="A37" s="4" t="n">
        <v>26</v>
      </c>
      <c r="B37" s="4" t="str">
        <f aca="false">"S"&amp;TEXT(A37,"00")</f>
        <v>S26</v>
      </c>
      <c r="C37" s="48" t="n">
        <f aca="false">SUMIFS(Registro!$M$6:$M$1005,Registro!$B$6:$B$1005,Parámetros!$B$4,Registro!$C$6:$C$1005,26)</f>
        <v>0</v>
      </c>
      <c r="D37" s="48" t="n">
        <f aca="false">SUMIFS(Registro!$N$6:$N$1005,Registro!$B$6:$B$1005,Parámetros!$B$4,Registro!$C$6:$C$1005,26)</f>
        <v>0</v>
      </c>
      <c r="E37" s="49" t="str">
        <f aca="false">IF(C37=0,"",D37/C37)</f>
        <v/>
      </c>
      <c r="F37" s="50" t="str">
        <f aca="false">IF(OR(E37="",E36=""),"",ABS(E37-E36))</f>
        <v/>
      </c>
      <c r="G37" s="49" t="str">
        <f aca="false">$B$4</f>
        <v/>
      </c>
      <c r="H37" s="49" t="str">
        <f aca="false">$B$7</f>
        <v/>
      </c>
      <c r="I37" s="49" t="str">
        <f aca="false">$B$8</f>
        <v/>
      </c>
      <c r="J37" s="49" t="str">
        <f aca="false">$B$9</f>
        <v/>
      </c>
      <c r="K37" s="51" t="str">
        <f aca="false">IF(OR(E37="",$B$4=""),"",IF(E37&lt;G37,N(K36)+1,0))</f>
        <v/>
      </c>
      <c r="L37" s="4" t="str">
        <f aca="false">IF(E37="","",IF(AND(H37&lt;&gt;"",OR(E37&gt;H37,E37&lt;I37)),"Fuera de control",IF(K37&gt;=8,"Tendencia: 8+ semanas bajo LC",IF(E37&lt;J37,"Bajo meta","OK"))))</f>
        <v/>
      </c>
    </row>
    <row r="38" customFormat="false" ht="15" hidden="false" customHeight="false" outlineLevel="0" collapsed="false">
      <c r="A38" s="4" t="n">
        <v>27</v>
      </c>
      <c r="B38" s="4" t="str">
        <f aca="false">"S"&amp;TEXT(A38,"00")</f>
        <v>S27</v>
      </c>
      <c r="C38" s="48" t="n">
        <f aca="false">SUMIFS(Registro!$M$6:$M$1005,Registro!$B$6:$B$1005,Parámetros!$B$4,Registro!$C$6:$C$1005,27)</f>
        <v>0</v>
      </c>
      <c r="D38" s="48" t="n">
        <f aca="false">SUMIFS(Registro!$N$6:$N$1005,Registro!$B$6:$B$1005,Parámetros!$B$4,Registro!$C$6:$C$1005,27)</f>
        <v>0</v>
      </c>
      <c r="E38" s="49" t="str">
        <f aca="false">IF(C38=0,"",D38/C38)</f>
        <v/>
      </c>
      <c r="F38" s="50" t="str">
        <f aca="false">IF(OR(E38="",E37=""),"",ABS(E38-E37))</f>
        <v/>
      </c>
      <c r="G38" s="49" t="str">
        <f aca="false">$B$4</f>
        <v/>
      </c>
      <c r="H38" s="49" t="str">
        <f aca="false">$B$7</f>
        <v/>
      </c>
      <c r="I38" s="49" t="str">
        <f aca="false">$B$8</f>
        <v/>
      </c>
      <c r="J38" s="49" t="str">
        <f aca="false">$B$9</f>
        <v/>
      </c>
      <c r="K38" s="51" t="str">
        <f aca="false">IF(OR(E38="",$B$4=""),"",IF(E38&lt;G38,N(K37)+1,0))</f>
        <v/>
      </c>
      <c r="L38" s="4" t="str">
        <f aca="false">IF(E38="","",IF(AND(H38&lt;&gt;"",OR(E38&gt;H38,E38&lt;I38)),"Fuera de control",IF(K38&gt;=8,"Tendencia: 8+ semanas bajo LC",IF(E38&lt;J38,"Bajo meta","OK"))))</f>
        <v/>
      </c>
    </row>
    <row r="39" customFormat="false" ht="15" hidden="false" customHeight="false" outlineLevel="0" collapsed="false">
      <c r="A39" s="4" t="n">
        <v>28</v>
      </c>
      <c r="B39" s="4" t="str">
        <f aca="false">"S"&amp;TEXT(A39,"00")</f>
        <v>S28</v>
      </c>
      <c r="C39" s="48" t="n">
        <f aca="false">SUMIFS(Registro!$M$6:$M$1005,Registro!$B$6:$B$1005,Parámetros!$B$4,Registro!$C$6:$C$1005,28)</f>
        <v>0</v>
      </c>
      <c r="D39" s="48" t="n">
        <f aca="false">SUMIFS(Registro!$N$6:$N$1005,Registro!$B$6:$B$1005,Parámetros!$B$4,Registro!$C$6:$C$1005,28)</f>
        <v>0</v>
      </c>
      <c r="E39" s="49" t="str">
        <f aca="false">IF(C39=0,"",D39/C39)</f>
        <v/>
      </c>
      <c r="F39" s="50" t="str">
        <f aca="false">IF(OR(E39="",E38=""),"",ABS(E39-E38))</f>
        <v/>
      </c>
      <c r="G39" s="49" t="str">
        <f aca="false">$B$4</f>
        <v/>
      </c>
      <c r="H39" s="49" t="str">
        <f aca="false">$B$7</f>
        <v/>
      </c>
      <c r="I39" s="49" t="str">
        <f aca="false">$B$8</f>
        <v/>
      </c>
      <c r="J39" s="49" t="str">
        <f aca="false">$B$9</f>
        <v/>
      </c>
      <c r="K39" s="51" t="str">
        <f aca="false">IF(OR(E39="",$B$4=""),"",IF(E39&lt;G39,N(K38)+1,0))</f>
        <v/>
      </c>
      <c r="L39" s="4" t="str">
        <f aca="false">IF(E39="","",IF(AND(H39&lt;&gt;"",OR(E39&gt;H39,E39&lt;I39)),"Fuera de control",IF(K39&gt;=8,"Tendencia: 8+ semanas bajo LC",IF(E39&lt;J39,"Bajo meta","OK"))))</f>
        <v/>
      </c>
    </row>
    <row r="40" customFormat="false" ht="15" hidden="false" customHeight="false" outlineLevel="0" collapsed="false">
      <c r="A40" s="4" t="n">
        <v>29</v>
      </c>
      <c r="B40" s="4" t="str">
        <f aca="false">"S"&amp;TEXT(A40,"00")</f>
        <v>S29</v>
      </c>
      <c r="C40" s="48" t="n">
        <f aca="false">SUMIFS(Registro!$M$6:$M$1005,Registro!$B$6:$B$1005,Parámetros!$B$4,Registro!$C$6:$C$1005,29)</f>
        <v>0</v>
      </c>
      <c r="D40" s="48" t="n">
        <f aca="false">SUMIFS(Registro!$N$6:$N$1005,Registro!$B$6:$B$1005,Parámetros!$B$4,Registro!$C$6:$C$1005,29)</f>
        <v>0</v>
      </c>
      <c r="E40" s="49" t="str">
        <f aca="false">IF(C40=0,"",D40/C40)</f>
        <v/>
      </c>
      <c r="F40" s="50" t="str">
        <f aca="false">IF(OR(E40="",E39=""),"",ABS(E40-E39))</f>
        <v/>
      </c>
      <c r="G40" s="49" t="str">
        <f aca="false">$B$4</f>
        <v/>
      </c>
      <c r="H40" s="49" t="str">
        <f aca="false">$B$7</f>
        <v/>
      </c>
      <c r="I40" s="49" t="str">
        <f aca="false">$B$8</f>
        <v/>
      </c>
      <c r="J40" s="49" t="str">
        <f aca="false">$B$9</f>
        <v/>
      </c>
      <c r="K40" s="51" t="str">
        <f aca="false">IF(OR(E40="",$B$4=""),"",IF(E40&lt;G40,N(K39)+1,0))</f>
        <v/>
      </c>
      <c r="L40" s="4" t="str">
        <f aca="false">IF(E40="","",IF(AND(H40&lt;&gt;"",OR(E40&gt;H40,E40&lt;I40)),"Fuera de control",IF(K40&gt;=8,"Tendencia: 8+ semanas bajo LC",IF(E40&lt;J40,"Bajo meta","OK"))))</f>
        <v/>
      </c>
    </row>
    <row r="41" customFormat="false" ht="15" hidden="false" customHeight="false" outlineLevel="0" collapsed="false">
      <c r="A41" s="4" t="n">
        <v>30</v>
      </c>
      <c r="B41" s="4" t="str">
        <f aca="false">"S"&amp;TEXT(A41,"00")</f>
        <v>S30</v>
      </c>
      <c r="C41" s="48" t="n">
        <f aca="false">SUMIFS(Registro!$M$6:$M$1005,Registro!$B$6:$B$1005,Parámetros!$B$4,Registro!$C$6:$C$1005,30)</f>
        <v>0</v>
      </c>
      <c r="D41" s="48" t="n">
        <f aca="false">SUMIFS(Registro!$N$6:$N$1005,Registro!$B$6:$B$1005,Parámetros!$B$4,Registro!$C$6:$C$1005,30)</f>
        <v>0</v>
      </c>
      <c r="E41" s="49" t="str">
        <f aca="false">IF(C41=0,"",D41/C41)</f>
        <v/>
      </c>
      <c r="F41" s="50" t="str">
        <f aca="false">IF(OR(E41="",E40=""),"",ABS(E41-E40))</f>
        <v/>
      </c>
      <c r="G41" s="49" t="str">
        <f aca="false">$B$4</f>
        <v/>
      </c>
      <c r="H41" s="49" t="str">
        <f aca="false">$B$7</f>
        <v/>
      </c>
      <c r="I41" s="49" t="str">
        <f aca="false">$B$8</f>
        <v/>
      </c>
      <c r="J41" s="49" t="str">
        <f aca="false">$B$9</f>
        <v/>
      </c>
      <c r="K41" s="51" t="str">
        <f aca="false">IF(OR(E41="",$B$4=""),"",IF(E41&lt;G41,N(K40)+1,0))</f>
        <v/>
      </c>
      <c r="L41" s="4" t="str">
        <f aca="false">IF(E41="","",IF(AND(H41&lt;&gt;"",OR(E41&gt;H41,E41&lt;I41)),"Fuera de control",IF(K41&gt;=8,"Tendencia: 8+ semanas bajo LC",IF(E41&lt;J41,"Bajo meta","OK"))))</f>
        <v/>
      </c>
    </row>
    <row r="42" customFormat="false" ht="15" hidden="false" customHeight="false" outlineLevel="0" collapsed="false">
      <c r="A42" s="4" t="n">
        <v>31</v>
      </c>
      <c r="B42" s="4" t="str">
        <f aca="false">"S"&amp;TEXT(A42,"00")</f>
        <v>S31</v>
      </c>
      <c r="C42" s="48" t="n">
        <f aca="false">SUMIFS(Registro!$M$6:$M$1005,Registro!$B$6:$B$1005,Parámetros!$B$4,Registro!$C$6:$C$1005,31)</f>
        <v>0</v>
      </c>
      <c r="D42" s="48" t="n">
        <f aca="false">SUMIFS(Registro!$N$6:$N$1005,Registro!$B$6:$B$1005,Parámetros!$B$4,Registro!$C$6:$C$1005,31)</f>
        <v>0</v>
      </c>
      <c r="E42" s="49" t="str">
        <f aca="false">IF(C42=0,"",D42/C42)</f>
        <v/>
      </c>
      <c r="F42" s="50" t="str">
        <f aca="false">IF(OR(E42="",E41=""),"",ABS(E42-E41))</f>
        <v/>
      </c>
      <c r="G42" s="49" t="str">
        <f aca="false">$B$4</f>
        <v/>
      </c>
      <c r="H42" s="49" t="str">
        <f aca="false">$B$7</f>
        <v/>
      </c>
      <c r="I42" s="49" t="str">
        <f aca="false">$B$8</f>
        <v/>
      </c>
      <c r="J42" s="49" t="str">
        <f aca="false">$B$9</f>
        <v/>
      </c>
      <c r="K42" s="51" t="str">
        <f aca="false">IF(OR(E42="",$B$4=""),"",IF(E42&lt;G42,N(K41)+1,0))</f>
        <v/>
      </c>
      <c r="L42" s="4" t="str">
        <f aca="false">IF(E42="","",IF(AND(H42&lt;&gt;"",OR(E42&gt;H42,E42&lt;I42)),"Fuera de control",IF(K42&gt;=8,"Tendencia: 8+ semanas bajo LC",IF(E42&lt;J42,"Bajo meta","OK"))))</f>
        <v/>
      </c>
    </row>
    <row r="43" customFormat="false" ht="15" hidden="false" customHeight="false" outlineLevel="0" collapsed="false">
      <c r="A43" s="4" t="n">
        <v>32</v>
      </c>
      <c r="B43" s="4" t="str">
        <f aca="false">"S"&amp;TEXT(A43,"00")</f>
        <v>S32</v>
      </c>
      <c r="C43" s="48" t="n">
        <f aca="false">SUMIFS(Registro!$M$6:$M$1005,Registro!$B$6:$B$1005,Parámetros!$B$4,Registro!$C$6:$C$1005,32)</f>
        <v>0</v>
      </c>
      <c r="D43" s="48" t="n">
        <f aca="false">SUMIFS(Registro!$N$6:$N$1005,Registro!$B$6:$B$1005,Parámetros!$B$4,Registro!$C$6:$C$1005,32)</f>
        <v>0</v>
      </c>
      <c r="E43" s="49" t="str">
        <f aca="false">IF(C43=0,"",D43/C43)</f>
        <v/>
      </c>
      <c r="F43" s="50" t="str">
        <f aca="false">IF(OR(E43="",E42=""),"",ABS(E43-E42))</f>
        <v/>
      </c>
      <c r="G43" s="49" t="str">
        <f aca="false">$B$4</f>
        <v/>
      </c>
      <c r="H43" s="49" t="str">
        <f aca="false">$B$7</f>
        <v/>
      </c>
      <c r="I43" s="49" t="str">
        <f aca="false">$B$8</f>
        <v/>
      </c>
      <c r="J43" s="49" t="str">
        <f aca="false">$B$9</f>
        <v/>
      </c>
      <c r="K43" s="51" t="str">
        <f aca="false">IF(OR(E43="",$B$4=""),"",IF(E43&lt;G43,N(K42)+1,0))</f>
        <v/>
      </c>
      <c r="L43" s="4" t="str">
        <f aca="false">IF(E43="","",IF(AND(H43&lt;&gt;"",OR(E43&gt;H43,E43&lt;I43)),"Fuera de control",IF(K43&gt;=8,"Tendencia: 8+ semanas bajo LC",IF(E43&lt;J43,"Bajo meta","OK"))))</f>
        <v/>
      </c>
    </row>
    <row r="44" customFormat="false" ht="15" hidden="false" customHeight="false" outlineLevel="0" collapsed="false">
      <c r="A44" s="4" t="n">
        <v>33</v>
      </c>
      <c r="B44" s="4" t="str">
        <f aca="false">"S"&amp;TEXT(A44,"00")</f>
        <v>S33</v>
      </c>
      <c r="C44" s="48" t="n">
        <f aca="false">SUMIFS(Registro!$M$6:$M$1005,Registro!$B$6:$B$1005,Parámetros!$B$4,Registro!$C$6:$C$1005,33)</f>
        <v>0</v>
      </c>
      <c r="D44" s="48" t="n">
        <f aca="false">SUMIFS(Registro!$N$6:$N$1005,Registro!$B$6:$B$1005,Parámetros!$B$4,Registro!$C$6:$C$1005,33)</f>
        <v>0</v>
      </c>
      <c r="E44" s="49" t="str">
        <f aca="false">IF(C44=0,"",D44/C44)</f>
        <v/>
      </c>
      <c r="F44" s="50" t="str">
        <f aca="false">IF(OR(E44="",E43=""),"",ABS(E44-E43))</f>
        <v/>
      </c>
      <c r="G44" s="49" t="str">
        <f aca="false">$B$4</f>
        <v/>
      </c>
      <c r="H44" s="49" t="str">
        <f aca="false">$B$7</f>
        <v/>
      </c>
      <c r="I44" s="49" t="str">
        <f aca="false">$B$8</f>
        <v/>
      </c>
      <c r="J44" s="49" t="str">
        <f aca="false">$B$9</f>
        <v/>
      </c>
      <c r="K44" s="51" t="str">
        <f aca="false">IF(OR(E44="",$B$4=""),"",IF(E44&lt;G44,N(K43)+1,0))</f>
        <v/>
      </c>
      <c r="L44" s="4" t="str">
        <f aca="false">IF(E44="","",IF(AND(H44&lt;&gt;"",OR(E44&gt;H44,E44&lt;I44)),"Fuera de control",IF(K44&gt;=8,"Tendencia: 8+ semanas bajo LC",IF(E44&lt;J44,"Bajo meta","OK"))))</f>
        <v/>
      </c>
    </row>
    <row r="45" customFormat="false" ht="15" hidden="false" customHeight="false" outlineLevel="0" collapsed="false">
      <c r="A45" s="4" t="n">
        <v>34</v>
      </c>
      <c r="B45" s="4" t="str">
        <f aca="false">"S"&amp;TEXT(A45,"00")</f>
        <v>S34</v>
      </c>
      <c r="C45" s="48" t="n">
        <f aca="false">SUMIFS(Registro!$M$6:$M$1005,Registro!$B$6:$B$1005,Parámetros!$B$4,Registro!$C$6:$C$1005,34)</f>
        <v>0</v>
      </c>
      <c r="D45" s="48" t="n">
        <f aca="false">SUMIFS(Registro!$N$6:$N$1005,Registro!$B$6:$B$1005,Parámetros!$B$4,Registro!$C$6:$C$1005,34)</f>
        <v>0</v>
      </c>
      <c r="E45" s="49" t="str">
        <f aca="false">IF(C45=0,"",D45/C45)</f>
        <v/>
      </c>
      <c r="F45" s="50" t="str">
        <f aca="false">IF(OR(E45="",E44=""),"",ABS(E45-E44))</f>
        <v/>
      </c>
      <c r="G45" s="49" t="str">
        <f aca="false">$B$4</f>
        <v/>
      </c>
      <c r="H45" s="49" t="str">
        <f aca="false">$B$7</f>
        <v/>
      </c>
      <c r="I45" s="49" t="str">
        <f aca="false">$B$8</f>
        <v/>
      </c>
      <c r="J45" s="49" t="str">
        <f aca="false">$B$9</f>
        <v/>
      </c>
      <c r="K45" s="51" t="str">
        <f aca="false">IF(OR(E45="",$B$4=""),"",IF(E45&lt;G45,N(K44)+1,0))</f>
        <v/>
      </c>
      <c r="L45" s="4" t="str">
        <f aca="false">IF(E45="","",IF(AND(H45&lt;&gt;"",OR(E45&gt;H45,E45&lt;I45)),"Fuera de control",IF(K45&gt;=8,"Tendencia: 8+ semanas bajo LC",IF(E45&lt;J45,"Bajo meta","OK"))))</f>
        <v/>
      </c>
    </row>
    <row r="46" customFormat="false" ht="15" hidden="false" customHeight="false" outlineLevel="0" collapsed="false">
      <c r="A46" s="4" t="n">
        <v>35</v>
      </c>
      <c r="B46" s="4" t="str">
        <f aca="false">"S"&amp;TEXT(A46,"00")</f>
        <v>S35</v>
      </c>
      <c r="C46" s="48" t="n">
        <f aca="false">SUMIFS(Registro!$M$6:$M$1005,Registro!$B$6:$B$1005,Parámetros!$B$4,Registro!$C$6:$C$1005,35)</f>
        <v>0</v>
      </c>
      <c r="D46" s="48" t="n">
        <f aca="false">SUMIFS(Registro!$N$6:$N$1005,Registro!$B$6:$B$1005,Parámetros!$B$4,Registro!$C$6:$C$1005,35)</f>
        <v>0</v>
      </c>
      <c r="E46" s="49" t="str">
        <f aca="false">IF(C46=0,"",D46/C46)</f>
        <v/>
      </c>
      <c r="F46" s="50" t="str">
        <f aca="false">IF(OR(E46="",E45=""),"",ABS(E46-E45))</f>
        <v/>
      </c>
      <c r="G46" s="49" t="str">
        <f aca="false">$B$4</f>
        <v/>
      </c>
      <c r="H46" s="49" t="str">
        <f aca="false">$B$7</f>
        <v/>
      </c>
      <c r="I46" s="49" t="str">
        <f aca="false">$B$8</f>
        <v/>
      </c>
      <c r="J46" s="49" t="str">
        <f aca="false">$B$9</f>
        <v/>
      </c>
      <c r="K46" s="51" t="str">
        <f aca="false">IF(OR(E46="",$B$4=""),"",IF(E46&lt;G46,N(K45)+1,0))</f>
        <v/>
      </c>
      <c r="L46" s="4" t="str">
        <f aca="false">IF(E46="","",IF(AND(H46&lt;&gt;"",OR(E46&gt;H46,E46&lt;I46)),"Fuera de control",IF(K46&gt;=8,"Tendencia: 8+ semanas bajo LC",IF(E46&lt;J46,"Bajo meta","OK"))))</f>
        <v/>
      </c>
    </row>
    <row r="47" customFormat="false" ht="15" hidden="false" customHeight="false" outlineLevel="0" collapsed="false">
      <c r="A47" s="4" t="n">
        <v>36</v>
      </c>
      <c r="B47" s="4" t="str">
        <f aca="false">"S"&amp;TEXT(A47,"00")</f>
        <v>S36</v>
      </c>
      <c r="C47" s="48" t="n">
        <f aca="false">SUMIFS(Registro!$M$6:$M$1005,Registro!$B$6:$B$1005,Parámetros!$B$4,Registro!$C$6:$C$1005,36)</f>
        <v>0</v>
      </c>
      <c r="D47" s="48" t="n">
        <f aca="false">SUMIFS(Registro!$N$6:$N$1005,Registro!$B$6:$B$1005,Parámetros!$B$4,Registro!$C$6:$C$1005,36)</f>
        <v>0</v>
      </c>
      <c r="E47" s="49" t="str">
        <f aca="false">IF(C47=0,"",D47/C47)</f>
        <v/>
      </c>
      <c r="F47" s="50" t="str">
        <f aca="false">IF(OR(E47="",E46=""),"",ABS(E47-E46))</f>
        <v/>
      </c>
      <c r="G47" s="49" t="str">
        <f aca="false">$B$4</f>
        <v/>
      </c>
      <c r="H47" s="49" t="str">
        <f aca="false">$B$7</f>
        <v/>
      </c>
      <c r="I47" s="49" t="str">
        <f aca="false">$B$8</f>
        <v/>
      </c>
      <c r="J47" s="49" t="str">
        <f aca="false">$B$9</f>
        <v/>
      </c>
      <c r="K47" s="51" t="str">
        <f aca="false">IF(OR(E47="",$B$4=""),"",IF(E47&lt;G47,N(K46)+1,0))</f>
        <v/>
      </c>
      <c r="L47" s="4" t="str">
        <f aca="false">IF(E47="","",IF(AND(H47&lt;&gt;"",OR(E47&gt;H47,E47&lt;I47)),"Fuera de control",IF(K47&gt;=8,"Tendencia: 8+ semanas bajo LC",IF(E47&lt;J47,"Bajo meta","OK"))))</f>
        <v/>
      </c>
    </row>
    <row r="48" customFormat="false" ht="15" hidden="false" customHeight="false" outlineLevel="0" collapsed="false">
      <c r="A48" s="4" t="n">
        <v>37</v>
      </c>
      <c r="B48" s="4" t="str">
        <f aca="false">"S"&amp;TEXT(A48,"00")</f>
        <v>S37</v>
      </c>
      <c r="C48" s="48" t="n">
        <f aca="false">SUMIFS(Registro!$M$6:$M$1005,Registro!$B$6:$B$1005,Parámetros!$B$4,Registro!$C$6:$C$1005,37)</f>
        <v>0</v>
      </c>
      <c r="D48" s="48" t="n">
        <f aca="false">SUMIFS(Registro!$N$6:$N$1005,Registro!$B$6:$B$1005,Parámetros!$B$4,Registro!$C$6:$C$1005,37)</f>
        <v>0</v>
      </c>
      <c r="E48" s="49" t="str">
        <f aca="false">IF(C48=0,"",D48/C48)</f>
        <v/>
      </c>
      <c r="F48" s="50" t="str">
        <f aca="false">IF(OR(E48="",E47=""),"",ABS(E48-E47))</f>
        <v/>
      </c>
      <c r="G48" s="49" t="str">
        <f aca="false">$B$4</f>
        <v/>
      </c>
      <c r="H48" s="49" t="str">
        <f aca="false">$B$7</f>
        <v/>
      </c>
      <c r="I48" s="49" t="str">
        <f aca="false">$B$8</f>
        <v/>
      </c>
      <c r="J48" s="49" t="str">
        <f aca="false">$B$9</f>
        <v/>
      </c>
      <c r="K48" s="51" t="str">
        <f aca="false">IF(OR(E48="",$B$4=""),"",IF(E48&lt;G48,N(K47)+1,0))</f>
        <v/>
      </c>
      <c r="L48" s="4" t="str">
        <f aca="false">IF(E48="","",IF(AND(H48&lt;&gt;"",OR(E48&gt;H48,E48&lt;I48)),"Fuera de control",IF(K48&gt;=8,"Tendencia: 8+ semanas bajo LC",IF(E48&lt;J48,"Bajo meta","OK"))))</f>
        <v/>
      </c>
    </row>
    <row r="49" customFormat="false" ht="15" hidden="false" customHeight="false" outlineLevel="0" collapsed="false">
      <c r="A49" s="4" t="n">
        <v>38</v>
      </c>
      <c r="B49" s="4" t="str">
        <f aca="false">"S"&amp;TEXT(A49,"00")</f>
        <v>S38</v>
      </c>
      <c r="C49" s="48" t="n">
        <f aca="false">SUMIFS(Registro!$M$6:$M$1005,Registro!$B$6:$B$1005,Parámetros!$B$4,Registro!$C$6:$C$1005,38)</f>
        <v>0</v>
      </c>
      <c r="D49" s="48" t="n">
        <f aca="false">SUMIFS(Registro!$N$6:$N$1005,Registro!$B$6:$B$1005,Parámetros!$B$4,Registro!$C$6:$C$1005,38)</f>
        <v>0</v>
      </c>
      <c r="E49" s="49" t="str">
        <f aca="false">IF(C49=0,"",D49/C49)</f>
        <v/>
      </c>
      <c r="F49" s="50" t="str">
        <f aca="false">IF(OR(E49="",E48=""),"",ABS(E49-E48))</f>
        <v/>
      </c>
      <c r="G49" s="49" t="str">
        <f aca="false">$B$4</f>
        <v/>
      </c>
      <c r="H49" s="49" t="str">
        <f aca="false">$B$7</f>
        <v/>
      </c>
      <c r="I49" s="49" t="str">
        <f aca="false">$B$8</f>
        <v/>
      </c>
      <c r="J49" s="49" t="str">
        <f aca="false">$B$9</f>
        <v/>
      </c>
      <c r="K49" s="51" t="str">
        <f aca="false">IF(OR(E49="",$B$4=""),"",IF(E49&lt;G49,N(K48)+1,0))</f>
        <v/>
      </c>
      <c r="L49" s="4" t="str">
        <f aca="false">IF(E49="","",IF(AND(H49&lt;&gt;"",OR(E49&gt;H49,E49&lt;I49)),"Fuera de control",IF(K49&gt;=8,"Tendencia: 8+ semanas bajo LC",IF(E49&lt;J49,"Bajo meta","OK"))))</f>
        <v/>
      </c>
    </row>
    <row r="50" customFormat="false" ht="15" hidden="false" customHeight="false" outlineLevel="0" collapsed="false">
      <c r="A50" s="4" t="n">
        <v>39</v>
      </c>
      <c r="B50" s="4" t="str">
        <f aca="false">"S"&amp;TEXT(A50,"00")</f>
        <v>S39</v>
      </c>
      <c r="C50" s="48" t="n">
        <f aca="false">SUMIFS(Registro!$M$6:$M$1005,Registro!$B$6:$B$1005,Parámetros!$B$4,Registro!$C$6:$C$1005,39)</f>
        <v>0</v>
      </c>
      <c r="D50" s="48" t="n">
        <f aca="false">SUMIFS(Registro!$N$6:$N$1005,Registro!$B$6:$B$1005,Parámetros!$B$4,Registro!$C$6:$C$1005,39)</f>
        <v>0</v>
      </c>
      <c r="E50" s="49" t="str">
        <f aca="false">IF(C50=0,"",D50/C50)</f>
        <v/>
      </c>
      <c r="F50" s="50" t="str">
        <f aca="false">IF(OR(E50="",E49=""),"",ABS(E50-E49))</f>
        <v/>
      </c>
      <c r="G50" s="49" t="str">
        <f aca="false">$B$4</f>
        <v/>
      </c>
      <c r="H50" s="49" t="str">
        <f aca="false">$B$7</f>
        <v/>
      </c>
      <c r="I50" s="49" t="str">
        <f aca="false">$B$8</f>
        <v/>
      </c>
      <c r="J50" s="49" t="str">
        <f aca="false">$B$9</f>
        <v/>
      </c>
      <c r="K50" s="51" t="str">
        <f aca="false">IF(OR(E50="",$B$4=""),"",IF(E50&lt;G50,N(K49)+1,0))</f>
        <v/>
      </c>
      <c r="L50" s="4" t="str">
        <f aca="false">IF(E50="","",IF(AND(H50&lt;&gt;"",OR(E50&gt;H50,E50&lt;I50)),"Fuera de control",IF(K50&gt;=8,"Tendencia: 8+ semanas bajo LC",IF(E50&lt;J50,"Bajo meta","OK"))))</f>
        <v/>
      </c>
    </row>
    <row r="51" customFormat="false" ht="15" hidden="false" customHeight="false" outlineLevel="0" collapsed="false">
      <c r="A51" s="4" t="n">
        <v>40</v>
      </c>
      <c r="B51" s="4" t="str">
        <f aca="false">"S"&amp;TEXT(A51,"00")</f>
        <v>S40</v>
      </c>
      <c r="C51" s="48" t="n">
        <f aca="false">SUMIFS(Registro!$M$6:$M$1005,Registro!$B$6:$B$1005,Parámetros!$B$4,Registro!$C$6:$C$1005,40)</f>
        <v>0</v>
      </c>
      <c r="D51" s="48" t="n">
        <f aca="false">SUMIFS(Registro!$N$6:$N$1005,Registro!$B$6:$B$1005,Parámetros!$B$4,Registro!$C$6:$C$1005,40)</f>
        <v>0</v>
      </c>
      <c r="E51" s="49" t="str">
        <f aca="false">IF(C51=0,"",D51/C51)</f>
        <v/>
      </c>
      <c r="F51" s="50" t="str">
        <f aca="false">IF(OR(E51="",E50=""),"",ABS(E51-E50))</f>
        <v/>
      </c>
      <c r="G51" s="49" t="str">
        <f aca="false">$B$4</f>
        <v/>
      </c>
      <c r="H51" s="49" t="str">
        <f aca="false">$B$7</f>
        <v/>
      </c>
      <c r="I51" s="49" t="str">
        <f aca="false">$B$8</f>
        <v/>
      </c>
      <c r="J51" s="49" t="str">
        <f aca="false">$B$9</f>
        <v/>
      </c>
      <c r="K51" s="51" t="str">
        <f aca="false">IF(OR(E51="",$B$4=""),"",IF(E51&lt;G51,N(K50)+1,0))</f>
        <v/>
      </c>
      <c r="L51" s="4" t="str">
        <f aca="false">IF(E51="","",IF(AND(H51&lt;&gt;"",OR(E51&gt;H51,E51&lt;I51)),"Fuera de control",IF(K51&gt;=8,"Tendencia: 8+ semanas bajo LC",IF(E51&lt;J51,"Bajo meta","OK"))))</f>
        <v/>
      </c>
    </row>
    <row r="52" customFormat="false" ht="15" hidden="false" customHeight="false" outlineLevel="0" collapsed="false">
      <c r="A52" s="4" t="n">
        <v>41</v>
      </c>
      <c r="B52" s="4" t="str">
        <f aca="false">"S"&amp;TEXT(A52,"00")</f>
        <v>S41</v>
      </c>
      <c r="C52" s="48" t="n">
        <f aca="false">SUMIFS(Registro!$M$6:$M$1005,Registro!$B$6:$B$1005,Parámetros!$B$4,Registro!$C$6:$C$1005,41)</f>
        <v>0</v>
      </c>
      <c r="D52" s="48" t="n">
        <f aca="false">SUMIFS(Registro!$N$6:$N$1005,Registro!$B$6:$B$1005,Parámetros!$B$4,Registro!$C$6:$C$1005,41)</f>
        <v>0</v>
      </c>
      <c r="E52" s="49" t="str">
        <f aca="false">IF(C52=0,"",D52/C52)</f>
        <v/>
      </c>
      <c r="F52" s="50" t="str">
        <f aca="false">IF(OR(E52="",E51=""),"",ABS(E52-E51))</f>
        <v/>
      </c>
      <c r="G52" s="49" t="str">
        <f aca="false">$B$4</f>
        <v/>
      </c>
      <c r="H52" s="49" t="str">
        <f aca="false">$B$7</f>
        <v/>
      </c>
      <c r="I52" s="49" t="str">
        <f aca="false">$B$8</f>
        <v/>
      </c>
      <c r="J52" s="49" t="str">
        <f aca="false">$B$9</f>
        <v/>
      </c>
      <c r="K52" s="51" t="str">
        <f aca="false">IF(OR(E52="",$B$4=""),"",IF(E52&lt;G52,N(K51)+1,0))</f>
        <v/>
      </c>
      <c r="L52" s="4" t="str">
        <f aca="false">IF(E52="","",IF(AND(H52&lt;&gt;"",OR(E52&gt;H52,E52&lt;I52)),"Fuera de control",IF(K52&gt;=8,"Tendencia: 8+ semanas bajo LC",IF(E52&lt;J52,"Bajo meta","OK"))))</f>
        <v/>
      </c>
    </row>
    <row r="53" customFormat="false" ht="15" hidden="false" customHeight="false" outlineLevel="0" collapsed="false">
      <c r="A53" s="4" t="n">
        <v>42</v>
      </c>
      <c r="B53" s="4" t="str">
        <f aca="false">"S"&amp;TEXT(A53,"00")</f>
        <v>S42</v>
      </c>
      <c r="C53" s="48" t="n">
        <f aca="false">SUMIFS(Registro!$M$6:$M$1005,Registro!$B$6:$B$1005,Parámetros!$B$4,Registro!$C$6:$C$1005,42)</f>
        <v>0</v>
      </c>
      <c r="D53" s="48" t="n">
        <f aca="false">SUMIFS(Registro!$N$6:$N$1005,Registro!$B$6:$B$1005,Parámetros!$B$4,Registro!$C$6:$C$1005,42)</f>
        <v>0</v>
      </c>
      <c r="E53" s="49" t="str">
        <f aca="false">IF(C53=0,"",D53/C53)</f>
        <v/>
      </c>
      <c r="F53" s="50" t="str">
        <f aca="false">IF(OR(E53="",E52=""),"",ABS(E53-E52))</f>
        <v/>
      </c>
      <c r="G53" s="49" t="str">
        <f aca="false">$B$4</f>
        <v/>
      </c>
      <c r="H53" s="49" t="str">
        <f aca="false">$B$7</f>
        <v/>
      </c>
      <c r="I53" s="49" t="str">
        <f aca="false">$B$8</f>
        <v/>
      </c>
      <c r="J53" s="49" t="str">
        <f aca="false">$B$9</f>
        <v/>
      </c>
      <c r="K53" s="51" t="str">
        <f aca="false">IF(OR(E53="",$B$4=""),"",IF(E53&lt;G53,N(K52)+1,0))</f>
        <v/>
      </c>
      <c r="L53" s="4" t="str">
        <f aca="false">IF(E53="","",IF(AND(H53&lt;&gt;"",OR(E53&gt;H53,E53&lt;I53)),"Fuera de control",IF(K53&gt;=8,"Tendencia: 8+ semanas bajo LC",IF(E53&lt;J53,"Bajo meta","OK"))))</f>
        <v/>
      </c>
    </row>
    <row r="54" customFormat="false" ht="15" hidden="false" customHeight="false" outlineLevel="0" collapsed="false">
      <c r="A54" s="4" t="n">
        <v>43</v>
      </c>
      <c r="B54" s="4" t="str">
        <f aca="false">"S"&amp;TEXT(A54,"00")</f>
        <v>S43</v>
      </c>
      <c r="C54" s="48" t="n">
        <f aca="false">SUMIFS(Registro!$M$6:$M$1005,Registro!$B$6:$B$1005,Parámetros!$B$4,Registro!$C$6:$C$1005,43)</f>
        <v>0</v>
      </c>
      <c r="D54" s="48" t="n">
        <f aca="false">SUMIFS(Registro!$N$6:$N$1005,Registro!$B$6:$B$1005,Parámetros!$B$4,Registro!$C$6:$C$1005,43)</f>
        <v>0</v>
      </c>
      <c r="E54" s="49" t="str">
        <f aca="false">IF(C54=0,"",D54/C54)</f>
        <v/>
      </c>
      <c r="F54" s="50" t="str">
        <f aca="false">IF(OR(E54="",E53=""),"",ABS(E54-E53))</f>
        <v/>
      </c>
      <c r="G54" s="49" t="str">
        <f aca="false">$B$4</f>
        <v/>
      </c>
      <c r="H54" s="49" t="str">
        <f aca="false">$B$7</f>
        <v/>
      </c>
      <c r="I54" s="49" t="str">
        <f aca="false">$B$8</f>
        <v/>
      </c>
      <c r="J54" s="49" t="str">
        <f aca="false">$B$9</f>
        <v/>
      </c>
      <c r="K54" s="51" t="str">
        <f aca="false">IF(OR(E54="",$B$4=""),"",IF(E54&lt;G54,N(K53)+1,0))</f>
        <v/>
      </c>
      <c r="L54" s="4" t="str">
        <f aca="false">IF(E54="","",IF(AND(H54&lt;&gt;"",OR(E54&gt;H54,E54&lt;I54)),"Fuera de control",IF(K54&gt;=8,"Tendencia: 8+ semanas bajo LC",IF(E54&lt;J54,"Bajo meta","OK"))))</f>
        <v/>
      </c>
    </row>
    <row r="55" customFormat="false" ht="15" hidden="false" customHeight="false" outlineLevel="0" collapsed="false">
      <c r="A55" s="4" t="n">
        <v>44</v>
      </c>
      <c r="B55" s="4" t="str">
        <f aca="false">"S"&amp;TEXT(A55,"00")</f>
        <v>S44</v>
      </c>
      <c r="C55" s="48" t="n">
        <f aca="false">SUMIFS(Registro!$M$6:$M$1005,Registro!$B$6:$B$1005,Parámetros!$B$4,Registro!$C$6:$C$1005,44)</f>
        <v>0</v>
      </c>
      <c r="D55" s="48" t="n">
        <f aca="false">SUMIFS(Registro!$N$6:$N$1005,Registro!$B$6:$B$1005,Parámetros!$B$4,Registro!$C$6:$C$1005,44)</f>
        <v>0</v>
      </c>
      <c r="E55" s="49" t="str">
        <f aca="false">IF(C55=0,"",D55/C55)</f>
        <v/>
      </c>
      <c r="F55" s="50" t="str">
        <f aca="false">IF(OR(E55="",E54=""),"",ABS(E55-E54))</f>
        <v/>
      </c>
      <c r="G55" s="49" t="str">
        <f aca="false">$B$4</f>
        <v/>
      </c>
      <c r="H55" s="49" t="str">
        <f aca="false">$B$7</f>
        <v/>
      </c>
      <c r="I55" s="49" t="str">
        <f aca="false">$B$8</f>
        <v/>
      </c>
      <c r="J55" s="49" t="str">
        <f aca="false">$B$9</f>
        <v/>
      </c>
      <c r="K55" s="51" t="str">
        <f aca="false">IF(OR(E55="",$B$4=""),"",IF(E55&lt;G55,N(K54)+1,0))</f>
        <v/>
      </c>
      <c r="L55" s="4" t="str">
        <f aca="false">IF(E55="","",IF(AND(H55&lt;&gt;"",OR(E55&gt;H55,E55&lt;I55)),"Fuera de control",IF(K55&gt;=8,"Tendencia: 8+ semanas bajo LC",IF(E55&lt;J55,"Bajo meta","OK"))))</f>
        <v/>
      </c>
    </row>
    <row r="56" customFormat="false" ht="15" hidden="false" customHeight="false" outlineLevel="0" collapsed="false">
      <c r="A56" s="4" t="n">
        <v>45</v>
      </c>
      <c r="B56" s="4" t="str">
        <f aca="false">"S"&amp;TEXT(A56,"00")</f>
        <v>S45</v>
      </c>
      <c r="C56" s="48" t="n">
        <f aca="false">SUMIFS(Registro!$M$6:$M$1005,Registro!$B$6:$B$1005,Parámetros!$B$4,Registro!$C$6:$C$1005,45)</f>
        <v>0</v>
      </c>
      <c r="D56" s="48" t="n">
        <f aca="false">SUMIFS(Registro!$N$6:$N$1005,Registro!$B$6:$B$1005,Parámetros!$B$4,Registro!$C$6:$C$1005,45)</f>
        <v>0</v>
      </c>
      <c r="E56" s="49" t="str">
        <f aca="false">IF(C56=0,"",D56/C56)</f>
        <v/>
      </c>
      <c r="F56" s="50" t="str">
        <f aca="false">IF(OR(E56="",E55=""),"",ABS(E56-E55))</f>
        <v/>
      </c>
      <c r="G56" s="49" t="str">
        <f aca="false">$B$4</f>
        <v/>
      </c>
      <c r="H56" s="49" t="str">
        <f aca="false">$B$7</f>
        <v/>
      </c>
      <c r="I56" s="49" t="str">
        <f aca="false">$B$8</f>
        <v/>
      </c>
      <c r="J56" s="49" t="str">
        <f aca="false">$B$9</f>
        <v/>
      </c>
      <c r="K56" s="51" t="str">
        <f aca="false">IF(OR(E56="",$B$4=""),"",IF(E56&lt;G56,N(K55)+1,0))</f>
        <v/>
      </c>
      <c r="L56" s="4" t="str">
        <f aca="false">IF(E56="","",IF(AND(H56&lt;&gt;"",OR(E56&gt;H56,E56&lt;I56)),"Fuera de control",IF(K56&gt;=8,"Tendencia: 8+ semanas bajo LC",IF(E56&lt;J56,"Bajo meta","OK"))))</f>
        <v/>
      </c>
    </row>
    <row r="57" customFormat="false" ht="15" hidden="false" customHeight="false" outlineLevel="0" collapsed="false">
      <c r="A57" s="4" t="n">
        <v>46</v>
      </c>
      <c r="B57" s="4" t="str">
        <f aca="false">"S"&amp;TEXT(A57,"00")</f>
        <v>S46</v>
      </c>
      <c r="C57" s="48" t="n">
        <f aca="false">SUMIFS(Registro!$M$6:$M$1005,Registro!$B$6:$B$1005,Parámetros!$B$4,Registro!$C$6:$C$1005,46)</f>
        <v>0</v>
      </c>
      <c r="D57" s="48" t="n">
        <f aca="false">SUMIFS(Registro!$N$6:$N$1005,Registro!$B$6:$B$1005,Parámetros!$B$4,Registro!$C$6:$C$1005,46)</f>
        <v>0</v>
      </c>
      <c r="E57" s="49" t="str">
        <f aca="false">IF(C57=0,"",D57/C57)</f>
        <v/>
      </c>
      <c r="F57" s="50" t="str">
        <f aca="false">IF(OR(E57="",E56=""),"",ABS(E57-E56))</f>
        <v/>
      </c>
      <c r="G57" s="49" t="str">
        <f aca="false">$B$4</f>
        <v/>
      </c>
      <c r="H57" s="49" t="str">
        <f aca="false">$B$7</f>
        <v/>
      </c>
      <c r="I57" s="49" t="str">
        <f aca="false">$B$8</f>
        <v/>
      </c>
      <c r="J57" s="49" t="str">
        <f aca="false">$B$9</f>
        <v/>
      </c>
      <c r="K57" s="51" t="str">
        <f aca="false">IF(OR(E57="",$B$4=""),"",IF(E57&lt;G57,N(K56)+1,0))</f>
        <v/>
      </c>
      <c r="L57" s="4" t="str">
        <f aca="false">IF(E57="","",IF(AND(H57&lt;&gt;"",OR(E57&gt;H57,E57&lt;I57)),"Fuera de control",IF(K57&gt;=8,"Tendencia: 8+ semanas bajo LC",IF(E57&lt;J57,"Bajo meta","OK"))))</f>
        <v/>
      </c>
    </row>
    <row r="58" customFormat="false" ht="15" hidden="false" customHeight="false" outlineLevel="0" collapsed="false">
      <c r="A58" s="4" t="n">
        <v>47</v>
      </c>
      <c r="B58" s="4" t="str">
        <f aca="false">"S"&amp;TEXT(A58,"00")</f>
        <v>S47</v>
      </c>
      <c r="C58" s="48" t="n">
        <f aca="false">SUMIFS(Registro!$M$6:$M$1005,Registro!$B$6:$B$1005,Parámetros!$B$4,Registro!$C$6:$C$1005,47)</f>
        <v>0</v>
      </c>
      <c r="D58" s="48" t="n">
        <f aca="false">SUMIFS(Registro!$N$6:$N$1005,Registro!$B$6:$B$1005,Parámetros!$B$4,Registro!$C$6:$C$1005,47)</f>
        <v>0</v>
      </c>
      <c r="E58" s="49" t="str">
        <f aca="false">IF(C58=0,"",D58/C58)</f>
        <v/>
      </c>
      <c r="F58" s="50" t="str">
        <f aca="false">IF(OR(E58="",E57=""),"",ABS(E58-E57))</f>
        <v/>
      </c>
      <c r="G58" s="49" t="str">
        <f aca="false">$B$4</f>
        <v/>
      </c>
      <c r="H58" s="49" t="str">
        <f aca="false">$B$7</f>
        <v/>
      </c>
      <c r="I58" s="49" t="str">
        <f aca="false">$B$8</f>
        <v/>
      </c>
      <c r="J58" s="49" t="str">
        <f aca="false">$B$9</f>
        <v/>
      </c>
      <c r="K58" s="51" t="str">
        <f aca="false">IF(OR(E58="",$B$4=""),"",IF(E58&lt;G58,N(K57)+1,0))</f>
        <v/>
      </c>
      <c r="L58" s="4" t="str">
        <f aca="false">IF(E58="","",IF(AND(H58&lt;&gt;"",OR(E58&gt;H58,E58&lt;I58)),"Fuera de control",IF(K58&gt;=8,"Tendencia: 8+ semanas bajo LC",IF(E58&lt;J58,"Bajo meta","OK"))))</f>
        <v/>
      </c>
    </row>
    <row r="59" customFormat="false" ht="15" hidden="false" customHeight="false" outlineLevel="0" collapsed="false">
      <c r="A59" s="4" t="n">
        <v>48</v>
      </c>
      <c r="B59" s="4" t="str">
        <f aca="false">"S"&amp;TEXT(A59,"00")</f>
        <v>S48</v>
      </c>
      <c r="C59" s="48" t="n">
        <f aca="false">SUMIFS(Registro!$M$6:$M$1005,Registro!$B$6:$B$1005,Parámetros!$B$4,Registro!$C$6:$C$1005,48)</f>
        <v>0</v>
      </c>
      <c r="D59" s="48" t="n">
        <f aca="false">SUMIFS(Registro!$N$6:$N$1005,Registro!$B$6:$B$1005,Parámetros!$B$4,Registro!$C$6:$C$1005,48)</f>
        <v>0</v>
      </c>
      <c r="E59" s="49" t="str">
        <f aca="false">IF(C59=0,"",D59/C59)</f>
        <v/>
      </c>
      <c r="F59" s="50" t="str">
        <f aca="false">IF(OR(E59="",E58=""),"",ABS(E59-E58))</f>
        <v/>
      </c>
      <c r="G59" s="49" t="str">
        <f aca="false">$B$4</f>
        <v/>
      </c>
      <c r="H59" s="49" t="str">
        <f aca="false">$B$7</f>
        <v/>
      </c>
      <c r="I59" s="49" t="str">
        <f aca="false">$B$8</f>
        <v/>
      </c>
      <c r="J59" s="49" t="str">
        <f aca="false">$B$9</f>
        <v/>
      </c>
      <c r="K59" s="51" t="str">
        <f aca="false">IF(OR(E59="",$B$4=""),"",IF(E59&lt;G59,N(K58)+1,0))</f>
        <v/>
      </c>
      <c r="L59" s="4" t="str">
        <f aca="false">IF(E59="","",IF(AND(H59&lt;&gt;"",OR(E59&gt;H59,E59&lt;I59)),"Fuera de control",IF(K59&gt;=8,"Tendencia: 8+ semanas bajo LC",IF(E59&lt;J59,"Bajo meta","OK"))))</f>
        <v/>
      </c>
    </row>
    <row r="60" customFormat="false" ht="15" hidden="false" customHeight="false" outlineLevel="0" collapsed="false">
      <c r="A60" s="4" t="n">
        <v>49</v>
      </c>
      <c r="B60" s="4" t="str">
        <f aca="false">"S"&amp;TEXT(A60,"00")</f>
        <v>S49</v>
      </c>
      <c r="C60" s="48" t="n">
        <f aca="false">SUMIFS(Registro!$M$6:$M$1005,Registro!$B$6:$B$1005,Parámetros!$B$4,Registro!$C$6:$C$1005,49)</f>
        <v>0</v>
      </c>
      <c r="D60" s="48" t="n">
        <f aca="false">SUMIFS(Registro!$N$6:$N$1005,Registro!$B$6:$B$1005,Parámetros!$B$4,Registro!$C$6:$C$1005,49)</f>
        <v>0</v>
      </c>
      <c r="E60" s="49" t="str">
        <f aca="false">IF(C60=0,"",D60/C60)</f>
        <v/>
      </c>
      <c r="F60" s="50" t="str">
        <f aca="false">IF(OR(E60="",E59=""),"",ABS(E60-E59))</f>
        <v/>
      </c>
      <c r="G60" s="49" t="str">
        <f aca="false">$B$4</f>
        <v/>
      </c>
      <c r="H60" s="49" t="str">
        <f aca="false">$B$7</f>
        <v/>
      </c>
      <c r="I60" s="49" t="str">
        <f aca="false">$B$8</f>
        <v/>
      </c>
      <c r="J60" s="49" t="str">
        <f aca="false">$B$9</f>
        <v/>
      </c>
      <c r="K60" s="51" t="str">
        <f aca="false">IF(OR(E60="",$B$4=""),"",IF(E60&lt;G60,N(K59)+1,0))</f>
        <v/>
      </c>
      <c r="L60" s="4" t="str">
        <f aca="false">IF(E60="","",IF(AND(H60&lt;&gt;"",OR(E60&gt;H60,E60&lt;I60)),"Fuera de control",IF(K60&gt;=8,"Tendencia: 8+ semanas bajo LC",IF(E60&lt;J60,"Bajo meta","OK"))))</f>
        <v/>
      </c>
    </row>
    <row r="61" customFormat="false" ht="15" hidden="false" customHeight="false" outlineLevel="0" collapsed="false">
      <c r="A61" s="4" t="n">
        <v>50</v>
      </c>
      <c r="B61" s="4" t="str">
        <f aca="false">"S"&amp;TEXT(A61,"00")</f>
        <v>S50</v>
      </c>
      <c r="C61" s="48" t="n">
        <f aca="false">SUMIFS(Registro!$M$6:$M$1005,Registro!$B$6:$B$1005,Parámetros!$B$4,Registro!$C$6:$C$1005,50)</f>
        <v>0</v>
      </c>
      <c r="D61" s="48" t="n">
        <f aca="false">SUMIFS(Registro!$N$6:$N$1005,Registro!$B$6:$B$1005,Parámetros!$B$4,Registro!$C$6:$C$1005,50)</f>
        <v>0</v>
      </c>
      <c r="E61" s="49" t="str">
        <f aca="false">IF(C61=0,"",D61/C61)</f>
        <v/>
      </c>
      <c r="F61" s="50" t="str">
        <f aca="false">IF(OR(E61="",E60=""),"",ABS(E61-E60))</f>
        <v/>
      </c>
      <c r="G61" s="49" t="str">
        <f aca="false">$B$4</f>
        <v/>
      </c>
      <c r="H61" s="49" t="str">
        <f aca="false">$B$7</f>
        <v/>
      </c>
      <c r="I61" s="49" t="str">
        <f aca="false">$B$8</f>
        <v/>
      </c>
      <c r="J61" s="49" t="str">
        <f aca="false">$B$9</f>
        <v/>
      </c>
      <c r="K61" s="51" t="str">
        <f aca="false">IF(OR(E61="",$B$4=""),"",IF(E61&lt;G61,N(K60)+1,0))</f>
        <v/>
      </c>
      <c r="L61" s="4" t="str">
        <f aca="false">IF(E61="","",IF(AND(H61&lt;&gt;"",OR(E61&gt;H61,E61&lt;I61)),"Fuera de control",IF(K61&gt;=8,"Tendencia: 8+ semanas bajo LC",IF(E61&lt;J61,"Bajo meta","OK"))))</f>
        <v/>
      </c>
    </row>
    <row r="62" customFormat="false" ht="15" hidden="false" customHeight="false" outlineLevel="0" collapsed="false">
      <c r="A62" s="4" t="n">
        <v>51</v>
      </c>
      <c r="B62" s="4" t="str">
        <f aca="false">"S"&amp;TEXT(A62,"00")</f>
        <v>S51</v>
      </c>
      <c r="C62" s="48" t="n">
        <f aca="false">SUMIFS(Registro!$M$6:$M$1005,Registro!$B$6:$B$1005,Parámetros!$B$4,Registro!$C$6:$C$1005,51)</f>
        <v>0</v>
      </c>
      <c r="D62" s="48" t="n">
        <f aca="false">SUMIFS(Registro!$N$6:$N$1005,Registro!$B$6:$B$1005,Parámetros!$B$4,Registro!$C$6:$C$1005,51)</f>
        <v>0</v>
      </c>
      <c r="E62" s="49" t="str">
        <f aca="false">IF(C62=0,"",D62/C62)</f>
        <v/>
      </c>
      <c r="F62" s="50" t="str">
        <f aca="false">IF(OR(E62="",E61=""),"",ABS(E62-E61))</f>
        <v/>
      </c>
      <c r="G62" s="49" t="str">
        <f aca="false">$B$4</f>
        <v/>
      </c>
      <c r="H62" s="49" t="str">
        <f aca="false">$B$7</f>
        <v/>
      </c>
      <c r="I62" s="49" t="str">
        <f aca="false">$B$8</f>
        <v/>
      </c>
      <c r="J62" s="49" t="str">
        <f aca="false">$B$9</f>
        <v/>
      </c>
      <c r="K62" s="51" t="str">
        <f aca="false">IF(OR(E62="",$B$4=""),"",IF(E62&lt;G62,N(K61)+1,0))</f>
        <v/>
      </c>
      <c r="L62" s="4" t="str">
        <f aca="false">IF(E62="","",IF(AND(H62&lt;&gt;"",OR(E62&gt;H62,E62&lt;I62)),"Fuera de control",IF(K62&gt;=8,"Tendencia: 8+ semanas bajo LC",IF(E62&lt;J62,"Bajo meta","OK"))))</f>
        <v/>
      </c>
    </row>
    <row r="63" customFormat="false" ht="15" hidden="false" customHeight="false" outlineLevel="0" collapsed="false">
      <c r="A63" s="4" t="n">
        <v>52</v>
      </c>
      <c r="B63" s="4" t="str">
        <f aca="false">"S"&amp;TEXT(A63,"00")</f>
        <v>S52</v>
      </c>
      <c r="C63" s="48" t="n">
        <f aca="false">SUMIFS(Registro!$M$6:$M$1005,Registro!$B$6:$B$1005,Parámetros!$B$4,Registro!$C$6:$C$1005,52)</f>
        <v>0</v>
      </c>
      <c r="D63" s="48" t="n">
        <f aca="false">SUMIFS(Registro!$N$6:$N$1005,Registro!$B$6:$B$1005,Parámetros!$B$4,Registro!$C$6:$C$1005,52)</f>
        <v>0</v>
      </c>
      <c r="E63" s="49" t="str">
        <f aca="false">IF(C63=0,"",D63/C63)</f>
        <v/>
      </c>
      <c r="F63" s="50" t="str">
        <f aca="false">IF(OR(E63="",E62=""),"",ABS(E63-E62))</f>
        <v/>
      </c>
      <c r="G63" s="49" t="str">
        <f aca="false">$B$4</f>
        <v/>
      </c>
      <c r="H63" s="49" t="str">
        <f aca="false">$B$7</f>
        <v/>
      </c>
      <c r="I63" s="49" t="str">
        <f aca="false">$B$8</f>
        <v/>
      </c>
      <c r="J63" s="49" t="str">
        <f aca="false">$B$9</f>
        <v/>
      </c>
      <c r="K63" s="51" t="str">
        <f aca="false">IF(OR(E63="",$B$4=""),"",IF(E63&lt;G63,N(K62)+1,0))</f>
        <v/>
      </c>
      <c r="L63" s="4" t="str">
        <f aca="false">IF(E63="","",IF(AND(H63&lt;&gt;"",OR(E63&gt;H63,E63&lt;I63)),"Fuera de control",IF(K63&gt;=8,"Tendencia: 8+ semanas bajo LC",IF(E63&lt;J63,"Bajo meta","OK"))))</f>
        <v/>
      </c>
    </row>
    <row r="64" customFormat="false" ht="15" hidden="false" customHeight="false" outlineLevel="0" collapsed="false">
      <c r="A64" s="4" t="n">
        <v>53</v>
      </c>
      <c r="B64" s="4" t="str">
        <f aca="false">"S"&amp;TEXT(A64,"00")</f>
        <v>S53</v>
      </c>
      <c r="C64" s="48" t="n">
        <f aca="false">SUMIFS(Registro!$M$6:$M$1005,Registro!$B$6:$B$1005,Parámetros!$B$4,Registro!$C$6:$C$1005,53)</f>
        <v>0</v>
      </c>
      <c r="D64" s="48" t="n">
        <f aca="false">SUMIFS(Registro!$N$6:$N$1005,Registro!$B$6:$B$1005,Parámetros!$B$4,Registro!$C$6:$C$1005,53)</f>
        <v>0</v>
      </c>
      <c r="E64" s="49" t="str">
        <f aca="false">IF(C64=0,"",D64/C64)</f>
        <v/>
      </c>
      <c r="F64" s="50" t="str">
        <f aca="false">IF(OR(E64="",E63=""),"",ABS(E64-E63))</f>
        <v/>
      </c>
      <c r="G64" s="49" t="str">
        <f aca="false">$B$4</f>
        <v/>
      </c>
      <c r="H64" s="49" t="str">
        <f aca="false">$B$7</f>
        <v/>
      </c>
      <c r="I64" s="49" t="str">
        <f aca="false">$B$8</f>
        <v/>
      </c>
      <c r="J64" s="49" t="str">
        <f aca="false">$B$9</f>
        <v/>
      </c>
      <c r="K64" s="51" t="str">
        <f aca="false">IF(OR(E64="",$B$4=""),"",IF(E64&lt;G64,N(K63)+1,0))</f>
        <v/>
      </c>
      <c r="L64" s="4" t="str">
        <f aca="false">IF(E64="","",IF(AND(H64&lt;&gt;"",OR(E64&gt;H64,E64&lt;I64)),"Fuera de control",IF(K64&gt;=8,"Tendencia: 8+ semanas bajo LC",IF(E64&lt;J64,"Bajo meta","OK"))))</f>
        <v/>
      </c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18" t="s">
        <v>120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</sheetData>
  <conditionalFormatting sqref="L12:L64">
    <cfRule type="expression" priority="2" aboveAverage="0" equalAverage="0" bottom="0" percent="0" rank="0" text="" dxfId="7">
      <formula>L12="Fuera de control"</formula>
    </cfRule>
    <cfRule type="expression" priority="3" aboveAverage="0" equalAverage="0" bottom="0" percent="0" rank="0" text="" dxfId="9">
      <formula>LEFT(L12,9)="Tendencia"</formula>
    </cfRule>
    <cfRule type="expression" priority="4" aboveAverage="0" equalAverage="0" bottom="0" percent="0" rank="0" text="" dxfId="8">
      <formula>L12="Bajo meta"</formula>
    </cfRule>
    <cfRule type="expression" priority="5" aboveAverage="0" equalAverage="0" bottom="0" percent="0" rank="0" text="" dxfId="10">
      <formula>L12="OK"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121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8" t="s">
        <v>122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7" t="s">
        <v>54</v>
      </c>
      <c r="B4" s="2"/>
      <c r="C4" s="25" t="n">
        <v>0</v>
      </c>
      <c r="D4" s="2"/>
      <c r="E4" s="2"/>
      <c r="F4" s="2"/>
    </row>
    <row r="5" customFormat="false" ht="15" hidden="false" customHeight="false" outlineLevel="0" collapsed="false">
      <c r="A5" s="17" t="s">
        <v>123</v>
      </c>
      <c r="B5" s="2"/>
      <c r="C5" s="52" t="n">
        <f aca="false">IF($C$4=0,DATE(Parámetros!$B$4,1,1),DATE(Parámetros!$B$4,$C$4,1))</f>
        <v>46023</v>
      </c>
      <c r="D5" s="2"/>
      <c r="E5" s="2"/>
      <c r="F5" s="2"/>
    </row>
    <row r="6" customFormat="false" ht="15" hidden="false" customHeight="false" outlineLevel="0" collapsed="false">
      <c r="A6" s="17" t="s">
        <v>124</v>
      </c>
      <c r="B6" s="2"/>
      <c r="C6" s="52" t="n">
        <f aca="false">IF($C$4=0,DATE(Parámetros!$B$4,12,1),DATE(Parámetros!$B$4,$C$4,1))</f>
        <v>46357</v>
      </c>
      <c r="D6" s="2"/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3" t="s">
        <v>125</v>
      </c>
      <c r="B8" s="2"/>
      <c r="C8" s="2"/>
      <c r="D8" s="2"/>
      <c r="E8" s="2"/>
      <c r="F8" s="2"/>
    </row>
    <row r="9" customFormat="false" ht="15" hidden="false" customHeight="false" outlineLevel="0" collapsed="false">
      <c r="A9" s="18" t="s">
        <v>126</v>
      </c>
      <c r="B9" s="2"/>
      <c r="C9" s="2"/>
      <c r="D9" s="2"/>
      <c r="E9" s="2"/>
      <c r="F9" s="2"/>
    </row>
    <row r="10" customFormat="false" ht="42" hidden="false" customHeight="true" outlineLevel="0" collapsed="false">
      <c r="A10" s="20" t="s">
        <v>127</v>
      </c>
      <c r="B10" s="20" t="s">
        <v>128</v>
      </c>
      <c r="C10" s="20" t="s">
        <v>129</v>
      </c>
      <c r="D10" s="20" t="s">
        <v>130</v>
      </c>
      <c r="E10" s="20" t="s">
        <v>131</v>
      </c>
      <c r="F10" s="20" t="s">
        <v>132</v>
      </c>
    </row>
    <row r="11" customFormat="false" ht="15" hidden="false" customHeight="false" outlineLevel="0" collapsed="false">
      <c r="A11" s="4" t="n">
        <v>1</v>
      </c>
      <c r="B11" s="4" t="str">
        <f aca="false">INDEX($B$22:$B$30,MATCH(LARGE($D$22:$D$30,1),$D$22:$D$30,0))</f>
        <v>Delta no explicado</v>
      </c>
      <c r="C11" s="48" t="n">
        <f aca="false">INDEX($C$22:$C$30,MATCH(LARGE($D$22:$D$30,1),$D$22:$D$30,0))</f>
        <v>0</v>
      </c>
      <c r="D11" s="53" t="str">
        <f aca="false">IF(SUMIF($C$22:$C$30,"&gt;0")=0,"",MAX(0,C11)/SUMIF($C$22:$C$30,"&gt;0"))</f>
        <v/>
      </c>
      <c r="E11" s="53" t="str">
        <f aca="false">IF(D11="","",SUM($D$11:D11))</f>
        <v/>
      </c>
      <c r="F11" s="4" t="str">
        <f aca="false">IF(OR(E11="",C11&lt;=0),"",IF(E11-D11&lt;0.8,"Prioridad (80 %)","Monitorear"))</f>
        <v/>
      </c>
    </row>
    <row r="12" customFormat="false" ht="15" hidden="false" customHeight="false" outlineLevel="0" collapsed="false">
      <c r="A12" s="4" t="n">
        <v>2</v>
      </c>
      <c r="B12" s="4" t="str">
        <f aca="false">INDEX($B$22:$B$30,MATCH(LARGE($D$22:$D$30,2),$D$22:$D$30,0))</f>
        <v>Oxidación</v>
      </c>
      <c r="C12" s="48" t="n">
        <f aca="false">INDEX($C$22:$C$30,MATCH(LARGE($D$22:$D$30,2),$D$22:$D$30,0))</f>
        <v>0</v>
      </c>
      <c r="D12" s="53" t="str">
        <f aca="false">IF(SUMIF($C$22:$C$30,"&gt;0")=0,"",MAX(0,C12)/SUMIF($C$22:$C$30,"&gt;0"))</f>
        <v/>
      </c>
      <c r="E12" s="53" t="str">
        <f aca="false">IF(D12="","",SUM($D$11:D12))</f>
        <v/>
      </c>
      <c r="F12" s="4" t="str">
        <f aca="false">IF(OR(E12="",C12&lt;=0),"",IF(E12-D12&lt;0.8,"Prioridad (80 %)","Monitorear"))</f>
        <v/>
      </c>
    </row>
    <row r="13" customFormat="false" ht="15" hidden="false" customHeight="false" outlineLevel="0" collapsed="false">
      <c r="A13" s="4" t="n">
        <v>3</v>
      </c>
      <c r="B13" s="4" t="str">
        <f aca="false">INDEX($B$22:$B$30,MATCH(LARGE($D$22:$D$30,3),$D$22:$D$30,0))</f>
        <v>Cobles / barras perdidas</v>
      </c>
      <c r="C13" s="48" t="n">
        <f aca="false">INDEX($C$22:$C$30,MATCH(LARGE($D$22:$D$30,3),$D$22:$D$30,0))</f>
        <v>0</v>
      </c>
      <c r="D13" s="53" t="str">
        <f aca="false">IF(SUMIF($C$22:$C$30,"&gt;0")=0,"",MAX(0,C13)/SUMIF($C$22:$C$30,"&gt;0"))</f>
        <v/>
      </c>
      <c r="E13" s="53" t="str">
        <f aca="false">IF(D13="","",SUM($D$11:D13))</f>
        <v/>
      </c>
      <c r="F13" s="4" t="str">
        <f aca="false">IF(OR(E13="",C13&lt;=0),"",IF(E13-D13&lt;0.8,"Prioridad (80 %)","Monitorear"))</f>
        <v/>
      </c>
    </row>
    <row r="14" customFormat="false" ht="15" hidden="false" customHeight="false" outlineLevel="0" collapsed="false">
      <c r="A14" s="4" t="n">
        <v>4</v>
      </c>
      <c r="B14" s="4" t="str">
        <f aca="false">INDEX($B$22:$B$30,MATCH(LARGE($D$22:$D$30,4),$D$22:$D$30,0))</f>
        <v>Corto T4</v>
      </c>
      <c r="C14" s="48" t="n">
        <f aca="false">INDEX($C$22:$C$30,MATCH(LARGE($D$22:$D$30,4),$D$22:$D$30,0))</f>
        <v>0</v>
      </c>
      <c r="D14" s="53" t="str">
        <f aca="false">IF(SUMIF($C$22:$C$30,"&gt;0")=0,"",MAX(0,C14)/SUMIF($C$22:$C$30,"&gt;0"))</f>
        <v/>
      </c>
      <c r="E14" s="53" t="str">
        <f aca="false">IF(D14="","",SUM($D$11:D14))</f>
        <v/>
      </c>
      <c r="F14" s="4" t="str">
        <f aca="false">IF(OR(E14="",C14&lt;=0),"",IF(E14-D14&lt;0.8,"Prioridad (80 %)","Monitorear"))</f>
        <v/>
      </c>
    </row>
    <row r="15" customFormat="false" ht="15" hidden="false" customHeight="false" outlineLevel="0" collapsed="false">
      <c r="A15" s="4" t="n">
        <v>5</v>
      </c>
      <c r="B15" s="4" t="str">
        <f aca="false">INDEX($B$22:$B$30,MATCH(LARGE($D$22:$D$30,5),$D$22:$D$30,0))</f>
        <v>Fuera de medida</v>
      </c>
      <c r="C15" s="48" t="n">
        <f aca="false">INDEX($C$22:$C$30,MATCH(LARGE($D$22:$D$30,5),$D$22:$D$30,0))</f>
        <v>0</v>
      </c>
      <c r="D15" s="53" t="str">
        <f aca="false">IF(SUMIF($C$22:$C$30,"&gt;0")=0,"",MAX(0,C15)/SUMIF($C$22:$C$30,"&gt;0"))</f>
        <v/>
      </c>
      <c r="E15" s="53" t="str">
        <f aca="false">IF(D15="","",SUM($D$11:D15))</f>
        <v/>
      </c>
      <c r="F15" s="4" t="str">
        <f aca="false">IF(OR(E15="",C15&lt;=0),"",IF(E15-D15&lt;0.8,"Prioridad (80 %)","Monitorear"))</f>
        <v/>
      </c>
    </row>
    <row r="16" customFormat="false" ht="15" hidden="false" customHeight="false" outlineLevel="0" collapsed="false">
      <c r="A16" s="4" t="n">
        <v>6</v>
      </c>
      <c r="B16" s="4" t="str">
        <f aca="false">INDEX($B$22:$B$30,MATCH(LARGE($D$22:$D$30,6),$D$22:$D$30,0))</f>
        <v>T4</v>
      </c>
      <c r="C16" s="48" t="n">
        <f aca="false">INDEX($C$22:$C$30,MATCH(LARGE($D$22:$D$30,6),$D$22:$D$30,0))</f>
        <v>0</v>
      </c>
      <c r="D16" s="53" t="str">
        <f aca="false">IF(SUMIF($C$22:$C$30,"&gt;0")=0,"",MAX(0,C16)/SUMIF($C$22:$C$30,"&gt;0"))</f>
        <v/>
      </c>
      <c r="E16" s="53" t="str">
        <f aca="false">IF(D16="","",SUM($D$11:D16))</f>
        <v/>
      </c>
      <c r="F16" s="4" t="str">
        <f aca="false">IF(OR(E16="",C16&lt;=0),"",IF(E16-D16&lt;0.8,"Prioridad (80 %)","Monitorear"))</f>
        <v/>
      </c>
    </row>
    <row r="17" customFormat="false" ht="15" hidden="false" customHeight="false" outlineLevel="0" collapsed="false">
      <c r="A17" s="4" t="n">
        <v>7</v>
      </c>
      <c r="B17" s="4" t="str">
        <f aca="false">INDEX($B$22:$B$30,MATCH(LARGE($D$22:$D$30,7),$D$22:$D$30,0))</f>
        <v>T3</v>
      </c>
      <c r="C17" s="48" t="n">
        <f aca="false">INDEX($C$22:$C$30,MATCH(LARGE($D$22:$D$30,7),$D$22:$D$30,0))</f>
        <v>0</v>
      </c>
      <c r="D17" s="53" t="str">
        <f aca="false">IF(SUMIF($C$22:$C$30,"&gt;0")=0,"",MAX(0,C17)/SUMIF($C$22:$C$30,"&gt;0"))</f>
        <v/>
      </c>
      <c r="E17" s="53" t="str">
        <f aca="false">IF(D17="","",SUM($D$11:D17))</f>
        <v/>
      </c>
      <c r="F17" s="4" t="str">
        <f aca="false">IF(OR(E17="",C17&lt;=0),"",IF(E17-D17&lt;0.8,"Prioridad (80 %)","Monitorear"))</f>
        <v/>
      </c>
    </row>
    <row r="18" customFormat="false" ht="15" hidden="false" customHeight="false" outlineLevel="0" collapsed="false">
      <c r="A18" s="4" t="n">
        <v>8</v>
      </c>
      <c r="B18" s="4" t="str">
        <f aca="false">INDEX($B$22:$B$30,MATCH(LARGE($D$22:$D$30,8),$D$22:$D$30,0))</f>
        <v>T2</v>
      </c>
      <c r="C18" s="48" t="n">
        <f aca="false">INDEX($C$22:$C$30,MATCH(LARGE($D$22:$D$30,8),$D$22:$D$30,0))</f>
        <v>0</v>
      </c>
      <c r="D18" s="53" t="str">
        <f aca="false">IF(SUMIF($C$22:$C$30,"&gt;0")=0,"",MAX(0,C18)/SUMIF($C$22:$C$30,"&gt;0"))</f>
        <v/>
      </c>
      <c r="E18" s="53" t="str">
        <f aca="false">IF(D18="","",SUM($D$11:D18))</f>
        <v/>
      </c>
      <c r="F18" s="4" t="str">
        <f aca="false">IF(OR(E18="",C18&lt;=0),"",IF(E18-D18&lt;0.8,"Prioridad (80 %)","Monitorear"))</f>
        <v/>
      </c>
    </row>
    <row r="19" customFormat="false" ht="15" hidden="false" customHeight="false" outlineLevel="0" collapsed="false">
      <c r="A19" s="4" t="n">
        <v>9</v>
      </c>
      <c r="B19" s="4" t="str">
        <f aca="false">INDEX($B$22:$B$30,MATCH(LARGE($D$22:$D$30,9),$D$22:$D$30,0))</f>
        <v>T1</v>
      </c>
      <c r="C19" s="48" t="n">
        <f aca="false">INDEX($C$22:$C$30,MATCH(LARGE($D$22:$D$30,9),$D$22:$D$30,0))</f>
        <v>0</v>
      </c>
      <c r="D19" s="53" t="str">
        <f aca="false">IF(SUMIF($C$22:$C$30,"&gt;0")=0,"",MAX(0,C19)/SUMIF($C$22:$C$30,"&gt;0"))</f>
        <v/>
      </c>
      <c r="E19" s="53" t="str">
        <f aca="false">IF(D19="","",SUM($D$11:D19))</f>
        <v/>
      </c>
      <c r="F19" s="4" t="str">
        <f aca="false">IF(OR(E19="",C19&lt;=0),"",IF(E19-D19&lt;0.8,"Prioridad (80 %)","Monitorear"))</f>
        <v/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18" t="s">
        <v>133</v>
      </c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18" t="s">
        <v>134</v>
      </c>
      <c r="C22" s="54" t="n">
        <f aca="false">SUMIFS(Registro!$T$6:$T$1005,Registro!$D$6:$D$1005,"&gt;="&amp;$C$5,Registro!$D$6:$D$1005,"&lt;="&amp;$C$6)</f>
        <v>0</v>
      </c>
      <c r="D22" s="55" t="n">
        <f aca="false">C22+ROW()/1000000</f>
        <v>2.2E-005</v>
      </c>
      <c r="E22" s="2"/>
      <c r="F22" s="2"/>
    </row>
    <row r="23" customFormat="false" ht="15" hidden="false" customHeight="false" outlineLevel="0" collapsed="false">
      <c r="A23" s="2"/>
      <c r="B23" s="18" t="s">
        <v>135</v>
      </c>
      <c r="C23" s="54" t="n">
        <f aca="false">SUMIFS(Registro!$U$6:$U$1005,Registro!$D$6:$D$1005,"&gt;="&amp;$C$5,Registro!$D$6:$D$1005,"&lt;="&amp;$C$6)</f>
        <v>0</v>
      </c>
      <c r="D23" s="55" t="n">
        <f aca="false">C23+ROW()/1000000</f>
        <v>2.3E-005</v>
      </c>
      <c r="E23" s="2"/>
      <c r="F23" s="2"/>
    </row>
    <row r="24" customFormat="false" ht="15" hidden="false" customHeight="false" outlineLevel="0" collapsed="false">
      <c r="A24" s="2"/>
      <c r="B24" s="18" t="s">
        <v>136</v>
      </c>
      <c r="C24" s="54" t="n">
        <f aca="false">SUMIFS(Registro!$V$6:$V$1005,Registro!$D$6:$D$1005,"&gt;="&amp;$C$5,Registro!$D$6:$D$1005,"&lt;="&amp;$C$6)</f>
        <v>0</v>
      </c>
      <c r="D24" s="55" t="n">
        <f aca="false">C24+ROW()/1000000</f>
        <v>2.4E-005</v>
      </c>
      <c r="E24" s="2"/>
      <c r="F24" s="2"/>
    </row>
    <row r="25" customFormat="false" ht="15" hidden="false" customHeight="false" outlineLevel="0" collapsed="false">
      <c r="A25" s="2"/>
      <c r="B25" s="18" t="s">
        <v>137</v>
      </c>
      <c r="C25" s="54" t="n">
        <f aca="false">SUMIFS(Registro!$W$6:$W$1005,Registro!$D$6:$D$1005,"&gt;="&amp;$C$5,Registro!$D$6:$D$1005,"&lt;="&amp;$C$6)</f>
        <v>0</v>
      </c>
      <c r="D25" s="55" t="n">
        <f aca="false">C25+ROW()/1000000</f>
        <v>2.5E-005</v>
      </c>
      <c r="E25" s="2"/>
      <c r="F25" s="2"/>
    </row>
    <row r="26" customFormat="false" ht="15" hidden="false" customHeight="false" outlineLevel="0" collapsed="false">
      <c r="A26" s="2"/>
      <c r="B26" s="18" t="s">
        <v>138</v>
      </c>
      <c r="C26" s="54" t="n">
        <f aca="false">SUMIFS(Registro!$X$6:$X$1005,Registro!$D$6:$D$1005,"&gt;="&amp;$C$5,Registro!$D$6:$D$1005,"&lt;="&amp;$C$6)</f>
        <v>0</v>
      </c>
      <c r="D26" s="55" t="n">
        <f aca="false">C26+ROW()/1000000</f>
        <v>2.6E-005</v>
      </c>
      <c r="E26" s="2"/>
      <c r="F26" s="2"/>
    </row>
    <row r="27" customFormat="false" ht="15" hidden="false" customHeight="false" outlineLevel="0" collapsed="false">
      <c r="A27" s="2"/>
      <c r="B27" s="18" t="s">
        <v>139</v>
      </c>
      <c r="C27" s="54" t="n">
        <f aca="false">SUMIFS(Registro!$Y$6:$Y$1005,Registro!$D$6:$D$1005,"&gt;="&amp;$C$5,Registro!$D$6:$D$1005,"&lt;="&amp;$C$6)</f>
        <v>0</v>
      </c>
      <c r="D27" s="55" t="n">
        <f aca="false">C27+ROW()/1000000</f>
        <v>2.7E-005</v>
      </c>
      <c r="E27" s="2"/>
      <c r="F27" s="2"/>
    </row>
    <row r="28" customFormat="false" ht="15" hidden="false" customHeight="false" outlineLevel="0" collapsed="false">
      <c r="A28" s="2"/>
      <c r="B28" s="18" t="s">
        <v>140</v>
      </c>
      <c r="C28" s="54" t="n">
        <f aca="false">SUMIFS(Registro!$Z$6:$Z$1005,Registro!$D$6:$D$1005,"&gt;="&amp;$C$5,Registro!$D$6:$D$1005,"&lt;="&amp;$C$6)</f>
        <v>0</v>
      </c>
      <c r="D28" s="55" t="n">
        <f aca="false">C28+ROW()/1000000</f>
        <v>2.8E-005</v>
      </c>
      <c r="E28" s="2"/>
      <c r="F28" s="2"/>
    </row>
    <row r="29" customFormat="false" ht="15" hidden="false" customHeight="false" outlineLevel="0" collapsed="false">
      <c r="A29" s="2"/>
      <c r="B29" s="18" t="s">
        <v>141</v>
      </c>
      <c r="C29" s="54" t="n">
        <f aca="false">SUMIFS(Registro!$AC$6:$AC$1005,Registro!$D$6:$D$1005,"&gt;="&amp;$C$5,Registro!$D$6:$D$1005,"&lt;="&amp;$C$6)</f>
        <v>0</v>
      </c>
      <c r="D29" s="55" t="n">
        <f aca="false">C29+ROW()/1000000</f>
        <v>2.9E-005</v>
      </c>
      <c r="E29" s="2"/>
      <c r="F29" s="2"/>
    </row>
    <row r="30" customFormat="false" ht="15" hidden="false" customHeight="false" outlineLevel="0" collapsed="false">
      <c r="A30" s="2"/>
      <c r="B30" s="18" t="s">
        <v>142</v>
      </c>
      <c r="C30" s="54" t="n">
        <f aca="false">SUMIFS(Registro!$AF$6:$AF$1005,Registro!$D$6:$D$1005,"&gt;="&amp;$C$5,Registro!$D$6:$D$1005,"&lt;="&amp;$C$6)</f>
        <v>0</v>
      </c>
      <c r="D30" s="55" t="n">
        <f aca="false">C30+ROW()/1000000</f>
        <v>3E-005</v>
      </c>
      <c r="E30" s="2"/>
      <c r="F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</row>
    <row r="35" customFormat="false" ht="15" hidden="false" customHeight="false" outlineLevel="0" collapsed="false">
      <c r="A35" s="3" t="s">
        <v>143</v>
      </c>
      <c r="B35" s="2"/>
      <c r="C35" s="2"/>
      <c r="D35" s="2"/>
      <c r="E35" s="2"/>
      <c r="F35" s="2"/>
    </row>
    <row r="36" customFormat="false" ht="15" hidden="false" customHeight="false" outlineLevel="0" collapsed="false">
      <c r="A36" s="18" t="s">
        <v>144</v>
      </c>
      <c r="B36" s="2"/>
      <c r="C36" s="2"/>
      <c r="D36" s="2"/>
      <c r="E36" s="2"/>
      <c r="F36" s="2"/>
    </row>
    <row r="37" customFormat="false" ht="42" hidden="false" customHeight="true" outlineLevel="0" collapsed="false">
      <c r="A37" s="20" t="s">
        <v>127</v>
      </c>
      <c r="B37" s="20" t="s">
        <v>128</v>
      </c>
      <c r="C37" s="20" t="s">
        <v>129</v>
      </c>
      <c r="D37" s="20" t="s">
        <v>130</v>
      </c>
      <c r="E37" s="20" t="s">
        <v>131</v>
      </c>
      <c r="F37" s="20" t="s">
        <v>132</v>
      </c>
    </row>
    <row r="38" customFormat="false" ht="15" hidden="false" customHeight="false" outlineLevel="0" collapsed="false">
      <c r="A38" s="4" t="n">
        <v>1</v>
      </c>
      <c r="B38" s="4" t="str">
        <f aca="false">INDEX($B$51:$B$61,MATCH(LARGE($D$51:$D$61,1),$D$51:$D$61,0))</f>
        <v>Sin causa asignada</v>
      </c>
      <c r="C38" s="48" t="n">
        <f aca="false">INDEX($C$51:$C$61,MATCH(LARGE($D$51:$D$61,1),$D$51:$D$61,0))</f>
        <v>0</v>
      </c>
      <c r="D38" s="53" t="str">
        <f aca="false">IF(SUMIF($C$51:$C$61,"&gt;0")=0,"",MAX(0,C38)/SUMIF($C$51:$C$61,"&gt;0"))</f>
        <v/>
      </c>
      <c r="E38" s="53" t="str">
        <f aca="false">IF(D38="","",SUM($D$38:D38))</f>
        <v/>
      </c>
      <c r="F38" s="4" t="str">
        <f aca="false">IF(OR(E38="",C38&lt;=0),"",IF(E38-D38&lt;0.8,"Prioridad (80 %)","Monitorear"))</f>
        <v/>
      </c>
    </row>
    <row r="39" customFormat="false" ht="15" hidden="false" customHeight="false" outlineLevel="0" collapsed="false">
      <c r="A39" s="4" t="n">
        <v>2</v>
      </c>
      <c r="B39" s="4" t="str">
        <f aca="false">INDEX($B$51:$B$61,MATCH(LARGE($D$51:$D$61,2),$D$51:$D$61,0))</f>
        <v>Registro / información</v>
      </c>
      <c r="C39" s="48" t="n">
        <f aca="false">INDEX($C$51:$C$61,MATCH(LARGE($D$51:$D$61,2),$D$51:$D$61,0))</f>
        <v>0</v>
      </c>
      <c r="D39" s="53" t="str">
        <f aca="false">IF(SUMIF($C$51:$C$61,"&gt;0")=0,"",MAX(0,C39)/SUMIF($C$51:$C$61,"&gt;0"))</f>
        <v/>
      </c>
      <c r="E39" s="53" t="str">
        <f aca="false">IF(D39="","",SUM($D$38:D39))</f>
        <v/>
      </c>
      <c r="F39" s="4" t="str">
        <f aca="false">IF(OR(E39="",C39&lt;=0),"",IF(E39-D39&lt;0.8,"Prioridad (80 %)","Monitorear"))</f>
        <v/>
      </c>
    </row>
    <row r="40" customFormat="false" ht="15" hidden="false" customHeight="false" outlineLevel="0" collapsed="false">
      <c r="A40" s="4" t="n">
        <v>3</v>
      </c>
      <c r="B40" s="4" t="str">
        <f aca="false">INDEX($B$51:$B$61,MATCH(LARGE($D$51:$D$61,3),$D$51:$D$61,0))</f>
        <v>Operacional / práctica</v>
      </c>
      <c r="C40" s="48" t="n">
        <f aca="false">INDEX($C$51:$C$61,MATCH(LARGE($D$51:$D$61,3),$D$51:$D$61,0))</f>
        <v>0</v>
      </c>
      <c r="D40" s="53" t="str">
        <f aca="false">IF(SUMIF($C$51:$C$61,"&gt;0")=0,"",MAX(0,C40)/SUMIF($C$51:$C$61,"&gt;0"))</f>
        <v/>
      </c>
      <c r="E40" s="53" t="str">
        <f aca="false">IF(D40="","",SUM($D$38:D40))</f>
        <v/>
      </c>
      <c r="F40" s="4" t="str">
        <f aca="false">IF(OR(E40="",C40&lt;=0),"",IF(E40-D40&lt;0.8,"Prioridad (80 %)","Monitorear"))</f>
        <v/>
      </c>
    </row>
    <row r="41" customFormat="false" ht="15" hidden="false" customHeight="false" outlineLevel="0" collapsed="false">
      <c r="A41" s="4" t="n">
        <v>4</v>
      </c>
      <c r="B41" s="4" t="str">
        <f aca="false">INDEX($B$51:$B$61,MATCH(LARGE($D$51:$D$61,4),$D$51:$D$61,0))</f>
        <v>Cambio de medida / campaña corta</v>
      </c>
      <c r="C41" s="48" t="n">
        <f aca="false">INDEX($C$51:$C$61,MATCH(LARGE($D$51:$D$61,4),$D$51:$D$61,0))</f>
        <v>0</v>
      </c>
      <c r="D41" s="53" t="str">
        <f aca="false">IF(SUMIF($C$51:$C$61,"&gt;0")=0,"",MAX(0,C41)/SUMIF($C$51:$C$61,"&gt;0"))</f>
        <v/>
      </c>
      <c r="E41" s="53" t="str">
        <f aca="false">IF(D41="","",SUM($D$38:D41))</f>
        <v/>
      </c>
      <c r="F41" s="4" t="str">
        <f aca="false">IF(OR(E41="",C41&lt;=0),"",IF(E41-D41&lt;0.8,"Prioridad (80 %)","Monitorear"))</f>
        <v/>
      </c>
    </row>
    <row r="42" customFormat="false" ht="15" hidden="false" customHeight="false" outlineLevel="0" collapsed="false">
      <c r="A42" s="4" t="n">
        <v>5</v>
      </c>
      <c r="B42" s="4" t="str">
        <f aca="false">INDEX($B$51:$B$61,MATCH(LARGE($D$51:$D$61,5),$D$51:$D$61,0))</f>
        <v>Mecánico / guías / cilindros</v>
      </c>
      <c r="C42" s="48" t="n">
        <f aca="false">INDEX($C$51:$C$61,MATCH(LARGE($D$51:$D$61,5),$D$51:$D$61,0))</f>
        <v>0</v>
      </c>
      <c r="D42" s="53" t="str">
        <f aca="false">IF(SUMIF($C$51:$C$61,"&gt;0")=0,"",MAX(0,C42)/SUMIF($C$51:$C$61,"&gt;0"))</f>
        <v/>
      </c>
      <c r="E42" s="53" t="str">
        <f aca="false">IF(D42="","",SUM($D$38:D42))</f>
        <v/>
      </c>
      <c r="F42" s="4" t="str">
        <f aca="false">IF(OR(E42="",C42&lt;=0),"",IF(E42-D42&lt;0.8,"Prioridad (80 %)","Monitorear"))</f>
        <v/>
      </c>
    </row>
    <row r="43" customFormat="false" ht="15" hidden="false" customHeight="false" outlineLevel="0" collapsed="false">
      <c r="A43" s="4" t="n">
        <v>6</v>
      </c>
      <c r="B43" s="4" t="str">
        <f aca="false">INDEX($B$51:$B$61,MATCH(LARGE($D$51:$D$61,6),$D$51:$D$61,0))</f>
        <v>Eléctrico / instrumentación</v>
      </c>
      <c r="C43" s="48" t="n">
        <f aca="false">INDEX($C$51:$C$61,MATCH(LARGE($D$51:$D$61,6),$D$51:$D$61,0))</f>
        <v>0</v>
      </c>
      <c r="D43" s="53" t="str">
        <f aca="false">IF(SUMIF($C$51:$C$61,"&gt;0")=0,"",MAX(0,C43)/SUMIF($C$51:$C$61,"&gt;0"))</f>
        <v/>
      </c>
      <c r="E43" s="53" t="str">
        <f aca="false">IF(D43="","",SUM($D$38:D43))</f>
        <v/>
      </c>
      <c r="F43" s="4" t="str">
        <f aca="false">IF(OR(E43="",C43&lt;=0),"",IF(E43-D43&lt;0.8,"Prioridad (80 %)","Monitorear"))</f>
        <v/>
      </c>
    </row>
    <row r="44" customFormat="false" ht="15" hidden="false" customHeight="false" outlineLevel="0" collapsed="false">
      <c r="A44" s="4" t="n">
        <v>7</v>
      </c>
      <c r="B44" s="4" t="str">
        <f aca="false">INDEX($B$51:$B$61,MATCH(LARGE($D$51:$D$61,7),$D$51:$D$61,0))</f>
        <v>Largo de corte / padrón</v>
      </c>
      <c r="C44" s="48" t="n">
        <f aca="false">INDEX($C$51:$C$61,MATCH(LARGE($D$51:$D$61,7),$D$51:$D$61,0))</f>
        <v>0</v>
      </c>
      <c r="D44" s="53" t="str">
        <f aca="false">IF(SUMIF($C$51:$C$61,"&gt;0")=0,"",MAX(0,C44)/SUMIF($C$51:$C$61,"&gt;0"))</f>
        <v/>
      </c>
      <c r="E44" s="53" t="str">
        <f aca="false">IF(D44="","",SUM($D$38:D44))</f>
        <v/>
      </c>
      <c r="F44" s="4" t="str">
        <f aca="false">IF(OR(E44="",C44&lt;=0),"",IF(E44-D44&lt;0.8,"Prioridad (80 %)","Monitorear"))</f>
        <v/>
      </c>
    </row>
    <row r="45" customFormat="false" ht="15" hidden="false" customHeight="false" outlineLevel="0" collapsed="false">
      <c r="A45" s="4" t="n">
        <v>8</v>
      </c>
      <c r="B45" s="4" t="str">
        <f aca="false">INDEX($B$51:$B$61,MATCH(LARGE($D$51:$D$61,8),$D$51:$D$61,0))</f>
        <v>Cobles / barras perdidas</v>
      </c>
      <c r="C45" s="48" t="n">
        <f aca="false">INDEX($C$51:$C$61,MATCH(LARGE($D$51:$D$61,8),$D$51:$D$61,0))</f>
        <v>0</v>
      </c>
      <c r="D45" s="53" t="str">
        <f aca="false">IF(SUMIF($C$51:$C$61,"&gt;0")=0,"",MAX(0,C45)/SUMIF($C$51:$C$61,"&gt;0"))</f>
        <v/>
      </c>
      <c r="E45" s="53" t="str">
        <f aca="false">IF(D45="","",SUM($D$38:D45))</f>
        <v/>
      </c>
      <c r="F45" s="4" t="str">
        <f aca="false">IF(OR(E45="",C45&lt;=0),"",IF(E45-D45&lt;0.8,"Prioridad (80 %)","Monitorear"))</f>
        <v/>
      </c>
    </row>
    <row r="46" customFormat="false" ht="15" hidden="false" customHeight="false" outlineLevel="0" collapsed="false">
      <c r="A46" s="4" t="n">
        <v>9</v>
      </c>
      <c r="B46" s="4" t="str">
        <f aca="false">INDEX($B$51:$B$61,MATCH(LARGE($D$51:$D$61,9),$D$51:$D$61,0))</f>
        <v>Cizallas (despunte)</v>
      </c>
      <c r="C46" s="48" t="n">
        <f aca="false">INDEX($C$51:$C$61,MATCH(LARGE($D$51:$D$61,9),$D$51:$D$61,0))</f>
        <v>0</v>
      </c>
      <c r="D46" s="53" t="str">
        <f aca="false">IF(SUMIF($C$51:$C$61,"&gt;0")=0,"",MAX(0,C46)/SUMIF($C$51:$C$61,"&gt;0"))</f>
        <v/>
      </c>
      <c r="E46" s="53" t="str">
        <f aca="false">IF(D46="","",SUM($D$38:D46))</f>
        <v/>
      </c>
      <c r="F46" s="4" t="str">
        <f aca="false">IF(OR(E46="",C46&lt;=0),"",IF(E46-D46&lt;0.8,"Prioridad (80 %)","Monitorear"))</f>
        <v/>
      </c>
    </row>
    <row r="47" customFormat="false" ht="15" hidden="false" customHeight="false" outlineLevel="0" collapsed="false">
      <c r="A47" s="4" t="n">
        <v>10</v>
      </c>
      <c r="B47" s="4" t="str">
        <f aca="false">INDEX($B$51:$B$61,MATCH(LARGE($D$51:$D$61,10),$D$51:$D$61,0))</f>
        <v>Horno (oxidación / temperatura)</v>
      </c>
      <c r="C47" s="48" t="n">
        <f aca="false">INDEX($C$51:$C$61,MATCH(LARGE($D$51:$D$61,10),$D$51:$D$61,0))</f>
        <v>0</v>
      </c>
      <c r="D47" s="53" t="str">
        <f aca="false">IF(SUMIF($C$51:$C$61,"&gt;0")=0,"",MAX(0,C47)/SUMIF($C$51:$C$61,"&gt;0"))</f>
        <v/>
      </c>
      <c r="E47" s="53" t="str">
        <f aca="false">IF(D47="","",SUM($D$38:D47))</f>
        <v/>
      </c>
      <c r="F47" s="4" t="str">
        <f aca="false">IF(OR(E47="",C47&lt;=0),"",IF(E47-D47&lt;0.8,"Prioridad (80 %)","Monitorear"))</f>
        <v/>
      </c>
    </row>
    <row r="48" customFormat="false" ht="15" hidden="false" customHeight="false" outlineLevel="0" collapsed="false">
      <c r="A48" s="4" t="n">
        <v>11</v>
      </c>
      <c r="B48" s="4" t="str">
        <f aca="false">INDEX($B$51:$B$61,MATCH(LARGE($D$51:$D$61,11),$D$51:$D$61,0))</f>
        <v>Palanquilla (defecto / largo)</v>
      </c>
      <c r="C48" s="48" t="n">
        <f aca="false">INDEX($C$51:$C$61,MATCH(LARGE($D$51:$D$61,11),$D$51:$D$61,0))</f>
        <v>0</v>
      </c>
      <c r="D48" s="53" t="str">
        <f aca="false">IF(SUMIF($C$51:$C$61,"&gt;0")=0,"",MAX(0,C48)/SUMIF($C$51:$C$61,"&gt;0"))</f>
        <v/>
      </c>
      <c r="E48" s="53" t="str">
        <f aca="false">IF(D48="","",SUM($D$38:D48))</f>
        <v/>
      </c>
      <c r="F48" s="4" t="str">
        <f aca="false">IF(OR(E48="",C48&lt;=0),"",IF(E48-D48&lt;0.8,"Prioridad (80 %)","Monitorear"))</f>
        <v/>
      </c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</row>
    <row r="50" customFormat="false" ht="15" hidden="false" customHeight="false" outlineLevel="0" collapsed="false">
      <c r="A50" s="18" t="s">
        <v>133</v>
      </c>
      <c r="B50" s="2"/>
      <c r="C50" s="2"/>
      <c r="D50" s="2"/>
      <c r="E50" s="2"/>
      <c r="F50" s="2"/>
    </row>
    <row r="51" customFormat="false" ht="15" hidden="false" customHeight="false" outlineLevel="0" collapsed="false">
      <c r="A51" s="2"/>
      <c r="B51" s="18" t="s">
        <v>145</v>
      </c>
      <c r="C51" s="54" t="n">
        <f aca="false">SUMIFS(Registro!$R$6:$R$1005,Registro!$D$6:$D$1005,"&gt;="&amp;$C$5,Registro!$D$6:$D$1005,"&lt;="&amp;$C$6,Registro!$AL$6:$AL$1005,Parámetros!$F$14)</f>
        <v>0</v>
      </c>
      <c r="D51" s="55" t="n">
        <f aca="false">C51+ROW()/1000000</f>
        <v>5.1E-005</v>
      </c>
      <c r="E51" s="2"/>
      <c r="F51" s="2"/>
    </row>
    <row r="52" customFormat="false" ht="15" hidden="false" customHeight="false" outlineLevel="0" collapsed="false">
      <c r="A52" s="2"/>
      <c r="B52" s="18" t="s">
        <v>146</v>
      </c>
      <c r="C52" s="54" t="n">
        <f aca="false">SUMIFS(Registro!$R$6:$R$1005,Registro!$D$6:$D$1005,"&gt;="&amp;$C$5,Registro!$D$6:$D$1005,"&lt;="&amp;$C$6,Registro!$AL$6:$AL$1005,Parámetros!$F$15)</f>
        <v>0</v>
      </c>
      <c r="D52" s="55" t="n">
        <f aca="false">C52+ROW()/1000000</f>
        <v>5.2E-005</v>
      </c>
      <c r="E52" s="2"/>
      <c r="F52" s="2"/>
    </row>
    <row r="53" customFormat="false" ht="15" hidden="false" customHeight="false" outlineLevel="0" collapsed="false">
      <c r="A53" s="2"/>
      <c r="B53" s="18" t="s">
        <v>147</v>
      </c>
      <c r="C53" s="54" t="n">
        <f aca="false">SUMIFS(Registro!$R$6:$R$1005,Registro!$D$6:$D$1005,"&gt;="&amp;$C$5,Registro!$D$6:$D$1005,"&lt;="&amp;$C$6,Registro!$AL$6:$AL$1005,Parámetros!$F$16)</f>
        <v>0</v>
      </c>
      <c r="D53" s="55" t="n">
        <f aca="false">C53+ROW()/1000000</f>
        <v>5.3E-005</v>
      </c>
      <c r="E53" s="2"/>
      <c r="F53" s="2"/>
    </row>
    <row r="54" customFormat="false" ht="15" hidden="false" customHeight="false" outlineLevel="0" collapsed="false">
      <c r="A54" s="2"/>
      <c r="B54" s="18" t="s">
        <v>140</v>
      </c>
      <c r="C54" s="54" t="n">
        <f aca="false">SUMIFS(Registro!$R$6:$R$1005,Registro!$D$6:$D$1005,"&gt;="&amp;$C$5,Registro!$D$6:$D$1005,"&lt;="&amp;$C$6,Registro!$AL$6:$AL$1005,Parámetros!$F$17)</f>
        <v>0</v>
      </c>
      <c r="D54" s="55" t="n">
        <f aca="false">C54+ROW()/1000000</f>
        <v>5.4E-005</v>
      </c>
      <c r="E54" s="2"/>
      <c r="F54" s="2"/>
    </row>
    <row r="55" customFormat="false" ht="15" hidden="false" customHeight="false" outlineLevel="0" collapsed="false">
      <c r="A55" s="2"/>
      <c r="B55" s="18" t="s">
        <v>148</v>
      </c>
      <c r="C55" s="54" t="n">
        <f aca="false">SUMIFS(Registro!$R$6:$R$1005,Registro!$D$6:$D$1005,"&gt;="&amp;$C$5,Registro!$D$6:$D$1005,"&lt;="&amp;$C$6,Registro!$AL$6:$AL$1005,Parámetros!$F$18)</f>
        <v>0</v>
      </c>
      <c r="D55" s="55" t="n">
        <f aca="false">C55+ROW()/1000000</f>
        <v>5.5E-005</v>
      </c>
      <c r="E55" s="2"/>
      <c r="F55" s="2"/>
    </row>
    <row r="56" customFormat="false" ht="15" hidden="false" customHeight="false" outlineLevel="0" collapsed="false">
      <c r="A56" s="2"/>
      <c r="B56" s="18" t="s">
        <v>92</v>
      </c>
      <c r="C56" s="54" t="n">
        <f aca="false">SUMIFS(Registro!$R$6:$R$1005,Registro!$D$6:$D$1005,"&gt;="&amp;$C$5,Registro!$D$6:$D$1005,"&lt;="&amp;$C$6,Registro!$AL$6:$AL$1005,Parámetros!$F$19)</f>
        <v>0</v>
      </c>
      <c r="D56" s="55" t="n">
        <f aca="false">C56+ROW()/1000000</f>
        <v>5.6E-005</v>
      </c>
      <c r="E56" s="2"/>
      <c r="F56" s="2"/>
    </row>
    <row r="57" customFormat="false" ht="15" hidden="false" customHeight="false" outlineLevel="0" collapsed="false">
      <c r="A57" s="2"/>
      <c r="B57" s="18" t="s">
        <v>149</v>
      </c>
      <c r="C57" s="54" t="n">
        <f aca="false">SUMIFS(Registro!$R$6:$R$1005,Registro!$D$6:$D$1005,"&gt;="&amp;$C$5,Registro!$D$6:$D$1005,"&lt;="&amp;$C$6,Registro!$AL$6:$AL$1005,Parámetros!$F$20)</f>
        <v>0</v>
      </c>
      <c r="D57" s="55" t="n">
        <f aca="false">C57+ROW()/1000000</f>
        <v>5.7E-005</v>
      </c>
      <c r="E57" s="2"/>
      <c r="F57" s="2"/>
    </row>
    <row r="58" customFormat="false" ht="15" hidden="false" customHeight="false" outlineLevel="0" collapsed="false">
      <c r="A58" s="2"/>
      <c r="B58" s="18" t="s">
        <v>150</v>
      </c>
      <c r="C58" s="54" t="n">
        <f aca="false">SUMIFS(Registro!$R$6:$R$1005,Registro!$D$6:$D$1005,"&gt;="&amp;$C$5,Registro!$D$6:$D$1005,"&lt;="&amp;$C$6,Registro!$AL$6:$AL$1005,Parámetros!$F$21)</f>
        <v>0</v>
      </c>
      <c r="D58" s="55" t="n">
        <f aca="false">C58+ROW()/1000000</f>
        <v>5.8E-005</v>
      </c>
      <c r="E58" s="2"/>
      <c r="F58" s="2"/>
    </row>
    <row r="59" customFormat="false" ht="15" hidden="false" customHeight="false" outlineLevel="0" collapsed="false">
      <c r="A59" s="2"/>
      <c r="B59" s="18" t="s">
        <v>151</v>
      </c>
      <c r="C59" s="54" t="n">
        <f aca="false">SUMIFS(Registro!$R$6:$R$1005,Registro!$D$6:$D$1005,"&gt;="&amp;$C$5,Registro!$D$6:$D$1005,"&lt;="&amp;$C$6,Registro!$AL$6:$AL$1005,Parámetros!$F$22)</f>
        <v>0</v>
      </c>
      <c r="D59" s="55" t="n">
        <f aca="false">C59+ROW()/1000000</f>
        <v>5.9E-005</v>
      </c>
      <c r="E59" s="2"/>
      <c r="F59" s="2"/>
    </row>
    <row r="60" customFormat="false" ht="15" hidden="false" customHeight="false" outlineLevel="0" collapsed="false">
      <c r="A60" s="2"/>
      <c r="B60" s="18" t="s">
        <v>152</v>
      </c>
      <c r="C60" s="54" t="n">
        <f aca="false">SUMIFS(Registro!$R$6:$R$1005,Registro!$D$6:$D$1005,"&gt;="&amp;$C$5,Registro!$D$6:$D$1005,"&lt;="&amp;$C$6,Registro!$AL$6:$AL$1005,Parámetros!$F$23)</f>
        <v>0</v>
      </c>
      <c r="D60" s="55" t="n">
        <f aca="false">C60+ROW()/1000000</f>
        <v>6E-005</v>
      </c>
      <c r="E60" s="2"/>
      <c r="F60" s="2"/>
    </row>
    <row r="61" customFormat="false" ht="15" hidden="false" customHeight="false" outlineLevel="0" collapsed="false">
      <c r="A61" s="2"/>
      <c r="B61" s="18" t="s">
        <v>153</v>
      </c>
      <c r="C61" s="54" t="n">
        <f aca="false">SUMIFS(Registro!$R$6:$R$1005,Registro!$D$6:$D$1005,"&gt;="&amp;$C$5,Registro!$D$6:$D$1005,"&lt;="&amp;$C$6)-SUM(C51:C60)</f>
        <v>0</v>
      </c>
      <c r="D61" s="55" t="n">
        <f aca="false">C61+ROW()/1000000</f>
        <v>6.1E-005</v>
      </c>
      <c r="E61" s="2"/>
      <c r="F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</row>
    <row r="66" customFormat="false" ht="15" hidden="false" customHeight="false" outlineLevel="0" collapsed="false">
      <c r="A66" s="3" t="s">
        <v>154</v>
      </c>
      <c r="B66" s="2"/>
      <c r="C66" s="2"/>
      <c r="D66" s="2"/>
      <c r="E66" s="2"/>
      <c r="F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</row>
    <row r="68" customFormat="false" ht="42" hidden="false" customHeight="true" outlineLevel="0" collapsed="false">
      <c r="A68" s="20" t="s">
        <v>127</v>
      </c>
      <c r="B68" s="20" t="s">
        <v>128</v>
      </c>
      <c r="C68" s="20" t="s">
        <v>129</v>
      </c>
      <c r="D68" s="20" t="s">
        <v>130</v>
      </c>
      <c r="E68" s="20" t="s">
        <v>131</v>
      </c>
      <c r="F68" s="20" t="s">
        <v>132</v>
      </c>
    </row>
    <row r="69" customFormat="false" ht="15" hidden="false" customHeight="false" outlineLevel="0" collapsed="false">
      <c r="A69" s="4" t="n">
        <v>1</v>
      </c>
      <c r="B69" s="4" t="str">
        <f aca="false">INDEX($B$79:$B$86,MATCH(LARGE($D$79:$D$86,1),$D$79:$D$86,0))</f>
        <v>Hexágono</v>
      </c>
      <c r="C69" s="48" t="n">
        <f aca="false">INDEX($C$79:$C$86,MATCH(LARGE($D$79:$D$86,1),$D$79:$D$86,0))</f>
        <v>0</v>
      </c>
      <c r="D69" s="53" t="str">
        <f aca="false">IF(SUMIF($C$79:$C$86,"&gt;0")=0,"",MAX(0,C69)/SUMIF($C$79:$C$86,"&gt;0"))</f>
        <v/>
      </c>
      <c r="E69" s="53" t="str">
        <f aca="false">IF(D69="","",SUM($D$69:D69))</f>
        <v/>
      </c>
      <c r="F69" s="4" t="str">
        <f aca="false">IF(OR(E69="",C69&lt;=0),"",IF(E69-D69&lt;0.8,"Prioridad (80 %)","Monitorear"))</f>
        <v/>
      </c>
    </row>
    <row r="70" customFormat="false" ht="15" hidden="false" customHeight="false" outlineLevel="0" collapsed="false">
      <c r="A70" s="4" t="n">
        <v>2</v>
      </c>
      <c r="B70" s="4" t="str">
        <f aca="false">INDEX($B$79:$B$86,MATCH(LARGE($D$79:$D$86,2),$D$79:$D$86,0))</f>
        <v>Saferock</v>
      </c>
      <c r="C70" s="48" t="n">
        <f aca="false">INDEX($C$79:$C$86,MATCH(LARGE($D$79:$D$86,2),$D$79:$D$86,0))</f>
        <v>0</v>
      </c>
      <c r="D70" s="53" t="str">
        <f aca="false">IF(SUMIF($C$79:$C$86,"&gt;0")=0,"",MAX(0,C70)/SUMIF($C$79:$C$86,"&gt;0"))</f>
        <v/>
      </c>
      <c r="E70" s="53" t="str">
        <f aca="false">IF(D70="","",SUM($D$69:D70))</f>
        <v/>
      </c>
      <c r="F70" s="4" t="str">
        <f aca="false">IF(OR(E70="",C70&lt;=0),"",IF(E70-D70&lt;0.8,"Prioridad (80 %)","Monitorear"))</f>
        <v/>
      </c>
    </row>
    <row r="71" customFormat="false" ht="15" hidden="false" customHeight="false" outlineLevel="0" collapsed="false">
      <c r="A71" s="4" t="n">
        <v>3</v>
      </c>
      <c r="B71" s="4" t="str">
        <f aca="false">INDEX($B$79:$B$86,MATCH(LARGE($D$79:$D$86,3),$D$79:$D$86,0))</f>
        <v>Estrella</v>
      </c>
      <c r="C71" s="48" t="n">
        <f aca="false">INDEX($C$79:$C$86,MATCH(LARGE($D$79:$D$86,3),$D$79:$D$86,0))</f>
        <v>0</v>
      </c>
      <c r="D71" s="53" t="str">
        <f aca="false">IF(SUMIF($C$79:$C$86,"&gt;0")=0,"",MAX(0,C71)/SUMIF($C$79:$C$86,"&gt;0"))</f>
        <v/>
      </c>
      <c r="E71" s="53" t="str">
        <f aca="false">IF(D71="","",SUM($D$69:D71))</f>
        <v/>
      </c>
      <c r="F71" s="4" t="str">
        <f aca="false">IF(OR(E71="",C71&lt;=0),"",IF(E71-D71&lt;0.8,"Prioridad (80 %)","Monitorear"))</f>
        <v/>
      </c>
    </row>
    <row r="72" customFormat="false" ht="15" hidden="false" customHeight="false" outlineLevel="0" collapsed="false">
      <c r="A72" s="4" t="n">
        <v>4</v>
      </c>
      <c r="B72" s="4" t="str">
        <f aca="false">INDEX($B$79:$B$86,MATCH(LARGE($D$79:$D$86,4),$D$79:$D$86,0))</f>
        <v>Cuadrado</v>
      </c>
      <c r="C72" s="48" t="n">
        <f aca="false">INDEX($C$79:$C$86,MATCH(LARGE($D$79:$D$86,4),$D$79:$D$86,0))</f>
        <v>0</v>
      </c>
      <c r="D72" s="53" t="str">
        <f aca="false">IF(SUMIF($C$79:$C$86,"&gt;0")=0,"",MAX(0,C72)/SUMIF($C$79:$C$86,"&gt;0"))</f>
        <v/>
      </c>
      <c r="E72" s="53" t="str">
        <f aca="false">IF(D72="","",SUM($D$69:D72))</f>
        <v/>
      </c>
      <c r="F72" s="4" t="str">
        <f aca="false">IF(OR(E72="",C72&lt;=0),"",IF(E72-D72&lt;0.8,"Prioridad (80 %)","Monitorear"))</f>
        <v/>
      </c>
    </row>
    <row r="73" customFormat="false" ht="15" hidden="false" customHeight="false" outlineLevel="0" collapsed="false">
      <c r="A73" s="4" t="n">
        <v>5</v>
      </c>
      <c r="B73" s="4" t="str">
        <f aca="false">INDEX($B$79:$B$86,MATCH(LARGE($D$79:$D$86,5),$D$79:$D$86,0))</f>
        <v>Ángulo</v>
      </c>
      <c r="C73" s="48" t="n">
        <f aca="false">INDEX($C$79:$C$86,MATCH(LARGE($D$79:$D$86,5),$D$79:$D$86,0))</f>
        <v>0</v>
      </c>
      <c r="D73" s="53" t="str">
        <f aca="false">IF(SUMIF($C$79:$C$86,"&gt;0")=0,"",MAX(0,C73)/SUMIF($C$79:$C$86,"&gt;0"))</f>
        <v/>
      </c>
      <c r="E73" s="53" t="str">
        <f aca="false">IF(D73="","",SUM($D$69:D73))</f>
        <v/>
      </c>
      <c r="F73" s="4" t="str">
        <f aca="false">IF(OR(E73="",C73&lt;=0),"",IF(E73-D73&lt;0.8,"Prioridad (80 %)","Monitorear"))</f>
        <v/>
      </c>
    </row>
    <row r="74" customFormat="false" ht="15" hidden="false" customHeight="false" outlineLevel="0" collapsed="false">
      <c r="A74" s="4" t="n">
        <v>6</v>
      </c>
      <c r="B74" s="4" t="str">
        <f aca="false">INDEX($B$79:$B$86,MATCH(LARGE($D$79:$D$86,6),$D$79:$D$86,0))</f>
        <v>Plana</v>
      </c>
      <c r="C74" s="48" t="n">
        <f aca="false">INDEX($C$79:$C$86,MATCH(LARGE($D$79:$D$86,6),$D$79:$D$86,0))</f>
        <v>0</v>
      </c>
      <c r="D74" s="53" t="str">
        <f aca="false">IF(SUMIF($C$79:$C$86,"&gt;0")=0,"",MAX(0,C74)/SUMIF($C$79:$C$86,"&gt;0"))</f>
        <v/>
      </c>
      <c r="E74" s="53" t="str">
        <f aca="false">IF(D74="","",SUM($D$69:D74))</f>
        <v/>
      </c>
      <c r="F74" s="4" t="str">
        <f aca="false">IF(OR(E74="",C74&lt;=0),"",IF(E74-D74&lt;0.8,"Prioridad (80 %)","Monitorear"))</f>
        <v/>
      </c>
    </row>
    <row r="75" customFormat="false" ht="15" hidden="false" customHeight="false" outlineLevel="0" collapsed="false">
      <c r="A75" s="4" t="n">
        <v>7</v>
      </c>
      <c r="B75" s="4" t="str">
        <f aca="false">INDEX($B$79:$B$86,MATCH(LARGE($D$79:$D$86,7),$D$79:$D$86,0))</f>
        <v>Redondo liso</v>
      </c>
      <c r="C75" s="48" t="n">
        <f aca="false">INDEX($C$79:$C$86,MATCH(LARGE($D$79:$D$86,7),$D$79:$D$86,0))</f>
        <v>0</v>
      </c>
      <c r="D75" s="53" t="str">
        <f aca="false">IF(SUMIF($C$79:$C$86,"&gt;0")=0,"",MAX(0,C75)/SUMIF($C$79:$C$86,"&gt;0"))</f>
        <v/>
      </c>
      <c r="E75" s="53" t="str">
        <f aca="false">IF(D75="","",SUM($D$69:D75))</f>
        <v/>
      </c>
      <c r="F75" s="4" t="str">
        <f aca="false">IF(OR(E75="",C75&lt;=0),"",IF(E75-D75&lt;0.8,"Prioridad (80 %)","Monitorear"))</f>
        <v/>
      </c>
    </row>
    <row r="76" customFormat="false" ht="15" hidden="false" customHeight="false" outlineLevel="0" collapsed="false">
      <c r="A76" s="4" t="n">
        <v>8</v>
      </c>
      <c r="B76" s="4" t="str">
        <f aca="false">INDEX($B$79:$B$86,MATCH(LARGE($D$79:$D$86,8),$D$79:$D$86,0))</f>
        <v>B Hormigón</v>
      </c>
      <c r="C76" s="48" t="n">
        <f aca="false">INDEX($C$79:$C$86,MATCH(LARGE($D$79:$D$86,8),$D$79:$D$86,0))</f>
        <v>0</v>
      </c>
      <c r="D76" s="53" t="str">
        <f aca="false">IF(SUMIF($C$79:$C$86,"&gt;0")=0,"",MAX(0,C76)/SUMIF($C$79:$C$86,"&gt;0"))</f>
        <v/>
      </c>
      <c r="E76" s="53" t="str">
        <f aca="false">IF(D76="","",SUM($D$69:D76))</f>
        <v/>
      </c>
      <c r="F76" s="4" t="str">
        <f aca="false">IF(OR(E76="",C76&lt;=0),"",IF(E76-D76&lt;0.8,"Prioridad (80 %)","Monitorear"))</f>
        <v/>
      </c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</row>
    <row r="78" customFormat="false" ht="15" hidden="false" customHeight="false" outlineLevel="0" collapsed="false">
      <c r="A78" s="18" t="s">
        <v>133</v>
      </c>
      <c r="B78" s="2"/>
      <c r="C78" s="2"/>
      <c r="D78" s="2"/>
      <c r="E78" s="2"/>
      <c r="F78" s="2"/>
    </row>
    <row r="79" customFormat="false" ht="15" hidden="false" customHeight="false" outlineLevel="0" collapsed="false">
      <c r="A79" s="2"/>
      <c r="B79" s="18" t="s">
        <v>155</v>
      </c>
      <c r="C79" s="54" t="n">
        <f aca="false">SUMIFS(Registro!$R$6:$R$1005,Registro!$D$6:$D$1005,"&gt;="&amp;$C$5,Registro!$D$6:$D$1005,"&lt;="&amp;$C$6,Registro!$I$6:$I$1005,Parámetros!$A$14)</f>
        <v>0</v>
      </c>
      <c r="D79" s="55" t="n">
        <f aca="false">C79+ROW()/1000000</f>
        <v>7.9E-005</v>
      </c>
      <c r="E79" s="2"/>
      <c r="F79" s="2"/>
    </row>
    <row r="80" customFormat="false" ht="15" hidden="false" customHeight="false" outlineLevel="0" collapsed="false">
      <c r="A80" s="2"/>
      <c r="B80" s="18" t="s">
        <v>156</v>
      </c>
      <c r="C80" s="54" t="n">
        <f aca="false">SUMIFS(Registro!$R$6:$R$1005,Registro!$D$6:$D$1005,"&gt;="&amp;$C$5,Registro!$D$6:$D$1005,"&lt;="&amp;$C$6,Registro!$I$6:$I$1005,Parámetros!$A$15)</f>
        <v>0</v>
      </c>
      <c r="D80" s="55" t="n">
        <f aca="false">C80+ROW()/1000000</f>
        <v>8E-005</v>
      </c>
      <c r="E80" s="2"/>
      <c r="F80" s="2"/>
    </row>
    <row r="81" customFormat="false" ht="15" hidden="false" customHeight="false" outlineLevel="0" collapsed="false">
      <c r="A81" s="2"/>
      <c r="B81" s="18" t="s">
        <v>90</v>
      </c>
      <c r="C81" s="54" t="n">
        <f aca="false">SUMIFS(Registro!$R$6:$R$1005,Registro!$D$6:$D$1005,"&gt;="&amp;$C$5,Registro!$D$6:$D$1005,"&lt;="&amp;$C$6,Registro!$I$6:$I$1005,Parámetros!$A$16)</f>
        <v>0</v>
      </c>
      <c r="D81" s="55" t="n">
        <f aca="false">C81+ROW()/1000000</f>
        <v>8.1E-005</v>
      </c>
      <c r="E81" s="2"/>
      <c r="F81" s="2"/>
    </row>
    <row r="82" customFormat="false" ht="15" hidden="false" customHeight="false" outlineLevel="0" collapsed="false">
      <c r="A82" s="2"/>
      <c r="B82" s="18" t="s">
        <v>157</v>
      </c>
      <c r="C82" s="54" t="n">
        <f aca="false">SUMIFS(Registro!$R$6:$R$1005,Registro!$D$6:$D$1005,"&gt;="&amp;$C$5,Registro!$D$6:$D$1005,"&lt;="&amp;$C$6,Registro!$I$6:$I$1005,Parámetros!$A$17)</f>
        <v>0</v>
      </c>
      <c r="D82" s="55" t="n">
        <f aca="false">C82+ROW()/1000000</f>
        <v>8.2E-005</v>
      </c>
      <c r="E82" s="2"/>
      <c r="F82" s="2"/>
    </row>
    <row r="83" customFormat="false" ht="15" hidden="false" customHeight="false" outlineLevel="0" collapsed="false">
      <c r="A83" s="2"/>
      <c r="B83" s="18" t="s">
        <v>158</v>
      </c>
      <c r="C83" s="54" t="n">
        <f aca="false">SUMIFS(Registro!$R$6:$R$1005,Registro!$D$6:$D$1005,"&gt;="&amp;$C$5,Registro!$D$6:$D$1005,"&lt;="&amp;$C$6,Registro!$I$6:$I$1005,Parámetros!$A$18)</f>
        <v>0</v>
      </c>
      <c r="D83" s="55" t="n">
        <f aca="false">C83+ROW()/1000000</f>
        <v>8.3E-005</v>
      </c>
      <c r="E83" s="2"/>
      <c r="F83" s="2"/>
    </row>
    <row r="84" customFormat="false" ht="15" hidden="false" customHeight="false" outlineLevel="0" collapsed="false">
      <c r="A84" s="2"/>
      <c r="B84" s="18" t="s">
        <v>159</v>
      </c>
      <c r="C84" s="54" t="n">
        <f aca="false">SUMIFS(Registro!$R$6:$R$1005,Registro!$D$6:$D$1005,"&gt;="&amp;$C$5,Registro!$D$6:$D$1005,"&lt;="&amp;$C$6,Registro!$I$6:$I$1005,Parámetros!$A$19)</f>
        <v>0</v>
      </c>
      <c r="D84" s="55" t="n">
        <f aca="false">C84+ROW()/1000000</f>
        <v>8.4E-005</v>
      </c>
      <c r="E84" s="2"/>
      <c r="F84" s="2"/>
    </row>
    <row r="85" customFormat="false" ht="15" hidden="false" customHeight="false" outlineLevel="0" collapsed="false">
      <c r="A85" s="2"/>
      <c r="B85" s="18" t="s">
        <v>160</v>
      </c>
      <c r="C85" s="54" t="n">
        <f aca="false">SUMIFS(Registro!$R$6:$R$1005,Registro!$D$6:$D$1005,"&gt;="&amp;$C$5,Registro!$D$6:$D$1005,"&lt;="&amp;$C$6,Registro!$I$6:$I$1005,Parámetros!$A$20)</f>
        <v>0</v>
      </c>
      <c r="D85" s="55" t="n">
        <f aca="false">C85+ROW()/1000000</f>
        <v>8.5E-005</v>
      </c>
      <c r="E85" s="2"/>
      <c r="F85" s="2"/>
    </row>
    <row r="86" customFormat="false" ht="15" hidden="false" customHeight="false" outlineLevel="0" collapsed="false">
      <c r="A86" s="2"/>
      <c r="B86" s="18" t="s">
        <v>161</v>
      </c>
      <c r="C86" s="54" t="n">
        <f aca="false">SUMIFS(Registro!$R$6:$R$1005,Registro!$D$6:$D$1005,"&gt;="&amp;$C$5,Registro!$D$6:$D$1005,"&lt;="&amp;$C$6,Registro!$I$6:$I$1005,Parámetros!$A$21)</f>
        <v>0</v>
      </c>
      <c r="D86" s="55" t="n">
        <f aca="false">C86+ROW()/1000000</f>
        <v>8.6E-005</v>
      </c>
      <c r="E86" s="2"/>
      <c r="F86" s="2"/>
    </row>
  </sheetData>
  <conditionalFormatting sqref="F11:F19">
    <cfRule type="expression" priority="2" aboveAverage="0" equalAverage="0" bottom="0" percent="0" rank="0" text="" dxfId="12">
      <formula>F11="Prioridad (80 %)"</formula>
    </cfRule>
  </conditionalFormatting>
  <conditionalFormatting sqref="F38:F48">
    <cfRule type="expression" priority="3" aboveAverage="0" equalAverage="0" bottom="0" percent="0" rank="0" text="" dxfId="12">
      <formula>F38="Prioridad (80 %)"</formula>
    </cfRule>
  </conditionalFormatting>
  <conditionalFormatting sqref="F69:F76">
    <cfRule type="expression" priority="4" aboveAverage="0" equalAverage="0" bottom="0" percent="0" rank="0" text="" dxfId="12">
      <formula>F69="Prioridad (80 %)"</formula>
    </cfRule>
  </conditionalFormatting>
  <dataValidations count="1">
    <dataValidation allowBlank="false" error="Ingrese un mes entre 1 y 12, o 0 para el año completo." errorStyle="stop" operator="between" showDropDown="false" showErrorMessage="false" showInputMessage="false" sqref="C4" type="whole">
      <formula1>0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9" min="8" style="0" width="3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7" min="15" style="0" width="9"/>
    <col collapsed="false" customWidth="true" hidden="false" outlineLevel="0" max="18" min="18" style="0" width="8"/>
  </cols>
  <sheetData>
    <row r="1" customFormat="false" ht="17.35" hidden="false" customHeight="false" outlineLevel="0" collapsed="false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18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42" hidden="false" customHeight="true" outlineLevel="0" collapsed="false">
      <c r="A4" s="20" t="s">
        <v>164</v>
      </c>
      <c r="B4" s="20" t="s">
        <v>165</v>
      </c>
      <c r="C4" s="20" t="s">
        <v>166</v>
      </c>
      <c r="D4" s="20" t="s">
        <v>167</v>
      </c>
      <c r="E4" s="20" t="s">
        <v>168</v>
      </c>
      <c r="F4" s="20" t="s">
        <v>169</v>
      </c>
      <c r="G4" s="20" t="s">
        <v>84</v>
      </c>
      <c r="H4" s="20" t="s">
        <v>170</v>
      </c>
      <c r="I4" s="20" t="s">
        <v>86</v>
      </c>
      <c r="J4" s="20" t="s">
        <v>171</v>
      </c>
      <c r="K4" s="20" t="s">
        <v>87</v>
      </c>
      <c r="L4" s="20" t="s">
        <v>172</v>
      </c>
      <c r="M4" s="20" t="s">
        <v>82</v>
      </c>
      <c r="N4" s="20" t="s">
        <v>173</v>
      </c>
      <c r="O4" s="20" t="s">
        <v>174</v>
      </c>
      <c r="P4" s="20" t="s">
        <v>175</v>
      </c>
      <c r="Q4" s="21" t="s">
        <v>176</v>
      </c>
      <c r="R4" s="21" t="s">
        <v>177</v>
      </c>
    </row>
    <row r="5" customFormat="false" ht="15" hidden="false" customHeight="false" outlineLevel="0" collapsed="false">
      <c r="A5" s="10" t="n">
        <v>1</v>
      </c>
      <c r="B5" s="22" t="n">
        <v>40484</v>
      </c>
      <c r="C5" s="10" t="s">
        <v>178</v>
      </c>
      <c r="D5" s="10" t="s">
        <v>179</v>
      </c>
      <c r="E5" s="10" t="s">
        <v>91</v>
      </c>
      <c r="F5" s="10" t="s">
        <v>140</v>
      </c>
      <c r="G5" s="10" t="s">
        <v>92</v>
      </c>
      <c r="H5" s="10" t="s">
        <v>180</v>
      </c>
      <c r="I5" s="10" t="s">
        <v>181</v>
      </c>
      <c r="J5" s="10" t="s">
        <v>182</v>
      </c>
      <c r="K5" s="10" t="s">
        <v>183</v>
      </c>
      <c r="L5" s="22" t="n">
        <v>40491</v>
      </c>
      <c r="M5" s="10" t="s">
        <v>184</v>
      </c>
      <c r="N5" s="22" t="n">
        <v>40490</v>
      </c>
      <c r="O5" s="56" t="n">
        <v>0.9429</v>
      </c>
      <c r="P5" s="56" t="n">
        <v>0.951</v>
      </c>
      <c r="Q5" s="29" t="n">
        <f aca="false">IF(OR(O5="",P5=""),"",(P5-O5)*100)</f>
        <v>0.81</v>
      </c>
      <c r="R5" s="23" t="str">
        <f aca="true">IF(OR(L5="",LEFT(M5,7)="Cerrada"),"",MAX(0,TODAY()-L5))</f>
        <v/>
      </c>
    </row>
    <row r="6" customFormat="false" ht="15" hidden="false" customHeight="false" outlineLevel="0" collapsed="false">
      <c r="A6" s="10"/>
      <c r="B6" s="22"/>
      <c r="C6" s="10"/>
      <c r="D6" s="10"/>
      <c r="E6" s="10"/>
      <c r="F6" s="10"/>
      <c r="G6" s="10"/>
      <c r="H6" s="10"/>
      <c r="I6" s="10"/>
      <c r="J6" s="10"/>
      <c r="K6" s="10"/>
      <c r="L6" s="22"/>
      <c r="M6" s="10"/>
      <c r="N6" s="22"/>
      <c r="O6" s="56"/>
      <c r="P6" s="56"/>
      <c r="Q6" s="29" t="str">
        <f aca="false">IF(OR(O6="",P6=""),"",(P6-O6)*100)</f>
        <v/>
      </c>
      <c r="R6" s="23" t="str">
        <f aca="true">IF(OR(L6="",LEFT(M6,7)="Cerrada"),"",MAX(0,TODAY()-L6))</f>
        <v/>
      </c>
    </row>
    <row r="7" customFormat="false" ht="15" hidden="false" customHeight="false" outlineLevel="0" collapsed="false">
      <c r="A7" s="10"/>
      <c r="B7" s="22"/>
      <c r="C7" s="10"/>
      <c r="D7" s="10"/>
      <c r="E7" s="10"/>
      <c r="F7" s="10"/>
      <c r="G7" s="10"/>
      <c r="H7" s="10"/>
      <c r="I7" s="10"/>
      <c r="J7" s="10"/>
      <c r="K7" s="10"/>
      <c r="L7" s="22"/>
      <c r="M7" s="10"/>
      <c r="N7" s="22"/>
      <c r="O7" s="56"/>
      <c r="P7" s="56"/>
      <c r="Q7" s="29" t="str">
        <f aca="false">IF(OR(O7="",P7=""),"",(P7-O7)*100)</f>
        <v/>
      </c>
      <c r="R7" s="23" t="str">
        <f aca="true">IF(OR(L7="",LEFT(M7,7)="Cerrada"),"",MAX(0,TODAY()-L7))</f>
        <v/>
      </c>
    </row>
    <row r="8" customFormat="false" ht="15" hidden="false" customHeight="false" outlineLevel="0" collapsed="false">
      <c r="A8" s="10"/>
      <c r="B8" s="22"/>
      <c r="C8" s="10"/>
      <c r="D8" s="10"/>
      <c r="E8" s="10"/>
      <c r="F8" s="10"/>
      <c r="G8" s="10"/>
      <c r="H8" s="10"/>
      <c r="I8" s="10"/>
      <c r="J8" s="10"/>
      <c r="K8" s="10"/>
      <c r="L8" s="22"/>
      <c r="M8" s="10"/>
      <c r="N8" s="22"/>
      <c r="O8" s="56"/>
      <c r="P8" s="56"/>
      <c r="Q8" s="29" t="str">
        <f aca="false">IF(OR(O8="",P8=""),"",(P8-O8)*100)</f>
        <v/>
      </c>
      <c r="R8" s="23" t="str">
        <f aca="true">IF(OR(L8="",LEFT(M8,7)="Cerrada"),"",MAX(0,TODAY()-L8))</f>
        <v/>
      </c>
    </row>
    <row r="9" customFormat="false" ht="15" hidden="false" customHeight="false" outlineLevel="0" collapsed="false">
      <c r="A9" s="10"/>
      <c r="B9" s="22"/>
      <c r="C9" s="10"/>
      <c r="D9" s="10"/>
      <c r="E9" s="10"/>
      <c r="F9" s="10"/>
      <c r="G9" s="10"/>
      <c r="H9" s="10"/>
      <c r="I9" s="10"/>
      <c r="J9" s="10"/>
      <c r="K9" s="10"/>
      <c r="L9" s="22"/>
      <c r="M9" s="10"/>
      <c r="N9" s="22"/>
      <c r="O9" s="56"/>
      <c r="P9" s="56"/>
      <c r="Q9" s="29" t="str">
        <f aca="false">IF(OR(O9="",P9=""),"",(P9-O9)*100)</f>
        <v/>
      </c>
      <c r="R9" s="23" t="str">
        <f aca="true">IF(OR(L9="",LEFT(M9,7)="Cerrada"),"",MAX(0,TODAY()-L9))</f>
        <v/>
      </c>
    </row>
    <row r="10" customFormat="false" ht="15" hidden="false" customHeight="false" outlineLevel="0" collapsed="false">
      <c r="A10" s="10"/>
      <c r="B10" s="22"/>
      <c r="C10" s="10"/>
      <c r="D10" s="10"/>
      <c r="E10" s="10"/>
      <c r="F10" s="10"/>
      <c r="G10" s="10"/>
      <c r="H10" s="10"/>
      <c r="I10" s="10"/>
      <c r="J10" s="10"/>
      <c r="K10" s="10"/>
      <c r="L10" s="22"/>
      <c r="M10" s="10"/>
      <c r="N10" s="22"/>
      <c r="O10" s="56"/>
      <c r="P10" s="56"/>
      <c r="Q10" s="29" t="str">
        <f aca="false">IF(OR(O10="",P10=""),"",(P10-O10)*100)</f>
        <v/>
      </c>
      <c r="R10" s="23" t="str">
        <f aca="true">IF(OR(L10="",LEFT(M10,7)="Cerrada"),"",MAX(0,TODAY()-L10))</f>
        <v/>
      </c>
    </row>
    <row r="11" customFormat="false" ht="15" hidden="false" customHeight="false" outlineLevel="0" collapsed="false">
      <c r="A11" s="10"/>
      <c r="B11" s="22"/>
      <c r="C11" s="10"/>
      <c r="D11" s="10"/>
      <c r="E11" s="10"/>
      <c r="F11" s="10"/>
      <c r="G11" s="10"/>
      <c r="H11" s="10"/>
      <c r="I11" s="10"/>
      <c r="J11" s="10"/>
      <c r="K11" s="10"/>
      <c r="L11" s="22"/>
      <c r="M11" s="10"/>
      <c r="N11" s="22"/>
      <c r="O11" s="56"/>
      <c r="P11" s="56"/>
      <c r="Q11" s="29" t="str">
        <f aca="false">IF(OR(O11="",P11=""),"",(P11-O11)*100)</f>
        <v/>
      </c>
      <c r="R11" s="23" t="str">
        <f aca="true">IF(OR(L11="",LEFT(M11,7)="Cerrada"),"",MAX(0,TODAY()-L11))</f>
        <v/>
      </c>
    </row>
    <row r="12" customFormat="false" ht="15" hidden="false" customHeight="false" outlineLevel="0" collapsed="false">
      <c r="A12" s="10"/>
      <c r="B12" s="22"/>
      <c r="C12" s="10"/>
      <c r="D12" s="10"/>
      <c r="E12" s="10"/>
      <c r="F12" s="10"/>
      <c r="G12" s="10"/>
      <c r="H12" s="10"/>
      <c r="I12" s="10"/>
      <c r="J12" s="10"/>
      <c r="K12" s="10"/>
      <c r="L12" s="22"/>
      <c r="M12" s="10"/>
      <c r="N12" s="22"/>
      <c r="O12" s="56"/>
      <c r="P12" s="56"/>
      <c r="Q12" s="29" t="str">
        <f aca="false">IF(OR(O12="",P12=""),"",(P12-O12)*100)</f>
        <v/>
      </c>
      <c r="R12" s="23" t="str">
        <f aca="true">IF(OR(L12="",LEFT(M12,7)="Cerrada"),"",MAX(0,TODAY()-L12))</f>
        <v/>
      </c>
    </row>
    <row r="13" customFormat="false" ht="15" hidden="false" customHeight="false" outlineLevel="0" collapsed="false">
      <c r="A13" s="10"/>
      <c r="B13" s="22"/>
      <c r="C13" s="10"/>
      <c r="D13" s="10"/>
      <c r="E13" s="10"/>
      <c r="F13" s="10"/>
      <c r="G13" s="10"/>
      <c r="H13" s="10"/>
      <c r="I13" s="10"/>
      <c r="J13" s="10"/>
      <c r="K13" s="10"/>
      <c r="L13" s="22"/>
      <c r="M13" s="10"/>
      <c r="N13" s="22"/>
      <c r="O13" s="56"/>
      <c r="P13" s="56"/>
      <c r="Q13" s="29" t="str">
        <f aca="false">IF(OR(O13="",P13=""),"",(P13-O13)*100)</f>
        <v/>
      </c>
      <c r="R13" s="23" t="str">
        <f aca="true">IF(OR(L13="",LEFT(M13,7)="Cerrada"),"",MAX(0,TODAY()-L13))</f>
        <v/>
      </c>
    </row>
    <row r="14" customFormat="false" ht="15" hidden="false" customHeight="false" outlineLevel="0" collapsed="false">
      <c r="A14" s="10"/>
      <c r="B14" s="22"/>
      <c r="C14" s="10"/>
      <c r="D14" s="10"/>
      <c r="E14" s="10"/>
      <c r="F14" s="10"/>
      <c r="G14" s="10"/>
      <c r="H14" s="10"/>
      <c r="I14" s="10"/>
      <c r="J14" s="10"/>
      <c r="K14" s="10"/>
      <c r="L14" s="22"/>
      <c r="M14" s="10"/>
      <c r="N14" s="22"/>
      <c r="O14" s="56"/>
      <c r="P14" s="56"/>
      <c r="Q14" s="29" t="str">
        <f aca="false">IF(OR(O14="",P14=""),"",(P14-O14)*100)</f>
        <v/>
      </c>
      <c r="R14" s="23" t="str">
        <f aca="true">IF(OR(L14="",LEFT(M14,7)="Cerrada"),"",MAX(0,TODAY()-L14))</f>
        <v/>
      </c>
    </row>
    <row r="15" customFormat="false" ht="15" hidden="false" customHeight="false" outlineLevel="0" collapsed="false">
      <c r="A15" s="10"/>
      <c r="B15" s="22"/>
      <c r="C15" s="10"/>
      <c r="D15" s="10"/>
      <c r="E15" s="10"/>
      <c r="F15" s="10"/>
      <c r="G15" s="10"/>
      <c r="H15" s="10"/>
      <c r="I15" s="10"/>
      <c r="J15" s="10"/>
      <c r="K15" s="10"/>
      <c r="L15" s="22"/>
      <c r="M15" s="10"/>
      <c r="N15" s="22"/>
      <c r="O15" s="56"/>
      <c r="P15" s="56"/>
      <c r="Q15" s="29" t="str">
        <f aca="false">IF(OR(O15="",P15=""),"",(P15-O15)*100)</f>
        <v/>
      </c>
      <c r="R15" s="23" t="str">
        <f aca="true">IF(OR(L15="",LEFT(M15,7)="Cerrada"),"",MAX(0,TODAY()-L15))</f>
        <v/>
      </c>
    </row>
    <row r="16" customFormat="false" ht="15" hidden="false" customHeight="false" outlineLevel="0" collapsed="false">
      <c r="A16" s="10"/>
      <c r="B16" s="22"/>
      <c r="C16" s="10"/>
      <c r="D16" s="10"/>
      <c r="E16" s="10"/>
      <c r="F16" s="10"/>
      <c r="G16" s="10"/>
      <c r="H16" s="10"/>
      <c r="I16" s="10"/>
      <c r="J16" s="10"/>
      <c r="K16" s="10"/>
      <c r="L16" s="22"/>
      <c r="M16" s="10"/>
      <c r="N16" s="22"/>
      <c r="O16" s="56"/>
      <c r="P16" s="56"/>
      <c r="Q16" s="29" t="str">
        <f aca="false">IF(OR(O16="",P16=""),"",(P16-O16)*100)</f>
        <v/>
      </c>
      <c r="R16" s="23" t="str">
        <f aca="true">IF(OR(L16="",LEFT(M16,7)="Cerrada"),"",MAX(0,TODAY()-L16))</f>
        <v/>
      </c>
    </row>
    <row r="17" customFormat="false" ht="15" hidden="false" customHeight="false" outlineLevel="0" collapsed="false">
      <c r="A17" s="10"/>
      <c r="B17" s="22"/>
      <c r="C17" s="10"/>
      <c r="D17" s="10"/>
      <c r="E17" s="10"/>
      <c r="F17" s="10"/>
      <c r="G17" s="10"/>
      <c r="H17" s="10"/>
      <c r="I17" s="10"/>
      <c r="J17" s="10"/>
      <c r="K17" s="10"/>
      <c r="L17" s="22"/>
      <c r="M17" s="10"/>
      <c r="N17" s="22"/>
      <c r="O17" s="56"/>
      <c r="P17" s="56"/>
      <c r="Q17" s="29" t="str">
        <f aca="false">IF(OR(O17="",P17=""),"",(P17-O17)*100)</f>
        <v/>
      </c>
      <c r="R17" s="23" t="str">
        <f aca="true">IF(OR(L17="",LEFT(M17,7)="Cerrada"),"",MAX(0,TODAY()-L17))</f>
        <v/>
      </c>
    </row>
    <row r="18" customFormat="false" ht="15" hidden="false" customHeight="false" outlineLevel="0" collapsed="false">
      <c r="A18" s="10"/>
      <c r="B18" s="22"/>
      <c r="C18" s="10"/>
      <c r="D18" s="10"/>
      <c r="E18" s="10"/>
      <c r="F18" s="10"/>
      <c r="G18" s="10"/>
      <c r="H18" s="10"/>
      <c r="I18" s="10"/>
      <c r="J18" s="10"/>
      <c r="K18" s="10"/>
      <c r="L18" s="22"/>
      <c r="M18" s="10"/>
      <c r="N18" s="22"/>
      <c r="O18" s="56"/>
      <c r="P18" s="56"/>
      <c r="Q18" s="29" t="str">
        <f aca="false">IF(OR(O18="",P18=""),"",(P18-O18)*100)</f>
        <v/>
      </c>
      <c r="R18" s="23" t="str">
        <f aca="true">IF(OR(L18="",LEFT(M18,7)="Cerrada"),"",MAX(0,TODAY()-L18))</f>
        <v/>
      </c>
    </row>
    <row r="19" customFormat="false" ht="15" hidden="false" customHeight="false" outlineLevel="0" collapsed="false">
      <c r="A19" s="10"/>
      <c r="B19" s="22"/>
      <c r="C19" s="10"/>
      <c r="D19" s="10"/>
      <c r="E19" s="10"/>
      <c r="F19" s="10"/>
      <c r="G19" s="10"/>
      <c r="H19" s="10"/>
      <c r="I19" s="10"/>
      <c r="J19" s="10"/>
      <c r="K19" s="10"/>
      <c r="L19" s="22"/>
      <c r="M19" s="10"/>
      <c r="N19" s="22"/>
      <c r="O19" s="56"/>
      <c r="P19" s="56"/>
      <c r="Q19" s="29" t="str">
        <f aca="false">IF(OR(O19="",P19=""),"",(P19-O19)*100)</f>
        <v/>
      </c>
      <c r="R19" s="23" t="str">
        <f aca="true">IF(OR(L19="",LEFT(M19,7)="Cerrada"),"",MAX(0,TODAY()-L19))</f>
        <v/>
      </c>
    </row>
    <row r="20" customFormat="false" ht="15" hidden="false" customHeight="false" outlineLevel="0" collapsed="false">
      <c r="A20" s="10"/>
      <c r="B20" s="22"/>
      <c r="C20" s="10"/>
      <c r="D20" s="10"/>
      <c r="E20" s="10"/>
      <c r="F20" s="10"/>
      <c r="G20" s="10"/>
      <c r="H20" s="10"/>
      <c r="I20" s="10"/>
      <c r="J20" s="10"/>
      <c r="K20" s="10"/>
      <c r="L20" s="22"/>
      <c r="M20" s="10"/>
      <c r="N20" s="22"/>
      <c r="O20" s="56"/>
      <c r="P20" s="56"/>
      <c r="Q20" s="29" t="str">
        <f aca="false">IF(OR(O20="",P20=""),"",(P20-O20)*100)</f>
        <v/>
      </c>
      <c r="R20" s="23" t="str">
        <f aca="true">IF(OR(L20="",LEFT(M20,7)="Cerrada"),"",MAX(0,TODAY()-L20))</f>
        <v/>
      </c>
    </row>
    <row r="21" customFormat="false" ht="15" hidden="false" customHeight="false" outlineLevel="0" collapsed="false">
      <c r="A21" s="10"/>
      <c r="B21" s="22"/>
      <c r="C21" s="10"/>
      <c r="D21" s="10"/>
      <c r="E21" s="10"/>
      <c r="F21" s="10"/>
      <c r="G21" s="10"/>
      <c r="H21" s="10"/>
      <c r="I21" s="10"/>
      <c r="J21" s="10"/>
      <c r="K21" s="10"/>
      <c r="L21" s="22"/>
      <c r="M21" s="10"/>
      <c r="N21" s="22"/>
      <c r="O21" s="56"/>
      <c r="P21" s="56"/>
      <c r="Q21" s="29" t="str">
        <f aca="false">IF(OR(O21="",P21=""),"",(P21-O21)*100)</f>
        <v/>
      </c>
      <c r="R21" s="23" t="str">
        <f aca="true">IF(OR(L21="",LEFT(M21,7)="Cerrada"),"",MAX(0,TODAY()-L21))</f>
        <v/>
      </c>
    </row>
    <row r="22" customFormat="false" ht="15" hidden="false" customHeight="false" outlineLevel="0" collapsed="false">
      <c r="A22" s="10"/>
      <c r="B22" s="22"/>
      <c r="C22" s="10"/>
      <c r="D22" s="10"/>
      <c r="E22" s="10"/>
      <c r="F22" s="10"/>
      <c r="G22" s="10"/>
      <c r="H22" s="10"/>
      <c r="I22" s="10"/>
      <c r="J22" s="10"/>
      <c r="K22" s="10"/>
      <c r="L22" s="22"/>
      <c r="M22" s="10"/>
      <c r="N22" s="22"/>
      <c r="O22" s="56"/>
      <c r="P22" s="56"/>
      <c r="Q22" s="29" t="str">
        <f aca="false">IF(OR(O22="",P22=""),"",(P22-O22)*100)</f>
        <v/>
      </c>
      <c r="R22" s="23" t="str">
        <f aca="true">IF(OR(L22="",LEFT(M22,7)="Cerrada"),"",MAX(0,TODAY()-L22))</f>
        <v/>
      </c>
    </row>
    <row r="23" customFormat="false" ht="15" hidden="false" customHeight="false" outlineLevel="0" collapsed="false">
      <c r="A23" s="10"/>
      <c r="B23" s="22"/>
      <c r="C23" s="10"/>
      <c r="D23" s="10"/>
      <c r="E23" s="10"/>
      <c r="F23" s="10"/>
      <c r="G23" s="10"/>
      <c r="H23" s="10"/>
      <c r="I23" s="10"/>
      <c r="J23" s="10"/>
      <c r="K23" s="10"/>
      <c r="L23" s="22"/>
      <c r="M23" s="10"/>
      <c r="N23" s="22"/>
      <c r="O23" s="56"/>
      <c r="P23" s="56"/>
      <c r="Q23" s="29" t="str">
        <f aca="false">IF(OR(O23="",P23=""),"",(P23-O23)*100)</f>
        <v/>
      </c>
      <c r="R23" s="23" t="str">
        <f aca="true">IF(OR(L23="",LEFT(M23,7)="Cerrada"),"",MAX(0,TODAY()-L23))</f>
        <v/>
      </c>
    </row>
    <row r="24" customFormat="false" ht="15" hidden="false" customHeight="false" outlineLevel="0" collapsed="false">
      <c r="A24" s="10"/>
      <c r="B24" s="22"/>
      <c r="C24" s="10"/>
      <c r="D24" s="10"/>
      <c r="E24" s="10"/>
      <c r="F24" s="10"/>
      <c r="G24" s="10"/>
      <c r="H24" s="10"/>
      <c r="I24" s="10"/>
      <c r="J24" s="10"/>
      <c r="K24" s="10"/>
      <c r="L24" s="22"/>
      <c r="M24" s="10"/>
      <c r="N24" s="22"/>
      <c r="O24" s="56"/>
      <c r="P24" s="56"/>
      <c r="Q24" s="29" t="str">
        <f aca="false">IF(OR(O24="",P24=""),"",(P24-O24)*100)</f>
        <v/>
      </c>
      <c r="R24" s="23" t="str">
        <f aca="true">IF(OR(L24="",LEFT(M24,7)="Cerrada"),"",MAX(0,TODAY()-L24))</f>
        <v/>
      </c>
    </row>
    <row r="25" customFormat="false" ht="15" hidden="false" customHeight="false" outlineLevel="0" collapsed="false">
      <c r="A25" s="10"/>
      <c r="B25" s="22"/>
      <c r="C25" s="10"/>
      <c r="D25" s="10"/>
      <c r="E25" s="10"/>
      <c r="F25" s="10"/>
      <c r="G25" s="10"/>
      <c r="H25" s="10"/>
      <c r="I25" s="10"/>
      <c r="J25" s="10"/>
      <c r="K25" s="10"/>
      <c r="L25" s="22"/>
      <c r="M25" s="10"/>
      <c r="N25" s="22"/>
      <c r="O25" s="56"/>
      <c r="P25" s="56"/>
      <c r="Q25" s="29" t="str">
        <f aca="false">IF(OR(O25="",P25=""),"",(P25-O25)*100)</f>
        <v/>
      </c>
      <c r="R25" s="23" t="str">
        <f aca="true">IF(OR(L25="",LEFT(M25,7)="Cerrada"),"",MAX(0,TODAY()-L25))</f>
        <v/>
      </c>
    </row>
    <row r="26" customFormat="false" ht="15" hidden="false" customHeight="false" outlineLevel="0" collapsed="false">
      <c r="A26" s="10"/>
      <c r="B26" s="22"/>
      <c r="C26" s="10"/>
      <c r="D26" s="10"/>
      <c r="E26" s="10"/>
      <c r="F26" s="10"/>
      <c r="G26" s="10"/>
      <c r="H26" s="10"/>
      <c r="I26" s="10"/>
      <c r="J26" s="10"/>
      <c r="K26" s="10"/>
      <c r="L26" s="22"/>
      <c r="M26" s="10"/>
      <c r="N26" s="22"/>
      <c r="O26" s="56"/>
      <c r="P26" s="56"/>
      <c r="Q26" s="29" t="str">
        <f aca="false">IF(OR(O26="",P26=""),"",(P26-O26)*100)</f>
        <v/>
      </c>
      <c r="R26" s="23" t="str">
        <f aca="true">IF(OR(L26="",LEFT(M26,7)="Cerrada"),"",MAX(0,TODAY()-L26))</f>
        <v/>
      </c>
    </row>
    <row r="27" customFormat="false" ht="15" hidden="false" customHeight="false" outlineLevel="0" collapsed="false">
      <c r="A27" s="10"/>
      <c r="B27" s="22"/>
      <c r="C27" s="10"/>
      <c r="D27" s="10"/>
      <c r="E27" s="10"/>
      <c r="F27" s="10"/>
      <c r="G27" s="10"/>
      <c r="H27" s="10"/>
      <c r="I27" s="10"/>
      <c r="J27" s="10"/>
      <c r="K27" s="10"/>
      <c r="L27" s="22"/>
      <c r="M27" s="10"/>
      <c r="N27" s="22"/>
      <c r="O27" s="56"/>
      <c r="P27" s="56"/>
      <c r="Q27" s="29" t="str">
        <f aca="false">IF(OR(O27="",P27=""),"",(P27-O27)*100)</f>
        <v/>
      </c>
      <c r="R27" s="23" t="str">
        <f aca="true">IF(OR(L27="",LEFT(M27,7)="Cerrada"),"",MAX(0,TODAY()-L27))</f>
        <v/>
      </c>
    </row>
    <row r="28" customFormat="false" ht="15" hidden="false" customHeight="false" outlineLevel="0" collapsed="false">
      <c r="A28" s="10"/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22"/>
      <c r="M28" s="10"/>
      <c r="N28" s="22"/>
      <c r="O28" s="56"/>
      <c r="P28" s="56"/>
      <c r="Q28" s="29" t="str">
        <f aca="false">IF(OR(O28="",P28=""),"",(P28-O28)*100)</f>
        <v/>
      </c>
      <c r="R28" s="23" t="str">
        <f aca="true">IF(OR(L28="",LEFT(M28,7)="Cerrada"),"",MAX(0,TODAY()-L28))</f>
        <v/>
      </c>
    </row>
    <row r="29" customFormat="false" ht="15" hidden="false" customHeight="false" outlineLevel="0" collapsed="false">
      <c r="A29" s="10"/>
      <c r="B29" s="22"/>
      <c r="C29" s="10"/>
      <c r="D29" s="10"/>
      <c r="E29" s="10"/>
      <c r="F29" s="10"/>
      <c r="G29" s="10"/>
      <c r="H29" s="10"/>
      <c r="I29" s="10"/>
      <c r="J29" s="10"/>
      <c r="K29" s="10"/>
      <c r="L29" s="22"/>
      <c r="M29" s="10"/>
      <c r="N29" s="22"/>
      <c r="O29" s="56"/>
      <c r="P29" s="56"/>
      <c r="Q29" s="29" t="str">
        <f aca="false">IF(OR(O29="",P29=""),"",(P29-O29)*100)</f>
        <v/>
      </c>
      <c r="R29" s="23" t="str">
        <f aca="true">IF(OR(L29="",LEFT(M29,7)="Cerrada"),"",MAX(0,TODAY()-L29))</f>
        <v/>
      </c>
    </row>
    <row r="30" customFormat="false" ht="15" hidden="false" customHeight="false" outlineLevel="0" collapsed="false">
      <c r="A30" s="10"/>
      <c r="B30" s="22"/>
      <c r="C30" s="10"/>
      <c r="D30" s="10"/>
      <c r="E30" s="10"/>
      <c r="F30" s="10"/>
      <c r="G30" s="10"/>
      <c r="H30" s="10"/>
      <c r="I30" s="10"/>
      <c r="J30" s="10"/>
      <c r="K30" s="10"/>
      <c r="L30" s="22"/>
      <c r="M30" s="10"/>
      <c r="N30" s="22"/>
      <c r="O30" s="56"/>
      <c r="P30" s="56"/>
      <c r="Q30" s="29" t="str">
        <f aca="false">IF(OR(O30="",P30=""),"",(P30-O30)*100)</f>
        <v/>
      </c>
      <c r="R30" s="23" t="str">
        <f aca="true">IF(OR(L30="",LEFT(M30,7)="Cerrada"),"",MAX(0,TODAY()-L30))</f>
        <v/>
      </c>
    </row>
    <row r="31" customFormat="false" ht="15" hidden="false" customHeight="false" outlineLevel="0" collapsed="false">
      <c r="A31" s="10"/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22"/>
      <c r="M31" s="10"/>
      <c r="N31" s="22"/>
      <c r="O31" s="56"/>
      <c r="P31" s="56"/>
      <c r="Q31" s="29" t="str">
        <f aca="false">IF(OR(O31="",P31=""),"",(P31-O31)*100)</f>
        <v/>
      </c>
      <c r="R31" s="23" t="str">
        <f aca="true">IF(OR(L31="",LEFT(M31,7)="Cerrada"),"",MAX(0,TODAY()-L31))</f>
        <v/>
      </c>
    </row>
    <row r="32" customFormat="false" ht="15" hidden="false" customHeight="false" outlineLevel="0" collapsed="false">
      <c r="A32" s="10"/>
      <c r="B32" s="22"/>
      <c r="C32" s="10"/>
      <c r="D32" s="10"/>
      <c r="E32" s="10"/>
      <c r="F32" s="10"/>
      <c r="G32" s="10"/>
      <c r="H32" s="10"/>
      <c r="I32" s="10"/>
      <c r="J32" s="10"/>
      <c r="K32" s="10"/>
      <c r="L32" s="22"/>
      <c r="M32" s="10"/>
      <c r="N32" s="22"/>
      <c r="O32" s="56"/>
      <c r="P32" s="56"/>
      <c r="Q32" s="29" t="str">
        <f aca="false">IF(OR(O32="",P32=""),"",(P32-O32)*100)</f>
        <v/>
      </c>
      <c r="R32" s="23" t="str">
        <f aca="true">IF(OR(L32="",LEFT(M32,7)="Cerrada"),"",MAX(0,TODAY()-L32))</f>
        <v/>
      </c>
    </row>
    <row r="33" customFormat="false" ht="15" hidden="false" customHeight="false" outlineLevel="0" collapsed="false">
      <c r="A33" s="10"/>
      <c r="B33" s="22"/>
      <c r="C33" s="10"/>
      <c r="D33" s="10"/>
      <c r="E33" s="10"/>
      <c r="F33" s="10"/>
      <c r="G33" s="10"/>
      <c r="H33" s="10"/>
      <c r="I33" s="10"/>
      <c r="J33" s="10"/>
      <c r="K33" s="10"/>
      <c r="L33" s="22"/>
      <c r="M33" s="10"/>
      <c r="N33" s="22"/>
      <c r="O33" s="56"/>
      <c r="P33" s="56"/>
      <c r="Q33" s="29" t="str">
        <f aca="false">IF(OR(O33="",P33=""),"",(P33-O33)*100)</f>
        <v/>
      </c>
      <c r="R33" s="23" t="str">
        <f aca="true">IF(OR(L33="",LEFT(M33,7)="Cerrada"),"",MAX(0,TODAY()-L33))</f>
        <v/>
      </c>
    </row>
    <row r="34" customFormat="false" ht="15" hidden="false" customHeight="false" outlineLevel="0" collapsed="false">
      <c r="A34" s="10"/>
      <c r="B34" s="22"/>
      <c r="C34" s="10"/>
      <c r="D34" s="10"/>
      <c r="E34" s="10"/>
      <c r="F34" s="10"/>
      <c r="G34" s="10"/>
      <c r="H34" s="10"/>
      <c r="I34" s="10"/>
      <c r="J34" s="10"/>
      <c r="K34" s="10"/>
      <c r="L34" s="22"/>
      <c r="M34" s="10"/>
      <c r="N34" s="22"/>
      <c r="O34" s="56"/>
      <c r="P34" s="56"/>
      <c r="Q34" s="29" t="str">
        <f aca="false">IF(OR(O34="",P34=""),"",(P34-O34)*100)</f>
        <v/>
      </c>
      <c r="R34" s="23" t="str">
        <f aca="true">IF(OR(L34="",LEFT(M34,7)="Cerrada"),"",MAX(0,TODAY()-L34))</f>
        <v/>
      </c>
    </row>
    <row r="35" customFormat="false" ht="15" hidden="false" customHeight="false" outlineLevel="0" collapsed="false">
      <c r="A35" s="10"/>
      <c r="B35" s="22"/>
      <c r="C35" s="10"/>
      <c r="D35" s="10"/>
      <c r="E35" s="10"/>
      <c r="F35" s="10"/>
      <c r="G35" s="10"/>
      <c r="H35" s="10"/>
      <c r="I35" s="10"/>
      <c r="J35" s="10"/>
      <c r="K35" s="10"/>
      <c r="L35" s="22"/>
      <c r="M35" s="10"/>
      <c r="N35" s="22"/>
      <c r="O35" s="56"/>
      <c r="P35" s="56"/>
      <c r="Q35" s="29" t="str">
        <f aca="false">IF(OR(O35="",P35=""),"",(P35-O35)*100)</f>
        <v/>
      </c>
      <c r="R35" s="23" t="str">
        <f aca="true">IF(OR(L35="",LEFT(M35,7)="Cerrada"),"",MAX(0,TODAY()-L35))</f>
        <v/>
      </c>
    </row>
    <row r="36" customFormat="false" ht="15" hidden="false" customHeight="false" outlineLevel="0" collapsed="false">
      <c r="A36" s="10"/>
      <c r="B36" s="22"/>
      <c r="C36" s="10"/>
      <c r="D36" s="10"/>
      <c r="E36" s="10"/>
      <c r="F36" s="10"/>
      <c r="G36" s="10"/>
      <c r="H36" s="10"/>
      <c r="I36" s="10"/>
      <c r="J36" s="10"/>
      <c r="K36" s="10"/>
      <c r="L36" s="22"/>
      <c r="M36" s="10"/>
      <c r="N36" s="22"/>
      <c r="O36" s="56"/>
      <c r="P36" s="56"/>
      <c r="Q36" s="29" t="str">
        <f aca="false">IF(OR(O36="",P36=""),"",(P36-O36)*100)</f>
        <v/>
      </c>
      <c r="R36" s="23" t="str">
        <f aca="true">IF(OR(L36="",LEFT(M36,7)="Cerrada"),"",MAX(0,TODAY()-L36))</f>
        <v/>
      </c>
    </row>
    <row r="37" customFormat="false" ht="15" hidden="false" customHeight="false" outlineLevel="0" collapsed="false">
      <c r="A37" s="10"/>
      <c r="B37" s="22"/>
      <c r="C37" s="10"/>
      <c r="D37" s="10"/>
      <c r="E37" s="10"/>
      <c r="F37" s="10"/>
      <c r="G37" s="10"/>
      <c r="H37" s="10"/>
      <c r="I37" s="10"/>
      <c r="J37" s="10"/>
      <c r="K37" s="10"/>
      <c r="L37" s="22"/>
      <c r="M37" s="10"/>
      <c r="N37" s="22"/>
      <c r="O37" s="56"/>
      <c r="P37" s="56"/>
      <c r="Q37" s="29" t="str">
        <f aca="false">IF(OR(O37="",P37=""),"",(P37-O37)*100)</f>
        <v/>
      </c>
      <c r="R37" s="23" t="str">
        <f aca="true">IF(OR(L37="",LEFT(M37,7)="Cerrada"),"",MAX(0,TODAY()-L37))</f>
        <v/>
      </c>
    </row>
    <row r="38" customFormat="false" ht="15" hidden="false" customHeight="false" outlineLevel="0" collapsed="false">
      <c r="A38" s="10"/>
      <c r="B38" s="22"/>
      <c r="C38" s="10"/>
      <c r="D38" s="10"/>
      <c r="E38" s="10"/>
      <c r="F38" s="10"/>
      <c r="G38" s="10"/>
      <c r="H38" s="10"/>
      <c r="I38" s="10"/>
      <c r="J38" s="10"/>
      <c r="K38" s="10"/>
      <c r="L38" s="22"/>
      <c r="M38" s="10"/>
      <c r="N38" s="22"/>
      <c r="O38" s="56"/>
      <c r="P38" s="56"/>
      <c r="Q38" s="29" t="str">
        <f aca="false">IF(OR(O38="",P38=""),"",(P38-O38)*100)</f>
        <v/>
      </c>
      <c r="R38" s="23" t="str">
        <f aca="true">IF(OR(L38="",LEFT(M38,7)="Cerrada"),"",MAX(0,TODAY()-L38))</f>
        <v/>
      </c>
    </row>
    <row r="39" customFormat="false" ht="15" hidden="false" customHeight="false" outlineLevel="0" collapsed="false">
      <c r="A39" s="10"/>
      <c r="B39" s="22"/>
      <c r="C39" s="10"/>
      <c r="D39" s="10"/>
      <c r="E39" s="10"/>
      <c r="F39" s="10"/>
      <c r="G39" s="10"/>
      <c r="H39" s="10"/>
      <c r="I39" s="10"/>
      <c r="J39" s="10"/>
      <c r="K39" s="10"/>
      <c r="L39" s="22"/>
      <c r="M39" s="10"/>
      <c r="N39" s="22"/>
      <c r="O39" s="56"/>
      <c r="P39" s="56"/>
      <c r="Q39" s="29" t="str">
        <f aca="false">IF(OR(O39="",P39=""),"",(P39-O39)*100)</f>
        <v/>
      </c>
      <c r="R39" s="23" t="str">
        <f aca="true">IF(OR(L39="",LEFT(M39,7)="Cerrada"),"",MAX(0,TODAY()-L39))</f>
        <v/>
      </c>
    </row>
    <row r="40" customFormat="false" ht="15" hidden="false" customHeight="false" outlineLevel="0" collapsed="false">
      <c r="A40" s="10"/>
      <c r="B40" s="22"/>
      <c r="C40" s="10"/>
      <c r="D40" s="10"/>
      <c r="E40" s="10"/>
      <c r="F40" s="10"/>
      <c r="G40" s="10"/>
      <c r="H40" s="10"/>
      <c r="I40" s="10"/>
      <c r="J40" s="10"/>
      <c r="K40" s="10"/>
      <c r="L40" s="22"/>
      <c r="M40" s="10"/>
      <c r="N40" s="22"/>
      <c r="O40" s="56"/>
      <c r="P40" s="56"/>
      <c r="Q40" s="29" t="str">
        <f aca="false">IF(OR(O40="",P40=""),"",(P40-O40)*100)</f>
        <v/>
      </c>
      <c r="R40" s="23" t="str">
        <f aca="true">IF(OR(L40="",LEFT(M40,7)="Cerrada"),"",MAX(0,TODAY()-L40))</f>
        <v/>
      </c>
    </row>
    <row r="41" customFormat="false" ht="15" hidden="false" customHeight="false" outlineLevel="0" collapsed="false">
      <c r="A41" s="10"/>
      <c r="B41" s="22"/>
      <c r="C41" s="10"/>
      <c r="D41" s="10"/>
      <c r="E41" s="10"/>
      <c r="F41" s="10"/>
      <c r="G41" s="10"/>
      <c r="H41" s="10"/>
      <c r="I41" s="10"/>
      <c r="J41" s="10"/>
      <c r="K41" s="10"/>
      <c r="L41" s="22"/>
      <c r="M41" s="10"/>
      <c r="N41" s="22"/>
      <c r="O41" s="56"/>
      <c r="P41" s="56"/>
      <c r="Q41" s="29" t="str">
        <f aca="false">IF(OR(O41="",P41=""),"",(P41-O41)*100)</f>
        <v/>
      </c>
      <c r="R41" s="23" t="str">
        <f aca="true">IF(OR(L41="",LEFT(M41,7)="Cerrada"),"",MAX(0,TODAY()-L41))</f>
        <v/>
      </c>
    </row>
    <row r="42" customFormat="false" ht="15" hidden="false" customHeight="false" outlineLevel="0" collapsed="false">
      <c r="A42" s="10"/>
      <c r="B42" s="22"/>
      <c r="C42" s="10"/>
      <c r="D42" s="10"/>
      <c r="E42" s="10"/>
      <c r="F42" s="10"/>
      <c r="G42" s="10"/>
      <c r="H42" s="10"/>
      <c r="I42" s="10"/>
      <c r="J42" s="10"/>
      <c r="K42" s="10"/>
      <c r="L42" s="22"/>
      <c r="M42" s="10"/>
      <c r="N42" s="22"/>
      <c r="O42" s="56"/>
      <c r="P42" s="56"/>
      <c r="Q42" s="29" t="str">
        <f aca="false">IF(OR(O42="",P42=""),"",(P42-O42)*100)</f>
        <v/>
      </c>
      <c r="R42" s="23" t="str">
        <f aca="true">IF(OR(L42="",LEFT(M42,7)="Cerrada"),"",MAX(0,TODAY()-L42))</f>
        <v/>
      </c>
    </row>
    <row r="43" customFormat="false" ht="15" hidden="false" customHeight="false" outlineLevel="0" collapsed="false">
      <c r="A43" s="10"/>
      <c r="B43" s="22"/>
      <c r="C43" s="10"/>
      <c r="D43" s="10"/>
      <c r="E43" s="10"/>
      <c r="F43" s="10"/>
      <c r="G43" s="10"/>
      <c r="H43" s="10"/>
      <c r="I43" s="10"/>
      <c r="J43" s="10"/>
      <c r="K43" s="10"/>
      <c r="L43" s="22"/>
      <c r="M43" s="10"/>
      <c r="N43" s="22"/>
      <c r="O43" s="56"/>
      <c r="P43" s="56"/>
      <c r="Q43" s="29" t="str">
        <f aca="false">IF(OR(O43="",P43=""),"",(P43-O43)*100)</f>
        <v/>
      </c>
      <c r="R43" s="23" t="str">
        <f aca="true">IF(OR(L43="",LEFT(M43,7)="Cerrada"),"",MAX(0,TODAY()-L43))</f>
        <v/>
      </c>
    </row>
    <row r="44" customFormat="false" ht="15" hidden="false" customHeight="false" outlineLevel="0" collapsed="false">
      <c r="A44" s="10"/>
      <c r="B44" s="22"/>
      <c r="C44" s="10"/>
      <c r="D44" s="10"/>
      <c r="E44" s="10"/>
      <c r="F44" s="10"/>
      <c r="G44" s="10"/>
      <c r="H44" s="10"/>
      <c r="I44" s="10"/>
      <c r="J44" s="10"/>
      <c r="K44" s="10"/>
      <c r="L44" s="22"/>
      <c r="M44" s="10"/>
      <c r="N44" s="22"/>
      <c r="O44" s="56"/>
      <c r="P44" s="56"/>
      <c r="Q44" s="29" t="str">
        <f aca="false">IF(OR(O44="",P44=""),"",(P44-O44)*100)</f>
        <v/>
      </c>
      <c r="R44" s="23" t="str">
        <f aca="true">IF(OR(L44="",LEFT(M44,7)="Cerrada"),"",MAX(0,TODAY()-L44))</f>
        <v/>
      </c>
    </row>
    <row r="45" customFormat="false" ht="15" hidden="false" customHeight="false" outlineLevel="0" collapsed="false">
      <c r="A45" s="10"/>
      <c r="B45" s="22"/>
      <c r="C45" s="10"/>
      <c r="D45" s="10"/>
      <c r="E45" s="10"/>
      <c r="F45" s="10"/>
      <c r="G45" s="10"/>
      <c r="H45" s="10"/>
      <c r="I45" s="10"/>
      <c r="J45" s="10"/>
      <c r="K45" s="10"/>
      <c r="L45" s="22"/>
      <c r="M45" s="10"/>
      <c r="N45" s="22"/>
      <c r="O45" s="56"/>
      <c r="P45" s="56"/>
      <c r="Q45" s="29" t="str">
        <f aca="false">IF(OR(O45="",P45=""),"",(P45-O45)*100)</f>
        <v/>
      </c>
      <c r="R45" s="23" t="str">
        <f aca="true">IF(OR(L45="",LEFT(M45,7)="Cerrada"),"",MAX(0,TODAY()-L45))</f>
        <v/>
      </c>
    </row>
    <row r="46" customFormat="false" ht="15" hidden="false" customHeight="false" outlineLevel="0" collapsed="false">
      <c r="A46" s="10"/>
      <c r="B46" s="22"/>
      <c r="C46" s="10"/>
      <c r="D46" s="10"/>
      <c r="E46" s="10"/>
      <c r="F46" s="10"/>
      <c r="G46" s="10"/>
      <c r="H46" s="10"/>
      <c r="I46" s="10"/>
      <c r="J46" s="10"/>
      <c r="K46" s="10"/>
      <c r="L46" s="22"/>
      <c r="M46" s="10"/>
      <c r="N46" s="22"/>
      <c r="O46" s="56"/>
      <c r="P46" s="56"/>
      <c r="Q46" s="29" t="str">
        <f aca="false">IF(OR(O46="",P46=""),"",(P46-O46)*100)</f>
        <v/>
      </c>
      <c r="R46" s="23" t="str">
        <f aca="true">IF(OR(L46="",LEFT(M46,7)="Cerrada"),"",MAX(0,TODAY()-L46))</f>
        <v/>
      </c>
    </row>
    <row r="47" customFormat="false" ht="15" hidden="false" customHeight="false" outlineLevel="0" collapsed="false">
      <c r="A47" s="10"/>
      <c r="B47" s="22"/>
      <c r="C47" s="10"/>
      <c r="D47" s="10"/>
      <c r="E47" s="10"/>
      <c r="F47" s="10"/>
      <c r="G47" s="10"/>
      <c r="H47" s="10"/>
      <c r="I47" s="10"/>
      <c r="J47" s="10"/>
      <c r="K47" s="10"/>
      <c r="L47" s="22"/>
      <c r="M47" s="10"/>
      <c r="N47" s="22"/>
      <c r="O47" s="56"/>
      <c r="P47" s="56"/>
      <c r="Q47" s="29" t="str">
        <f aca="false">IF(OR(O47="",P47=""),"",(P47-O47)*100)</f>
        <v/>
      </c>
      <c r="R47" s="23" t="str">
        <f aca="true">IF(OR(L47="",LEFT(M47,7)="Cerrada"),"",MAX(0,TODAY()-L47))</f>
        <v/>
      </c>
    </row>
    <row r="48" customFormat="false" ht="15" hidden="false" customHeight="false" outlineLevel="0" collapsed="false">
      <c r="A48" s="10"/>
      <c r="B48" s="22"/>
      <c r="C48" s="10"/>
      <c r="D48" s="10"/>
      <c r="E48" s="10"/>
      <c r="F48" s="10"/>
      <c r="G48" s="10"/>
      <c r="H48" s="10"/>
      <c r="I48" s="10"/>
      <c r="J48" s="10"/>
      <c r="K48" s="10"/>
      <c r="L48" s="22"/>
      <c r="M48" s="10"/>
      <c r="N48" s="22"/>
      <c r="O48" s="56"/>
      <c r="P48" s="56"/>
      <c r="Q48" s="29" t="str">
        <f aca="false">IF(OR(O48="",P48=""),"",(P48-O48)*100)</f>
        <v/>
      </c>
      <c r="R48" s="23" t="str">
        <f aca="true">IF(OR(L48="",LEFT(M48,7)="Cerrada"),"",MAX(0,TODAY()-L48))</f>
        <v/>
      </c>
    </row>
    <row r="49" customFormat="false" ht="15" hidden="false" customHeight="false" outlineLevel="0" collapsed="false">
      <c r="A49" s="10"/>
      <c r="B49" s="22"/>
      <c r="C49" s="10"/>
      <c r="D49" s="10"/>
      <c r="E49" s="10"/>
      <c r="F49" s="10"/>
      <c r="G49" s="10"/>
      <c r="H49" s="10"/>
      <c r="I49" s="10"/>
      <c r="J49" s="10"/>
      <c r="K49" s="10"/>
      <c r="L49" s="22"/>
      <c r="M49" s="10"/>
      <c r="N49" s="22"/>
      <c r="O49" s="56"/>
      <c r="P49" s="56"/>
      <c r="Q49" s="29" t="str">
        <f aca="false">IF(OR(O49="",P49=""),"",(P49-O49)*100)</f>
        <v/>
      </c>
      <c r="R49" s="23" t="str">
        <f aca="true">IF(OR(L49="",LEFT(M49,7)="Cerrada"),"",MAX(0,TODAY()-L49))</f>
        <v/>
      </c>
    </row>
    <row r="50" customFormat="false" ht="15" hidden="false" customHeight="false" outlineLevel="0" collapsed="false">
      <c r="A50" s="10"/>
      <c r="B50" s="22"/>
      <c r="C50" s="10"/>
      <c r="D50" s="10"/>
      <c r="E50" s="10"/>
      <c r="F50" s="10"/>
      <c r="G50" s="10"/>
      <c r="H50" s="10"/>
      <c r="I50" s="10"/>
      <c r="J50" s="10"/>
      <c r="K50" s="10"/>
      <c r="L50" s="22"/>
      <c r="M50" s="10"/>
      <c r="N50" s="22"/>
      <c r="O50" s="56"/>
      <c r="P50" s="56"/>
      <c r="Q50" s="29" t="str">
        <f aca="false">IF(OR(O50="",P50=""),"",(P50-O50)*100)</f>
        <v/>
      </c>
      <c r="R50" s="23" t="str">
        <f aca="true">IF(OR(L50="",LEFT(M50,7)="Cerrada"),"",MAX(0,TODAY()-L50))</f>
        <v/>
      </c>
    </row>
    <row r="51" customFormat="false" ht="15" hidden="false" customHeight="false" outlineLevel="0" collapsed="false">
      <c r="A51" s="10"/>
      <c r="B51" s="22"/>
      <c r="C51" s="10"/>
      <c r="D51" s="10"/>
      <c r="E51" s="10"/>
      <c r="F51" s="10"/>
      <c r="G51" s="10"/>
      <c r="H51" s="10"/>
      <c r="I51" s="10"/>
      <c r="J51" s="10"/>
      <c r="K51" s="10"/>
      <c r="L51" s="22"/>
      <c r="M51" s="10"/>
      <c r="N51" s="22"/>
      <c r="O51" s="56"/>
      <c r="P51" s="56"/>
      <c r="Q51" s="29" t="str">
        <f aca="false">IF(OR(O51="",P51=""),"",(P51-O51)*100)</f>
        <v/>
      </c>
      <c r="R51" s="23" t="str">
        <f aca="true">IF(OR(L51="",LEFT(M51,7)="Cerrada"),"",MAX(0,TODAY()-L51))</f>
        <v/>
      </c>
    </row>
    <row r="52" customFormat="false" ht="15" hidden="false" customHeight="false" outlineLevel="0" collapsed="false">
      <c r="A52" s="10"/>
      <c r="B52" s="22"/>
      <c r="C52" s="10"/>
      <c r="D52" s="10"/>
      <c r="E52" s="10"/>
      <c r="F52" s="10"/>
      <c r="G52" s="10"/>
      <c r="H52" s="10"/>
      <c r="I52" s="10"/>
      <c r="J52" s="10"/>
      <c r="K52" s="10"/>
      <c r="L52" s="22"/>
      <c r="M52" s="10"/>
      <c r="N52" s="22"/>
      <c r="O52" s="56"/>
      <c r="P52" s="56"/>
      <c r="Q52" s="29" t="str">
        <f aca="false">IF(OR(O52="",P52=""),"",(P52-O52)*100)</f>
        <v/>
      </c>
      <c r="R52" s="23" t="str">
        <f aca="true">IF(OR(L52="",LEFT(M52,7)="Cerrada"),"",MAX(0,TODAY()-L52))</f>
        <v/>
      </c>
    </row>
    <row r="53" customFormat="false" ht="15" hidden="false" customHeight="false" outlineLevel="0" collapsed="false">
      <c r="A53" s="10"/>
      <c r="B53" s="22"/>
      <c r="C53" s="10"/>
      <c r="D53" s="10"/>
      <c r="E53" s="10"/>
      <c r="F53" s="10"/>
      <c r="G53" s="10"/>
      <c r="H53" s="10"/>
      <c r="I53" s="10"/>
      <c r="J53" s="10"/>
      <c r="K53" s="10"/>
      <c r="L53" s="22"/>
      <c r="M53" s="10"/>
      <c r="N53" s="22"/>
      <c r="O53" s="56"/>
      <c r="P53" s="56"/>
      <c r="Q53" s="29" t="str">
        <f aca="false">IF(OR(O53="",P53=""),"",(P53-O53)*100)</f>
        <v/>
      </c>
      <c r="R53" s="23" t="str">
        <f aca="true">IF(OR(L53="",LEFT(M53,7)="Cerrada"),"",MAX(0,TODAY()-L53))</f>
        <v/>
      </c>
    </row>
    <row r="54" customFormat="false" ht="15" hidden="false" customHeight="false" outlineLevel="0" collapsed="false">
      <c r="A54" s="10"/>
      <c r="B54" s="22"/>
      <c r="C54" s="10"/>
      <c r="D54" s="10"/>
      <c r="E54" s="10"/>
      <c r="F54" s="10"/>
      <c r="G54" s="10"/>
      <c r="H54" s="10"/>
      <c r="I54" s="10"/>
      <c r="J54" s="10"/>
      <c r="K54" s="10"/>
      <c r="L54" s="22"/>
      <c r="M54" s="10"/>
      <c r="N54" s="22"/>
      <c r="O54" s="56"/>
      <c r="P54" s="56"/>
      <c r="Q54" s="29" t="str">
        <f aca="false">IF(OR(O54="",P54=""),"",(P54-O54)*100)</f>
        <v/>
      </c>
      <c r="R54" s="23" t="str">
        <f aca="true">IF(OR(L54="",LEFT(M54,7)="Cerrada"),"",MAX(0,TODAY()-L54))</f>
        <v/>
      </c>
    </row>
    <row r="55" customFormat="false" ht="15" hidden="false" customHeight="false" outlineLevel="0" collapsed="false">
      <c r="A55" s="10"/>
      <c r="B55" s="22"/>
      <c r="C55" s="10"/>
      <c r="D55" s="10"/>
      <c r="E55" s="10"/>
      <c r="F55" s="10"/>
      <c r="G55" s="10"/>
      <c r="H55" s="10"/>
      <c r="I55" s="10"/>
      <c r="J55" s="10"/>
      <c r="K55" s="10"/>
      <c r="L55" s="22"/>
      <c r="M55" s="10"/>
      <c r="N55" s="22"/>
      <c r="O55" s="56"/>
      <c r="P55" s="56"/>
      <c r="Q55" s="29" t="str">
        <f aca="false">IF(OR(O55="",P55=""),"",(P55-O55)*100)</f>
        <v/>
      </c>
      <c r="R55" s="23" t="str">
        <f aca="true">IF(OR(L55="",LEFT(M55,7)="Cerrada"),"",MAX(0,TODAY()-L55))</f>
        <v/>
      </c>
    </row>
    <row r="56" customFormat="false" ht="15" hidden="false" customHeight="false" outlineLevel="0" collapsed="false">
      <c r="A56" s="10"/>
      <c r="B56" s="22"/>
      <c r="C56" s="10"/>
      <c r="D56" s="10"/>
      <c r="E56" s="10"/>
      <c r="F56" s="10"/>
      <c r="G56" s="10"/>
      <c r="H56" s="10"/>
      <c r="I56" s="10"/>
      <c r="J56" s="10"/>
      <c r="K56" s="10"/>
      <c r="L56" s="22"/>
      <c r="M56" s="10"/>
      <c r="N56" s="22"/>
      <c r="O56" s="56"/>
      <c r="P56" s="56"/>
      <c r="Q56" s="29" t="str">
        <f aca="false">IF(OR(O56="",P56=""),"",(P56-O56)*100)</f>
        <v/>
      </c>
      <c r="R56" s="23" t="str">
        <f aca="true">IF(OR(L56="",LEFT(M56,7)="Cerrada"),"",MAX(0,TODAY()-L56))</f>
        <v/>
      </c>
    </row>
    <row r="57" customFormat="false" ht="15" hidden="false" customHeight="false" outlineLevel="0" collapsed="false">
      <c r="A57" s="10"/>
      <c r="B57" s="22"/>
      <c r="C57" s="10"/>
      <c r="D57" s="10"/>
      <c r="E57" s="10"/>
      <c r="F57" s="10"/>
      <c r="G57" s="10"/>
      <c r="H57" s="10"/>
      <c r="I57" s="10"/>
      <c r="J57" s="10"/>
      <c r="K57" s="10"/>
      <c r="L57" s="22"/>
      <c r="M57" s="10"/>
      <c r="N57" s="22"/>
      <c r="O57" s="56"/>
      <c r="P57" s="56"/>
      <c r="Q57" s="29" t="str">
        <f aca="false">IF(OR(O57="",P57=""),"",(P57-O57)*100)</f>
        <v/>
      </c>
      <c r="R57" s="23" t="str">
        <f aca="true">IF(OR(L57="",LEFT(M57,7)="Cerrada"),"",MAX(0,TODAY()-L57))</f>
        <v/>
      </c>
    </row>
    <row r="58" customFormat="false" ht="15" hidden="false" customHeight="false" outlineLevel="0" collapsed="false">
      <c r="A58" s="10"/>
      <c r="B58" s="22"/>
      <c r="C58" s="10"/>
      <c r="D58" s="10"/>
      <c r="E58" s="10"/>
      <c r="F58" s="10"/>
      <c r="G58" s="10"/>
      <c r="H58" s="10"/>
      <c r="I58" s="10"/>
      <c r="J58" s="10"/>
      <c r="K58" s="10"/>
      <c r="L58" s="22"/>
      <c r="M58" s="10"/>
      <c r="N58" s="22"/>
      <c r="O58" s="56"/>
      <c r="P58" s="56"/>
      <c r="Q58" s="29" t="str">
        <f aca="false">IF(OR(O58="",P58=""),"",(P58-O58)*100)</f>
        <v/>
      </c>
      <c r="R58" s="23" t="str">
        <f aca="true">IF(OR(L58="",LEFT(M58,7)="Cerrada"),"",MAX(0,TODAY()-L58))</f>
        <v/>
      </c>
    </row>
    <row r="59" customFormat="false" ht="15" hidden="false" customHeight="false" outlineLevel="0" collapsed="false">
      <c r="A59" s="10"/>
      <c r="B59" s="22"/>
      <c r="C59" s="10"/>
      <c r="D59" s="10"/>
      <c r="E59" s="10"/>
      <c r="F59" s="10"/>
      <c r="G59" s="10"/>
      <c r="H59" s="10"/>
      <c r="I59" s="10"/>
      <c r="J59" s="10"/>
      <c r="K59" s="10"/>
      <c r="L59" s="22"/>
      <c r="M59" s="10"/>
      <c r="N59" s="22"/>
      <c r="O59" s="56"/>
      <c r="P59" s="56"/>
      <c r="Q59" s="29" t="str">
        <f aca="false">IF(OR(O59="",P59=""),"",(P59-O59)*100)</f>
        <v/>
      </c>
      <c r="R59" s="23" t="str">
        <f aca="true">IF(OR(L59="",LEFT(M59,7)="Cerrada"),"",MAX(0,TODAY()-L59))</f>
        <v/>
      </c>
    </row>
    <row r="60" customFormat="false" ht="15" hidden="false" customHeight="false" outlineLevel="0" collapsed="false">
      <c r="A60" s="10"/>
      <c r="B60" s="22"/>
      <c r="C60" s="10"/>
      <c r="D60" s="10"/>
      <c r="E60" s="10"/>
      <c r="F60" s="10"/>
      <c r="G60" s="10"/>
      <c r="H60" s="10"/>
      <c r="I60" s="10"/>
      <c r="J60" s="10"/>
      <c r="K60" s="10"/>
      <c r="L60" s="22"/>
      <c r="M60" s="10"/>
      <c r="N60" s="22"/>
      <c r="O60" s="56"/>
      <c r="P60" s="56"/>
      <c r="Q60" s="29" t="str">
        <f aca="false">IF(OR(O60="",P60=""),"",(P60-O60)*100)</f>
        <v/>
      </c>
      <c r="R60" s="23" t="str">
        <f aca="true">IF(OR(L60="",LEFT(M60,7)="Cerrada"),"",MAX(0,TODAY()-L60))</f>
        <v/>
      </c>
    </row>
    <row r="61" customFormat="false" ht="15" hidden="false" customHeight="false" outlineLevel="0" collapsed="false">
      <c r="A61" s="10"/>
      <c r="B61" s="22"/>
      <c r="C61" s="10"/>
      <c r="D61" s="10"/>
      <c r="E61" s="10"/>
      <c r="F61" s="10"/>
      <c r="G61" s="10"/>
      <c r="H61" s="10"/>
      <c r="I61" s="10"/>
      <c r="J61" s="10"/>
      <c r="K61" s="10"/>
      <c r="L61" s="22"/>
      <c r="M61" s="10"/>
      <c r="N61" s="22"/>
      <c r="O61" s="56"/>
      <c r="P61" s="56"/>
      <c r="Q61" s="29" t="str">
        <f aca="false">IF(OR(O61="",P61=""),"",(P61-O61)*100)</f>
        <v/>
      </c>
      <c r="R61" s="23" t="str">
        <f aca="true">IF(OR(L61="",LEFT(M61,7)="Cerrada"),"",MAX(0,TODAY()-L61))</f>
        <v/>
      </c>
    </row>
    <row r="62" customFormat="false" ht="15" hidden="false" customHeight="false" outlineLevel="0" collapsed="false">
      <c r="A62" s="10"/>
      <c r="B62" s="22"/>
      <c r="C62" s="10"/>
      <c r="D62" s="10"/>
      <c r="E62" s="10"/>
      <c r="F62" s="10"/>
      <c r="G62" s="10"/>
      <c r="H62" s="10"/>
      <c r="I62" s="10"/>
      <c r="J62" s="10"/>
      <c r="K62" s="10"/>
      <c r="L62" s="22"/>
      <c r="M62" s="10"/>
      <c r="N62" s="22"/>
      <c r="O62" s="56"/>
      <c r="P62" s="56"/>
      <c r="Q62" s="29" t="str">
        <f aca="false">IF(OR(O62="",P62=""),"",(P62-O62)*100)</f>
        <v/>
      </c>
      <c r="R62" s="23" t="str">
        <f aca="true">IF(OR(L62="",LEFT(M62,7)="Cerrada"),"",MAX(0,TODAY()-L62))</f>
        <v/>
      </c>
    </row>
    <row r="63" customFormat="false" ht="15" hidden="false" customHeight="false" outlineLevel="0" collapsed="false">
      <c r="A63" s="10"/>
      <c r="B63" s="22"/>
      <c r="C63" s="10"/>
      <c r="D63" s="10"/>
      <c r="E63" s="10"/>
      <c r="F63" s="10"/>
      <c r="G63" s="10"/>
      <c r="H63" s="10"/>
      <c r="I63" s="10"/>
      <c r="J63" s="10"/>
      <c r="K63" s="10"/>
      <c r="L63" s="22"/>
      <c r="M63" s="10"/>
      <c r="N63" s="22"/>
      <c r="O63" s="56"/>
      <c r="P63" s="56"/>
      <c r="Q63" s="29" t="str">
        <f aca="false">IF(OR(O63="",P63=""),"",(P63-O63)*100)</f>
        <v/>
      </c>
      <c r="R63" s="23" t="str">
        <f aca="true">IF(OR(L63="",LEFT(M63,7)="Cerrada"),"",MAX(0,TODAY()-L63))</f>
        <v/>
      </c>
    </row>
    <row r="64" customFormat="false" ht="15" hidden="false" customHeight="false" outlineLevel="0" collapsed="false">
      <c r="A64" s="10"/>
      <c r="B64" s="22"/>
      <c r="C64" s="10"/>
      <c r="D64" s="10"/>
      <c r="E64" s="10"/>
      <c r="F64" s="10"/>
      <c r="G64" s="10"/>
      <c r="H64" s="10"/>
      <c r="I64" s="10"/>
      <c r="J64" s="10"/>
      <c r="K64" s="10"/>
      <c r="L64" s="22"/>
      <c r="M64" s="10"/>
      <c r="N64" s="22"/>
      <c r="O64" s="56"/>
      <c r="P64" s="56"/>
      <c r="Q64" s="29" t="str">
        <f aca="false">IF(OR(O64="",P64=""),"",(P64-O64)*100)</f>
        <v/>
      </c>
      <c r="R64" s="23" t="str">
        <f aca="true">IF(OR(L64="",LEFT(M64,7)="Cerrada"),"",MAX(0,TODAY()-L64))</f>
        <v/>
      </c>
    </row>
    <row r="65" customFormat="false" ht="15" hidden="false" customHeight="false" outlineLevel="0" collapsed="false">
      <c r="A65" s="10"/>
      <c r="B65" s="22"/>
      <c r="C65" s="10"/>
      <c r="D65" s="10"/>
      <c r="E65" s="10"/>
      <c r="F65" s="10"/>
      <c r="G65" s="10"/>
      <c r="H65" s="10"/>
      <c r="I65" s="10"/>
      <c r="J65" s="10"/>
      <c r="K65" s="10"/>
      <c r="L65" s="22"/>
      <c r="M65" s="10"/>
      <c r="N65" s="22"/>
      <c r="O65" s="56"/>
      <c r="P65" s="56"/>
      <c r="Q65" s="29" t="str">
        <f aca="false">IF(OR(O65="",P65=""),"",(P65-O65)*100)</f>
        <v/>
      </c>
      <c r="R65" s="23" t="str">
        <f aca="true">IF(OR(L65="",LEFT(M65,7)="Cerrada"),"",MAX(0,TODAY()-L65))</f>
        <v/>
      </c>
    </row>
    <row r="66" customFormat="false" ht="15" hidden="false" customHeight="false" outlineLevel="0" collapsed="false">
      <c r="A66" s="10"/>
      <c r="B66" s="22"/>
      <c r="C66" s="10"/>
      <c r="D66" s="10"/>
      <c r="E66" s="10"/>
      <c r="F66" s="10"/>
      <c r="G66" s="10"/>
      <c r="H66" s="10"/>
      <c r="I66" s="10"/>
      <c r="J66" s="10"/>
      <c r="K66" s="10"/>
      <c r="L66" s="22"/>
      <c r="M66" s="10"/>
      <c r="N66" s="22"/>
      <c r="O66" s="56"/>
      <c r="P66" s="56"/>
      <c r="Q66" s="29" t="str">
        <f aca="false">IF(OR(O66="",P66=""),"",(P66-O66)*100)</f>
        <v/>
      </c>
      <c r="R66" s="23" t="str">
        <f aca="true">IF(OR(L66="",LEFT(M66,7)="Cerrada"),"",MAX(0,TODAY()-L66))</f>
        <v/>
      </c>
    </row>
    <row r="67" customFormat="false" ht="15" hidden="false" customHeight="false" outlineLevel="0" collapsed="false">
      <c r="A67" s="10"/>
      <c r="B67" s="22"/>
      <c r="C67" s="10"/>
      <c r="D67" s="10"/>
      <c r="E67" s="10"/>
      <c r="F67" s="10"/>
      <c r="G67" s="10"/>
      <c r="H67" s="10"/>
      <c r="I67" s="10"/>
      <c r="J67" s="10"/>
      <c r="K67" s="10"/>
      <c r="L67" s="22"/>
      <c r="M67" s="10"/>
      <c r="N67" s="22"/>
      <c r="O67" s="56"/>
      <c r="P67" s="56"/>
      <c r="Q67" s="29" t="str">
        <f aca="false">IF(OR(O67="",P67=""),"",(P67-O67)*100)</f>
        <v/>
      </c>
      <c r="R67" s="23" t="str">
        <f aca="true">IF(OR(L67="",LEFT(M67,7)="Cerrada"),"",MAX(0,TODAY()-L67))</f>
        <v/>
      </c>
    </row>
    <row r="68" customFormat="false" ht="15" hidden="false" customHeight="false" outlineLevel="0" collapsed="false">
      <c r="A68" s="10"/>
      <c r="B68" s="22"/>
      <c r="C68" s="10"/>
      <c r="D68" s="10"/>
      <c r="E68" s="10"/>
      <c r="F68" s="10"/>
      <c r="G68" s="10"/>
      <c r="H68" s="10"/>
      <c r="I68" s="10"/>
      <c r="J68" s="10"/>
      <c r="K68" s="10"/>
      <c r="L68" s="22"/>
      <c r="M68" s="10"/>
      <c r="N68" s="22"/>
      <c r="O68" s="56"/>
      <c r="P68" s="56"/>
      <c r="Q68" s="29" t="str">
        <f aca="false">IF(OR(O68="",P68=""),"",(P68-O68)*100)</f>
        <v/>
      </c>
      <c r="R68" s="23" t="str">
        <f aca="true">IF(OR(L68="",LEFT(M68,7)="Cerrada"),"",MAX(0,TODAY()-L68))</f>
        <v/>
      </c>
    </row>
    <row r="69" customFormat="false" ht="15" hidden="false" customHeight="false" outlineLevel="0" collapsed="false">
      <c r="A69" s="10"/>
      <c r="B69" s="22"/>
      <c r="C69" s="10"/>
      <c r="D69" s="10"/>
      <c r="E69" s="10"/>
      <c r="F69" s="10"/>
      <c r="G69" s="10"/>
      <c r="H69" s="10"/>
      <c r="I69" s="10"/>
      <c r="J69" s="10"/>
      <c r="K69" s="10"/>
      <c r="L69" s="22"/>
      <c r="M69" s="10"/>
      <c r="N69" s="22"/>
      <c r="O69" s="56"/>
      <c r="P69" s="56"/>
      <c r="Q69" s="29" t="str">
        <f aca="false">IF(OR(O69="",P69=""),"",(P69-O69)*100)</f>
        <v/>
      </c>
      <c r="R69" s="23" t="str">
        <f aca="true">IF(OR(L69="",LEFT(M69,7)="Cerrada"),"",MAX(0,TODAY()-L69))</f>
        <v/>
      </c>
    </row>
    <row r="70" customFormat="false" ht="15" hidden="false" customHeight="false" outlineLevel="0" collapsed="false">
      <c r="A70" s="10"/>
      <c r="B70" s="22"/>
      <c r="C70" s="10"/>
      <c r="D70" s="10"/>
      <c r="E70" s="10"/>
      <c r="F70" s="10"/>
      <c r="G70" s="10"/>
      <c r="H70" s="10"/>
      <c r="I70" s="10"/>
      <c r="J70" s="10"/>
      <c r="K70" s="10"/>
      <c r="L70" s="22"/>
      <c r="M70" s="10"/>
      <c r="N70" s="22"/>
      <c r="O70" s="56"/>
      <c r="P70" s="56"/>
      <c r="Q70" s="29" t="str">
        <f aca="false">IF(OR(O70="",P70=""),"",(P70-O70)*100)</f>
        <v/>
      </c>
      <c r="R70" s="23" t="str">
        <f aca="true">IF(OR(L70="",LEFT(M70,7)="Cerrada"),"",MAX(0,TODAY()-L70))</f>
        <v/>
      </c>
    </row>
    <row r="71" customFormat="false" ht="15" hidden="false" customHeight="false" outlineLevel="0" collapsed="false">
      <c r="A71" s="10"/>
      <c r="B71" s="22"/>
      <c r="C71" s="10"/>
      <c r="D71" s="10"/>
      <c r="E71" s="10"/>
      <c r="F71" s="10"/>
      <c r="G71" s="10"/>
      <c r="H71" s="10"/>
      <c r="I71" s="10"/>
      <c r="J71" s="10"/>
      <c r="K71" s="10"/>
      <c r="L71" s="22"/>
      <c r="M71" s="10"/>
      <c r="N71" s="22"/>
      <c r="O71" s="56"/>
      <c r="P71" s="56"/>
      <c r="Q71" s="29" t="str">
        <f aca="false">IF(OR(O71="",P71=""),"",(P71-O71)*100)</f>
        <v/>
      </c>
      <c r="R71" s="23" t="str">
        <f aca="true">IF(OR(L71="",LEFT(M71,7)="Cerrada"),"",MAX(0,TODAY()-L71))</f>
        <v/>
      </c>
    </row>
    <row r="72" customFormat="false" ht="15" hidden="false" customHeight="false" outlineLevel="0" collapsed="false">
      <c r="A72" s="10"/>
      <c r="B72" s="22"/>
      <c r="C72" s="10"/>
      <c r="D72" s="10"/>
      <c r="E72" s="10"/>
      <c r="F72" s="10"/>
      <c r="G72" s="10"/>
      <c r="H72" s="10"/>
      <c r="I72" s="10"/>
      <c r="J72" s="10"/>
      <c r="K72" s="10"/>
      <c r="L72" s="22"/>
      <c r="M72" s="10"/>
      <c r="N72" s="22"/>
      <c r="O72" s="56"/>
      <c r="P72" s="56"/>
      <c r="Q72" s="29" t="str">
        <f aca="false">IF(OR(O72="",P72=""),"",(P72-O72)*100)</f>
        <v/>
      </c>
      <c r="R72" s="23" t="str">
        <f aca="true">IF(OR(L72="",LEFT(M72,7)="Cerrada"),"",MAX(0,TODAY()-L72))</f>
        <v/>
      </c>
    </row>
    <row r="73" customFormat="false" ht="15" hidden="false" customHeight="false" outlineLevel="0" collapsed="false">
      <c r="A73" s="10"/>
      <c r="B73" s="22"/>
      <c r="C73" s="10"/>
      <c r="D73" s="10"/>
      <c r="E73" s="10"/>
      <c r="F73" s="10"/>
      <c r="G73" s="10"/>
      <c r="H73" s="10"/>
      <c r="I73" s="10"/>
      <c r="J73" s="10"/>
      <c r="K73" s="10"/>
      <c r="L73" s="22"/>
      <c r="M73" s="10"/>
      <c r="N73" s="22"/>
      <c r="O73" s="56"/>
      <c r="P73" s="56"/>
      <c r="Q73" s="29" t="str">
        <f aca="false">IF(OR(O73="",P73=""),"",(P73-O73)*100)</f>
        <v/>
      </c>
      <c r="R73" s="23" t="str">
        <f aca="true">IF(OR(L73="",LEFT(M73,7)="Cerrada"),"",MAX(0,TODAY()-L73))</f>
        <v/>
      </c>
    </row>
    <row r="74" customFormat="false" ht="15" hidden="false" customHeight="false" outlineLevel="0" collapsed="false">
      <c r="A74" s="10"/>
      <c r="B74" s="22"/>
      <c r="C74" s="10"/>
      <c r="D74" s="10"/>
      <c r="E74" s="10"/>
      <c r="F74" s="10"/>
      <c r="G74" s="10"/>
      <c r="H74" s="10"/>
      <c r="I74" s="10"/>
      <c r="J74" s="10"/>
      <c r="K74" s="10"/>
      <c r="L74" s="22"/>
      <c r="M74" s="10"/>
      <c r="N74" s="22"/>
      <c r="O74" s="56"/>
      <c r="P74" s="56"/>
      <c r="Q74" s="29" t="str">
        <f aca="false">IF(OR(O74="",P74=""),"",(P74-O74)*100)</f>
        <v/>
      </c>
      <c r="R74" s="23" t="str">
        <f aca="true">IF(OR(L74="",LEFT(M74,7)="Cerrada"),"",MAX(0,TODAY()-L74))</f>
        <v/>
      </c>
    </row>
    <row r="75" customFormat="false" ht="15" hidden="false" customHeight="false" outlineLevel="0" collapsed="false">
      <c r="A75" s="10"/>
      <c r="B75" s="22"/>
      <c r="C75" s="10"/>
      <c r="D75" s="10"/>
      <c r="E75" s="10"/>
      <c r="F75" s="10"/>
      <c r="G75" s="10"/>
      <c r="H75" s="10"/>
      <c r="I75" s="10"/>
      <c r="J75" s="10"/>
      <c r="K75" s="10"/>
      <c r="L75" s="22"/>
      <c r="M75" s="10"/>
      <c r="N75" s="22"/>
      <c r="O75" s="56"/>
      <c r="P75" s="56"/>
      <c r="Q75" s="29" t="str">
        <f aca="false">IF(OR(O75="",P75=""),"",(P75-O75)*100)</f>
        <v/>
      </c>
      <c r="R75" s="23" t="str">
        <f aca="true">IF(OR(L75="",LEFT(M75,7)="Cerrada"),"",MAX(0,TODAY()-L75))</f>
        <v/>
      </c>
    </row>
    <row r="76" customFormat="false" ht="15" hidden="false" customHeight="false" outlineLevel="0" collapsed="false">
      <c r="A76" s="10"/>
      <c r="B76" s="22"/>
      <c r="C76" s="10"/>
      <c r="D76" s="10"/>
      <c r="E76" s="10"/>
      <c r="F76" s="10"/>
      <c r="G76" s="10"/>
      <c r="H76" s="10"/>
      <c r="I76" s="10"/>
      <c r="J76" s="10"/>
      <c r="K76" s="10"/>
      <c r="L76" s="22"/>
      <c r="M76" s="10"/>
      <c r="N76" s="22"/>
      <c r="O76" s="56"/>
      <c r="P76" s="56"/>
      <c r="Q76" s="29" t="str">
        <f aca="false">IF(OR(O76="",P76=""),"",(P76-O76)*100)</f>
        <v/>
      </c>
      <c r="R76" s="23" t="str">
        <f aca="true">IF(OR(L76="",LEFT(M76,7)="Cerrada"),"",MAX(0,TODAY()-L76))</f>
        <v/>
      </c>
    </row>
    <row r="77" customFormat="false" ht="15" hidden="false" customHeight="false" outlineLevel="0" collapsed="false">
      <c r="A77" s="10"/>
      <c r="B77" s="22"/>
      <c r="C77" s="10"/>
      <c r="D77" s="10"/>
      <c r="E77" s="10"/>
      <c r="F77" s="10"/>
      <c r="G77" s="10"/>
      <c r="H77" s="10"/>
      <c r="I77" s="10"/>
      <c r="J77" s="10"/>
      <c r="K77" s="10"/>
      <c r="L77" s="22"/>
      <c r="M77" s="10"/>
      <c r="N77" s="22"/>
      <c r="O77" s="56"/>
      <c r="P77" s="56"/>
      <c r="Q77" s="29" t="str">
        <f aca="false">IF(OR(O77="",P77=""),"",(P77-O77)*100)</f>
        <v/>
      </c>
      <c r="R77" s="23" t="str">
        <f aca="true">IF(OR(L77="",LEFT(M77,7)="Cerrada"),"",MAX(0,TODAY()-L77))</f>
        <v/>
      </c>
    </row>
    <row r="78" customFormat="false" ht="15" hidden="false" customHeight="false" outlineLevel="0" collapsed="false">
      <c r="A78" s="10"/>
      <c r="B78" s="22"/>
      <c r="C78" s="10"/>
      <c r="D78" s="10"/>
      <c r="E78" s="10"/>
      <c r="F78" s="10"/>
      <c r="G78" s="10"/>
      <c r="H78" s="10"/>
      <c r="I78" s="10"/>
      <c r="J78" s="10"/>
      <c r="K78" s="10"/>
      <c r="L78" s="22"/>
      <c r="M78" s="10"/>
      <c r="N78" s="22"/>
      <c r="O78" s="56"/>
      <c r="P78" s="56"/>
      <c r="Q78" s="29" t="str">
        <f aca="false">IF(OR(O78="",P78=""),"",(P78-O78)*100)</f>
        <v/>
      </c>
      <c r="R78" s="23" t="str">
        <f aca="true">IF(OR(L78="",LEFT(M78,7)="Cerrada"),"",MAX(0,TODAY()-L78))</f>
        <v/>
      </c>
    </row>
    <row r="79" customFormat="false" ht="15" hidden="false" customHeight="false" outlineLevel="0" collapsed="false">
      <c r="A79" s="10"/>
      <c r="B79" s="22"/>
      <c r="C79" s="10"/>
      <c r="D79" s="10"/>
      <c r="E79" s="10"/>
      <c r="F79" s="10"/>
      <c r="G79" s="10"/>
      <c r="H79" s="10"/>
      <c r="I79" s="10"/>
      <c r="J79" s="10"/>
      <c r="K79" s="10"/>
      <c r="L79" s="22"/>
      <c r="M79" s="10"/>
      <c r="N79" s="22"/>
      <c r="O79" s="56"/>
      <c r="P79" s="56"/>
      <c r="Q79" s="29" t="str">
        <f aca="false">IF(OR(O79="",P79=""),"",(P79-O79)*100)</f>
        <v/>
      </c>
      <c r="R79" s="23" t="str">
        <f aca="true">IF(OR(L79="",LEFT(M79,7)="Cerrada"),"",MAX(0,TODAY()-L79))</f>
        <v/>
      </c>
    </row>
    <row r="80" customFormat="false" ht="15" hidden="false" customHeight="false" outlineLevel="0" collapsed="false">
      <c r="A80" s="10"/>
      <c r="B80" s="22"/>
      <c r="C80" s="10"/>
      <c r="D80" s="10"/>
      <c r="E80" s="10"/>
      <c r="F80" s="10"/>
      <c r="G80" s="10"/>
      <c r="H80" s="10"/>
      <c r="I80" s="10"/>
      <c r="J80" s="10"/>
      <c r="K80" s="10"/>
      <c r="L80" s="22"/>
      <c r="M80" s="10"/>
      <c r="N80" s="22"/>
      <c r="O80" s="56"/>
      <c r="P80" s="56"/>
      <c r="Q80" s="29" t="str">
        <f aca="false">IF(OR(O80="",P80=""),"",(P80-O80)*100)</f>
        <v/>
      </c>
      <c r="R80" s="23" t="str">
        <f aca="true">IF(OR(L80="",LEFT(M80,7)="Cerrada"),"",MAX(0,TODAY()-L80))</f>
        <v/>
      </c>
    </row>
    <row r="81" customFormat="false" ht="15" hidden="false" customHeight="false" outlineLevel="0" collapsed="false">
      <c r="A81" s="10"/>
      <c r="B81" s="22"/>
      <c r="C81" s="10"/>
      <c r="D81" s="10"/>
      <c r="E81" s="10"/>
      <c r="F81" s="10"/>
      <c r="G81" s="10"/>
      <c r="H81" s="10"/>
      <c r="I81" s="10"/>
      <c r="J81" s="10"/>
      <c r="K81" s="10"/>
      <c r="L81" s="22"/>
      <c r="M81" s="10"/>
      <c r="N81" s="22"/>
      <c r="O81" s="56"/>
      <c r="P81" s="56"/>
      <c r="Q81" s="29" t="str">
        <f aca="false">IF(OR(O81="",P81=""),"",(P81-O81)*100)</f>
        <v/>
      </c>
      <c r="R81" s="23" t="str">
        <f aca="true">IF(OR(L81="",LEFT(M81,7)="Cerrada"),"",MAX(0,TODAY()-L81))</f>
        <v/>
      </c>
    </row>
    <row r="82" customFormat="false" ht="15" hidden="false" customHeight="false" outlineLevel="0" collapsed="false">
      <c r="A82" s="10"/>
      <c r="B82" s="22"/>
      <c r="C82" s="10"/>
      <c r="D82" s="10"/>
      <c r="E82" s="10"/>
      <c r="F82" s="10"/>
      <c r="G82" s="10"/>
      <c r="H82" s="10"/>
      <c r="I82" s="10"/>
      <c r="J82" s="10"/>
      <c r="K82" s="10"/>
      <c r="L82" s="22"/>
      <c r="M82" s="10"/>
      <c r="N82" s="22"/>
      <c r="O82" s="56"/>
      <c r="P82" s="56"/>
      <c r="Q82" s="29" t="str">
        <f aca="false">IF(OR(O82="",P82=""),"",(P82-O82)*100)</f>
        <v/>
      </c>
      <c r="R82" s="23" t="str">
        <f aca="true">IF(OR(L82="",LEFT(M82,7)="Cerrada"),"",MAX(0,TODAY()-L82))</f>
        <v/>
      </c>
    </row>
    <row r="83" customFormat="false" ht="15" hidden="false" customHeight="false" outlineLevel="0" collapsed="false">
      <c r="A83" s="10"/>
      <c r="B83" s="22"/>
      <c r="C83" s="10"/>
      <c r="D83" s="10"/>
      <c r="E83" s="10"/>
      <c r="F83" s="10"/>
      <c r="G83" s="10"/>
      <c r="H83" s="10"/>
      <c r="I83" s="10"/>
      <c r="J83" s="10"/>
      <c r="K83" s="10"/>
      <c r="L83" s="22"/>
      <c r="M83" s="10"/>
      <c r="N83" s="22"/>
      <c r="O83" s="56"/>
      <c r="P83" s="56"/>
      <c r="Q83" s="29" t="str">
        <f aca="false">IF(OR(O83="",P83=""),"",(P83-O83)*100)</f>
        <v/>
      </c>
      <c r="R83" s="23" t="str">
        <f aca="true">IF(OR(L83="",LEFT(M83,7)="Cerrada"),"",MAX(0,TODAY()-L83))</f>
        <v/>
      </c>
    </row>
    <row r="84" customFormat="false" ht="15" hidden="false" customHeight="false" outlineLevel="0" collapsed="false">
      <c r="A84" s="10"/>
      <c r="B84" s="22"/>
      <c r="C84" s="10"/>
      <c r="D84" s="10"/>
      <c r="E84" s="10"/>
      <c r="F84" s="10"/>
      <c r="G84" s="10"/>
      <c r="H84" s="10"/>
      <c r="I84" s="10"/>
      <c r="J84" s="10"/>
      <c r="K84" s="10"/>
      <c r="L84" s="22"/>
      <c r="M84" s="10"/>
      <c r="N84" s="22"/>
      <c r="O84" s="56"/>
      <c r="P84" s="56"/>
      <c r="Q84" s="29" t="str">
        <f aca="false">IF(OR(O84="",P84=""),"",(P84-O84)*100)</f>
        <v/>
      </c>
      <c r="R84" s="23" t="str">
        <f aca="true">IF(OR(L84="",LEFT(M84,7)="Cerrada"),"",MAX(0,TODAY()-L84))</f>
        <v/>
      </c>
    </row>
    <row r="85" customFormat="false" ht="15" hidden="false" customHeight="false" outlineLevel="0" collapsed="false">
      <c r="A85" s="10"/>
      <c r="B85" s="22"/>
      <c r="C85" s="10"/>
      <c r="D85" s="10"/>
      <c r="E85" s="10"/>
      <c r="F85" s="10"/>
      <c r="G85" s="10"/>
      <c r="H85" s="10"/>
      <c r="I85" s="10"/>
      <c r="J85" s="10"/>
      <c r="K85" s="10"/>
      <c r="L85" s="22"/>
      <c r="M85" s="10"/>
      <c r="N85" s="22"/>
      <c r="O85" s="56"/>
      <c r="P85" s="56"/>
      <c r="Q85" s="29" t="str">
        <f aca="false">IF(OR(O85="",P85=""),"",(P85-O85)*100)</f>
        <v/>
      </c>
      <c r="R85" s="23" t="str">
        <f aca="true">IF(OR(L85="",LEFT(M85,7)="Cerrada"),"",MAX(0,TODAY()-L85))</f>
        <v/>
      </c>
    </row>
    <row r="86" customFormat="false" ht="15" hidden="false" customHeight="false" outlineLevel="0" collapsed="false">
      <c r="A86" s="10"/>
      <c r="B86" s="22"/>
      <c r="C86" s="10"/>
      <c r="D86" s="10"/>
      <c r="E86" s="10"/>
      <c r="F86" s="10"/>
      <c r="G86" s="10"/>
      <c r="H86" s="10"/>
      <c r="I86" s="10"/>
      <c r="J86" s="10"/>
      <c r="K86" s="10"/>
      <c r="L86" s="22"/>
      <c r="M86" s="10"/>
      <c r="N86" s="22"/>
      <c r="O86" s="56"/>
      <c r="P86" s="56"/>
      <c r="Q86" s="29" t="str">
        <f aca="false">IF(OR(O86="",P86=""),"",(P86-O86)*100)</f>
        <v/>
      </c>
      <c r="R86" s="23" t="str">
        <f aca="true">IF(OR(L86="",LEFT(M86,7)="Cerrada"),"",MAX(0,TODAY()-L86))</f>
        <v/>
      </c>
    </row>
    <row r="87" customFormat="false" ht="15" hidden="false" customHeight="false" outlineLevel="0" collapsed="false">
      <c r="A87" s="10"/>
      <c r="B87" s="22"/>
      <c r="C87" s="10"/>
      <c r="D87" s="10"/>
      <c r="E87" s="10"/>
      <c r="F87" s="10"/>
      <c r="G87" s="10"/>
      <c r="H87" s="10"/>
      <c r="I87" s="10"/>
      <c r="J87" s="10"/>
      <c r="K87" s="10"/>
      <c r="L87" s="22"/>
      <c r="M87" s="10"/>
      <c r="N87" s="22"/>
      <c r="O87" s="56"/>
      <c r="P87" s="56"/>
      <c r="Q87" s="29" t="str">
        <f aca="false">IF(OR(O87="",P87=""),"",(P87-O87)*100)</f>
        <v/>
      </c>
      <c r="R87" s="23" t="str">
        <f aca="true">IF(OR(L87="",LEFT(M87,7)="Cerrada"),"",MAX(0,TODAY()-L87))</f>
        <v/>
      </c>
    </row>
    <row r="88" customFormat="false" ht="15" hidden="false" customHeight="false" outlineLevel="0" collapsed="false">
      <c r="A88" s="10"/>
      <c r="B88" s="22"/>
      <c r="C88" s="10"/>
      <c r="D88" s="10"/>
      <c r="E88" s="10"/>
      <c r="F88" s="10"/>
      <c r="G88" s="10"/>
      <c r="H88" s="10"/>
      <c r="I88" s="10"/>
      <c r="J88" s="10"/>
      <c r="K88" s="10"/>
      <c r="L88" s="22"/>
      <c r="M88" s="10"/>
      <c r="N88" s="22"/>
      <c r="O88" s="56"/>
      <c r="P88" s="56"/>
      <c r="Q88" s="29" t="str">
        <f aca="false">IF(OR(O88="",P88=""),"",(P88-O88)*100)</f>
        <v/>
      </c>
      <c r="R88" s="23" t="str">
        <f aca="true">IF(OR(L88="",LEFT(M88,7)="Cerrada"),"",MAX(0,TODAY()-L88))</f>
        <v/>
      </c>
    </row>
    <row r="89" customFormat="false" ht="15" hidden="false" customHeight="false" outlineLevel="0" collapsed="false">
      <c r="A89" s="10"/>
      <c r="B89" s="22"/>
      <c r="C89" s="10"/>
      <c r="D89" s="10"/>
      <c r="E89" s="10"/>
      <c r="F89" s="10"/>
      <c r="G89" s="10"/>
      <c r="H89" s="10"/>
      <c r="I89" s="10"/>
      <c r="J89" s="10"/>
      <c r="K89" s="10"/>
      <c r="L89" s="22"/>
      <c r="M89" s="10"/>
      <c r="N89" s="22"/>
      <c r="O89" s="56"/>
      <c r="P89" s="56"/>
      <c r="Q89" s="29" t="str">
        <f aca="false">IF(OR(O89="",P89=""),"",(P89-O89)*100)</f>
        <v/>
      </c>
      <c r="R89" s="23" t="str">
        <f aca="true">IF(OR(L89="",LEFT(M89,7)="Cerrada"),"",MAX(0,TODAY()-L89))</f>
        <v/>
      </c>
    </row>
    <row r="90" customFormat="false" ht="15" hidden="false" customHeight="false" outlineLevel="0" collapsed="false">
      <c r="A90" s="10"/>
      <c r="B90" s="22"/>
      <c r="C90" s="10"/>
      <c r="D90" s="10"/>
      <c r="E90" s="10"/>
      <c r="F90" s="10"/>
      <c r="G90" s="10"/>
      <c r="H90" s="10"/>
      <c r="I90" s="10"/>
      <c r="J90" s="10"/>
      <c r="K90" s="10"/>
      <c r="L90" s="22"/>
      <c r="M90" s="10"/>
      <c r="N90" s="22"/>
      <c r="O90" s="56"/>
      <c r="P90" s="56"/>
      <c r="Q90" s="29" t="str">
        <f aca="false">IF(OR(O90="",P90=""),"",(P90-O90)*100)</f>
        <v/>
      </c>
      <c r="R90" s="23" t="str">
        <f aca="true">IF(OR(L90="",LEFT(M90,7)="Cerrada"),"",MAX(0,TODAY()-L90))</f>
        <v/>
      </c>
    </row>
    <row r="91" customFormat="false" ht="15" hidden="false" customHeight="false" outlineLevel="0" collapsed="false">
      <c r="A91" s="10"/>
      <c r="B91" s="22"/>
      <c r="C91" s="10"/>
      <c r="D91" s="10"/>
      <c r="E91" s="10"/>
      <c r="F91" s="10"/>
      <c r="G91" s="10"/>
      <c r="H91" s="10"/>
      <c r="I91" s="10"/>
      <c r="J91" s="10"/>
      <c r="K91" s="10"/>
      <c r="L91" s="22"/>
      <c r="M91" s="10"/>
      <c r="N91" s="22"/>
      <c r="O91" s="56"/>
      <c r="P91" s="56"/>
      <c r="Q91" s="29" t="str">
        <f aca="false">IF(OR(O91="",P91=""),"",(P91-O91)*100)</f>
        <v/>
      </c>
      <c r="R91" s="23" t="str">
        <f aca="true">IF(OR(L91="",LEFT(M91,7)="Cerrada"),"",MAX(0,TODAY()-L91))</f>
        <v/>
      </c>
    </row>
    <row r="92" customFormat="false" ht="15" hidden="false" customHeight="false" outlineLevel="0" collapsed="false">
      <c r="A92" s="10"/>
      <c r="B92" s="22"/>
      <c r="C92" s="10"/>
      <c r="D92" s="10"/>
      <c r="E92" s="10"/>
      <c r="F92" s="10"/>
      <c r="G92" s="10"/>
      <c r="H92" s="10"/>
      <c r="I92" s="10"/>
      <c r="J92" s="10"/>
      <c r="K92" s="10"/>
      <c r="L92" s="22"/>
      <c r="M92" s="10"/>
      <c r="N92" s="22"/>
      <c r="O92" s="56"/>
      <c r="P92" s="56"/>
      <c r="Q92" s="29" t="str">
        <f aca="false">IF(OR(O92="",P92=""),"",(P92-O92)*100)</f>
        <v/>
      </c>
      <c r="R92" s="23" t="str">
        <f aca="true">IF(OR(L92="",LEFT(M92,7)="Cerrada"),"",MAX(0,TODAY()-L92))</f>
        <v/>
      </c>
    </row>
    <row r="93" customFormat="false" ht="15" hidden="false" customHeight="false" outlineLevel="0" collapsed="false">
      <c r="A93" s="10"/>
      <c r="B93" s="22"/>
      <c r="C93" s="10"/>
      <c r="D93" s="10"/>
      <c r="E93" s="10"/>
      <c r="F93" s="10"/>
      <c r="G93" s="10"/>
      <c r="H93" s="10"/>
      <c r="I93" s="10"/>
      <c r="J93" s="10"/>
      <c r="K93" s="10"/>
      <c r="L93" s="22"/>
      <c r="M93" s="10"/>
      <c r="N93" s="22"/>
      <c r="O93" s="56"/>
      <c r="P93" s="56"/>
      <c r="Q93" s="29" t="str">
        <f aca="false">IF(OR(O93="",P93=""),"",(P93-O93)*100)</f>
        <v/>
      </c>
      <c r="R93" s="23" t="str">
        <f aca="true">IF(OR(L93="",LEFT(M93,7)="Cerrada"),"",MAX(0,TODAY()-L93))</f>
        <v/>
      </c>
    </row>
    <row r="94" customFormat="false" ht="15" hidden="false" customHeight="false" outlineLevel="0" collapsed="false">
      <c r="A94" s="10"/>
      <c r="B94" s="22"/>
      <c r="C94" s="10"/>
      <c r="D94" s="10"/>
      <c r="E94" s="10"/>
      <c r="F94" s="10"/>
      <c r="G94" s="10"/>
      <c r="H94" s="10"/>
      <c r="I94" s="10"/>
      <c r="J94" s="10"/>
      <c r="K94" s="10"/>
      <c r="L94" s="22"/>
      <c r="M94" s="10"/>
      <c r="N94" s="22"/>
      <c r="O94" s="56"/>
      <c r="P94" s="56"/>
      <c r="Q94" s="29" t="str">
        <f aca="false">IF(OR(O94="",P94=""),"",(P94-O94)*100)</f>
        <v/>
      </c>
      <c r="R94" s="23" t="str">
        <f aca="true">IF(OR(L94="",LEFT(M94,7)="Cerrada"),"",MAX(0,TODAY()-L94))</f>
        <v/>
      </c>
    </row>
    <row r="95" customFormat="false" ht="15" hidden="false" customHeight="false" outlineLevel="0" collapsed="false">
      <c r="A95" s="10"/>
      <c r="B95" s="22"/>
      <c r="C95" s="10"/>
      <c r="D95" s="10"/>
      <c r="E95" s="10"/>
      <c r="F95" s="10"/>
      <c r="G95" s="10"/>
      <c r="H95" s="10"/>
      <c r="I95" s="10"/>
      <c r="J95" s="10"/>
      <c r="K95" s="10"/>
      <c r="L95" s="22"/>
      <c r="M95" s="10"/>
      <c r="N95" s="22"/>
      <c r="O95" s="56"/>
      <c r="P95" s="56"/>
      <c r="Q95" s="29" t="str">
        <f aca="false">IF(OR(O95="",P95=""),"",(P95-O95)*100)</f>
        <v/>
      </c>
      <c r="R95" s="23" t="str">
        <f aca="true">IF(OR(L95="",LEFT(M95,7)="Cerrada"),"",MAX(0,TODAY()-L95))</f>
        <v/>
      </c>
    </row>
    <row r="96" customFormat="false" ht="15" hidden="false" customHeight="false" outlineLevel="0" collapsed="false">
      <c r="A96" s="10"/>
      <c r="B96" s="22"/>
      <c r="C96" s="10"/>
      <c r="D96" s="10"/>
      <c r="E96" s="10"/>
      <c r="F96" s="10"/>
      <c r="G96" s="10"/>
      <c r="H96" s="10"/>
      <c r="I96" s="10"/>
      <c r="J96" s="10"/>
      <c r="K96" s="10"/>
      <c r="L96" s="22"/>
      <c r="M96" s="10"/>
      <c r="N96" s="22"/>
      <c r="O96" s="56"/>
      <c r="P96" s="56"/>
      <c r="Q96" s="29" t="str">
        <f aca="false">IF(OR(O96="",P96=""),"",(P96-O96)*100)</f>
        <v/>
      </c>
      <c r="R96" s="23" t="str">
        <f aca="true">IF(OR(L96="",LEFT(M96,7)="Cerrada"),"",MAX(0,TODAY()-L96))</f>
        <v/>
      </c>
    </row>
    <row r="97" customFormat="false" ht="15" hidden="false" customHeight="false" outlineLevel="0" collapsed="false">
      <c r="A97" s="10"/>
      <c r="B97" s="22"/>
      <c r="C97" s="10"/>
      <c r="D97" s="10"/>
      <c r="E97" s="10"/>
      <c r="F97" s="10"/>
      <c r="G97" s="10"/>
      <c r="H97" s="10"/>
      <c r="I97" s="10"/>
      <c r="J97" s="10"/>
      <c r="K97" s="10"/>
      <c r="L97" s="22"/>
      <c r="M97" s="10"/>
      <c r="N97" s="22"/>
      <c r="O97" s="56"/>
      <c r="P97" s="56"/>
      <c r="Q97" s="29" t="str">
        <f aca="false">IF(OR(O97="",P97=""),"",(P97-O97)*100)</f>
        <v/>
      </c>
      <c r="R97" s="23" t="str">
        <f aca="true">IF(OR(L97="",LEFT(M97,7)="Cerrada"),"",MAX(0,TODAY()-L97))</f>
        <v/>
      </c>
    </row>
    <row r="98" customFormat="false" ht="15" hidden="false" customHeight="false" outlineLevel="0" collapsed="false">
      <c r="A98" s="10"/>
      <c r="B98" s="22"/>
      <c r="C98" s="10"/>
      <c r="D98" s="10"/>
      <c r="E98" s="10"/>
      <c r="F98" s="10"/>
      <c r="G98" s="10"/>
      <c r="H98" s="10"/>
      <c r="I98" s="10"/>
      <c r="J98" s="10"/>
      <c r="K98" s="10"/>
      <c r="L98" s="22"/>
      <c r="M98" s="10"/>
      <c r="N98" s="22"/>
      <c r="O98" s="56"/>
      <c r="P98" s="56"/>
      <c r="Q98" s="29" t="str">
        <f aca="false">IF(OR(O98="",P98=""),"",(P98-O98)*100)</f>
        <v/>
      </c>
      <c r="R98" s="23" t="str">
        <f aca="true">IF(OR(L98="",LEFT(M98,7)="Cerrada"),"",MAX(0,TODAY()-L98))</f>
        <v/>
      </c>
    </row>
    <row r="99" customFormat="false" ht="15" hidden="false" customHeight="false" outlineLevel="0" collapsed="false">
      <c r="A99" s="10"/>
      <c r="B99" s="22"/>
      <c r="C99" s="10"/>
      <c r="D99" s="10"/>
      <c r="E99" s="10"/>
      <c r="F99" s="10"/>
      <c r="G99" s="10"/>
      <c r="H99" s="10"/>
      <c r="I99" s="10"/>
      <c r="J99" s="10"/>
      <c r="K99" s="10"/>
      <c r="L99" s="22"/>
      <c r="M99" s="10"/>
      <c r="N99" s="22"/>
      <c r="O99" s="56"/>
      <c r="P99" s="56"/>
      <c r="Q99" s="29" t="str">
        <f aca="false">IF(OR(O99="",P99=""),"",(P99-O99)*100)</f>
        <v/>
      </c>
      <c r="R99" s="23" t="str">
        <f aca="true">IF(OR(L99="",LEFT(M99,7)="Cerrada"),"",MAX(0,TODAY()-L99))</f>
        <v/>
      </c>
    </row>
    <row r="100" customFormat="false" ht="15" hidden="false" customHeight="false" outlineLevel="0" collapsed="false">
      <c r="A100" s="10"/>
      <c r="B100" s="22"/>
      <c r="C100" s="10"/>
      <c r="D100" s="10"/>
      <c r="E100" s="10"/>
      <c r="F100" s="10"/>
      <c r="G100" s="10"/>
      <c r="H100" s="10"/>
      <c r="I100" s="10"/>
      <c r="J100" s="10"/>
      <c r="K100" s="10"/>
      <c r="L100" s="22"/>
      <c r="M100" s="10"/>
      <c r="N100" s="22"/>
      <c r="O100" s="56"/>
      <c r="P100" s="56"/>
      <c r="Q100" s="29" t="str">
        <f aca="false">IF(OR(O100="",P100=""),"",(P100-O100)*100)</f>
        <v/>
      </c>
      <c r="R100" s="23" t="str">
        <f aca="true">IF(OR(L100="",LEFT(M100,7)="Cerrada"),"",MAX(0,TODAY()-L100))</f>
        <v/>
      </c>
    </row>
    <row r="101" customFormat="false" ht="15" hidden="false" customHeight="false" outlineLevel="0" collapsed="false">
      <c r="A101" s="10"/>
      <c r="B101" s="22"/>
      <c r="C101" s="10"/>
      <c r="D101" s="10"/>
      <c r="E101" s="10"/>
      <c r="F101" s="10"/>
      <c r="G101" s="10"/>
      <c r="H101" s="10"/>
      <c r="I101" s="10"/>
      <c r="J101" s="10"/>
      <c r="K101" s="10"/>
      <c r="L101" s="22"/>
      <c r="M101" s="10"/>
      <c r="N101" s="22"/>
      <c r="O101" s="56"/>
      <c r="P101" s="56"/>
      <c r="Q101" s="29" t="str">
        <f aca="false">IF(OR(O101="",P101=""),"",(P101-O101)*100)</f>
        <v/>
      </c>
      <c r="R101" s="23" t="str">
        <f aca="true">IF(OR(L101="",LEFT(M101,7)="Cerrada"),"",MAX(0,TODAY()-L101))</f>
        <v/>
      </c>
    </row>
    <row r="102" customFormat="false" ht="15" hidden="false" customHeight="false" outlineLevel="0" collapsed="false">
      <c r="A102" s="10"/>
      <c r="B102" s="22"/>
      <c r="C102" s="10"/>
      <c r="D102" s="10"/>
      <c r="E102" s="10"/>
      <c r="F102" s="10"/>
      <c r="G102" s="10"/>
      <c r="H102" s="10"/>
      <c r="I102" s="10"/>
      <c r="J102" s="10"/>
      <c r="K102" s="10"/>
      <c r="L102" s="22"/>
      <c r="M102" s="10"/>
      <c r="N102" s="22"/>
      <c r="O102" s="56"/>
      <c r="P102" s="56"/>
      <c r="Q102" s="29" t="str">
        <f aca="false">IF(OR(O102="",P102=""),"",(P102-O102)*100)</f>
        <v/>
      </c>
      <c r="R102" s="23" t="str">
        <f aca="true">IF(OR(L102="",LEFT(M102,7)="Cerrada"),"",MAX(0,TODAY()-L102))</f>
        <v/>
      </c>
    </row>
    <row r="103" customFormat="false" ht="15" hidden="false" customHeight="false" outlineLevel="0" collapsed="false">
      <c r="A103" s="10"/>
      <c r="B103" s="22"/>
      <c r="C103" s="10"/>
      <c r="D103" s="10"/>
      <c r="E103" s="10"/>
      <c r="F103" s="10"/>
      <c r="G103" s="10"/>
      <c r="H103" s="10"/>
      <c r="I103" s="10"/>
      <c r="J103" s="10"/>
      <c r="K103" s="10"/>
      <c r="L103" s="22"/>
      <c r="M103" s="10"/>
      <c r="N103" s="22"/>
      <c r="O103" s="56"/>
      <c r="P103" s="56"/>
      <c r="Q103" s="29" t="str">
        <f aca="false">IF(OR(O103="",P103=""),"",(P103-O103)*100)</f>
        <v/>
      </c>
      <c r="R103" s="23" t="str">
        <f aca="true">IF(OR(L103="",LEFT(M103,7)="Cerrada"),"",MAX(0,TODAY()-L103))</f>
        <v/>
      </c>
    </row>
    <row r="104" customFormat="false" ht="15" hidden="false" customHeight="false" outlineLevel="0" collapsed="false">
      <c r="A104" s="10"/>
      <c r="B104" s="22"/>
      <c r="C104" s="10"/>
      <c r="D104" s="10"/>
      <c r="E104" s="10"/>
      <c r="F104" s="10"/>
      <c r="G104" s="10"/>
      <c r="H104" s="10"/>
      <c r="I104" s="10"/>
      <c r="J104" s="10"/>
      <c r="K104" s="10"/>
      <c r="L104" s="22"/>
      <c r="M104" s="10"/>
      <c r="N104" s="22"/>
      <c r="O104" s="56"/>
      <c r="P104" s="56"/>
      <c r="Q104" s="29" t="str">
        <f aca="false">IF(OR(O104="",P104=""),"",(P104-O104)*100)</f>
        <v/>
      </c>
      <c r="R104" s="23" t="str">
        <f aca="true">IF(OR(L104="",LEFT(M104,7)="Cerrada"),"",MAX(0,TODAY()-L104))</f>
        <v/>
      </c>
    </row>
    <row r="105" customFormat="false" ht="15" hidden="false" customHeight="false" outlineLevel="0" collapsed="false">
      <c r="A105" s="10"/>
      <c r="B105" s="22"/>
      <c r="C105" s="10"/>
      <c r="D105" s="10"/>
      <c r="E105" s="10"/>
      <c r="F105" s="10"/>
      <c r="G105" s="10"/>
      <c r="H105" s="10"/>
      <c r="I105" s="10"/>
      <c r="J105" s="10"/>
      <c r="K105" s="10"/>
      <c r="L105" s="22"/>
      <c r="M105" s="10"/>
      <c r="N105" s="22"/>
      <c r="O105" s="56"/>
      <c r="P105" s="56"/>
      <c r="Q105" s="29" t="str">
        <f aca="false">IF(OR(O105="",P105=""),"",(P105-O105)*100)</f>
        <v/>
      </c>
      <c r="R105" s="23" t="str">
        <f aca="true">IF(OR(L105="",LEFT(M105,7)="Cerrada"),"",MAX(0,TODAY()-L105))</f>
        <v/>
      </c>
    </row>
    <row r="106" customFormat="false" ht="15" hidden="false" customHeight="false" outlineLevel="0" collapsed="false">
      <c r="A106" s="10"/>
      <c r="B106" s="22"/>
      <c r="C106" s="10"/>
      <c r="D106" s="10"/>
      <c r="E106" s="10"/>
      <c r="F106" s="10"/>
      <c r="G106" s="10"/>
      <c r="H106" s="10"/>
      <c r="I106" s="10"/>
      <c r="J106" s="10"/>
      <c r="K106" s="10"/>
      <c r="L106" s="22"/>
      <c r="M106" s="10"/>
      <c r="N106" s="22"/>
      <c r="O106" s="56"/>
      <c r="P106" s="56"/>
      <c r="Q106" s="29" t="str">
        <f aca="false">IF(OR(O106="",P106=""),"",(P106-O106)*100)</f>
        <v/>
      </c>
      <c r="R106" s="23" t="str">
        <f aca="true">IF(OR(L106="",LEFT(M106,7)="Cerrada"),"",MAX(0,TODAY()-L106))</f>
        <v/>
      </c>
    </row>
    <row r="107" customFormat="false" ht="15" hidden="false" customHeight="false" outlineLevel="0" collapsed="false">
      <c r="A107" s="10"/>
      <c r="B107" s="22"/>
      <c r="C107" s="10"/>
      <c r="D107" s="10"/>
      <c r="E107" s="10"/>
      <c r="F107" s="10"/>
      <c r="G107" s="10"/>
      <c r="H107" s="10"/>
      <c r="I107" s="10"/>
      <c r="J107" s="10"/>
      <c r="K107" s="10"/>
      <c r="L107" s="22"/>
      <c r="M107" s="10"/>
      <c r="N107" s="22"/>
      <c r="O107" s="56"/>
      <c r="P107" s="56"/>
      <c r="Q107" s="29" t="str">
        <f aca="false">IF(OR(O107="",P107=""),"",(P107-O107)*100)</f>
        <v/>
      </c>
      <c r="R107" s="23" t="str">
        <f aca="true">IF(OR(L107="",LEFT(M107,7)="Cerrada"),"",MAX(0,TODAY()-L107))</f>
        <v/>
      </c>
    </row>
    <row r="108" customFormat="false" ht="15" hidden="false" customHeight="false" outlineLevel="0" collapsed="false">
      <c r="A108" s="10"/>
      <c r="B108" s="22"/>
      <c r="C108" s="10"/>
      <c r="D108" s="10"/>
      <c r="E108" s="10"/>
      <c r="F108" s="10"/>
      <c r="G108" s="10"/>
      <c r="H108" s="10"/>
      <c r="I108" s="10"/>
      <c r="J108" s="10"/>
      <c r="K108" s="10"/>
      <c r="L108" s="22"/>
      <c r="M108" s="10"/>
      <c r="N108" s="22"/>
      <c r="O108" s="56"/>
      <c r="P108" s="56"/>
      <c r="Q108" s="29" t="str">
        <f aca="false">IF(OR(O108="",P108=""),"",(P108-O108)*100)</f>
        <v/>
      </c>
      <c r="R108" s="23" t="str">
        <f aca="true">IF(OR(L108="",LEFT(M108,7)="Cerrada"),"",MAX(0,TODAY()-L108))</f>
        <v/>
      </c>
    </row>
    <row r="109" customFormat="false" ht="15" hidden="false" customHeight="false" outlineLevel="0" collapsed="false">
      <c r="A109" s="10"/>
      <c r="B109" s="22"/>
      <c r="C109" s="10"/>
      <c r="D109" s="10"/>
      <c r="E109" s="10"/>
      <c r="F109" s="10"/>
      <c r="G109" s="10"/>
      <c r="H109" s="10"/>
      <c r="I109" s="10"/>
      <c r="J109" s="10"/>
      <c r="K109" s="10"/>
      <c r="L109" s="22"/>
      <c r="M109" s="10"/>
      <c r="N109" s="22"/>
      <c r="O109" s="56"/>
      <c r="P109" s="56"/>
      <c r="Q109" s="29" t="str">
        <f aca="false">IF(OR(O109="",P109=""),"",(P109-O109)*100)</f>
        <v/>
      </c>
      <c r="R109" s="23" t="str">
        <f aca="true">IF(OR(L109="",LEFT(M109,7)="Cerrada"),"",MAX(0,TODAY()-L109))</f>
        <v/>
      </c>
    </row>
    <row r="110" customFormat="false" ht="15" hidden="false" customHeight="false" outlineLevel="0" collapsed="false">
      <c r="A110" s="10"/>
      <c r="B110" s="22"/>
      <c r="C110" s="10"/>
      <c r="D110" s="10"/>
      <c r="E110" s="10"/>
      <c r="F110" s="10"/>
      <c r="G110" s="10"/>
      <c r="H110" s="10"/>
      <c r="I110" s="10"/>
      <c r="J110" s="10"/>
      <c r="K110" s="10"/>
      <c r="L110" s="22"/>
      <c r="M110" s="10"/>
      <c r="N110" s="22"/>
      <c r="O110" s="56"/>
      <c r="P110" s="56"/>
      <c r="Q110" s="29" t="str">
        <f aca="false">IF(OR(O110="",P110=""),"",(P110-O110)*100)</f>
        <v/>
      </c>
      <c r="R110" s="23" t="str">
        <f aca="true">IF(OR(L110="",LEFT(M110,7)="Cerrada"),"",MAX(0,TODAY()-L110))</f>
        <v/>
      </c>
    </row>
    <row r="111" customFormat="false" ht="15" hidden="false" customHeight="false" outlineLevel="0" collapsed="false">
      <c r="A111" s="10"/>
      <c r="B111" s="22"/>
      <c r="C111" s="10"/>
      <c r="D111" s="10"/>
      <c r="E111" s="10"/>
      <c r="F111" s="10"/>
      <c r="G111" s="10"/>
      <c r="H111" s="10"/>
      <c r="I111" s="10"/>
      <c r="J111" s="10"/>
      <c r="K111" s="10"/>
      <c r="L111" s="22"/>
      <c r="M111" s="10"/>
      <c r="N111" s="22"/>
      <c r="O111" s="56"/>
      <c r="P111" s="56"/>
      <c r="Q111" s="29" t="str">
        <f aca="false">IF(OR(O111="",P111=""),"",(P111-O111)*100)</f>
        <v/>
      </c>
      <c r="R111" s="23" t="str">
        <f aca="true">IF(OR(L111="",LEFT(M111,7)="Cerrada"),"",MAX(0,TODAY()-L111))</f>
        <v/>
      </c>
    </row>
    <row r="112" customFormat="false" ht="15" hidden="false" customHeight="false" outlineLevel="0" collapsed="false">
      <c r="A112" s="10"/>
      <c r="B112" s="22"/>
      <c r="C112" s="10"/>
      <c r="D112" s="10"/>
      <c r="E112" s="10"/>
      <c r="F112" s="10"/>
      <c r="G112" s="10"/>
      <c r="H112" s="10"/>
      <c r="I112" s="10"/>
      <c r="J112" s="10"/>
      <c r="K112" s="10"/>
      <c r="L112" s="22"/>
      <c r="M112" s="10"/>
      <c r="N112" s="22"/>
      <c r="O112" s="56"/>
      <c r="P112" s="56"/>
      <c r="Q112" s="29" t="str">
        <f aca="false">IF(OR(O112="",P112=""),"",(P112-O112)*100)</f>
        <v/>
      </c>
      <c r="R112" s="23" t="str">
        <f aca="true">IF(OR(L112="",LEFT(M112,7)="Cerrada"),"",MAX(0,TODAY()-L112))</f>
        <v/>
      </c>
    </row>
    <row r="113" customFormat="false" ht="15" hidden="false" customHeight="false" outlineLevel="0" collapsed="false">
      <c r="A113" s="10"/>
      <c r="B113" s="22"/>
      <c r="C113" s="10"/>
      <c r="D113" s="10"/>
      <c r="E113" s="10"/>
      <c r="F113" s="10"/>
      <c r="G113" s="10"/>
      <c r="H113" s="10"/>
      <c r="I113" s="10"/>
      <c r="J113" s="10"/>
      <c r="K113" s="10"/>
      <c r="L113" s="22"/>
      <c r="M113" s="10"/>
      <c r="N113" s="22"/>
      <c r="O113" s="56"/>
      <c r="P113" s="56"/>
      <c r="Q113" s="29" t="str">
        <f aca="false">IF(OR(O113="",P113=""),"",(P113-O113)*100)</f>
        <v/>
      </c>
      <c r="R113" s="23" t="str">
        <f aca="true">IF(OR(L113="",LEFT(M113,7)="Cerrada"),"",MAX(0,TODAY()-L113))</f>
        <v/>
      </c>
    </row>
    <row r="114" customFormat="false" ht="15" hidden="false" customHeight="false" outlineLevel="0" collapsed="false">
      <c r="A114" s="10"/>
      <c r="B114" s="22"/>
      <c r="C114" s="10"/>
      <c r="D114" s="10"/>
      <c r="E114" s="10"/>
      <c r="F114" s="10"/>
      <c r="G114" s="10"/>
      <c r="H114" s="10"/>
      <c r="I114" s="10"/>
      <c r="J114" s="10"/>
      <c r="K114" s="10"/>
      <c r="L114" s="22"/>
      <c r="M114" s="10"/>
      <c r="N114" s="22"/>
      <c r="O114" s="56"/>
      <c r="P114" s="56"/>
      <c r="Q114" s="29" t="str">
        <f aca="false">IF(OR(O114="",P114=""),"",(P114-O114)*100)</f>
        <v/>
      </c>
      <c r="R114" s="23" t="str">
        <f aca="true">IF(OR(L114="",LEFT(M114,7)="Cerrada"),"",MAX(0,TODAY()-L114))</f>
        <v/>
      </c>
    </row>
    <row r="115" customFormat="false" ht="15" hidden="false" customHeight="false" outlineLevel="0" collapsed="false">
      <c r="A115" s="10"/>
      <c r="B115" s="22"/>
      <c r="C115" s="10"/>
      <c r="D115" s="10"/>
      <c r="E115" s="10"/>
      <c r="F115" s="10"/>
      <c r="G115" s="10"/>
      <c r="H115" s="10"/>
      <c r="I115" s="10"/>
      <c r="J115" s="10"/>
      <c r="K115" s="10"/>
      <c r="L115" s="22"/>
      <c r="M115" s="10"/>
      <c r="N115" s="22"/>
      <c r="O115" s="56"/>
      <c r="P115" s="56"/>
      <c r="Q115" s="29" t="str">
        <f aca="false">IF(OR(O115="",P115=""),"",(P115-O115)*100)</f>
        <v/>
      </c>
      <c r="R115" s="23" t="str">
        <f aca="true">IF(OR(L115="",LEFT(M115,7)="Cerrada"),"",MAX(0,TODAY()-L115))</f>
        <v/>
      </c>
    </row>
    <row r="116" customFormat="false" ht="15" hidden="false" customHeight="false" outlineLevel="0" collapsed="false">
      <c r="A116" s="10"/>
      <c r="B116" s="22"/>
      <c r="C116" s="10"/>
      <c r="D116" s="10"/>
      <c r="E116" s="10"/>
      <c r="F116" s="10"/>
      <c r="G116" s="10"/>
      <c r="H116" s="10"/>
      <c r="I116" s="10"/>
      <c r="J116" s="10"/>
      <c r="K116" s="10"/>
      <c r="L116" s="22"/>
      <c r="M116" s="10"/>
      <c r="N116" s="22"/>
      <c r="O116" s="56"/>
      <c r="P116" s="56"/>
      <c r="Q116" s="29" t="str">
        <f aca="false">IF(OR(O116="",P116=""),"",(P116-O116)*100)</f>
        <v/>
      </c>
      <c r="R116" s="23" t="str">
        <f aca="true">IF(OR(L116="",LEFT(M116,7)="Cerrada"),"",MAX(0,TODAY()-L116))</f>
        <v/>
      </c>
    </row>
    <row r="117" customFormat="false" ht="15" hidden="false" customHeight="false" outlineLevel="0" collapsed="false">
      <c r="A117" s="10"/>
      <c r="B117" s="22"/>
      <c r="C117" s="10"/>
      <c r="D117" s="10"/>
      <c r="E117" s="10"/>
      <c r="F117" s="10"/>
      <c r="G117" s="10"/>
      <c r="H117" s="10"/>
      <c r="I117" s="10"/>
      <c r="J117" s="10"/>
      <c r="K117" s="10"/>
      <c r="L117" s="22"/>
      <c r="M117" s="10"/>
      <c r="N117" s="22"/>
      <c r="O117" s="56"/>
      <c r="P117" s="56"/>
      <c r="Q117" s="29" t="str">
        <f aca="false">IF(OR(O117="",P117=""),"",(P117-O117)*100)</f>
        <v/>
      </c>
      <c r="R117" s="23" t="str">
        <f aca="true">IF(OR(L117="",LEFT(M117,7)="Cerrada"),"",MAX(0,TODAY()-L117))</f>
        <v/>
      </c>
    </row>
    <row r="118" customFormat="false" ht="15" hidden="false" customHeight="false" outlineLevel="0" collapsed="false">
      <c r="A118" s="10"/>
      <c r="B118" s="22"/>
      <c r="C118" s="10"/>
      <c r="D118" s="10"/>
      <c r="E118" s="10"/>
      <c r="F118" s="10"/>
      <c r="G118" s="10"/>
      <c r="H118" s="10"/>
      <c r="I118" s="10"/>
      <c r="J118" s="10"/>
      <c r="K118" s="10"/>
      <c r="L118" s="22"/>
      <c r="M118" s="10"/>
      <c r="N118" s="22"/>
      <c r="O118" s="56"/>
      <c r="P118" s="56"/>
      <c r="Q118" s="29" t="str">
        <f aca="false">IF(OR(O118="",P118=""),"",(P118-O118)*100)</f>
        <v/>
      </c>
      <c r="R118" s="23" t="str">
        <f aca="true">IF(OR(L118="",LEFT(M118,7)="Cerrada"),"",MAX(0,TODAY()-L118))</f>
        <v/>
      </c>
    </row>
    <row r="119" customFormat="false" ht="15" hidden="false" customHeight="false" outlineLevel="0" collapsed="false">
      <c r="A119" s="10"/>
      <c r="B119" s="22"/>
      <c r="C119" s="10"/>
      <c r="D119" s="10"/>
      <c r="E119" s="10"/>
      <c r="F119" s="10"/>
      <c r="G119" s="10"/>
      <c r="H119" s="10"/>
      <c r="I119" s="10"/>
      <c r="J119" s="10"/>
      <c r="K119" s="10"/>
      <c r="L119" s="22"/>
      <c r="M119" s="10"/>
      <c r="N119" s="22"/>
      <c r="O119" s="56"/>
      <c r="P119" s="56"/>
      <c r="Q119" s="29" t="str">
        <f aca="false">IF(OR(O119="",P119=""),"",(P119-O119)*100)</f>
        <v/>
      </c>
      <c r="R119" s="23" t="str">
        <f aca="true">IF(OR(L119="",LEFT(M119,7)="Cerrada"),"",MAX(0,TODAY()-L119))</f>
        <v/>
      </c>
    </row>
    <row r="120" customFormat="false" ht="15" hidden="false" customHeight="false" outlineLevel="0" collapsed="false">
      <c r="A120" s="10"/>
      <c r="B120" s="22"/>
      <c r="C120" s="10"/>
      <c r="D120" s="10"/>
      <c r="E120" s="10"/>
      <c r="F120" s="10"/>
      <c r="G120" s="10"/>
      <c r="H120" s="10"/>
      <c r="I120" s="10"/>
      <c r="J120" s="10"/>
      <c r="K120" s="10"/>
      <c r="L120" s="22"/>
      <c r="M120" s="10"/>
      <c r="N120" s="22"/>
      <c r="O120" s="56"/>
      <c r="P120" s="56"/>
      <c r="Q120" s="29" t="str">
        <f aca="false">IF(OR(O120="",P120=""),"",(P120-O120)*100)</f>
        <v/>
      </c>
      <c r="R120" s="23" t="str">
        <f aca="true">IF(OR(L120="",LEFT(M120,7)="Cerrada"),"",MAX(0,TODAY()-L120))</f>
        <v/>
      </c>
    </row>
    <row r="121" customFormat="false" ht="15" hidden="false" customHeight="false" outlineLevel="0" collapsed="false">
      <c r="A121" s="10"/>
      <c r="B121" s="22"/>
      <c r="C121" s="10"/>
      <c r="D121" s="10"/>
      <c r="E121" s="10"/>
      <c r="F121" s="10"/>
      <c r="G121" s="10"/>
      <c r="H121" s="10"/>
      <c r="I121" s="10"/>
      <c r="J121" s="10"/>
      <c r="K121" s="10"/>
      <c r="L121" s="22"/>
      <c r="M121" s="10"/>
      <c r="N121" s="22"/>
      <c r="O121" s="56"/>
      <c r="P121" s="56"/>
      <c r="Q121" s="29" t="str">
        <f aca="false">IF(OR(O121="",P121=""),"",(P121-O121)*100)</f>
        <v/>
      </c>
      <c r="R121" s="23" t="str">
        <f aca="true">IF(OR(L121="",LEFT(M121,7)="Cerrada"),"",MAX(0,TODAY()-L121))</f>
        <v/>
      </c>
    </row>
    <row r="122" customFormat="false" ht="15" hidden="false" customHeight="false" outlineLevel="0" collapsed="false">
      <c r="A122" s="10"/>
      <c r="B122" s="22"/>
      <c r="C122" s="10"/>
      <c r="D122" s="10"/>
      <c r="E122" s="10"/>
      <c r="F122" s="10"/>
      <c r="G122" s="10"/>
      <c r="H122" s="10"/>
      <c r="I122" s="10"/>
      <c r="J122" s="10"/>
      <c r="K122" s="10"/>
      <c r="L122" s="22"/>
      <c r="M122" s="10"/>
      <c r="N122" s="22"/>
      <c r="O122" s="56"/>
      <c r="P122" s="56"/>
      <c r="Q122" s="29" t="str">
        <f aca="false">IF(OR(O122="",P122=""),"",(P122-O122)*100)</f>
        <v/>
      </c>
      <c r="R122" s="23" t="str">
        <f aca="true">IF(OR(L122="",LEFT(M122,7)="Cerrada"),"",MAX(0,TODAY()-L122))</f>
        <v/>
      </c>
    </row>
    <row r="123" customFormat="false" ht="15" hidden="false" customHeight="false" outlineLevel="0" collapsed="false">
      <c r="A123" s="10"/>
      <c r="B123" s="22"/>
      <c r="C123" s="10"/>
      <c r="D123" s="10"/>
      <c r="E123" s="10"/>
      <c r="F123" s="10"/>
      <c r="G123" s="10"/>
      <c r="H123" s="10"/>
      <c r="I123" s="10"/>
      <c r="J123" s="10"/>
      <c r="K123" s="10"/>
      <c r="L123" s="22"/>
      <c r="M123" s="10"/>
      <c r="N123" s="22"/>
      <c r="O123" s="56"/>
      <c r="P123" s="56"/>
      <c r="Q123" s="29" t="str">
        <f aca="false">IF(OR(O123="",P123=""),"",(P123-O123)*100)</f>
        <v/>
      </c>
      <c r="R123" s="23" t="str">
        <f aca="true">IF(OR(L123="",LEFT(M123,7)="Cerrada"),"",MAX(0,TODAY()-L123))</f>
        <v/>
      </c>
    </row>
    <row r="124" customFormat="false" ht="15" hidden="false" customHeight="false" outlineLevel="0" collapsed="false">
      <c r="A124" s="10"/>
      <c r="B124" s="22"/>
      <c r="C124" s="10"/>
      <c r="D124" s="10"/>
      <c r="E124" s="10"/>
      <c r="F124" s="10"/>
      <c r="G124" s="10"/>
      <c r="H124" s="10"/>
      <c r="I124" s="10"/>
      <c r="J124" s="10"/>
      <c r="K124" s="10"/>
      <c r="L124" s="22"/>
      <c r="M124" s="10"/>
      <c r="N124" s="22"/>
      <c r="O124" s="56"/>
      <c r="P124" s="56"/>
      <c r="Q124" s="29" t="str">
        <f aca="false">IF(OR(O124="",P124=""),"",(P124-O124)*100)</f>
        <v/>
      </c>
      <c r="R124" s="23" t="str">
        <f aca="true">IF(OR(L124="",LEFT(M124,7)="Cerrada"),"",MAX(0,TODAY()-L124))</f>
        <v/>
      </c>
    </row>
    <row r="125" customFormat="false" ht="15" hidden="false" customHeight="false" outlineLevel="0" collapsed="false">
      <c r="A125" s="10"/>
      <c r="B125" s="22"/>
      <c r="C125" s="10"/>
      <c r="D125" s="10"/>
      <c r="E125" s="10"/>
      <c r="F125" s="10"/>
      <c r="G125" s="10"/>
      <c r="H125" s="10"/>
      <c r="I125" s="10"/>
      <c r="J125" s="10"/>
      <c r="K125" s="10"/>
      <c r="L125" s="22"/>
      <c r="M125" s="10"/>
      <c r="N125" s="22"/>
      <c r="O125" s="56"/>
      <c r="P125" s="56"/>
      <c r="Q125" s="29" t="str">
        <f aca="false">IF(OR(O125="",P125=""),"",(P125-O125)*100)</f>
        <v/>
      </c>
      <c r="R125" s="23" t="str">
        <f aca="true">IF(OR(L125="",LEFT(M125,7)="Cerrada"),"",MAX(0,TODAY()-L125))</f>
        <v/>
      </c>
    </row>
    <row r="126" customFormat="false" ht="15" hidden="false" customHeight="false" outlineLevel="0" collapsed="false">
      <c r="A126" s="10"/>
      <c r="B126" s="22"/>
      <c r="C126" s="10"/>
      <c r="D126" s="10"/>
      <c r="E126" s="10"/>
      <c r="F126" s="10"/>
      <c r="G126" s="10"/>
      <c r="H126" s="10"/>
      <c r="I126" s="10"/>
      <c r="J126" s="10"/>
      <c r="K126" s="10"/>
      <c r="L126" s="22"/>
      <c r="M126" s="10"/>
      <c r="N126" s="22"/>
      <c r="O126" s="56"/>
      <c r="P126" s="56"/>
      <c r="Q126" s="29" t="str">
        <f aca="false">IF(OR(O126="",P126=""),"",(P126-O126)*100)</f>
        <v/>
      </c>
      <c r="R126" s="23" t="str">
        <f aca="true">IF(OR(L126="",LEFT(M126,7)="Cerrada"),"",MAX(0,TODAY()-L126))</f>
        <v/>
      </c>
    </row>
    <row r="127" customFormat="false" ht="15" hidden="false" customHeight="false" outlineLevel="0" collapsed="false">
      <c r="A127" s="10"/>
      <c r="B127" s="22"/>
      <c r="C127" s="10"/>
      <c r="D127" s="10"/>
      <c r="E127" s="10"/>
      <c r="F127" s="10"/>
      <c r="G127" s="10"/>
      <c r="H127" s="10"/>
      <c r="I127" s="10"/>
      <c r="J127" s="10"/>
      <c r="K127" s="10"/>
      <c r="L127" s="22"/>
      <c r="M127" s="10"/>
      <c r="N127" s="22"/>
      <c r="O127" s="56"/>
      <c r="P127" s="56"/>
      <c r="Q127" s="29" t="str">
        <f aca="false">IF(OR(O127="",P127=""),"",(P127-O127)*100)</f>
        <v/>
      </c>
      <c r="R127" s="23" t="str">
        <f aca="true">IF(OR(L127="",LEFT(M127,7)="Cerrada"),"",MAX(0,TODAY()-L127))</f>
        <v/>
      </c>
    </row>
    <row r="128" customFormat="false" ht="15" hidden="false" customHeight="false" outlineLevel="0" collapsed="false">
      <c r="A128" s="10"/>
      <c r="B128" s="22"/>
      <c r="C128" s="10"/>
      <c r="D128" s="10"/>
      <c r="E128" s="10"/>
      <c r="F128" s="10"/>
      <c r="G128" s="10"/>
      <c r="H128" s="10"/>
      <c r="I128" s="10"/>
      <c r="J128" s="10"/>
      <c r="K128" s="10"/>
      <c r="L128" s="22"/>
      <c r="M128" s="10"/>
      <c r="N128" s="22"/>
      <c r="O128" s="56"/>
      <c r="P128" s="56"/>
      <c r="Q128" s="29" t="str">
        <f aca="false">IF(OR(O128="",P128=""),"",(P128-O128)*100)</f>
        <v/>
      </c>
      <c r="R128" s="23" t="str">
        <f aca="true">IF(OR(L128="",LEFT(M128,7)="Cerrada"),"",MAX(0,TODAY()-L128))</f>
        <v/>
      </c>
    </row>
    <row r="129" customFormat="false" ht="15" hidden="false" customHeight="false" outlineLevel="0" collapsed="false">
      <c r="A129" s="10"/>
      <c r="B129" s="22"/>
      <c r="C129" s="10"/>
      <c r="D129" s="10"/>
      <c r="E129" s="10"/>
      <c r="F129" s="10"/>
      <c r="G129" s="10"/>
      <c r="H129" s="10"/>
      <c r="I129" s="10"/>
      <c r="J129" s="10"/>
      <c r="K129" s="10"/>
      <c r="L129" s="22"/>
      <c r="M129" s="10"/>
      <c r="N129" s="22"/>
      <c r="O129" s="56"/>
      <c r="P129" s="56"/>
      <c r="Q129" s="29" t="str">
        <f aca="false">IF(OR(O129="",P129=""),"",(P129-O129)*100)</f>
        <v/>
      </c>
      <c r="R129" s="23" t="str">
        <f aca="true">IF(OR(L129="",LEFT(M129,7)="Cerrada"),"",MAX(0,TODAY()-L129))</f>
        <v/>
      </c>
    </row>
    <row r="130" customFormat="false" ht="15" hidden="false" customHeight="false" outlineLevel="0" collapsed="false">
      <c r="A130" s="10"/>
      <c r="B130" s="22"/>
      <c r="C130" s="10"/>
      <c r="D130" s="10"/>
      <c r="E130" s="10"/>
      <c r="F130" s="10"/>
      <c r="G130" s="10"/>
      <c r="H130" s="10"/>
      <c r="I130" s="10"/>
      <c r="J130" s="10"/>
      <c r="K130" s="10"/>
      <c r="L130" s="22"/>
      <c r="M130" s="10"/>
      <c r="N130" s="22"/>
      <c r="O130" s="56"/>
      <c r="P130" s="56"/>
      <c r="Q130" s="29" t="str">
        <f aca="false">IF(OR(O130="",P130=""),"",(P130-O130)*100)</f>
        <v/>
      </c>
      <c r="R130" s="23" t="str">
        <f aca="true">IF(OR(L130="",LEFT(M130,7)="Cerrada"),"",MAX(0,TODAY()-L130))</f>
        <v/>
      </c>
    </row>
    <row r="131" customFormat="false" ht="15" hidden="false" customHeight="false" outlineLevel="0" collapsed="false">
      <c r="A131" s="10"/>
      <c r="B131" s="22"/>
      <c r="C131" s="10"/>
      <c r="D131" s="10"/>
      <c r="E131" s="10"/>
      <c r="F131" s="10"/>
      <c r="G131" s="10"/>
      <c r="H131" s="10"/>
      <c r="I131" s="10"/>
      <c r="J131" s="10"/>
      <c r="K131" s="10"/>
      <c r="L131" s="22"/>
      <c r="M131" s="10"/>
      <c r="N131" s="22"/>
      <c r="O131" s="56"/>
      <c r="P131" s="56"/>
      <c r="Q131" s="29" t="str">
        <f aca="false">IF(OR(O131="",P131=""),"",(P131-O131)*100)</f>
        <v/>
      </c>
      <c r="R131" s="23" t="str">
        <f aca="true">IF(OR(L131="",LEFT(M131,7)="Cerrada"),"",MAX(0,TODAY()-L131))</f>
        <v/>
      </c>
    </row>
    <row r="132" customFormat="false" ht="15" hidden="false" customHeight="false" outlineLevel="0" collapsed="false">
      <c r="A132" s="10"/>
      <c r="B132" s="22"/>
      <c r="C132" s="10"/>
      <c r="D132" s="10"/>
      <c r="E132" s="10"/>
      <c r="F132" s="10"/>
      <c r="G132" s="10"/>
      <c r="H132" s="10"/>
      <c r="I132" s="10"/>
      <c r="J132" s="10"/>
      <c r="K132" s="10"/>
      <c r="L132" s="22"/>
      <c r="M132" s="10"/>
      <c r="N132" s="22"/>
      <c r="O132" s="56"/>
      <c r="P132" s="56"/>
      <c r="Q132" s="29" t="str">
        <f aca="false">IF(OR(O132="",P132=""),"",(P132-O132)*100)</f>
        <v/>
      </c>
      <c r="R132" s="23" t="str">
        <f aca="true">IF(OR(L132="",LEFT(M132,7)="Cerrada"),"",MAX(0,TODAY()-L132))</f>
        <v/>
      </c>
    </row>
    <row r="133" customFormat="false" ht="15" hidden="false" customHeight="false" outlineLevel="0" collapsed="false">
      <c r="A133" s="10"/>
      <c r="B133" s="22"/>
      <c r="C133" s="10"/>
      <c r="D133" s="10"/>
      <c r="E133" s="10"/>
      <c r="F133" s="10"/>
      <c r="G133" s="10"/>
      <c r="H133" s="10"/>
      <c r="I133" s="10"/>
      <c r="J133" s="10"/>
      <c r="K133" s="10"/>
      <c r="L133" s="22"/>
      <c r="M133" s="10"/>
      <c r="N133" s="22"/>
      <c r="O133" s="56"/>
      <c r="P133" s="56"/>
      <c r="Q133" s="29" t="str">
        <f aca="false">IF(OR(O133="",P133=""),"",(P133-O133)*100)</f>
        <v/>
      </c>
      <c r="R133" s="23" t="str">
        <f aca="true">IF(OR(L133="",LEFT(M133,7)="Cerrada"),"",MAX(0,TODAY()-L133))</f>
        <v/>
      </c>
    </row>
    <row r="134" customFormat="false" ht="15" hidden="false" customHeight="false" outlineLevel="0" collapsed="false">
      <c r="A134" s="10"/>
      <c r="B134" s="22"/>
      <c r="C134" s="10"/>
      <c r="D134" s="10"/>
      <c r="E134" s="10"/>
      <c r="F134" s="10"/>
      <c r="G134" s="10"/>
      <c r="H134" s="10"/>
      <c r="I134" s="10"/>
      <c r="J134" s="10"/>
      <c r="K134" s="10"/>
      <c r="L134" s="22"/>
      <c r="M134" s="10"/>
      <c r="N134" s="22"/>
      <c r="O134" s="56"/>
      <c r="P134" s="56"/>
      <c r="Q134" s="29" t="str">
        <f aca="false">IF(OR(O134="",P134=""),"",(P134-O134)*100)</f>
        <v/>
      </c>
      <c r="R134" s="23" t="str">
        <f aca="true">IF(OR(L134="",LEFT(M134,7)="Cerrada"),"",MAX(0,TODAY()-L134))</f>
        <v/>
      </c>
    </row>
    <row r="135" customFormat="false" ht="15" hidden="false" customHeight="false" outlineLevel="0" collapsed="false">
      <c r="A135" s="10"/>
      <c r="B135" s="22"/>
      <c r="C135" s="10"/>
      <c r="D135" s="10"/>
      <c r="E135" s="10"/>
      <c r="F135" s="10"/>
      <c r="G135" s="10"/>
      <c r="H135" s="10"/>
      <c r="I135" s="10"/>
      <c r="J135" s="10"/>
      <c r="K135" s="10"/>
      <c r="L135" s="22"/>
      <c r="M135" s="10"/>
      <c r="N135" s="22"/>
      <c r="O135" s="56"/>
      <c r="P135" s="56"/>
      <c r="Q135" s="29" t="str">
        <f aca="false">IF(OR(O135="",P135=""),"",(P135-O135)*100)</f>
        <v/>
      </c>
      <c r="R135" s="23" t="str">
        <f aca="true">IF(OR(L135="",LEFT(M135,7)="Cerrada"),"",MAX(0,TODAY()-L135))</f>
        <v/>
      </c>
    </row>
    <row r="136" customFormat="false" ht="15" hidden="false" customHeight="false" outlineLevel="0" collapsed="false">
      <c r="A136" s="10"/>
      <c r="B136" s="22"/>
      <c r="C136" s="10"/>
      <c r="D136" s="10"/>
      <c r="E136" s="10"/>
      <c r="F136" s="10"/>
      <c r="G136" s="10"/>
      <c r="H136" s="10"/>
      <c r="I136" s="10"/>
      <c r="J136" s="10"/>
      <c r="K136" s="10"/>
      <c r="L136" s="22"/>
      <c r="M136" s="10"/>
      <c r="N136" s="22"/>
      <c r="O136" s="56"/>
      <c r="P136" s="56"/>
      <c r="Q136" s="29" t="str">
        <f aca="false">IF(OR(O136="",P136=""),"",(P136-O136)*100)</f>
        <v/>
      </c>
      <c r="R136" s="23" t="str">
        <f aca="true">IF(OR(L136="",LEFT(M136,7)="Cerrada"),"",MAX(0,TODAY()-L136))</f>
        <v/>
      </c>
    </row>
    <row r="137" customFormat="false" ht="15" hidden="false" customHeight="false" outlineLevel="0" collapsed="false">
      <c r="A137" s="10"/>
      <c r="B137" s="22"/>
      <c r="C137" s="10"/>
      <c r="D137" s="10"/>
      <c r="E137" s="10"/>
      <c r="F137" s="10"/>
      <c r="G137" s="10"/>
      <c r="H137" s="10"/>
      <c r="I137" s="10"/>
      <c r="J137" s="10"/>
      <c r="K137" s="10"/>
      <c r="L137" s="22"/>
      <c r="M137" s="10"/>
      <c r="N137" s="22"/>
      <c r="O137" s="56"/>
      <c r="P137" s="56"/>
      <c r="Q137" s="29" t="str">
        <f aca="false">IF(OR(O137="",P137=""),"",(P137-O137)*100)</f>
        <v/>
      </c>
      <c r="R137" s="23" t="str">
        <f aca="true">IF(OR(L137="",LEFT(M137,7)="Cerrada"),"",MAX(0,TODAY()-L137))</f>
        <v/>
      </c>
    </row>
    <row r="138" customFormat="false" ht="15" hidden="false" customHeight="false" outlineLevel="0" collapsed="false">
      <c r="A138" s="10"/>
      <c r="B138" s="22"/>
      <c r="C138" s="10"/>
      <c r="D138" s="10"/>
      <c r="E138" s="10"/>
      <c r="F138" s="10"/>
      <c r="G138" s="10"/>
      <c r="H138" s="10"/>
      <c r="I138" s="10"/>
      <c r="J138" s="10"/>
      <c r="K138" s="10"/>
      <c r="L138" s="22"/>
      <c r="M138" s="10"/>
      <c r="N138" s="22"/>
      <c r="O138" s="56"/>
      <c r="P138" s="56"/>
      <c r="Q138" s="29" t="str">
        <f aca="false">IF(OR(O138="",P138=""),"",(P138-O138)*100)</f>
        <v/>
      </c>
      <c r="R138" s="23" t="str">
        <f aca="true">IF(OR(L138="",LEFT(M138,7)="Cerrada"),"",MAX(0,TODAY()-L138))</f>
        <v/>
      </c>
    </row>
    <row r="139" customFormat="false" ht="15" hidden="false" customHeight="false" outlineLevel="0" collapsed="false">
      <c r="A139" s="10"/>
      <c r="B139" s="22"/>
      <c r="C139" s="10"/>
      <c r="D139" s="10"/>
      <c r="E139" s="10"/>
      <c r="F139" s="10"/>
      <c r="G139" s="10"/>
      <c r="H139" s="10"/>
      <c r="I139" s="10"/>
      <c r="J139" s="10"/>
      <c r="K139" s="10"/>
      <c r="L139" s="22"/>
      <c r="M139" s="10"/>
      <c r="N139" s="22"/>
      <c r="O139" s="56"/>
      <c r="P139" s="56"/>
      <c r="Q139" s="29" t="str">
        <f aca="false">IF(OR(O139="",P139=""),"",(P139-O139)*100)</f>
        <v/>
      </c>
      <c r="R139" s="23" t="str">
        <f aca="true">IF(OR(L139="",LEFT(M139,7)="Cerrada"),"",MAX(0,TODAY()-L139))</f>
        <v/>
      </c>
    </row>
    <row r="140" customFormat="false" ht="15" hidden="false" customHeight="false" outlineLevel="0" collapsed="false">
      <c r="A140" s="10"/>
      <c r="B140" s="22"/>
      <c r="C140" s="10"/>
      <c r="D140" s="10"/>
      <c r="E140" s="10"/>
      <c r="F140" s="10"/>
      <c r="G140" s="10"/>
      <c r="H140" s="10"/>
      <c r="I140" s="10"/>
      <c r="J140" s="10"/>
      <c r="K140" s="10"/>
      <c r="L140" s="22"/>
      <c r="M140" s="10"/>
      <c r="N140" s="22"/>
      <c r="O140" s="56"/>
      <c r="P140" s="56"/>
      <c r="Q140" s="29" t="str">
        <f aca="false">IF(OR(O140="",P140=""),"",(P140-O140)*100)</f>
        <v/>
      </c>
      <c r="R140" s="23" t="str">
        <f aca="true">IF(OR(L140="",LEFT(M140,7)="Cerrada"),"",MAX(0,TODAY()-L140))</f>
        <v/>
      </c>
    </row>
    <row r="141" customFormat="false" ht="15" hidden="false" customHeight="false" outlineLevel="0" collapsed="false">
      <c r="A141" s="10"/>
      <c r="B141" s="22"/>
      <c r="C141" s="10"/>
      <c r="D141" s="10"/>
      <c r="E141" s="10"/>
      <c r="F141" s="10"/>
      <c r="G141" s="10"/>
      <c r="H141" s="10"/>
      <c r="I141" s="10"/>
      <c r="J141" s="10"/>
      <c r="K141" s="10"/>
      <c r="L141" s="22"/>
      <c r="M141" s="10"/>
      <c r="N141" s="22"/>
      <c r="O141" s="56"/>
      <c r="P141" s="56"/>
      <c r="Q141" s="29" t="str">
        <f aca="false">IF(OR(O141="",P141=""),"",(P141-O141)*100)</f>
        <v/>
      </c>
      <c r="R141" s="23" t="str">
        <f aca="true">IF(OR(L141="",LEFT(M141,7)="Cerrada"),"",MAX(0,TODAY()-L141))</f>
        <v/>
      </c>
    </row>
    <row r="142" customFormat="false" ht="15" hidden="false" customHeight="false" outlineLevel="0" collapsed="false">
      <c r="A142" s="10"/>
      <c r="B142" s="22"/>
      <c r="C142" s="10"/>
      <c r="D142" s="10"/>
      <c r="E142" s="10"/>
      <c r="F142" s="10"/>
      <c r="G142" s="10"/>
      <c r="H142" s="10"/>
      <c r="I142" s="10"/>
      <c r="J142" s="10"/>
      <c r="K142" s="10"/>
      <c r="L142" s="22"/>
      <c r="M142" s="10"/>
      <c r="N142" s="22"/>
      <c r="O142" s="56"/>
      <c r="P142" s="56"/>
      <c r="Q142" s="29" t="str">
        <f aca="false">IF(OR(O142="",P142=""),"",(P142-O142)*100)</f>
        <v/>
      </c>
      <c r="R142" s="23" t="str">
        <f aca="true">IF(OR(L142="",LEFT(M142,7)="Cerrada"),"",MAX(0,TODAY()-L142))</f>
        <v/>
      </c>
    </row>
    <row r="143" customFormat="false" ht="15" hidden="false" customHeight="false" outlineLevel="0" collapsed="false">
      <c r="A143" s="10"/>
      <c r="B143" s="22"/>
      <c r="C143" s="10"/>
      <c r="D143" s="10"/>
      <c r="E143" s="10"/>
      <c r="F143" s="10"/>
      <c r="G143" s="10"/>
      <c r="H143" s="10"/>
      <c r="I143" s="10"/>
      <c r="J143" s="10"/>
      <c r="K143" s="10"/>
      <c r="L143" s="22"/>
      <c r="M143" s="10"/>
      <c r="N143" s="22"/>
      <c r="O143" s="56"/>
      <c r="P143" s="56"/>
      <c r="Q143" s="29" t="str">
        <f aca="false">IF(OR(O143="",P143=""),"",(P143-O143)*100)</f>
        <v/>
      </c>
      <c r="R143" s="23" t="str">
        <f aca="true">IF(OR(L143="",LEFT(M143,7)="Cerrada"),"",MAX(0,TODAY()-L143))</f>
        <v/>
      </c>
    </row>
    <row r="144" customFormat="false" ht="15" hidden="false" customHeight="false" outlineLevel="0" collapsed="false">
      <c r="A144" s="10"/>
      <c r="B144" s="22"/>
      <c r="C144" s="10"/>
      <c r="D144" s="10"/>
      <c r="E144" s="10"/>
      <c r="F144" s="10"/>
      <c r="G144" s="10"/>
      <c r="H144" s="10"/>
      <c r="I144" s="10"/>
      <c r="J144" s="10"/>
      <c r="K144" s="10"/>
      <c r="L144" s="22"/>
      <c r="M144" s="10"/>
      <c r="N144" s="22"/>
      <c r="O144" s="56"/>
      <c r="P144" s="56"/>
      <c r="Q144" s="29" t="str">
        <f aca="false">IF(OR(O144="",P144=""),"",(P144-O144)*100)</f>
        <v/>
      </c>
      <c r="R144" s="23" t="str">
        <f aca="true">IF(OR(L144="",LEFT(M144,7)="Cerrada"),"",MAX(0,TODAY()-L144))</f>
        <v/>
      </c>
    </row>
    <row r="145" customFormat="false" ht="15" hidden="false" customHeight="false" outlineLevel="0" collapsed="false">
      <c r="A145" s="10"/>
      <c r="B145" s="22"/>
      <c r="C145" s="10"/>
      <c r="D145" s="10"/>
      <c r="E145" s="10"/>
      <c r="F145" s="10"/>
      <c r="G145" s="10"/>
      <c r="H145" s="10"/>
      <c r="I145" s="10"/>
      <c r="J145" s="10"/>
      <c r="K145" s="10"/>
      <c r="L145" s="22"/>
      <c r="M145" s="10"/>
      <c r="N145" s="22"/>
      <c r="O145" s="56"/>
      <c r="P145" s="56"/>
      <c r="Q145" s="29" t="str">
        <f aca="false">IF(OR(O145="",P145=""),"",(P145-O145)*100)</f>
        <v/>
      </c>
      <c r="R145" s="23" t="str">
        <f aca="true">IF(OR(L145="",LEFT(M145,7)="Cerrada"),"",MAX(0,TODAY()-L145))</f>
        <v/>
      </c>
    </row>
    <row r="146" customFormat="false" ht="15" hidden="false" customHeight="false" outlineLevel="0" collapsed="false">
      <c r="A146" s="10"/>
      <c r="B146" s="22"/>
      <c r="C146" s="10"/>
      <c r="D146" s="10"/>
      <c r="E146" s="10"/>
      <c r="F146" s="10"/>
      <c r="G146" s="10"/>
      <c r="H146" s="10"/>
      <c r="I146" s="10"/>
      <c r="J146" s="10"/>
      <c r="K146" s="10"/>
      <c r="L146" s="22"/>
      <c r="M146" s="10"/>
      <c r="N146" s="22"/>
      <c r="O146" s="56"/>
      <c r="P146" s="56"/>
      <c r="Q146" s="29" t="str">
        <f aca="false">IF(OR(O146="",P146=""),"",(P146-O146)*100)</f>
        <v/>
      </c>
      <c r="R146" s="23" t="str">
        <f aca="true">IF(OR(L146="",LEFT(M146,7)="Cerrada"),"",MAX(0,TODAY()-L146))</f>
        <v/>
      </c>
    </row>
    <row r="147" customFormat="false" ht="15" hidden="false" customHeight="false" outlineLevel="0" collapsed="false">
      <c r="A147" s="10"/>
      <c r="B147" s="22"/>
      <c r="C147" s="10"/>
      <c r="D147" s="10"/>
      <c r="E147" s="10"/>
      <c r="F147" s="10"/>
      <c r="G147" s="10"/>
      <c r="H147" s="10"/>
      <c r="I147" s="10"/>
      <c r="J147" s="10"/>
      <c r="K147" s="10"/>
      <c r="L147" s="22"/>
      <c r="M147" s="10"/>
      <c r="N147" s="22"/>
      <c r="O147" s="56"/>
      <c r="P147" s="56"/>
      <c r="Q147" s="29" t="str">
        <f aca="false">IF(OR(O147="",P147=""),"",(P147-O147)*100)</f>
        <v/>
      </c>
      <c r="R147" s="23" t="str">
        <f aca="true">IF(OR(L147="",LEFT(M147,7)="Cerrada"),"",MAX(0,TODAY()-L147))</f>
        <v/>
      </c>
    </row>
    <row r="148" customFormat="false" ht="15" hidden="false" customHeight="false" outlineLevel="0" collapsed="false">
      <c r="A148" s="10"/>
      <c r="B148" s="22"/>
      <c r="C148" s="10"/>
      <c r="D148" s="10"/>
      <c r="E148" s="10"/>
      <c r="F148" s="10"/>
      <c r="G148" s="10"/>
      <c r="H148" s="10"/>
      <c r="I148" s="10"/>
      <c r="J148" s="10"/>
      <c r="K148" s="10"/>
      <c r="L148" s="22"/>
      <c r="M148" s="10"/>
      <c r="N148" s="22"/>
      <c r="O148" s="56"/>
      <c r="P148" s="56"/>
      <c r="Q148" s="29" t="str">
        <f aca="false">IF(OR(O148="",P148=""),"",(P148-O148)*100)</f>
        <v/>
      </c>
      <c r="R148" s="23" t="str">
        <f aca="true">IF(OR(L148="",LEFT(M148,7)="Cerrada"),"",MAX(0,TODAY()-L148))</f>
        <v/>
      </c>
    </row>
    <row r="149" customFormat="false" ht="15" hidden="false" customHeight="false" outlineLevel="0" collapsed="false">
      <c r="A149" s="10"/>
      <c r="B149" s="22"/>
      <c r="C149" s="10"/>
      <c r="D149" s="10"/>
      <c r="E149" s="10"/>
      <c r="F149" s="10"/>
      <c r="G149" s="10"/>
      <c r="H149" s="10"/>
      <c r="I149" s="10"/>
      <c r="J149" s="10"/>
      <c r="K149" s="10"/>
      <c r="L149" s="22"/>
      <c r="M149" s="10"/>
      <c r="N149" s="22"/>
      <c r="O149" s="56"/>
      <c r="P149" s="56"/>
      <c r="Q149" s="29" t="str">
        <f aca="false">IF(OR(O149="",P149=""),"",(P149-O149)*100)</f>
        <v/>
      </c>
      <c r="R149" s="23" t="str">
        <f aca="true">IF(OR(L149="",LEFT(M149,7)="Cerrada"),"",MAX(0,TODAY()-L149))</f>
        <v/>
      </c>
    </row>
    <row r="150" customFormat="false" ht="15" hidden="false" customHeight="false" outlineLevel="0" collapsed="false">
      <c r="A150" s="10"/>
      <c r="B150" s="22"/>
      <c r="C150" s="10"/>
      <c r="D150" s="10"/>
      <c r="E150" s="10"/>
      <c r="F150" s="10"/>
      <c r="G150" s="10"/>
      <c r="H150" s="10"/>
      <c r="I150" s="10"/>
      <c r="J150" s="10"/>
      <c r="K150" s="10"/>
      <c r="L150" s="22"/>
      <c r="M150" s="10"/>
      <c r="N150" s="22"/>
      <c r="O150" s="56"/>
      <c r="P150" s="56"/>
      <c r="Q150" s="29" t="str">
        <f aca="false">IF(OR(O150="",P150=""),"",(P150-O150)*100)</f>
        <v/>
      </c>
      <c r="R150" s="23" t="str">
        <f aca="true">IF(OR(L150="",LEFT(M150,7)="Cerrada"),"",MAX(0,TODAY()-L150))</f>
        <v/>
      </c>
    </row>
    <row r="151" customFormat="false" ht="15" hidden="false" customHeight="false" outlineLevel="0" collapsed="false">
      <c r="A151" s="10"/>
      <c r="B151" s="22"/>
      <c r="C151" s="10"/>
      <c r="D151" s="10"/>
      <c r="E151" s="10"/>
      <c r="F151" s="10"/>
      <c r="G151" s="10"/>
      <c r="H151" s="10"/>
      <c r="I151" s="10"/>
      <c r="J151" s="10"/>
      <c r="K151" s="10"/>
      <c r="L151" s="22"/>
      <c r="M151" s="10"/>
      <c r="N151" s="22"/>
      <c r="O151" s="56"/>
      <c r="P151" s="56"/>
      <c r="Q151" s="29" t="str">
        <f aca="false">IF(OR(O151="",P151=""),"",(P151-O151)*100)</f>
        <v/>
      </c>
      <c r="R151" s="23" t="str">
        <f aca="true">IF(OR(L151="",LEFT(M151,7)="Cerrada"),"",MAX(0,TODAY()-L151))</f>
        <v/>
      </c>
    </row>
    <row r="152" customFormat="false" ht="15" hidden="false" customHeight="false" outlineLevel="0" collapsed="false">
      <c r="A152" s="10"/>
      <c r="B152" s="22"/>
      <c r="C152" s="10"/>
      <c r="D152" s="10"/>
      <c r="E152" s="10"/>
      <c r="F152" s="10"/>
      <c r="G152" s="10"/>
      <c r="H152" s="10"/>
      <c r="I152" s="10"/>
      <c r="J152" s="10"/>
      <c r="K152" s="10"/>
      <c r="L152" s="22"/>
      <c r="M152" s="10"/>
      <c r="N152" s="22"/>
      <c r="O152" s="56"/>
      <c r="P152" s="56"/>
      <c r="Q152" s="29" t="str">
        <f aca="false">IF(OR(O152="",P152=""),"",(P152-O152)*100)</f>
        <v/>
      </c>
      <c r="R152" s="23" t="str">
        <f aca="true">IF(OR(L152="",LEFT(M152,7)="Cerrada"),"",MAX(0,TODAY()-L152))</f>
        <v/>
      </c>
    </row>
    <row r="153" customFormat="false" ht="15" hidden="false" customHeight="false" outlineLevel="0" collapsed="false">
      <c r="A153" s="10"/>
      <c r="B153" s="22"/>
      <c r="C153" s="10"/>
      <c r="D153" s="10"/>
      <c r="E153" s="10"/>
      <c r="F153" s="10"/>
      <c r="G153" s="10"/>
      <c r="H153" s="10"/>
      <c r="I153" s="10"/>
      <c r="J153" s="10"/>
      <c r="K153" s="10"/>
      <c r="L153" s="22"/>
      <c r="M153" s="10"/>
      <c r="N153" s="22"/>
      <c r="O153" s="56"/>
      <c r="P153" s="56"/>
      <c r="Q153" s="29" t="str">
        <f aca="false">IF(OR(O153="",P153=""),"",(P153-O153)*100)</f>
        <v/>
      </c>
      <c r="R153" s="23" t="str">
        <f aca="true">IF(OR(L153="",LEFT(M153,7)="Cerrada"),"",MAX(0,TODAY()-L153))</f>
        <v/>
      </c>
    </row>
    <row r="154" customFormat="false" ht="15" hidden="false" customHeight="false" outlineLevel="0" collapsed="false">
      <c r="A154" s="10"/>
      <c r="B154" s="22"/>
      <c r="C154" s="10"/>
      <c r="D154" s="10"/>
      <c r="E154" s="10"/>
      <c r="F154" s="10"/>
      <c r="G154" s="10"/>
      <c r="H154" s="10"/>
      <c r="I154" s="10"/>
      <c r="J154" s="10"/>
      <c r="K154" s="10"/>
      <c r="L154" s="22"/>
      <c r="M154" s="10"/>
      <c r="N154" s="22"/>
      <c r="O154" s="56"/>
      <c r="P154" s="56"/>
      <c r="Q154" s="29" t="str">
        <f aca="false">IF(OR(O154="",P154=""),"",(P154-O154)*100)</f>
        <v/>
      </c>
      <c r="R154" s="23" t="str">
        <f aca="true">IF(OR(L154="",LEFT(M154,7)="Cerrada"),"",MAX(0,TODAY()-L154))</f>
        <v/>
      </c>
    </row>
    <row r="155" customFormat="false" ht="15" hidden="false" customHeight="false" outlineLevel="0" collapsed="false">
      <c r="A155" s="10"/>
      <c r="B155" s="22"/>
      <c r="C155" s="10"/>
      <c r="D155" s="10"/>
      <c r="E155" s="10"/>
      <c r="F155" s="10"/>
      <c r="G155" s="10"/>
      <c r="H155" s="10"/>
      <c r="I155" s="10"/>
      <c r="J155" s="10"/>
      <c r="K155" s="10"/>
      <c r="L155" s="22"/>
      <c r="M155" s="10"/>
      <c r="N155" s="22"/>
      <c r="O155" s="56"/>
      <c r="P155" s="56"/>
      <c r="Q155" s="29" t="str">
        <f aca="false">IF(OR(O155="",P155=""),"",(P155-O155)*100)</f>
        <v/>
      </c>
      <c r="R155" s="23" t="str">
        <f aca="true">IF(OR(L155="",LEFT(M155,7)="Cerrada"),"",MAX(0,TODAY()-L155))</f>
        <v/>
      </c>
    </row>
    <row r="156" customFormat="false" ht="15" hidden="false" customHeight="false" outlineLevel="0" collapsed="false">
      <c r="A156" s="10"/>
      <c r="B156" s="22"/>
      <c r="C156" s="10"/>
      <c r="D156" s="10"/>
      <c r="E156" s="10"/>
      <c r="F156" s="10"/>
      <c r="G156" s="10"/>
      <c r="H156" s="10"/>
      <c r="I156" s="10"/>
      <c r="J156" s="10"/>
      <c r="K156" s="10"/>
      <c r="L156" s="22"/>
      <c r="M156" s="10"/>
      <c r="N156" s="22"/>
      <c r="O156" s="56"/>
      <c r="P156" s="56"/>
      <c r="Q156" s="29" t="str">
        <f aca="false">IF(OR(O156="",P156=""),"",(P156-O156)*100)</f>
        <v/>
      </c>
      <c r="R156" s="23" t="str">
        <f aca="true">IF(OR(L156="",LEFT(M156,7)="Cerrada"),"",MAX(0,TODAY()-L156))</f>
        <v/>
      </c>
    </row>
    <row r="157" customFormat="false" ht="15" hidden="false" customHeight="false" outlineLevel="0" collapsed="false">
      <c r="A157" s="10"/>
      <c r="B157" s="22"/>
      <c r="C157" s="10"/>
      <c r="D157" s="10"/>
      <c r="E157" s="10"/>
      <c r="F157" s="10"/>
      <c r="G157" s="10"/>
      <c r="H157" s="10"/>
      <c r="I157" s="10"/>
      <c r="J157" s="10"/>
      <c r="K157" s="10"/>
      <c r="L157" s="22"/>
      <c r="M157" s="10"/>
      <c r="N157" s="22"/>
      <c r="O157" s="56"/>
      <c r="P157" s="56"/>
      <c r="Q157" s="29" t="str">
        <f aca="false">IF(OR(O157="",P157=""),"",(P157-O157)*100)</f>
        <v/>
      </c>
      <c r="R157" s="23" t="str">
        <f aca="true">IF(OR(L157="",LEFT(M157,7)="Cerrada"),"",MAX(0,TODAY()-L157))</f>
        <v/>
      </c>
    </row>
    <row r="158" customFormat="false" ht="15" hidden="false" customHeight="false" outlineLevel="0" collapsed="false">
      <c r="A158" s="10"/>
      <c r="B158" s="22"/>
      <c r="C158" s="10"/>
      <c r="D158" s="10"/>
      <c r="E158" s="10"/>
      <c r="F158" s="10"/>
      <c r="G158" s="10"/>
      <c r="H158" s="10"/>
      <c r="I158" s="10"/>
      <c r="J158" s="10"/>
      <c r="K158" s="10"/>
      <c r="L158" s="22"/>
      <c r="M158" s="10"/>
      <c r="N158" s="22"/>
      <c r="O158" s="56"/>
      <c r="P158" s="56"/>
      <c r="Q158" s="29" t="str">
        <f aca="false">IF(OR(O158="",P158=""),"",(P158-O158)*100)</f>
        <v/>
      </c>
      <c r="R158" s="23" t="str">
        <f aca="true">IF(OR(L158="",LEFT(M158,7)="Cerrada"),"",MAX(0,TODAY()-L158))</f>
        <v/>
      </c>
    </row>
    <row r="159" customFormat="false" ht="15" hidden="false" customHeight="false" outlineLevel="0" collapsed="false">
      <c r="A159" s="10"/>
      <c r="B159" s="22"/>
      <c r="C159" s="10"/>
      <c r="D159" s="10"/>
      <c r="E159" s="10"/>
      <c r="F159" s="10"/>
      <c r="G159" s="10"/>
      <c r="H159" s="10"/>
      <c r="I159" s="10"/>
      <c r="J159" s="10"/>
      <c r="K159" s="10"/>
      <c r="L159" s="22"/>
      <c r="M159" s="10"/>
      <c r="N159" s="22"/>
      <c r="O159" s="56"/>
      <c r="P159" s="56"/>
      <c r="Q159" s="29" t="str">
        <f aca="false">IF(OR(O159="",P159=""),"",(P159-O159)*100)</f>
        <v/>
      </c>
      <c r="R159" s="23" t="str">
        <f aca="true">IF(OR(L159="",LEFT(M159,7)="Cerrada"),"",MAX(0,TODAY()-L159))</f>
        <v/>
      </c>
    </row>
    <row r="160" customFormat="false" ht="15" hidden="false" customHeight="false" outlineLevel="0" collapsed="false">
      <c r="A160" s="10"/>
      <c r="B160" s="22"/>
      <c r="C160" s="10"/>
      <c r="D160" s="10"/>
      <c r="E160" s="10"/>
      <c r="F160" s="10"/>
      <c r="G160" s="10"/>
      <c r="H160" s="10"/>
      <c r="I160" s="10"/>
      <c r="J160" s="10"/>
      <c r="K160" s="10"/>
      <c r="L160" s="22"/>
      <c r="M160" s="10"/>
      <c r="N160" s="22"/>
      <c r="O160" s="56"/>
      <c r="P160" s="56"/>
      <c r="Q160" s="29" t="str">
        <f aca="false">IF(OR(O160="",P160=""),"",(P160-O160)*100)</f>
        <v/>
      </c>
      <c r="R160" s="23" t="str">
        <f aca="true">IF(OR(L160="",LEFT(M160,7)="Cerrada"),"",MAX(0,TODAY()-L160))</f>
        <v/>
      </c>
    </row>
    <row r="161" customFormat="false" ht="15" hidden="false" customHeight="false" outlineLevel="0" collapsed="false">
      <c r="A161" s="10"/>
      <c r="B161" s="22"/>
      <c r="C161" s="10"/>
      <c r="D161" s="10"/>
      <c r="E161" s="10"/>
      <c r="F161" s="10"/>
      <c r="G161" s="10"/>
      <c r="H161" s="10"/>
      <c r="I161" s="10"/>
      <c r="J161" s="10"/>
      <c r="K161" s="10"/>
      <c r="L161" s="22"/>
      <c r="M161" s="10"/>
      <c r="N161" s="22"/>
      <c r="O161" s="56"/>
      <c r="P161" s="56"/>
      <c r="Q161" s="29" t="str">
        <f aca="false">IF(OR(O161="",P161=""),"",(P161-O161)*100)</f>
        <v/>
      </c>
      <c r="R161" s="23" t="str">
        <f aca="true">IF(OR(L161="",LEFT(M161,7)="Cerrada"),"",MAX(0,TODAY()-L161))</f>
        <v/>
      </c>
    </row>
    <row r="162" customFormat="false" ht="15" hidden="false" customHeight="false" outlineLevel="0" collapsed="false">
      <c r="A162" s="10"/>
      <c r="B162" s="22"/>
      <c r="C162" s="10"/>
      <c r="D162" s="10"/>
      <c r="E162" s="10"/>
      <c r="F162" s="10"/>
      <c r="G162" s="10"/>
      <c r="H162" s="10"/>
      <c r="I162" s="10"/>
      <c r="J162" s="10"/>
      <c r="K162" s="10"/>
      <c r="L162" s="22"/>
      <c r="M162" s="10"/>
      <c r="N162" s="22"/>
      <c r="O162" s="56"/>
      <c r="P162" s="56"/>
      <c r="Q162" s="29" t="str">
        <f aca="false">IF(OR(O162="",P162=""),"",(P162-O162)*100)</f>
        <v/>
      </c>
      <c r="R162" s="23" t="str">
        <f aca="true">IF(OR(L162="",LEFT(M162,7)="Cerrada"),"",MAX(0,TODAY()-L162))</f>
        <v/>
      </c>
    </row>
    <row r="163" customFormat="false" ht="15" hidden="false" customHeight="false" outlineLevel="0" collapsed="false">
      <c r="A163" s="10"/>
      <c r="B163" s="22"/>
      <c r="C163" s="10"/>
      <c r="D163" s="10"/>
      <c r="E163" s="10"/>
      <c r="F163" s="10"/>
      <c r="G163" s="10"/>
      <c r="H163" s="10"/>
      <c r="I163" s="10"/>
      <c r="J163" s="10"/>
      <c r="K163" s="10"/>
      <c r="L163" s="22"/>
      <c r="M163" s="10"/>
      <c r="N163" s="22"/>
      <c r="O163" s="56"/>
      <c r="P163" s="56"/>
      <c r="Q163" s="29" t="str">
        <f aca="false">IF(OR(O163="",P163=""),"",(P163-O163)*100)</f>
        <v/>
      </c>
      <c r="R163" s="23" t="str">
        <f aca="true">IF(OR(L163="",LEFT(M163,7)="Cerrada"),"",MAX(0,TODAY()-L163))</f>
        <v/>
      </c>
    </row>
    <row r="164" customFormat="false" ht="15" hidden="false" customHeight="false" outlineLevel="0" collapsed="false">
      <c r="A164" s="10"/>
      <c r="B164" s="22"/>
      <c r="C164" s="10"/>
      <c r="D164" s="10"/>
      <c r="E164" s="10"/>
      <c r="F164" s="10"/>
      <c r="G164" s="10"/>
      <c r="H164" s="10"/>
      <c r="I164" s="10"/>
      <c r="J164" s="10"/>
      <c r="K164" s="10"/>
      <c r="L164" s="22"/>
      <c r="M164" s="10"/>
      <c r="N164" s="22"/>
      <c r="O164" s="56"/>
      <c r="P164" s="56"/>
      <c r="Q164" s="29" t="str">
        <f aca="false">IF(OR(O164="",P164=""),"",(P164-O164)*100)</f>
        <v/>
      </c>
      <c r="R164" s="23" t="str">
        <f aca="true">IF(OR(L164="",LEFT(M164,7)="Cerrada"),"",MAX(0,TODAY()-L164))</f>
        <v/>
      </c>
    </row>
    <row r="165" customFormat="false" ht="15" hidden="false" customHeight="false" outlineLevel="0" collapsed="false">
      <c r="A165" s="10"/>
      <c r="B165" s="22"/>
      <c r="C165" s="10"/>
      <c r="D165" s="10"/>
      <c r="E165" s="10"/>
      <c r="F165" s="10"/>
      <c r="G165" s="10"/>
      <c r="H165" s="10"/>
      <c r="I165" s="10"/>
      <c r="J165" s="10"/>
      <c r="K165" s="10"/>
      <c r="L165" s="22"/>
      <c r="M165" s="10"/>
      <c r="N165" s="22"/>
      <c r="O165" s="56"/>
      <c r="P165" s="56"/>
      <c r="Q165" s="29" t="str">
        <f aca="false">IF(OR(O165="",P165=""),"",(P165-O165)*100)</f>
        <v/>
      </c>
      <c r="R165" s="23" t="str">
        <f aca="true">IF(OR(L165="",LEFT(M165,7)="Cerrada"),"",MAX(0,TODAY()-L165))</f>
        <v/>
      </c>
    </row>
    <row r="166" customFormat="false" ht="15" hidden="false" customHeight="false" outlineLevel="0" collapsed="false">
      <c r="A166" s="10"/>
      <c r="B166" s="22"/>
      <c r="C166" s="10"/>
      <c r="D166" s="10"/>
      <c r="E166" s="10"/>
      <c r="F166" s="10"/>
      <c r="G166" s="10"/>
      <c r="H166" s="10"/>
      <c r="I166" s="10"/>
      <c r="J166" s="10"/>
      <c r="K166" s="10"/>
      <c r="L166" s="22"/>
      <c r="M166" s="10"/>
      <c r="N166" s="22"/>
      <c r="O166" s="56"/>
      <c r="P166" s="56"/>
      <c r="Q166" s="29" t="str">
        <f aca="false">IF(OR(O166="",P166=""),"",(P166-O166)*100)</f>
        <v/>
      </c>
      <c r="R166" s="23" t="str">
        <f aca="true">IF(OR(L166="",LEFT(M166,7)="Cerrada"),"",MAX(0,TODAY()-L166))</f>
        <v/>
      </c>
    </row>
    <row r="167" customFormat="false" ht="15" hidden="false" customHeight="false" outlineLevel="0" collapsed="false">
      <c r="A167" s="10"/>
      <c r="B167" s="22"/>
      <c r="C167" s="10"/>
      <c r="D167" s="10"/>
      <c r="E167" s="10"/>
      <c r="F167" s="10"/>
      <c r="G167" s="10"/>
      <c r="H167" s="10"/>
      <c r="I167" s="10"/>
      <c r="J167" s="10"/>
      <c r="K167" s="10"/>
      <c r="L167" s="22"/>
      <c r="M167" s="10"/>
      <c r="N167" s="22"/>
      <c r="O167" s="56"/>
      <c r="P167" s="56"/>
      <c r="Q167" s="29" t="str">
        <f aca="false">IF(OR(O167="",P167=""),"",(P167-O167)*100)</f>
        <v/>
      </c>
      <c r="R167" s="23" t="str">
        <f aca="true">IF(OR(L167="",LEFT(M167,7)="Cerrada"),"",MAX(0,TODAY()-L167))</f>
        <v/>
      </c>
    </row>
    <row r="168" customFormat="false" ht="15" hidden="false" customHeight="false" outlineLevel="0" collapsed="false">
      <c r="A168" s="10"/>
      <c r="B168" s="22"/>
      <c r="C168" s="10"/>
      <c r="D168" s="10"/>
      <c r="E168" s="10"/>
      <c r="F168" s="10"/>
      <c r="G168" s="10"/>
      <c r="H168" s="10"/>
      <c r="I168" s="10"/>
      <c r="J168" s="10"/>
      <c r="K168" s="10"/>
      <c r="L168" s="22"/>
      <c r="M168" s="10"/>
      <c r="N168" s="22"/>
      <c r="O168" s="56"/>
      <c r="P168" s="56"/>
      <c r="Q168" s="29" t="str">
        <f aca="false">IF(OR(O168="",P168=""),"",(P168-O168)*100)</f>
        <v/>
      </c>
      <c r="R168" s="23" t="str">
        <f aca="true">IF(OR(L168="",LEFT(M168,7)="Cerrada"),"",MAX(0,TODAY()-L168))</f>
        <v/>
      </c>
    </row>
    <row r="169" customFormat="false" ht="15" hidden="false" customHeight="false" outlineLevel="0" collapsed="false">
      <c r="A169" s="10"/>
      <c r="B169" s="22"/>
      <c r="C169" s="10"/>
      <c r="D169" s="10"/>
      <c r="E169" s="10"/>
      <c r="F169" s="10"/>
      <c r="G169" s="10"/>
      <c r="H169" s="10"/>
      <c r="I169" s="10"/>
      <c r="J169" s="10"/>
      <c r="K169" s="10"/>
      <c r="L169" s="22"/>
      <c r="M169" s="10"/>
      <c r="N169" s="22"/>
      <c r="O169" s="56"/>
      <c r="P169" s="56"/>
      <c r="Q169" s="29" t="str">
        <f aca="false">IF(OR(O169="",P169=""),"",(P169-O169)*100)</f>
        <v/>
      </c>
      <c r="R169" s="23" t="str">
        <f aca="true">IF(OR(L169="",LEFT(M169,7)="Cerrada"),"",MAX(0,TODAY()-L169))</f>
        <v/>
      </c>
    </row>
    <row r="170" customFormat="false" ht="15" hidden="false" customHeight="false" outlineLevel="0" collapsed="false">
      <c r="A170" s="10"/>
      <c r="B170" s="22"/>
      <c r="C170" s="10"/>
      <c r="D170" s="10"/>
      <c r="E170" s="10"/>
      <c r="F170" s="10"/>
      <c r="G170" s="10"/>
      <c r="H170" s="10"/>
      <c r="I170" s="10"/>
      <c r="J170" s="10"/>
      <c r="K170" s="10"/>
      <c r="L170" s="22"/>
      <c r="M170" s="10"/>
      <c r="N170" s="22"/>
      <c r="O170" s="56"/>
      <c r="P170" s="56"/>
      <c r="Q170" s="29" t="str">
        <f aca="false">IF(OR(O170="",P170=""),"",(P170-O170)*100)</f>
        <v/>
      </c>
      <c r="R170" s="23" t="str">
        <f aca="true">IF(OR(L170="",LEFT(M170,7)="Cerrada"),"",MAX(0,TODAY()-L170))</f>
        <v/>
      </c>
    </row>
    <row r="171" customFormat="false" ht="15" hidden="false" customHeight="false" outlineLevel="0" collapsed="false">
      <c r="A171" s="10"/>
      <c r="B171" s="22"/>
      <c r="C171" s="10"/>
      <c r="D171" s="10"/>
      <c r="E171" s="10"/>
      <c r="F171" s="10"/>
      <c r="G171" s="10"/>
      <c r="H171" s="10"/>
      <c r="I171" s="10"/>
      <c r="J171" s="10"/>
      <c r="K171" s="10"/>
      <c r="L171" s="22"/>
      <c r="M171" s="10"/>
      <c r="N171" s="22"/>
      <c r="O171" s="56"/>
      <c r="P171" s="56"/>
      <c r="Q171" s="29" t="str">
        <f aca="false">IF(OR(O171="",P171=""),"",(P171-O171)*100)</f>
        <v/>
      </c>
      <c r="R171" s="23" t="str">
        <f aca="true">IF(OR(L171="",LEFT(M171,7)="Cerrada"),"",MAX(0,TODAY()-L171))</f>
        <v/>
      </c>
    </row>
    <row r="172" customFormat="false" ht="15" hidden="false" customHeight="false" outlineLevel="0" collapsed="false">
      <c r="A172" s="10"/>
      <c r="B172" s="22"/>
      <c r="C172" s="10"/>
      <c r="D172" s="10"/>
      <c r="E172" s="10"/>
      <c r="F172" s="10"/>
      <c r="G172" s="10"/>
      <c r="H172" s="10"/>
      <c r="I172" s="10"/>
      <c r="J172" s="10"/>
      <c r="K172" s="10"/>
      <c r="L172" s="22"/>
      <c r="M172" s="10"/>
      <c r="N172" s="22"/>
      <c r="O172" s="56"/>
      <c r="P172" s="56"/>
      <c r="Q172" s="29" t="str">
        <f aca="false">IF(OR(O172="",P172=""),"",(P172-O172)*100)</f>
        <v/>
      </c>
      <c r="R172" s="23" t="str">
        <f aca="true">IF(OR(L172="",LEFT(M172,7)="Cerrada"),"",MAX(0,TODAY()-L172))</f>
        <v/>
      </c>
    </row>
    <row r="173" customFormat="false" ht="15" hidden="false" customHeight="false" outlineLevel="0" collapsed="false">
      <c r="A173" s="10"/>
      <c r="B173" s="22"/>
      <c r="C173" s="10"/>
      <c r="D173" s="10"/>
      <c r="E173" s="10"/>
      <c r="F173" s="10"/>
      <c r="G173" s="10"/>
      <c r="H173" s="10"/>
      <c r="I173" s="10"/>
      <c r="J173" s="10"/>
      <c r="K173" s="10"/>
      <c r="L173" s="22"/>
      <c r="M173" s="10"/>
      <c r="N173" s="22"/>
      <c r="O173" s="56"/>
      <c r="P173" s="56"/>
      <c r="Q173" s="29" t="str">
        <f aca="false">IF(OR(O173="",P173=""),"",(P173-O173)*100)</f>
        <v/>
      </c>
      <c r="R173" s="23" t="str">
        <f aca="true">IF(OR(L173="",LEFT(M173,7)="Cerrada"),"",MAX(0,TODAY()-L173))</f>
        <v/>
      </c>
    </row>
    <row r="174" customFormat="false" ht="15" hidden="false" customHeight="false" outlineLevel="0" collapsed="false">
      <c r="A174" s="10"/>
      <c r="B174" s="22"/>
      <c r="C174" s="10"/>
      <c r="D174" s="10"/>
      <c r="E174" s="10"/>
      <c r="F174" s="10"/>
      <c r="G174" s="10"/>
      <c r="H174" s="10"/>
      <c r="I174" s="10"/>
      <c r="J174" s="10"/>
      <c r="K174" s="10"/>
      <c r="L174" s="22"/>
      <c r="M174" s="10"/>
      <c r="N174" s="22"/>
      <c r="O174" s="56"/>
      <c r="P174" s="56"/>
      <c r="Q174" s="29" t="str">
        <f aca="false">IF(OR(O174="",P174=""),"",(P174-O174)*100)</f>
        <v/>
      </c>
      <c r="R174" s="23" t="str">
        <f aca="true">IF(OR(L174="",LEFT(M174,7)="Cerrada"),"",MAX(0,TODAY()-L174))</f>
        <v/>
      </c>
    </row>
    <row r="175" customFormat="false" ht="15" hidden="false" customHeight="false" outlineLevel="0" collapsed="false">
      <c r="A175" s="10"/>
      <c r="B175" s="22"/>
      <c r="C175" s="10"/>
      <c r="D175" s="10"/>
      <c r="E175" s="10"/>
      <c r="F175" s="10"/>
      <c r="G175" s="10"/>
      <c r="H175" s="10"/>
      <c r="I175" s="10"/>
      <c r="J175" s="10"/>
      <c r="K175" s="10"/>
      <c r="L175" s="22"/>
      <c r="M175" s="10"/>
      <c r="N175" s="22"/>
      <c r="O175" s="56"/>
      <c r="P175" s="56"/>
      <c r="Q175" s="29" t="str">
        <f aca="false">IF(OR(O175="",P175=""),"",(P175-O175)*100)</f>
        <v/>
      </c>
      <c r="R175" s="23" t="str">
        <f aca="true">IF(OR(L175="",LEFT(M175,7)="Cerrada"),"",MAX(0,TODAY()-L175))</f>
        <v/>
      </c>
    </row>
    <row r="176" customFormat="false" ht="15" hidden="false" customHeight="false" outlineLevel="0" collapsed="false">
      <c r="A176" s="10"/>
      <c r="B176" s="22"/>
      <c r="C176" s="10"/>
      <c r="D176" s="10"/>
      <c r="E176" s="10"/>
      <c r="F176" s="10"/>
      <c r="G176" s="10"/>
      <c r="H176" s="10"/>
      <c r="I176" s="10"/>
      <c r="J176" s="10"/>
      <c r="K176" s="10"/>
      <c r="L176" s="22"/>
      <c r="M176" s="10"/>
      <c r="N176" s="22"/>
      <c r="O176" s="56"/>
      <c r="P176" s="56"/>
      <c r="Q176" s="29" t="str">
        <f aca="false">IF(OR(O176="",P176=""),"",(P176-O176)*100)</f>
        <v/>
      </c>
      <c r="R176" s="23" t="str">
        <f aca="true">IF(OR(L176="",LEFT(M176,7)="Cerrada"),"",MAX(0,TODAY()-L176))</f>
        <v/>
      </c>
    </row>
    <row r="177" customFormat="false" ht="15" hidden="false" customHeight="false" outlineLevel="0" collapsed="false">
      <c r="A177" s="10"/>
      <c r="B177" s="22"/>
      <c r="C177" s="10"/>
      <c r="D177" s="10"/>
      <c r="E177" s="10"/>
      <c r="F177" s="10"/>
      <c r="G177" s="10"/>
      <c r="H177" s="10"/>
      <c r="I177" s="10"/>
      <c r="J177" s="10"/>
      <c r="K177" s="10"/>
      <c r="L177" s="22"/>
      <c r="M177" s="10"/>
      <c r="N177" s="22"/>
      <c r="O177" s="56"/>
      <c r="P177" s="56"/>
      <c r="Q177" s="29" t="str">
        <f aca="false">IF(OR(O177="",P177=""),"",(P177-O177)*100)</f>
        <v/>
      </c>
      <c r="R177" s="23" t="str">
        <f aca="true">IF(OR(L177="",LEFT(M177,7)="Cerrada"),"",MAX(0,TODAY()-L177))</f>
        <v/>
      </c>
    </row>
    <row r="178" customFormat="false" ht="15" hidden="false" customHeight="false" outlineLevel="0" collapsed="false">
      <c r="A178" s="10"/>
      <c r="B178" s="22"/>
      <c r="C178" s="10"/>
      <c r="D178" s="10"/>
      <c r="E178" s="10"/>
      <c r="F178" s="10"/>
      <c r="G178" s="10"/>
      <c r="H178" s="10"/>
      <c r="I178" s="10"/>
      <c r="J178" s="10"/>
      <c r="K178" s="10"/>
      <c r="L178" s="22"/>
      <c r="M178" s="10"/>
      <c r="N178" s="22"/>
      <c r="O178" s="56"/>
      <c r="P178" s="56"/>
      <c r="Q178" s="29" t="str">
        <f aca="false">IF(OR(O178="",P178=""),"",(P178-O178)*100)</f>
        <v/>
      </c>
      <c r="R178" s="23" t="str">
        <f aca="true">IF(OR(L178="",LEFT(M178,7)="Cerrada"),"",MAX(0,TODAY()-L178))</f>
        <v/>
      </c>
    </row>
    <row r="179" customFormat="false" ht="15" hidden="false" customHeight="false" outlineLevel="0" collapsed="false">
      <c r="A179" s="10"/>
      <c r="B179" s="22"/>
      <c r="C179" s="10"/>
      <c r="D179" s="10"/>
      <c r="E179" s="10"/>
      <c r="F179" s="10"/>
      <c r="G179" s="10"/>
      <c r="H179" s="10"/>
      <c r="I179" s="10"/>
      <c r="J179" s="10"/>
      <c r="K179" s="10"/>
      <c r="L179" s="22"/>
      <c r="M179" s="10"/>
      <c r="N179" s="22"/>
      <c r="O179" s="56"/>
      <c r="P179" s="56"/>
      <c r="Q179" s="29" t="str">
        <f aca="false">IF(OR(O179="",P179=""),"",(P179-O179)*100)</f>
        <v/>
      </c>
      <c r="R179" s="23" t="str">
        <f aca="true">IF(OR(L179="",LEFT(M179,7)="Cerrada"),"",MAX(0,TODAY()-L179))</f>
        <v/>
      </c>
    </row>
    <row r="180" customFormat="false" ht="15" hidden="false" customHeight="false" outlineLevel="0" collapsed="false">
      <c r="A180" s="10"/>
      <c r="B180" s="22"/>
      <c r="C180" s="10"/>
      <c r="D180" s="10"/>
      <c r="E180" s="10"/>
      <c r="F180" s="10"/>
      <c r="G180" s="10"/>
      <c r="H180" s="10"/>
      <c r="I180" s="10"/>
      <c r="J180" s="10"/>
      <c r="K180" s="10"/>
      <c r="L180" s="22"/>
      <c r="M180" s="10"/>
      <c r="N180" s="22"/>
      <c r="O180" s="56"/>
      <c r="P180" s="56"/>
      <c r="Q180" s="29" t="str">
        <f aca="false">IF(OR(O180="",P180=""),"",(P180-O180)*100)</f>
        <v/>
      </c>
      <c r="R180" s="23" t="str">
        <f aca="true">IF(OR(L180="",LEFT(M180,7)="Cerrada"),"",MAX(0,TODAY()-L180))</f>
        <v/>
      </c>
    </row>
    <row r="181" customFormat="false" ht="15" hidden="false" customHeight="false" outlineLevel="0" collapsed="false">
      <c r="A181" s="10"/>
      <c r="B181" s="22"/>
      <c r="C181" s="10"/>
      <c r="D181" s="10"/>
      <c r="E181" s="10"/>
      <c r="F181" s="10"/>
      <c r="G181" s="10"/>
      <c r="H181" s="10"/>
      <c r="I181" s="10"/>
      <c r="J181" s="10"/>
      <c r="K181" s="10"/>
      <c r="L181" s="22"/>
      <c r="M181" s="10"/>
      <c r="N181" s="22"/>
      <c r="O181" s="56"/>
      <c r="P181" s="56"/>
      <c r="Q181" s="29" t="str">
        <f aca="false">IF(OR(O181="",P181=""),"",(P181-O181)*100)</f>
        <v/>
      </c>
      <c r="R181" s="23" t="str">
        <f aca="true">IF(OR(L181="",LEFT(M181,7)="Cerrada"),"",MAX(0,TODAY()-L181))</f>
        <v/>
      </c>
    </row>
    <row r="182" customFormat="false" ht="15" hidden="false" customHeight="false" outlineLevel="0" collapsed="false">
      <c r="A182" s="10"/>
      <c r="B182" s="22"/>
      <c r="C182" s="10"/>
      <c r="D182" s="10"/>
      <c r="E182" s="10"/>
      <c r="F182" s="10"/>
      <c r="G182" s="10"/>
      <c r="H182" s="10"/>
      <c r="I182" s="10"/>
      <c r="J182" s="10"/>
      <c r="K182" s="10"/>
      <c r="L182" s="22"/>
      <c r="M182" s="10"/>
      <c r="N182" s="22"/>
      <c r="O182" s="56"/>
      <c r="P182" s="56"/>
      <c r="Q182" s="29" t="str">
        <f aca="false">IF(OR(O182="",P182=""),"",(P182-O182)*100)</f>
        <v/>
      </c>
      <c r="R182" s="23" t="str">
        <f aca="true">IF(OR(L182="",LEFT(M182,7)="Cerrada"),"",MAX(0,TODAY()-L182))</f>
        <v/>
      </c>
    </row>
    <row r="183" customFormat="false" ht="15" hidden="false" customHeight="false" outlineLevel="0" collapsed="false">
      <c r="A183" s="10"/>
      <c r="B183" s="22"/>
      <c r="C183" s="10"/>
      <c r="D183" s="10"/>
      <c r="E183" s="10"/>
      <c r="F183" s="10"/>
      <c r="G183" s="10"/>
      <c r="H183" s="10"/>
      <c r="I183" s="10"/>
      <c r="J183" s="10"/>
      <c r="K183" s="10"/>
      <c r="L183" s="22"/>
      <c r="M183" s="10"/>
      <c r="N183" s="22"/>
      <c r="O183" s="56"/>
      <c r="P183" s="56"/>
      <c r="Q183" s="29" t="str">
        <f aca="false">IF(OR(O183="",P183=""),"",(P183-O183)*100)</f>
        <v/>
      </c>
      <c r="R183" s="23" t="str">
        <f aca="true">IF(OR(L183="",LEFT(M183,7)="Cerrada"),"",MAX(0,TODAY()-L183))</f>
        <v/>
      </c>
    </row>
    <row r="184" customFormat="false" ht="15" hidden="false" customHeight="false" outlineLevel="0" collapsed="false">
      <c r="A184" s="10"/>
      <c r="B184" s="22"/>
      <c r="C184" s="10"/>
      <c r="D184" s="10"/>
      <c r="E184" s="10"/>
      <c r="F184" s="10"/>
      <c r="G184" s="10"/>
      <c r="H184" s="10"/>
      <c r="I184" s="10"/>
      <c r="J184" s="10"/>
      <c r="K184" s="10"/>
      <c r="L184" s="22"/>
      <c r="M184" s="10"/>
      <c r="N184" s="22"/>
      <c r="O184" s="56"/>
      <c r="P184" s="56"/>
      <c r="Q184" s="29" t="str">
        <f aca="false">IF(OR(O184="",P184=""),"",(P184-O184)*100)</f>
        <v/>
      </c>
      <c r="R184" s="23" t="str">
        <f aca="true">IF(OR(L184="",LEFT(M184,7)="Cerrada"),"",MAX(0,TODAY()-L184))</f>
        <v/>
      </c>
    </row>
    <row r="185" customFormat="false" ht="15" hidden="false" customHeight="false" outlineLevel="0" collapsed="false">
      <c r="A185" s="10"/>
      <c r="B185" s="22"/>
      <c r="C185" s="10"/>
      <c r="D185" s="10"/>
      <c r="E185" s="10"/>
      <c r="F185" s="10"/>
      <c r="G185" s="10"/>
      <c r="H185" s="10"/>
      <c r="I185" s="10"/>
      <c r="J185" s="10"/>
      <c r="K185" s="10"/>
      <c r="L185" s="22"/>
      <c r="M185" s="10"/>
      <c r="N185" s="22"/>
      <c r="O185" s="56"/>
      <c r="P185" s="56"/>
      <c r="Q185" s="29" t="str">
        <f aca="false">IF(OR(O185="",P185=""),"",(P185-O185)*100)</f>
        <v/>
      </c>
      <c r="R185" s="23" t="str">
        <f aca="true">IF(OR(L185="",LEFT(M185,7)="Cerrada"),"",MAX(0,TODAY()-L185))</f>
        <v/>
      </c>
    </row>
    <row r="186" customFormat="false" ht="15" hidden="false" customHeight="false" outlineLevel="0" collapsed="false">
      <c r="A186" s="10"/>
      <c r="B186" s="22"/>
      <c r="C186" s="10"/>
      <c r="D186" s="10"/>
      <c r="E186" s="10"/>
      <c r="F186" s="10"/>
      <c r="G186" s="10"/>
      <c r="H186" s="10"/>
      <c r="I186" s="10"/>
      <c r="J186" s="10"/>
      <c r="K186" s="10"/>
      <c r="L186" s="22"/>
      <c r="M186" s="10"/>
      <c r="N186" s="22"/>
      <c r="O186" s="56"/>
      <c r="P186" s="56"/>
      <c r="Q186" s="29" t="str">
        <f aca="false">IF(OR(O186="",P186=""),"",(P186-O186)*100)</f>
        <v/>
      </c>
      <c r="R186" s="23" t="str">
        <f aca="true">IF(OR(L186="",LEFT(M186,7)="Cerrada"),"",MAX(0,TODAY()-L186))</f>
        <v/>
      </c>
    </row>
    <row r="187" customFormat="false" ht="15" hidden="false" customHeight="false" outlineLevel="0" collapsed="false">
      <c r="A187" s="10"/>
      <c r="B187" s="22"/>
      <c r="C187" s="10"/>
      <c r="D187" s="10"/>
      <c r="E187" s="10"/>
      <c r="F187" s="10"/>
      <c r="G187" s="10"/>
      <c r="H187" s="10"/>
      <c r="I187" s="10"/>
      <c r="J187" s="10"/>
      <c r="K187" s="10"/>
      <c r="L187" s="22"/>
      <c r="M187" s="10"/>
      <c r="N187" s="22"/>
      <c r="O187" s="56"/>
      <c r="P187" s="56"/>
      <c r="Q187" s="29" t="str">
        <f aca="false">IF(OR(O187="",P187=""),"",(P187-O187)*100)</f>
        <v/>
      </c>
      <c r="R187" s="23" t="str">
        <f aca="true">IF(OR(L187="",LEFT(M187,7)="Cerrada"),"",MAX(0,TODAY()-L187))</f>
        <v/>
      </c>
    </row>
    <row r="188" customFormat="false" ht="15" hidden="false" customHeight="false" outlineLevel="0" collapsed="false">
      <c r="A188" s="10"/>
      <c r="B188" s="22"/>
      <c r="C188" s="10"/>
      <c r="D188" s="10"/>
      <c r="E188" s="10"/>
      <c r="F188" s="10"/>
      <c r="G188" s="10"/>
      <c r="H188" s="10"/>
      <c r="I188" s="10"/>
      <c r="J188" s="10"/>
      <c r="K188" s="10"/>
      <c r="L188" s="22"/>
      <c r="M188" s="10"/>
      <c r="N188" s="22"/>
      <c r="O188" s="56"/>
      <c r="P188" s="56"/>
      <c r="Q188" s="29" t="str">
        <f aca="false">IF(OR(O188="",P188=""),"",(P188-O188)*100)</f>
        <v/>
      </c>
      <c r="R188" s="23" t="str">
        <f aca="true">IF(OR(L188="",LEFT(M188,7)="Cerrada"),"",MAX(0,TODAY()-L188))</f>
        <v/>
      </c>
    </row>
    <row r="189" customFormat="false" ht="15" hidden="false" customHeight="false" outlineLevel="0" collapsed="false">
      <c r="A189" s="10"/>
      <c r="B189" s="22"/>
      <c r="C189" s="10"/>
      <c r="D189" s="10"/>
      <c r="E189" s="10"/>
      <c r="F189" s="10"/>
      <c r="G189" s="10"/>
      <c r="H189" s="10"/>
      <c r="I189" s="10"/>
      <c r="J189" s="10"/>
      <c r="K189" s="10"/>
      <c r="L189" s="22"/>
      <c r="M189" s="10"/>
      <c r="N189" s="22"/>
      <c r="O189" s="56"/>
      <c r="P189" s="56"/>
      <c r="Q189" s="29" t="str">
        <f aca="false">IF(OR(O189="",P189=""),"",(P189-O189)*100)</f>
        <v/>
      </c>
      <c r="R189" s="23" t="str">
        <f aca="true">IF(OR(L189="",LEFT(M189,7)="Cerrada"),"",MAX(0,TODAY()-L189))</f>
        <v/>
      </c>
    </row>
    <row r="190" customFormat="false" ht="15" hidden="false" customHeight="false" outlineLevel="0" collapsed="false">
      <c r="A190" s="10"/>
      <c r="B190" s="22"/>
      <c r="C190" s="10"/>
      <c r="D190" s="10"/>
      <c r="E190" s="10"/>
      <c r="F190" s="10"/>
      <c r="G190" s="10"/>
      <c r="H190" s="10"/>
      <c r="I190" s="10"/>
      <c r="J190" s="10"/>
      <c r="K190" s="10"/>
      <c r="L190" s="22"/>
      <c r="M190" s="10"/>
      <c r="N190" s="22"/>
      <c r="O190" s="56"/>
      <c r="P190" s="56"/>
      <c r="Q190" s="29" t="str">
        <f aca="false">IF(OR(O190="",P190=""),"",(P190-O190)*100)</f>
        <v/>
      </c>
      <c r="R190" s="23" t="str">
        <f aca="true">IF(OR(L190="",LEFT(M190,7)="Cerrada"),"",MAX(0,TODAY()-L190))</f>
        <v/>
      </c>
    </row>
    <row r="191" customFormat="false" ht="15" hidden="false" customHeight="false" outlineLevel="0" collapsed="false">
      <c r="A191" s="10"/>
      <c r="B191" s="22"/>
      <c r="C191" s="10"/>
      <c r="D191" s="10"/>
      <c r="E191" s="10"/>
      <c r="F191" s="10"/>
      <c r="G191" s="10"/>
      <c r="H191" s="10"/>
      <c r="I191" s="10"/>
      <c r="J191" s="10"/>
      <c r="K191" s="10"/>
      <c r="L191" s="22"/>
      <c r="M191" s="10"/>
      <c r="N191" s="22"/>
      <c r="O191" s="56"/>
      <c r="P191" s="56"/>
      <c r="Q191" s="29" t="str">
        <f aca="false">IF(OR(O191="",P191=""),"",(P191-O191)*100)</f>
        <v/>
      </c>
      <c r="R191" s="23" t="str">
        <f aca="true">IF(OR(L191="",LEFT(M191,7)="Cerrada"),"",MAX(0,TODAY()-L191))</f>
        <v/>
      </c>
    </row>
    <row r="192" customFormat="false" ht="15" hidden="false" customHeight="false" outlineLevel="0" collapsed="false">
      <c r="A192" s="10"/>
      <c r="B192" s="22"/>
      <c r="C192" s="10"/>
      <c r="D192" s="10"/>
      <c r="E192" s="10"/>
      <c r="F192" s="10"/>
      <c r="G192" s="10"/>
      <c r="H192" s="10"/>
      <c r="I192" s="10"/>
      <c r="J192" s="10"/>
      <c r="K192" s="10"/>
      <c r="L192" s="22"/>
      <c r="M192" s="10"/>
      <c r="N192" s="22"/>
      <c r="O192" s="56"/>
      <c r="P192" s="56"/>
      <c r="Q192" s="29" t="str">
        <f aca="false">IF(OR(O192="",P192=""),"",(P192-O192)*100)</f>
        <v/>
      </c>
      <c r="R192" s="23" t="str">
        <f aca="true">IF(OR(L192="",LEFT(M192,7)="Cerrada"),"",MAX(0,TODAY()-L192))</f>
        <v/>
      </c>
    </row>
    <row r="193" customFormat="false" ht="15" hidden="false" customHeight="false" outlineLevel="0" collapsed="false">
      <c r="A193" s="10"/>
      <c r="B193" s="22"/>
      <c r="C193" s="10"/>
      <c r="D193" s="10"/>
      <c r="E193" s="10"/>
      <c r="F193" s="10"/>
      <c r="G193" s="10"/>
      <c r="H193" s="10"/>
      <c r="I193" s="10"/>
      <c r="J193" s="10"/>
      <c r="K193" s="10"/>
      <c r="L193" s="22"/>
      <c r="M193" s="10"/>
      <c r="N193" s="22"/>
      <c r="O193" s="56"/>
      <c r="P193" s="56"/>
      <c r="Q193" s="29" t="str">
        <f aca="false">IF(OR(O193="",P193=""),"",(P193-O193)*100)</f>
        <v/>
      </c>
      <c r="R193" s="23" t="str">
        <f aca="true">IF(OR(L193="",LEFT(M193,7)="Cerrada"),"",MAX(0,TODAY()-L193))</f>
        <v/>
      </c>
    </row>
    <row r="194" customFormat="false" ht="15" hidden="false" customHeight="false" outlineLevel="0" collapsed="false">
      <c r="A194" s="10"/>
      <c r="B194" s="22"/>
      <c r="C194" s="10"/>
      <c r="D194" s="10"/>
      <c r="E194" s="10"/>
      <c r="F194" s="10"/>
      <c r="G194" s="10"/>
      <c r="H194" s="10"/>
      <c r="I194" s="10"/>
      <c r="J194" s="10"/>
      <c r="K194" s="10"/>
      <c r="L194" s="22"/>
      <c r="M194" s="10"/>
      <c r="N194" s="22"/>
      <c r="O194" s="56"/>
      <c r="P194" s="56"/>
      <c r="Q194" s="29" t="str">
        <f aca="false">IF(OR(O194="",P194=""),"",(P194-O194)*100)</f>
        <v/>
      </c>
      <c r="R194" s="23" t="str">
        <f aca="true">IF(OR(L194="",LEFT(M194,7)="Cerrada"),"",MAX(0,TODAY()-L194))</f>
        <v/>
      </c>
    </row>
    <row r="195" customFormat="false" ht="15" hidden="false" customHeight="false" outlineLevel="0" collapsed="false">
      <c r="A195" s="10"/>
      <c r="B195" s="22"/>
      <c r="C195" s="10"/>
      <c r="D195" s="10"/>
      <c r="E195" s="10"/>
      <c r="F195" s="10"/>
      <c r="G195" s="10"/>
      <c r="H195" s="10"/>
      <c r="I195" s="10"/>
      <c r="J195" s="10"/>
      <c r="K195" s="10"/>
      <c r="L195" s="22"/>
      <c r="M195" s="10"/>
      <c r="N195" s="22"/>
      <c r="O195" s="56"/>
      <c r="P195" s="56"/>
      <c r="Q195" s="29" t="str">
        <f aca="false">IF(OR(O195="",P195=""),"",(P195-O195)*100)</f>
        <v/>
      </c>
      <c r="R195" s="23" t="str">
        <f aca="true">IF(OR(L195="",LEFT(M195,7)="Cerrada"),"",MAX(0,TODAY()-L195))</f>
        <v/>
      </c>
    </row>
    <row r="196" customFormat="false" ht="15" hidden="false" customHeight="false" outlineLevel="0" collapsed="false">
      <c r="A196" s="10"/>
      <c r="B196" s="22"/>
      <c r="C196" s="10"/>
      <c r="D196" s="10"/>
      <c r="E196" s="10"/>
      <c r="F196" s="10"/>
      <c r="G196" s="10"/>
      <c r="H196" s="10"/>
      <c r="I196" s="10"/>
      <c r="J196" s="10"/>
      <c r="K196" s="10"/>
      <c r="L196" s="22"/>
      <c r="M196" s="10"/>
      <c r="N196" s="22"/>
      <c r="O196" s="56"/>
      <c r="P196" s="56"/>
      <c r="Q196" s="29" t="str">
        <f aca="false">IF(OR(O196="",P196=""),"",(P196-O196)*100)</f>
        <v/>
      </c>
      <c r="R196" s="23" t="str">
        <f aca="true">IF(OR(L196="",LEFT(M196,7)="Cerrada"),"",MAX(0,TODAY()-L196))</f>
        <v/>
      </c>
    </row>
    <row r="197" customFormat="false" ht="15" hidden="false" customHeight="false" outlineLevel="0" collapsed="false">
      <c r="A197" s="10"/>
      <c r="B197" s="22"/>
      <c r="C197" s="10"/>
      <c r="D197" s="10"/>
      <c r="E197" s="10"/>
      <c r="F197" s="10"/>
      <c r="G197" s="10"/>
      <c r="H197" s="10"/>
      <c r="I197" s="10"/>
      <c r="J197" s="10"/>
      <c r="K197" s="10"/>
      <c r="L197" s="22"/>
      <c r="M197" s="10"/>
      <c r="N197" s="22"/>
      <c r="O197" s="56"/>
      <c r="P197" s="56"/>
      <c r="Q197" s="29" t="str">
        <f aca="false">IF(OR(O197="",P197=""),"",(P197-O197)*100)</f>
        <v/>
      </c>
      <c r="R197" s="23" t="str">
        <f aca="true">IF(OR(L197="",LEFT(M197,7)="Cerrada"),"",MAX(0,TODAY()-L197))</f>
        <v/>
      </c>
    </row>
    <row r="198" customFormat="false" ht="15" hidden="false" customHeight="false" outlineLevel="0" collapsed="false">
      <c r="A198" s="10"/>
      <c r="B198" s="22"/>
      <c r="C198" s="10"/>
      <c r="D198" s="10"/>
      <c r="E198" s="10"/>
      <c r="F198" s="10"/>
      <c r="G198" s="10"/>
      <c r="H198" s="10"/>
      <c r="I198" s="10"/>
      <c r="J198" s="10"/>
      <c r="K198" s="10"/>
      <c r="L198" s="22"/>
      <c r="M198" s="10"/>
      <c r="N198" s="22"/>
      <c r="O198" s="56"/>
      <c r="P198" s="56"/>
      <c r="Q198" s="29" t="str">
        <f aca="false">IF(OR(O198="",P198=""),"",(P198-O198)*100)</f>
        <v/>
      </c>
      <c r="R198" s="23" t="str">
        <f aca="true">IF(OR(L198="",LEFT(M198,7)="Cerrada"),"",MAX(0,TODAY()-L198))</f>
        <v/>
      </c>
    </row>
    <row r="199" customFormat="false" ht="15" hidden="false" customHeight="false" outlineLevel="0" collapsed="false">
      <c r="A199" s="10"/>
      <c r="B199" s="22"/>
      <c r="C199" s="10"/>
      <c r="D199" s="10"/>
      <c r="E199" s="10"/>
      <c r="F199" s="10"/>
      <c r="G199" s="10"/>
      <c r="H199" s="10"/>
      <c r="I199" s="10"/>
      <c r="J199" s="10"/>
      <c r="K199" s="10"/>
      <c r="L199" s="22"/>
      <c r="M199" s="10"/>
      <c r="N199" s="22"/>
      <c r="O199" s="56"/>
      <c r="P199" s="56"/>
      <c r="Q199" s="29" t="str">
        <f aca="false">IF(OR(O199="",P199=""),"",(P199-O199)*100)</f>
        <v/>
      </c>
      <c r="R199" s="23" t="str">
        <f aca="true">IF(OR(L199="",LEFT(M199,7)="Cerrada"),"",MAX(0,TODAY()-L199))</f>
        <v/>
      </c>
    </row>
    <row r="200" customFormat="false" ht="15" hidden="false" customHeight="false" outlineLevel="0" collapsed="false">
      <c r="A200" s="10"/>
      <c r="B200" s="22"/>
      <c r="C200" s="10"/>
      <c r="D200" s="10"/>
      <c r="E200" s="10"/>
      <c r="F200" s="10"/>
      <c r="G200" s="10"/>
      <c r="H200" s="10"/>
      <c r="I200" s="10"/>
      <c r="J200" s="10"/>
      <c r="K200" s="10"/>
      <c r="L200" s="22"/>
      <c r="M200" s="10"/>
      <c r="N200" s="22"/>
      <c r="O200" s="56"/>
      <c r="P200" s="56"/>
      <c r="Q200" s="29" t="str">
        <f aca="false">IF(OR(O200="",P200=""),"",(P200-O200)*100)</f>
        <v/>
      </c>
      <c r="R200" s="23" t="str">
        <f aca="true">IF(OR(L200="",LEFT(M200,7)="Cerrada"),"",MAX(0,TODAY()-L200))</f>
        <v/>
      </c>
    </row>
    <row r="201" customFormat="false" ht="15" hidden="false" customHeight="false" outlineLevel="0" collapsed="false">
      <c r="A201" s="10"/>
      <c r="B201" s="22"/>
      <c r="C201" s="10"/>
      <c r="D201" s="10"/>
      <c r="E201" s="10"/>
      <c r="F201" s="10"/>
      <c r="G201" s="10"/>
      <c r="H201" s="10"/>
      <c r="I201" s="10"/>
      <c r="J201" s="10"/>
      <c r="K201" s="10"/>
      <c r="L201" s="22"/>
      <c r="M201" s="10"/>
      <c r="N201" s="22"/>
      <c r="O201" s="56"/>
      <c r="P201" s="56"/>
      <c r="Q201" s="29" t="str">
        <f aca="false">IF(OR(O201="",P201=""),"",(P201-O201)*100)</f>
        <v/>
      </c>
      <c r="R201" s="23" t="str">
        <f aca="true">IF(OR(L201="",LEFT(M201,7)="Cerrada"),"",MAX(0,TODAY()-L201))</f>
        <v/>
      </c>
    </row>
    <row r="202" customFormat="false" ht="15" hidden="false" customHeight="false" outlineLevel="0" collapsed="false">
      <c r="A202" s="10"/>
      <c r="B202" s="22"/>
      <c r="C202" s="10"/>
      <c r="D202" s="10"/>
      <c r="E202" s="10"/>
      <c r="F202" s="10"/>
      <c r="G202" s="10"/>
      <c r="H202" s="10"/>
      <c r="I202" s="10"/>
      <c r="J202" s="10"/>
      <c r="K202" s="10"/>
      <c r="L202" s="22"/>
      <c r="M202" s="10"/>
      <c r="N202" s="22"/>
      <c r="O202" s="56"/>
      <c r="P202" s="56"/>
      <c r="Q202" s="29" t="str">
        <f aca="false">IF(OR(O202="",P202=""),"",(P202-O202)*100)</f>
        <v/>
      </c>
      <c r="R202" s="23" t="str">
        <f aca="true">IF(OR(L202="",LEFT(M202,7)="Cerrada"),"",MAX(0,TODAY()-L202))</f>
        <v/>
      </c>
    </row>
    <row r="203" customFormat="false" ht="15" hidden="false" customHeight="false" outlineLevel="0" collapsed="false">
      <c r="A203" s="10"/>
      <c r="B203" s="22"/>
      <c r="C203" s="10"/>
      <c r="D203" s="10"/>
      <c r="E203" s="10"/>
      <c r="F203" s="10"/>
      <c r="G203" s="10"/>
      <c r="H203" s="10"/>
      <c r="I203" s="10"/>
      <c r="J203" s="10"/>
      <c r="K203" s="10"/>
      <c r="L203" s="22"/>
      <c r="M203" s="10"/>
      <c r="N203" s="22"/>
      <c r="O203" s="56"/>
      <c r="P203" s="56"/>
      <c r="Q203" s="29" t="str">
        <f aca="false">IF(OR(O203="",P203=""),"",(P203-O203)*100)</f>
        <v/>
      </c>
      <c r="R203" s="23" t="str">
        <f aca="true">IF(OR(L203="",LEFT(M203,7)="Cerrada"),"",MAX(0,TODAY()-L203))</f>
        <v/>
      </c>
    </row>
    <row r="204" customFormat="false" ht="15" hidden="false" customHeight="false" outlineLevel="0" collapsed="false">
      <c r="A204" s="10"/>
      <c r="B204" s="22"/>
      <c r="C204" s="10"/>
      <c r="D204" s="10"/>
      <c r="E204" s="10"/>
      <c r="F204" s="10"/>
      <c r="G204" s="10"/>
      <c r="H204" s="10"/>
      <c r="I204" s="10"/>
      <c r="J204" s="10"/>
      <c r="K204" s="10"/>
      <c r="L204" s="22"/>
      <c r="M204" s="10"/>
      <c r="N204" s="22"/>
      <c r="O204" s="56"/>
      <c r="P204" s="56"/>
      <c r="Q204" s="29" t="str">
        <f aca="false">IF(OR(O204="",P204=""),"",(P204-O204)*100)</f>
        <v/>
      </c>
      <c r="R204" s="23" t="str">
        <f aca="true">IF(OR(L204="",LEFT(M204,7)="Cerrada"),"",MAX(0,TODAY()-L204))</f>
        <v/>
      </c>
    </row>
  </sheetData>
  <autoFilter ref="A4:R204"/>
  <conditionalFormatting sqref="R5:R204">
    <cfRule type="cellIs" priority="2" operator="greaterThan" aboveAverage="0" equalAverage="0" bottom="0" percent="0" rank="0" text="" dxfId="7">
      <formula>0</formula>
    </cfRule>
  </conditionalFormatting>
  <conditionalFormatting sqref="M5:M204">
    <cfRule type="expression" priority="3" aboveAverage="0" equalAverage="0" bottom="0" percent="0" rank="0" text="" dxfId="10">
      <formula>M5="Cerrada"</formula>
    </cfRule>
    <cfRule type="expression" priority="4" aboveAverage="0" equalAverage="0" bottom="0" percent="0" rank="0" text="" dxfId="9">
      <formula>M5="Cerrada - no eficaz"</formula>
    </cfRule>
  </conditionalFormatting>
  <conditionalFormatting sqref="Q5:Q204">
    <cfRule type="cellIs" priority="5" operator="lessThan" aboveAverage="0" equalAverage="0" bottom="0" percent="0" rank="0" text="" dxfId="11">
      <formula>0</formula>
    </cfRule>
  </conditionalFormatting>
  <dataValidations count="4">
    <dataValidation allowBlank="true" error="Elija un valor de la lista (hoja Parámetros)." errorStyle="stop" errorTitle="Valor no válido" operator="between" showDropDown="false" showErrorMessage="false" showInputMessage="false" sqref="F5:F204" type="list">
      <formula1>Parámetros!$L$14:$L$22</formula1>
      <formula2>0</formula2>
    </dataValidation>
    <dataValidation allowBlank="true" error="Elija un valor de la lista (hoja Parámetros)." errorStyle="stop" errorTitle="Valor no válido" operator="between" showDropDown="false" showErrorMessage="false" showInputMessage="false" sqref="G5:G204" type="list">
      <formula1>Parámetros!$F$14:$F$23</formula1>
      <formula2>0</formula2>
    </dataValidation>
    <dataValidation allowBlank="true" error="Elija un valor de la lista (hoja Parámetros)." errorStyle="stop" errorTitle="Valor no válido" operator="between" showDropDown="false" showErrorMessage="false" showInputMessage="false" sqref="J5:J204" type="list">
      <formula1>Parámetros!$J$14:$J$16</formula1>
      <formula2>0</formula2>
    </dataValidation>
    <dataValidation allowBlank="true" error="Elija un valor de la lista (hoja Parámetros)." errorStyle="stop" errorTitle="Valor no válido" operator="between" showDropDown="false" showErrorMessage="false" showInputMessage="false" sqref="M5:M204" type="list">
      <formula1>Parámetros!$H$14:$H$17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186</v>
      </c>
    </row>
    <row r="4" customFormat="false" ht="27.75" hidden="false" customHeight="true" outlineLevel="0" collapsed="false">
      <c r="A4" s="57" t="s">
        <v>187</v>
      </c>
    </row>
    <row r="5" customFormat="false" ht="27.75" hidden="false" customHeight="true" outlineLevel="0" collapsed="false">
      <c r="A5" s="57" t="s">
        <v>188</v>
      </c>
    </row>
    <row r="6" customFormat="false" ht="27.75" hidden="false" customHeight="true" outlineLevel="0" collapsed="false">
      <c r="A6" s="57" t="s">
        <v>189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190</v>
      </c>
    </row>
    <row r="9" customFormat="false" ht="13.5" hidden="false" customHeight="true" outlineLevel="0" collapsed="false">
      <c r="A9" s="57" t="s">
        <v>191</v>
      </c>
    </row>
    <row r="10" customFormat="false" ht="27.75" hidden="false" customHeight="true" outlineLevel="0" collapsed="false">
      <c r="A10" s="57" t="s">
        <v>192</v>
      </c>
    </row>
    <row r="11" customFormat="false" ht="27.75" hidden="false" customHeight="true" outlineLevel="0" collapsed="false">
      <c r="A11" s="57" t="s">
        <v>193</v>
      </c>
    </row>
    <row r="12" customFormat="false" ht="27.75" hidden="false" customHeight="true" outlineLevel="0" collapsed="false">
      <c r="A12" s="57" t="s">
        <v>194</v>
      </c>
    </row>
    <row r="13" customFormat="false" ht="13.5" hidden="false" customHeight="true" outlineLevel="0" collapsed="false">
      <c r="A13" s="57" t="s">
        <v>195</v>
      </c>
    </row>
    <row r="14" customFormat="false" ht="13.5" hidden="false" customHeight="true" outlineLevel="0" collapsed="false">
      <c r="A14" s="57" t="s">
        <v>196</v>
      </c>
    </row>
    <row r="15" customFormat="false" ht="27.75" hidden="false" customHeight="true" outlineLevel="0" collapsed="false">
      <c r="A15" s="57" t="s">
        <v>197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198</v>
      </c>
    </row>
    <row r="18" customFormat="false" ht="13.5" hidden="false" customHeight="true" outlineLevel="0" collapsed="false">
      <c r="A18" s="57" t="s">
        <v>199</v>
      </c>
    </row>
    <row r="19" customFormat="false" ht="13.5" hidden="false" customHeight="true" outlineLevel="0" collapsed="false">
      <c r="A19" s="57" t="s">
        <v>200</v>
      </c>
    </row>
    <row r="20" customFormat="false" ht="13.5" hidden="false" customHeight="true" outlineLevel="0" collapsed="false">
      <c r="A20" s="57" t="s">
        <v>201</v>
      </c>
    </row>
    <row r="21" customFormat="false" ht="13.5" hidden="false" customHeight="true" outlineLevel="0" collapsed="false">
      <c r="A21" s="57" t="s">
        <v>202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203</v>
      </c>
    </row>
    <row r="24" customFormat="false" ht="13.5" hidden="false" customHeight="true" outlineLevel="0" collapsed="false">
      <c r="A24" s="57" t="s">
        <v>204</v>
      </c>
    </row>
    <row r="25" customFormat="false" ht="13.5" hidden="false" customHeight="true" outlineLevel="0" collapsed="false">
      <c r="A25" s="57" t="s">
        <v>205</v>
      </c>
    </row>
    <row r="26" customFormat="false" ht="13.5" hidden="false" customHeight="true" outlineLevel="0" collapsed="false">
      <c r="A26" s="57" t="s">
        <v>206</v>
      </c>
    </row>
    <row r="27" customFormat="false" ht="27.75" hidden="false" customHeight="true" outlineLevel="0" collapsed="false">
      <c r="A27" s="57" t="s">
        <v>207</v>
      </c>
    </row>
    <row r="28" customFormat="false" ht="13.5" hidden="false" customHeight="true" outlineLevel="0" collapsed="false">
      <c r="A28" s="57" t="s">
        <v>208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209</v>
      </c>
    </row>
    <row r="31" customFormat="false" ht="42" hidden="false" customHeight="true" outlineLevel="0" collapsed="false">
      <c r="A31" s="57" t="s">
        <v>210</v>
      </c>
    </row>
    <row r="32" customFormat="false" ht="27.75" hidden="false" customHeight="true" outlineLevel="0" collapsed="false">
      <c r="A32" s="57" t="s">
        <v>211</v>
      </c>
    </row>
    <row r="33" customFormat="false" ht="13.5" hidden="false" customHeight="true" outlineLevel="0" collapsed="false">
      <c r="A33" s="57" t="s">
        <v>212</v>
      </c>
    </row>
    <row r="34" customFormat="false" ht="27.75" hidden="false" customHeight="true" outlineLevel="0" collapsed="false">
      <c r="A34" s="57" t="s">
        <v>213</v>
      </c>
    </row>
    <row r="35" customFormat="false" ht="13.5" hidden="false" customHeight="true" outlineLevel="0" collapsed="false">
      <c r="A35" s="57" t="s">
        <v>214</v>
      </c>
    </row>
    <row r="36" customFormat="false" ht="13.5" hidden="false" customHeight="true" outlineLevel="0" collapsed="false">
      <c r="A36" s="57" t="s">
        <v>215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3" t="s">
        <v>216</v>
      </c>
    </row>
    <row r="39" customFormat="false" ht="13.5" hidden="false" customHeight="true" outlineLevel="0" collapsed="false">
      <c r="A39" s="57" t="s">
        <v>217</v>
      </c>
    </row>
    <row r="40" customFormat="false" ht="27.75" hidden="false" customHeight="true" outlineLevel="0" collapsed="false">
      <c r="A40" s="57" t="s">
        <v>218</v>
      </c>
    </row>
    <row r="41" customFormat="false" ht="13.5" hidden="false" customHeight="true" outlineLevel="0" collapsed="false">
      <c r="A41" s="57" t="s">
        <v>219</v>
      </c>
    </row>
    <row r="42" customFormat="false" ht="27.75" hidden="false" customHeight="true" outlineLevel="0" collapsed="false">
      <c r="A42" s="57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4"/>
    <col collapsed="false" customWidth="true" hidden="false" outlineLevel="0" max="4" min="4" style="0" width="8"/>
    <col collapsed="false" customWidth="true" hidden="false" outlineLevel="0" max="5" min="5" style="0" width="4"/>
    <col collapsed="false" customWidth="true" hidden="false" outlineLevel="0" max="6" min="6" style="0" width="32"/>
    <col collapsed="false" customWidth="true" hidden="false" outlineLevel="0" max="7" min="7" style="0" width="4"/>
    <col collapsed="false" customWidth="true" hidden="false" outlineLevel="0" max="8" min="8" style="0" width="20"/>
    <col collapsed="false" customWidth="true" hidden="false" outlineLevel="0" max="9" min="9" style="0" width="4"/>
    <col collapsed="false" customWidth="true" hidden="false" outlineLevel="0" max="10" min="10" style="0" width="14"/>
    <col collapsed="false" customWidth="true" hidden="false" outlineLevel="0" max="11" min="11" style="0" width="4"/>
    <col collapsed="false" customWidth="true" hidden="false" outlineLevel="0" max="12" min="12" style="0" width="24"/>
  </cols>
  <sheetData>
    <row r="1" customFormat="false" ht="17.35" hidden="false" customHeight="false" outlineLevel="0" collapsed="false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8" t="s">
        <v>221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7" t="s">
        <v>222</v>
      </c>
      <c r="B4" s="25" t="n">
        <v>2026</v>
      </c>
      <c r="C4" s="18" t="s">
        <v>223</v>
      </c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17" t="s">
        <v>224</v>
      </c>
      <c r="B5" s="56" t="n">
        <v>0.958</v>
      </c>
      <c r="C5" s="18" t="s">
        <v>225</v>
      </c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17" t="s">
        <v>226</v>
      </c>
      <c r="B6" s="56" t="n">
        <v>0.02</v>
      </c>
      <c r="C6" s="18" t="s">
        <v>227</v>
      </c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17" t="s">
        <v>228</v>
      </c>
      <c r="B7" s="56" t="n">
        <v>0.01</v>
      </c>
      <c r="C7" s="18" t="s">
        <v>229</v>
      </c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17" t="s">
        <v>230</v>
      </c>
      <c r="B8" s="58" t="n">
        <v>1.128</v>
      </c>
      <c r="C8" s="18" t="s">
        <v>231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3" t="s">
        <v>232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42" hidden="false" customHeight="true" outlineLevel="0" collapsed="false">
      <c r="A13" s="20" t="s">
        <v>59</v>
      </c>
      <c r="B13" s="20" t="s">
        <v>66</v>
      </c>
      <c r="C13" s="2"/>
      <c r="D13" s="20" t="s">
        <v>55</v>
      </c>
      <c r="E13" s="2"/>
      <c r="F13" s="20" t="s">
        <v>84</v>
      </c>
      <c r="G13" s="2"/>
      <c r="H13" s="20" t="s">
        <v>233</v>
      </c>
      <c r="I13" s="2"/>
      <c r="J13" s="20" t="s">
        <v>171</v>
      </c>
      <c r="K13" s="2"/>
      <c r="L13" s="20" t="s">
        <v>169</v>
      </c>
    </row>
    <row r="14" customFormat="false" ht="15" hidden="false" customHeight="false" outlineLevel="0" collapsed="false">
      <c r="A14" s="10" t="s">
        <v>155</v>
      </c>
      <c r="B14" s="56" t="n">
        <v>0.9576</v>
      </c>
      <c r="C14" s="2"/>
      <c r="D14" s="10" t="s">
        <v>88</v>
      </c>
      <c r="E14" s="2"/>
      <c r="F14" s="10" t="s">
        <v>145</v>
      </c>
      <c r="G14" s="2"/>
      <c r="H14" s="10" t="s">
        <v>234</v>
      </c>
      <c r="I14" s="2"/>
      <c r="J14" s="10" t="s">
        <v>235</v>
      </c>
      <c r="K14" s="2"/>
      <c r="L14" s="10" t="s">
        <v>134</v>
      </c>
    </row>
    <row r="15" customFormat="false" ht="15" hidden="false" customHeight="false" outlineLevel="0" collapsed="false">
      <c r="A15" s="10" t="s">
        <v>156</v>
      </c>
      <c r="B15" s="56" t="n">
        <v>0.9538</v>
      </c>
      <c r="C15" s="2"/>
      <c r="D15" s="10" t="s">
        <v>236</v>
      </c>
      <c r="E15" s="2"/>
      <c r="F15" s="10" t="s">
        <v>146</v>
      </c>
      <c r="G15" s="2"/>
      <c r="H15" s="10" t="s">
        <v>237</v>
      </c>
      <c r="I15" s="2"/>
      <c r="J15" s="10" t="s">
        <v>182</v>
      </c>
      <c r="K15" s="2"/>
      <c r="L15" s="10" t="s">
        <v>135</v>
      </c>
    </row>
    <row r="16" customFormat="false" ht="15" hidden="false" customHeight="false" outlineLevel="0" collapsed="false">
      <c r="A16" s="10" t="s">
        <v>90</v>
      </c>
      <c r="B16" s="56" t="n">
        <v>0.9609</v>
      </c>
      <c r="C16" s="2"/>
      <c r="D16" s="10" t="s">
        <v>238</v>
      </c>
      <c r="E16" s="2"/>
      <c r="F16" s="10" t="s">
        <v>147</v>
      </c>
      <c r="G16" s="2"/>
      <c r="H16" s="10" t="s">
        <v>184</v>
      </c>
      <c r="I16" s="2"/>
      <c r="J16" s="10" t="s">
        <v>239</v>
      </c>
      <c r="K16" s="2"/>
      <c r="L16" s="10" t="s">
        <v>136</v>
      </c>
    </row>
    <row r="17" customFormat="false" ht="15" hidden="false" customHeight="false" outlineLevel="0" collapsed="false">
      <c r="A17" s="10" t="s">
        <v>157</v>
      </c>
      <c r="B17" s="56" t="n">
        <v>0.9551</v>
      </c>
      <c r="C17" s="2"/>
      <c r="D17" s="10" t="s">
        <v>240</v>
      </c>
      <c r="E17" s="2"/>
      <c r="F17" s="10" t="s">
        <v>140</v>
      </c>
      <c r="G17" s="2"/>
      <c r="H17" s="10" t="s">
        <v>241</v>
      </c>
      <c r="I17" s="2"/>
      <c r="J17" s="2"/>
      <c r="K17" s="2"/>
      <c r="L17" s="10" t="s">
        <v>137</v>
      </c>
    </row>
    <row r="18" customFormat="false" ht="15" hidden="false" customHeight="false" outlineLevel="0" collapsed="false">
      <c r="A18" s="10" t="s">
        <v>158</v>
      </c>
      <c r="B18" s="56" t="n">
        <v>0.9648</v>
      </c>
      <c r="C18" s="2"/>
      <c r="D18" s="2"/>
      <c r="E18" s="2"/>
      <c r="F18" s="10" t="s">
        <v>148</v>
      </c>
      <c r="G18" s="2"/>
      <c r="H18" s="2"/>
      <c r="I18" s="2"/>
      <c r="J18" s="2"/>
      <c r="K18" s="2"/>
      <c r="L18" s="10" t="s">
        <v>138</v>
      </c>
    </row>
    <row r="19" customFormat="false" ht="15" hidden="false" customHeight="false" outlineLevel="0" collapsed="false">
      <c r="A19" s="10" t="s">
        <v>159</v>
      </c>
      <c r="B19" s="56"/>
      <c r="C19" s="2"/>
      <c r="D19" s="2"/>
      <c r="E19" s="2"/>
      <c r="F19" s="10" t="s">
        <v>92</v>
      </c>
      <c r="G19" s="2"/>
      <c r="H19" s="2"/>
      <c r="I19" s="2"/>
      <c r="J19" s="2"/>
      <c r="K19" s="2"/>
      <c r="L19" s="10" t="s">
        <v>139</v>
      </c>
    </row>
    <row r="20" customFormat="false" ht="15" hidden="false" customHeight="false" outlineLevel="0" collapsed="false">
      <c r="A20" s="10" t="s">
        <v>160</v>
      </c>
      <c r="B20" s="56" t="n">
        <v>0.9584</v>
      </c>
      <c r="C20" s="2"/>
      <c r="D20" s="2"/>
      <c r="E20" s="2"/>
      <c r="F20" s="10" t="s">
        <v>149</v>
      </c>
      <c r="G20" s="2"/>
      <c r="H20" s="2"/>
      <c r="I20" s="2"/>
      <c r="J20" s="2"/>
      <c r="K20" s="2"/>
      <c r="L20" s="10" t="s">
        <v>140</v>
      </c>
    </row>
    <row r="21" customFormat="false" ht="15" hidden="false" customHeight="false" outlineLevel="0" collapsed="false">
      <c r="A21" s="10" t="s">
        <v>161</v>
      </c>
      <c r="B21" s="56" t="n">
        <v>0.9444</v>
      </c>
      <c r="C21" s="2"/>
      <c r="D21" s="2"/>
      <c r="E21" s="2"/>
      <c r="F21" s="10" t="s">
        <v>150</v>
      </c>
      <c r="G21" s="2"/>
      <c r="H21" s="2"/>
      <c r="I21" s="2"/>
      <c r="J21" s="2"/>
      <c r="K21" s="2"/>
      <c r="L21" s="10" t="s">
        <v>141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10" t="s">
        <v>151</v>
      </c>
      <c r="G22" s="2"/>
      <c r="H22" s="2"/>
      <c r="I22" s="2"/>
      <c r="J22" s="2"/>
      <c r="K22" s="2"/>
      <c r="L22" s="10" t="s">
        <v>142</v>
      </c>
    </row>
    <row r="23" customFormat="false" ht="15" hidden="false" customHeight="false" outlineLevel="0" collapsed="false">
      <c r="A23" s="18" t="s">
        <v>242</v>
      </c>
      <c r="B23" s="2"/>
      <c r="C23" s="2"/>
      <c r="D23" s="2"/>
      <c r="E23" s="2"/>
      <c r="F23" s="10" t="s">
        <v>152</v>
      </c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18" t="s">
        <v>243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2026-09-24T19:49:48Z</dcterms:created>
  <dc:creator>openpyxl</dc:creator>
  <dc:description/>
  <dc:language>en-US</dc:language>
  <cp:lastModifiedBy/>
  <dcterms:modified xsi:type="dcterms:W3CDTF">2026-09-24T19:49:53Z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