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Ordenes" sheetId="2" state="visible" r:id="rId2"/>
    <sheet name="Carta mensual" sheetId="3" state="visible" r:id="rId3"/>
    <sheet name="Carta semanal" sheetId="4" state="visible" r:id="rId4"/>
    <sheet name="Carta diaria" sheetId="5" state="visible" r:id="rId5"/>
    <sheet name="Grupo x mes" sheetId="6" state="visible" r:id="rId6"/>
    <sheet name="Grupo x semana" sheetId="7" state="visible" r:id="rId7"/>
    <sheet name="Grupo x día" sheetId="8" state="visible" r:id="rId8"/>
    <sheet name="Ranking productos" sheetId="9" state="visible" r:id="rId9"/>
    <sheet name="A corregir" sheetId="10" state="visible" r:id="rId10"/>
    <sheet name="Product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"/>
    <numFmt numFmtId="166" formatCode="dd-mm-yyyy hh:mm"/>
    <numFmt numFmtId="167" formatCode="dd-mm-yyyy"/>
    <numFmt numFmtId="168" formatCode="0.0%"/>
    <numFmt numFmtId="169" formatCode="+0.00&quot; pp&quot;;-0.00&quot; pp&quot;;0.00&quot; pp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B2B2B"/>
      <sz val="14"/>
    </font>
    <font>
      <name val="Arial"/>
      <i val="1"/>
      <color rgb="006F6E69"/>
      <sz val="9"/>
    </font>
    <font>
      <name val="Arial"/>
      <b val="1"/>
      <sz val="10"/>
    </font>
    <font>
      <name val="Arial"/>
      <b val="1"/>
      <color rgb="000000FF"/>
      <sz val="10"/>
    </font>
    <font>
      <name val="Arial"/>
      <b val="1"/>
      <color rgb="00D03B3B"/>
    </font>
    <font>
      <name val="Arial"/>
      <b val="1"/>
      <sz val="12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E1E0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8" fillId="0" borderId="0" pivotButton="0" quotePrefix="0" xfId="0"/>
    <xf numFmtId="169" fontId="8" fillId="0" borderId="0" pivotButton="0" quotePrefix="0" xfId="0"/>
    <xf numFmtId="3" fontId="8" fillId="0" borderId="0" pivotButton="0" quotePrefix="0" xfId="0"/>
    <xf numFmtId="1" fontId="8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2" fillId="0" borderId="0" pivotButton="0" quotePrefix="0" xfId="0"/>
    <xf numFmtId="167" fontId="2" fillId="0" borderId="0" pivotButton="0" quotePrefix="0" xfId="0"/>
    <xf numFmtId="3" fontId="2" fillId="0" borderId="0" pivotButton="0" quotePrefix="0" xfId="0"/>
    <xf numFmtId="10" fontId="2" fillId="0" borderId="0" pivotButton="0" quotePrefix="0" xfId="0"/>
    <xf numFmtId="168" fontId="2" fillId="0" borderId="0" pivotButton="0" quotePrefix="0" xfId="0"/>
    <xf numFmtId="0" fontId="6" fillId="3" borderId="0" pivotButton="0" quotePrefix="0" xfId="0"/>
    <xf numFmtId="10" fontId="5" fillId="0" borderId="0" pivotButton="0" quotePrefix="0" xfId="0"/>
    <xf numFmtId="0" fontId="2" fillId="0" borderId="1" pivotButton="0" quotePrefix="0" xfId="0"/>
    <xf numFmtId="3" fontId="2" fillId="0" borderId="1" pivotButton="0" quotePrefix="0" xfId="0"/>
    <xf numFmtId="10" fontId="2" fillId="0" borderId="1" pivotButton="0" quotePrefix="0" xfId="0"/>
    <xf numFmtId="169" fontId="2" fillId="0" borderId="1" pivotButton="0" quotePrefix="0" xfId="0"/>
    <xf numFmtId="167" fontId="2" fillId="0" borderId="1" pivotButton="0" quotePrefix="0" xfId="0"/>
    <xf numFmtId="3" fontId="5" fillId="0" borderId="0" pivotButton="0" quotePrefix="0" xfId="0"/>
    <xf numFmtId="10" fontId="5" fillId="0" borderId="1" pivotButton="0" quotePrefix="0" xfId="0"/>
    <xf numFmtId="169" fontId="2" fillId="0" borderId="0" pivotButton="0" quotePrefix="0" xfId="0"/>
    <xf numFmtId="10" fontId="7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7DA"/>
        </patternFill>
      </fill>
    </dxf>
    <dxf>
      <font>
        <name val="Arial"/>
        <b val="1"/>
        <color rgb="00D03B3B"/>
      </font>
      <fill>
        <patternFill patternType="solid">
          <fgColor rgb="00F8D7DA"/>
        </patternFill>
      </fill>
    </dxf>
    <dxf>
      <font>
        <name val="Arial"/>
        <color rgb="00D03B3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Carta de control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'Carta mensual'!G15</f>
            </strRef>
          </tx>
          <spPr>
            <a:ln w="22000">
              <a:solidFill>
                <a:srgbClr val="2B2B2B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dLbls>
            <numFmt formatCode="0.0%"/>
            <dLblPos val="t"/>
            <showLegendKey val="0"/>
            <showVal val="1"/>
            <showCatName val="0"/>
            <showSerName val="0"/>
          </dLbls>
          <cat>
            <numRef>
              <f>'Carta mensual'!$A$16:$A$24</f>
            </numRef>
          </cat>
          <val>
            <numRef>
              <f>'Carta mensual'!$G$16:$G$24</f>
            </numRef>
          </val>
          <smooth val="0"/>
        </ser>
        <ser>
          <idx val="1"/>
          <order val="1"/>
          <tx>
            <strRef>
              <f>'Carta mensual'!K15</f>
            </strRef>
          </tx>
          <spPr>
            <a:ln w="15000">
              <a:solidFill>
                <a:srgbClr val="8987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'Carta mensual'!$A$16:$A$24</f>
            </numRef>
          </cat>
          <val>
            <numRef>
              <f>'Carta mensual'!$K$16:$K$24</f>
            </numRef>
          </val>
          <smooth val="0"/>
        </ser>
        <ser>
          <idx val="2"/>
          <order val="2"/>
          <tx>
            <strRef>
              <f>'Carta mensual'!L15</f>
            </strRef>
          </tx>
          <spPr>
            <a:ln w="15000">
              <a:solidFill>
                <a:srgbClr val="C8102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'Carta mensual'!$A$16:$A$24</f>
            </numRef>
          </cat>
          <val>
            <numRef>
              <f>'Carta mensual'!$L$16:$L$24</f>
            </numRef>
          </val>
          <smooth val="0"/>
        </ser>
        <ser>
          <idx val="3"/>
          <order val="3"/>
          <tx>
            <strRef>
              <f>'Carta mensual'!M15</f>
            </strRef>
          </tx>
          <spPr>
            <a:ln w="15000">
              <a:solidFill>
                <a:srgbClr val="C8102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'Carta mensual'!$A$16:$A$24</f>
            </numRef>
          </cat>
          <val>
            <numRef>
              <f>'Carta mensual'!$M$16:$M$24</f>
            </numRef>
          </val>
          <smooth val="0"/>
        </ser>
        <ser>
          <idx val="4"/>
          <order val="4"/>
          <tx>
            <strRef>
              <f>'Carta mensual'!H15</f>
            </strRef>
          </tx>
          <spPr>
            <a:ln w="15000">
              <a:solidFill>
                <a:srgbClr val="1BAF7A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'Carta mensual'!$A$16:$A$24</f>
            </numRef>
          </cat>
          <val>
            <numRef>
              <f>'Carta mensual'!$H$16:$H$24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Rend. met.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Carta de control semanal</a:t>
            </a:r>
          </a:p>
        </rich>
      </tx>
    </title>
    <plotArea>
      <lineChart>
        <grouping val="standard"/>
        <ser>
          <idx val="0"/>
          <order val="0"/>
          <tx>
            <strRef>
              <f>'Carta semanal'!G15</f>
            </strRef>
          </tx>
          <spPr>
            <a:ln w="22000">
              <a:solidFill>
                <a:srgbClr val="2B2B2B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dLbls>
            <numFmt formatCode="0.0%"/>
            <dLblPos val="t"/>
            <showLegendKey val="0"/>
            <showVal val="1"/>
            <showCatName val="0"/>
            <showSerName val="0"/>
          </dLbls>
          <cat>
            <numRef>
              <f>'Carta semanal'!$A$16:$A$53</f>
            </numRef>
          </cat>
          <val>
            <numRef>
              <f>'Carta semanal'!$G$16:$G$53</f>
            </numRef>
          </val>
          <smooth val="0"/>
        </ser>
        <ser>
          <idx val="1"/>
          <order val="1"/>
          <tx>
            <strRef>
              <f>'Carta semanal'!K15</f>
            </strRef>
          </tx>
          <spPr>
            <a:ln w="15000">
              <a:solidFill>
                <a:srgbClr val="8987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'Carta semanal'!$A$16:$A$53</f>
            </numRef>
          </cat>
          <val>
            <numRef>
              <f>'Carta semanal'!$K$16:$K$53</f>
            </numRef>
          </val>
          <smooth val="0"/>
        </ser>
        <ser>
          <idx val="2"/>
          <order val="2"/>
          <tx>
            <strRef>
              <f>'Carta semanal'!L15</f>
            </strRef>
          </tx>
          <spPr>
            <a:ln w="15000">
              <a:solidFill>
                <a:srgbClr val="C8102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'Carta semanal'!$A$16:$A$53</f>
            </numRef>
          </cat>
          <val>
            <numRef>
              <f>'Carta semanal'!$L$16:$L$53</f>
            </numRef>
          </val>
          <smooth val="0"/>
        </ser>
        <ser>
          <idx val="3"/>
          <order val="3"/>
          <tx>
            <strRef>
              <f>'Carta semanal'!M15</f>
            </strRef>
          </tx>
          <spPr>
            <a:ln w="15000">
              <a:solidFill>
                <a:srgbClr val="C8102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'Carta semanal'!$A$16:$A$53</f>
            </numRef>
          </cat>
          <val>
            <numRef>
              <f>'Carta semanal'!$M$16:$M$53</f>
            </numRef>
          </val>
          <smooth val="0"/>
        </ser>
        <ser>
          <idx val="4"/>
          <order val="4"/>
          <tx>
            <strRef>
              <f>'Carta semanal'!H15</f>
            </strRef>
          </tx>
          <spPr>
            <a:ln w="15000">
              <a:solidFill>
                <a:srgbClr val="1BAF7A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'Carta semanal'!$A$16:$A$53</f>
            </numRef>
          </cat>
          <val>
            <numRef>
              <f>'Carta semanal'!$H$16:$H$53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Rend. met.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Carta de control diaria</a:t>
            </a:r>
          </a:p>
        </rich>
      </tx>
    </title>
    <plotArea>
      <lineChart>
        <grouping val="standard"/>
        <ser>
          <idx val="0"/>
          <order val="0"/>
          <tx>
            <strRef>
              <f>'Carta diaria'!G15</f>
            </strRef>
          </tx>
          <spPr>
            <a:ln w="22000">
              <a:solidFill>
                <a:srgbClr val="2B2B2B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dLbls>
            <numFmt formatCode="0.0%"/>
            <dLblPos val="t"/>
            <showLegendKey val="0"/>
            <showVal val="1"/>
            <showCatName val="0"/>
            <showSerName val="0"/>
          </dLbls>
          <cat>
            <numRef>
              <f>'Carta diaria'!$A$16:$A$232</f>
            </numRef>
          </cat>
          <val>
            <numRef>
              <f>'Carta diaria'!$G$16:$G$232</f>
            </numRef>
          </val>
          <smooth val="0"/>
        </ser>
        <ser>
          <idx val="1"/>
          <order val="1"/>
          <tx>
            <strRef>
              <f>'Carta diaria'!K15</f>
            </strRef>
          </tx>
          <spPr>
            <a:ln w="15000">
              <a:solidFill>
                <a:srgbClr val="8987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'Carta diaria'!$A$16:$A$232</f>
            </numRef>
          </cat>
          <val>
            <numRef>
              <f>'Carta diaria'!$K$16:$K$232</f>
            </numRef>
          </val>
          <smooth val="0"/>
        </ser>
        <ser>
          <idx val="2"/>
          <order val="2"/>
          <tx>
            <strRef>
              <f>'Carta diaria'!L15</f>
            </strRef>
          </tx>
          <spPr>
            <a:ln w="15000">
              <a:solidFill>
                <a:srgbClr val="C8102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'Carta diaria'!$A$16:$A$232</f>
            </numRef>
          </cat>
          <val>
            <numRef>
              <f>'Carta diaria'!$L$16:$L$232</f>
            </numRef>
          </val>
          <smooth val="0"/>
        </ser>
        <ser>
          <idx val="3"/>
          <order val="3"/>
          <tx>
            <strRef>
              <f>'Carta diaria'!M15</f>
            </strRef>
          </tx>
          <spPr>
            <a:ln w="15000">
              <a:solidFill>
                <a:srgbClr val="C8102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'Carta diaria'!$A$16:$A$232</f>
            </numRef>
          </cat>
          <val>
            <numRef>
              <f>'Carta diaria'!$M$16:$M$232</f>
            </numRef>
          </val>
          <smooth val="0"/>
        </ser>
        <ser>
          <idx val="4"/>
          <order val="4"/>
          <tx>
            <strRef>
              <f>'Carta diaria'!H15</f>
            </strRef>
          </tx>
          <spPr>
            <a:ln w="15000">
              <a:solidFill>
                <a:srgbClr val="1BAF7A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'Carta diaria'!$A$16:$A$232</f>
            </numRef>
          </cat>
          <val>
            <numRef>
              <f>'Carta diaria'!$H$16:$H$232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Rend. met.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16</col>
      <colOff>0</colOff>
      <row>3</row>
      <rowOff>0</rowOff>
    </from>
    <ext cx="93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16</col>
      <colOff>0</colOff>
      <row>3</row>
      <rowOff>0</rowOff>
    </from>
    <ext cx="19152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16</col>
      <colOff>0</colOff>
      <row>3</row>
      <rowOff>0</rowOff>
    </from>
    <ext cx="85932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rdenes" displayName="Ordenes" ref="A1:Y840" headerRowCount="1">
  <autoFilter ref="A1:Y840"/>
  <tableColumns count="25">
    <tableColumn id="1" name="Orden"/>
    <tableColumn id="2" name="Fecha inicio"/>
    <tableColumn id="3" name="Fecha"/>
    <tableColumn id="4" name="Año"/>
    <tableColumn id="5" name="Mes"/>
    <tableColumn id="6" name="Grupo"/>
    <tableColumn id="7" name="Producto"/>
    <tableColumn id="8" name="Material original (CSV)"/>
    <tableColumn id="9" name="Formato (maestro)"/>
    <tableColumn id="10" name="Código (maestro)"/>
    <tableColumn id="11" name="Diámetro (mm)"/>
    <tableColumn id="12" name="Ancho (mm)"/>
    <tableColumn id="13" name="Espesor (mm)"/>
    <tableColumn id="14" name="Lado (mm)"/>
    <tableColumn id="15" name="Largo (m)"/>
    <tableColumn id="16" name="Kg producidos"/>
    <tableColumn id="17" name="Kg consumidos"/>
    <tableColumn id="18" name="Rend. met."/>
    <tableColumn id="19" name="Meta (Rend_Met)"/>
    <tableColumn id="20" name="Estado"/>
    <tableColumn id="21" name="Pérdida (kg)"/>
    <tableColumn id="22" name="Meta × Kg cons"/>
    <tableColumn id="23" name="Año ISO"/>
    <tableColumn id="24" name="Semana ISO"/>
    <tableColumn id="25" name="Semana"/>
  </tableColumns>
  <tableStyleInfo name="TableStyleLight1" showRowStripes="1"/>
</table>
</file>

<file path=xl/tables/table2.xml><?xml version="1.0" encoding="utf-8"?>
<table xmlns="http://schemas.openxmlformats.org/spreadsheetml/2006/main" id="2" name="Ranking" displayName="Ranking" ref="A4:N224" headerRowCount="1">
  <autoFilter ref="A4:N224"/>
  <tableColumns count="14">
    <tableColumn id="1" name="#"/>
    <tableColumn id="2" name="Grupo"/>
    <tableColumn id="3" name="Producto"/>
    <tableColumn id="4" name="Medidas"/>
    <tableColumn id="5" name="Formato (maestro)"/>
    <tableColumn id="6" name="Largo (m)"/>
    <tableColumn id="7" name="Kg producidos"/>
    <tableColumn id="8" name="Kg consumidos"/>
    <tableColumn id="9" name="Rend. met."/>
    <tableColumn id="10" name="Meta"/>
    <tableColumn id="11" name="vs meta (pp)"/>
    <tableColumn id="12" name="Órdenes válidas"/>
    <tableColumn id="13" name="Órdenes a corregir"/>
    <tableColumn id="14" name="Pérdida (kg)"/>
  </tableColumns>
  <tableStyleInfo name="TableStyleLight1" showRowStripes="1"/>
</table>
</file>

<file path=xl/tables/table3.xml><?xml version="1.0" encoding="utf-8"?>
<table xmlns="http://schemas.openxmlformats.org/spreadsheetml/2006/main" id="3" name="Productos" displayName="Productos" ref="A4:M224" headerRowCount="1">
  <autoFilter ref="A4:M224"/>
  <tableColumns count="13">
    <tableColumn id="1" name="Producto"/>
    <tableColumn id="2" name="Grupo"/>
    <tableColumn id="3" name="Medidas"/>
    <tableColumn id="4" name="Diámetro (mm)"/>
    <tableColumn id="5" name="Ancho (mm)"/>
    <tableColumn id="6" name="Espesor (mm)"/>
    <tableColumn id="7" name="Lado (mm)"/>
    <tableColumn id="8" name="Pulgadas"/>
    <tableColumn id="9" name="Largo (m)"/>
    <tableColumn id="10" name="Largo asumido"/>
    <tableColumn id="11" name="Formato (maestro)"/>
    <tableColumn id="12" name="Código (maestro)"/>
    <tableColumn id="13" name="En maestro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00C8102E"/>
    <outlinePr summaryBelow="1" summaryRight="1"/>
    <pageSetUpPr/>
  </sheetPr>
  <dimension ref="A1:B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Rendimiento metálico</t>
        </is>
      </c>
      <c r="B1" s="2" t="n"/>
    </row>
    <row r="2">
      <c r="A2" s="3" t="inlineStr">
        <is>
          <t>Fuente: Consumo_lotes_de_produccion.csv + Datos_productos.xlsx · generado 24-09-2026 12:17</t>
        </is>
      </c>
      <c r="B2" s="2" t="n"/>
    </row>
    <row r="3">
      <c r="A3" s="2" t="n"/>
      <c r="B3" s="2" t="n"/>
    </row>
    <row r="4">
      <c r="A4" s="4" t="inlineStr">
        <is>
          <t>Rendimiento metálico (ponderado)</t>
        </is>
      </c>
      <c r="B4" s="5">
        <f>SUMIFS(Ordenes!$P$2:$P$840,Ordenes!$T$2:$T$840,"Válida")/SUMIFS(Ordenes!$Q$2:$Q$840,Ordenes!$T$2:$T$840,"Válida")</f>
        <v/>
      </c>
    </row>
    <row r="5">
      <c r="A5" s="4" t="inlineStr">
        <is>
          <t>Meta ponderada</t>
        </is>
      </c>
      <c r="B5" s="5">
        <f>SUMIFS(Ordenes!$V$2:$V$840,Ordenes!$T$2:$T$840,"Válida")/SUMIFS(Ordenes!$Q$2:$Q$840,Ordenes!$T$2:$T$840,"Válida")</f>
        <v/>
      </c>
    </row>
    <row r="6">
      <c r="A6" s="4" t="inlineStr">
        <is>
          <t>Diferencia vs meta (pp)</t>
        </is>
      </c>
      <c r="B6" s="6">
        <f>(B4-B5)*100</f>
        <v/>
      </c>
    </row>
    <row r="7">
      <c r="A7" s="4" t="inlineStr">
        <is>
          <t>Kg producidos</t>
        </is>
      </c>
      <c r="B7" s="7">
        <f>SUMIFS(Ordenes!$P$2:$P$840,Ordenes!$T$2:$T$840,"Válida")</f>
        <v/>
      </c>
    </row>
    <row r="8">
      <c r="A8" s="4" t="inlineStr">
        <is>
          <t>Kg consumidos</t>
        </is>
      </c>
      <c r="B8" s="7">
        <f>SUMIFS(Ordenes!$Q$2:$Q$840,Ordenes!$T$2:$T$840,"Válida")</f>
        <v/>
      </c>
    </row>
    <row r="9">
      <c r="A9" s="4" t="inlineStr">
        <is>
          <t>Pérdida metálica (kg)</t>
        </is>
      </c>
      <c r="B9" s="7">
        <f>B8-B7</f>
        <v/>
      </c>
    </row>
    <row r="10">
      <c r="A10" s="4" t="inlineStr">
        <is>
          <t>Órdenes válidas</t>
        </is>
      </c>
      <c r="B10" s="8">
        <f>COUNTIFS(Ordenes!$T$2:$T$840,"Válida")</f>
        <v/>
      </c>
    </row>
    <row r="11">
      <c r="A11" s="4" t="inlineStr">
        <is>
          <t>Órdenes a corregir (&gt; 100 %)</t>
        </is>
      </c>
      <c r="B11" s="8">
        <f>COUNTIFS(Ordenes!$T$2:$T$840,"A corregir")</f>
        <v/>
      </c>
    </row>
    <row r="12">
      <c r="A12" s="2" t="n"/>
      <c r="B12" s="2" t="n"/>
    </row>
    <row r="13">
      <c r="A13" s="2" t="n"/>
      <c r="B13" s="2" t="n"/>
    </row>
    <row r="14">
      <c r="A14" s="4" t="inlineStr">
        <is>
          <t>Hojas</t>
        </is>
      </c>
      <c r="B14" s="2" t="n"/>
    </row>
    <row r="15">
      <c r="A15" s="9" t="inlineStr">
        <is>
          <t>• Ordenes: todas las órdenes del CSV, con grupo, medidas (mm), largo (m), rendimiento y estado. Base de todo el libro.</t>
        </is>
      </c>
      <c r="B15" s="2" t="n"/>
    </row>
    <row r="16">
      <c r="A16" s="9" t="inlineStr">
        <is>
          <t>• Carta mensual / Carta semanal / Carta diaria: carta de control I-MR con gráfico y el % de cada punto. Las celdas amarillas filtran por grupo o producto.</t>
        </is>
      </c>
      <c r="B16" s="2" t="n"/>
    </row>
    <row r="17">
      <c r="A17" s="9" t="inlineStr">
        <is>
          <t>• Grupo x semana: rendimiento de cada grupo por semana ISO (lunes a domingo), con meta y kg.</t>
        </is>
      </c>
      <c r="B17" s="2" t="n"/>
    </row>
    <row r="18">
      <c r="A18" s="9" t="inlineStr">
        <is>
          <t>• Grupo x día: rendimiento de cada grupo por día, con meta y kg.</t>
        </is>
      </c>
      <c r="B18" s="2" t="n"/>
    </row>
    <row r="19">
      <c r="A19" s="9" t="inlineStr">
        <is>
          <t>• Grupo x mes: rendimiento, kg producidos y meta por grupo y mes.</t>
        </is>
      </c>
      <c r="B19" s="2" t="n"/>
    </row>
    <row r="20">
      <c r="A20" s="9" t="inlineStr">
        <is>
          <t>• Ranking productos: productos de mayor a menor kg producidos.</t>
        </is>
      </c>
      <c r="B20" s="2" t="n"/>
    </row>
    <row r="21">
      <c r="A21" s="9" t="inlineStr">
        <is>
          <t>• A corregir: órdenes sobre 100 %, excluidas de los cálculos.</t>
        </is>
      </c>
      <c r="B21" s="2" t="n"/>
    </row>
    <row r="22">
      <c r="A22" s="9" t="inlineStr">
        <is>
          <t>• Productos: catálogo con medidas y datos del maestro.</t>
        </is>
      </c>
      <c r="B22" s="2" t="n"/>
    </row>
    <row r="23">
      <c r="A23" s="9" t="inlineStr"/>
      <c r="B23" s="2" t="n"/>
    </row>
    <row r="24">
      <c r="A24" s="4" t="inlineStr">
        <is>
          <t>Reglas</t>
        </is>
      </c>
      <c r="B24" s="2" t="n"/>
    </row>
    <row r="25">
      <c r="A25" s="9" t="inlineStr">
        <is>
          <t>• Rend. met. = kg producidos / kg consumidos (sin despunte ni laminilla).</t>
        </is>
      </c>
      <c r="B25" s="2" t="n"/>
    </row>
    <row r="26">
      <c r="A26" s="9" t="inlineStr">
        <is>
          <t>• Rendimiento de un período o grupo = Σ kg producidos / Σ kg consumidos de las órdenes válidas.</t>
        </is>
      </c>
      <c r="B26" s="2" t="n"/>
    </row>
    <row r="27">
      <c r="A27" s="9" t="inlineStr">
        <is>
          <t>• Órdenes &gt; 100 % se marcan «A corregir» y quedan fuera. Si se corrigen los kg en «Ordenes», todo se recalcula.</t>
        </is>
      </c>
      <c r="B27" s="2" t="n"/>
    </row>
    <row r="28">
      <c r="A28" s="9" t="inlineStr">
        <is>
          <t>• Meta = columna Rend_Met del CSV, ponderada por kg consumidos.</t>
        </is>
      </c>
      <c r="B28" s="2" t="n"/>
    </row>
    <row r="29">
      <c r="A29" s="9" t="inlineStr">
        <is>
          <t>• Carta I-MR: LC = rendimiento ponderado, σ = MR̄ / 1,128, LCS/LCI = LC ± 3σ.</t>
        </is>
      </c>
      <c r="B29" s="2" t="n"/>
    </row>
    <row r="30">
      <c r="A30" s="9" t="inlineStr">
        <is>
          <t>• Grupo y largo desde el maestro (Tipo, CORTE T4); si no está, se deducen del nombre. Barra traspaso = Redondo liso; SEMI = mismo producto.</t>
        </is>
      </c>
      <c r="B30" s="2" t="n"/>
    </row>
    <row r="31">
      <c r="A31" s="9" t="inlineStr">
        <is>
          <t>• Pulgadas convertidas a mm (× 25,4). Fecha de la orden = Fecha_inicio.</t>
        </is>
      </c>
      <c r="B31" s="2" t="n"/>
    </row>
    <row r="32">
      <c r="A32" s="9" t="inlineStr"/>
      <c r="B32" s="2" t="n"/>
    </row>
    <row r="33">
      <c r="A33" s="9" t="inlineStr">
        <is>
          <t>Leyenda de colores: celda amarilla con texto azul = dato editable; fondo rosado = requiere atención.</t>
        </is>
      </c>
      <c r="B33" s="2" t="n"/>
    </row>
    <row r="34">
      <c r="A34" s="2" t="n"/>
      <c r="B34" s="2" t="n"/>
    </row>
    <row r="35">
      <c r="A35" s="4" t="inlineStr">
        <is>
          <t>Productos no encontrados en el maestro (clasificados por nombre):</t>
        </is>
      </c>
      <c r="B35" s="2" t="n"/>
    </row>
    <row r="36">
      <c r="A36" s="9" t="inlineStr">
        <is>
          <t>• B HORMIGON R 32MM 12M A630-420HS (N) → B Hormigón</t>
        </is>
      </c>
      <c r="B36" s="2" t="n"/>
    </row>
    <row r="37">
      <c r="A37" s="9" t="inlineStr">
        <is>
          <t>• HEXAGONO 1 1/8' 8MM SAE 1045 (N) → Hexágono</t>
        </is>
      </c>
      <c r="B37" s="2" t="n"/>
    </row>
    <row r="38">
      <c r="A38" s="9" t="inlineStr">
        <is>
          <t>• PLANA 1"X1/8" X 7,315m ASTM A36 (P) → Plana</t>
        </is>
      </c>
      <c r="B38" s="2" t="n"/>
    </row>
    <row r="39">
      <c r="A39" s="9" t="inlineStr">
        <is>
          <t>• PLANA 75X12MM 6M A270ES → Plana</t>
        </is>
      </c>
      <c r="B39" s="2" t="n"/>
    </row>
    <row r="40">
      <c r="A40" s="9" t="inlineStr">
        <is>
          <t>• REDONDO LISO 1' 6M A615 GR60(P) → Redondo liso</t>
        </is>
      </c>
      <c r="B4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4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7" customWidth="1" min="4" max="4"/>
    <col width="6" customWidth="1" min="5" max="5"/>
    <col width="13" customWidth="1" min="6" max="6"/>
    <col width="44" customWidth="1" min="7" max="7"/>
    <col width="44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9" customWidth="1" min="14" max="14"/>
    <col width="9" customWidth="1" min="15" max="15"/>
    <col width="13" customWidth="1" min="16" max="16"/>
    <col width="13" customWidth="1" min="17" max="17"/>
    <col width="10" customWidth="1" min="18" max="18"/>
    <col width="10" customWidth="1" min="19" max="19"/>
    <col width="11" customWidth="1" min="20" max="20"/>
    <col width="11" customWidth="1" min="21" max="21"/>
    <col width="14" customWidth="1" min="22" max="22"/>
    <col width="9" customWidth="1" min="23" max="23"/>
    <col width="9" customWidth="1" min="24" max="24"/>
    <col width="11" customWidth="1" min="25" max="25"/>
  </cols>
  <sheetData>
    <row r="1" ht="30" customHeight="1">
      <c r="A1" s="10" t="inlineStr">
        <is>
          <t>Orden</t>
        </is>
      </c>
      <c r="B1" s="10" t="inlineStr">
        <is>
          <t>Fecha inicio</t>
        </is>
      </c>
      <c r="C1" s="10" t="inlineStr">
        <is>
          <t>Fecha</t>
        </is>
      </c>
      <c r="D1" s="10" t="inlineStr">
        <is>
          <t>Año</t>
        </is>
      </c>
      <c r="E1" s="10" t="inlineStr">
        <is>
          <t>Mes</t>
        </is>
      </c>
      <c r="F1" s="10" t="inlineStr">
        <is>
          <t>Grupo</t>
        </is>
      </c>
      <c r="G1" s="10" t="inlineStr">
        <is>
          <t>Producto</t>
        </is>
      </c>
      <c r="H1" s="10" t="inlineStr">
        <is>
          <t>Material original (CSV)</t>
        </is>
      </c>
      <c r="I1" s="10" t="inlineStr">
        <is>
          <t>Formato (maestro)</t>
        </is>
      </c>
      <c r="J1" s="10" t="inlineStr">
        <is>
          <t>Código (maestro)</t>
        </is>
      </c>
      <c r="K1" s="10" t="inlineStr">
        <is>
          <t>Diámetro (mm)</t>
        </is>
      </c>
      <c r="L1" s="10" t="inlineStr">
        <is>
          <t>Ancho (mm)</t>
        </is>
      </c>
      <c r="M1" s="10" t="inlineStr">
        <is>
          <t>Espesor (mm)</t>
        </is>
      </c>
      <c r="N1" s="10" t="inlineStr">
        <is>
          <t>Lado (mm)</t>
        </is>
      </c>
      <c r="O1" s="10" t="inlineStr">
        <is>
          <t>Largo (m)</t>
        </is>
      </c>
      <c r="P1" s="10" t="inlineStr">
        <is>
          <t>Kg producidos</t>
        </is>
      </c>
      <c r="Q1" s="10" t="inlineStr">
        <is>
          <t>Kg consumidos</t>
        </is>
      </c>
      <c r="R1" s="10" t="inlineStr">
        <is>
          <t>Rend. met.</t>
        </is>
      </c>
      <c r="S1" s="10" t="inlineStr">
        <is>
          <t>Meta (Rend_Met)</t>
        </is>
      </c>
      <c r="T1" s="10" t="inlineStr">
        <is>
          <t>Estado</t>
        </is>
      </c>
      <c r="U1" s="10" t="inlineStr">
        <is>
          <t>Pérdida (kg)</t>
        </is>
      </c>
      <c r="V1" s="10" t="inlineStr">
        <is>
          <t>Meta × Kg cons</t>
        </is>
      </c>
      <c r="W1" s="10" t="inlineStr">
        <is>
          <t>Año ISO</t>
        </is>
      </c>
      <c r="X1" s="10" t="inlineStr">
        <is>
          <t>Semana ISO</t>
        </is>
      </c>
      <c r="Y1" s="10" t="inlineStr">
        <is>
          <t>Semana</t>
        </is>
      </c>
    </row>
    <row r="2">
      <c r="A2" s="9" t="n">
        <v>43046145</v>
      </c>
      <c r="B2" s="11" t="n">
        <v>46024.38253472222</v>
      </c>
      <c r="C2" s="12" t="n">
        <v>46024</v>
      </c>
      <c r="D2" s="9">
        <f>YEAR(C2)</f>
        <v/>
      </c>
      <c r="E2" s="9">
        <f>MONTH(C2)</f>
        <v/>
      </c>
      <c r="F2" s="9" t="inlineStr">
        <is>
          <t>B Hormigón</t>
        </is>
      </c>
      <c r="G2" s="9" t="inlineStr">
        <is>
          <t>B HORMIGON 18MM 12M A630-420H (N)</t>
        </is>
      </c>
      <c r="H2" s="9" t="inlineStr">
        <is>
          <t>B HORMIGON 18MM 12M A630-420H (N)</t>
        </is>
      </c>
      <c r="I2" s="9" t="inlineStr">
        <is>
          <t>RED 18 CR</t>
        </is>
      </c>
      <c r="J2" s="9" t="n">
        <v>110002938</v>
      </c>
      <c r="K2" s="9" t="n">
        <v>18</v>
      </c>
      <c r="L2" s="9" t="n"/>
      <c r="M2" s="9" t="n"/>
      <c r="N2" s="9" t="n"/>
      <c r="O2" s="9" t="n">
        <v>12</v>
      </c>
      <c r="P2" s="13" t="n">
        <v>43702</v>
      </c>
      <c r="Q2" s="13" t="n">
        <v>47480.4</v>
      </c>
      <c r="R2" s="14">
        <f>IFERROR(P2/Q2,"")</f>
        <v/>
      </c>
      <c r="S2" s="15" t="n">
        <v>0.96</v>
      </c>
      <c r="T2" s="9">
        <f>IF(R2&gt;1,"A corregir","Válida")</f>
        <v/>
      </c>
      <c r="U2" s="13">
        <f>Q2-P2</f>
        <v/>
      </c>
      <c r="V2" s="13">
        <f>IF(S2="",0,S2*Q2)</f>
        <v/>
      </c>
      <c r="W2" s="9" t="n">
        <v>2026</v>
      </c>
      <c r="X2" s="9" t="n">
        <v>1</v>
      </c>
      <c r="Y2" s="9" t="inlineStr">
        <is>
          <t>2026-S01</t>
        </is>
      </c>
    </row>
    <row r="3">
      <c r="A3" s="9" t="n">
        <v>43046081</v>
      </c>
      <c r="B3" s="11" t="n">
        <v>46024.45153935185</v>
      </c>
      <c r="C3" s="12" t="n">
        <v>46024</v>
      </c>
      <c r="D3" s="9">
        <f>YEAR(C3)</f>
        <v/>
      </c>
      <c r="E3" s="9">
        <f>MONTH(C3)</f>
        <v/>
      </c>
      <c r="F3" s="9" t="inlineStr">
        <is>
          <t>B Hormigón</t>
        </is>
      </c>
      <c r="G3" s="9" t="inlineStr">
        <is>
          <t>B HORMIGON 18MM 12M A630-420H (N)</t>
        </is>
      </c>
      <c r="H3" s="9" t="inlineStr">
        <is>
          <t>B HORMIGON 18MM 12M A630-420H (N)</t>
        </is>
      </c>
      <c r="I3" s="9" t="inlineStr">
        <is>
          <t>RED 18 CR</t>
        </is>
      </c>
      <c r="J3" s="9" t="n">
        <v>110002938</v>
      </c>
      <c r="K3" s="9" t="n">
        <v>18</v>
      </c>
      <c r="L3" s="9" t="n"/>
      <c r="M3" s="9" t="n"/>
      <c r="N3" s="9" t="n"/>
      <c r="O3" s="9" t="n">
        <v>12</v>
      </c>
      <c r="P3" s="13" t="n">
        <v>125108</v>
      </c>
      <c r="Q3" s="13" t="n">
        <v>133293.6</v>
      </c>
      <c r="R3" s="14">
        <f>IFERROR(P3/Q3,"")</f>
        <v/>
      </c>
      <c r="S3" s="15" t="n">
        <v>0.96</v>
      </c>
      <c r="T3" s="9">
        <f>IF(R3&gt;1,"A corregir","Válida")</f>
        <v/>
      </c>
      <c r="U3" s="13">
        <f>Q3-P3</f>
        <v/>
      </c>
      <c r="V3" s="13">
        <f>IF(S3="",0,S3*Q3)</f>
        <v/>
      </c>
      <c r="W3" s="9" t="n">
        <v>2026</v>
      </c>
      <c r="X3" s="9" t="n">
        <v>1</v>
      </c>
      <c r="Y3" s="9" t="inlineStr">
        <is>
          <t>2026-S01</t>
        </is>
      </c>
    </row>
    <row r="4">
      <c r="A4" s="9" t="n">
        <v>43046082</v>
      </c>
      <c r="B4" s="11" t="n">
        <v>46024.69173611111</v>
      </c>
      <c r="C4" s="12" t="n">
        <v>46024</v>
      </c>
      <c r="D4" s="9">
        <f>YEAR(C4)</f>
        <v/>
      </c>
      <c r="E4" s="9">
        <f>MONTH(C4)</f>
        <v/>
      </c>
      <c r="F4" s="9" t="inlineStr">
        <is>
          <t>B Hormigón</t>
        </is>
      </c>
      <c r="G4" s="9" t="inlineStr">
        <is>
          <t>B HORMIGON 18MM 11M A630-420H (N)</t>
        </is>
      </c>
      <c r="H4" s="9" t="inlineStr">
        <is>
          <t>B HORMIGON 18MM 11M A630-420H (N)</t>
        </is>
      </c>
      <c r="I4" s="9" t="inlineStr">
        <is>
          <t>RED 18 CR</t>
        </is>
      </c>
      <c r="J4" s="9" t="n">
        <v>110002937</v>
      </c>
      <c r="K4" s="9" t="n">
        <v>18</v>
      </c>
      <c r="L4" s="9" t="n"/>
      <c r="M4" s="9" t="n"/>
      <c r="N4" s="9" t="n"/>
      <c r="O4" s="9" t="n">
        <v>11</v>
      </c>
      <c r="P4" s="13" t="n">
        <v>227051</v>
      </c>
      <c r="Q4" s="13" t="n">
        <v>237864</v>
      </c>
      <c r="R4" s="14">
        <f>IFERROR(P4/Q4,"")</f>
        <v/>
      </c>
      <c r="S4" s="15" t="n">
        <v>0.96</v>
      </c>
      <c r="T4" s="9">
        <f>IF(R4&gt;1,"A corregir","Válida")</f>
        <v/>
      </c>
      <c r="U4" s="13">
        <f>Q4-P4</f>
        <v/>
      </c>
      <c r="V4" s="13">
        <f>IF(S4="",0,S4*Q4)</f>
        <v/>
      </c>
      <c r="W4" s="9" t="n">
        <v>2026</v>
      </c>
      <c r="X4" s="9" t="n">
        <v>1</v>
      </c>
      <c r="Y4" s="9" t="inlineStr">
        <is>
          <t>2026-S01</t>
        </is>
      </c>
    </row>
    <row r="5">
      <c r="A5" s="9" t="n">
        <v>43046144</v>
      </c>
      <c r="B5" s="11" t="n">
        <v>46025.15050925926</v>
      </c>
      <c r="C5" s="12" t="n">
        <v>46025</v>
      </c>
      <c r="D5" s="9">
        <f>YEAR(C5)</f>
        <v/>
      </c>
      <c r="E5" s="9">
        <f>MONTH(C5)</f>
        <v/>
      </c>
      <c r="F5" s="9" t="inlineStr">
        <is>
          <t>B Hormigón</t>
        </is>
      </c>
      <c r="G5" s="9" t="inlineStr">
        <is>
          <t>B HORMIGON 18MM 10M A630-420H (N)</t>
        </is>
      </c>
      <c r="H5" s="9" t="inlineStr">
        <is>
          <t>B HORMIGON 18MM 10M A630-420H (N)</t>
        </is>
      </c>
      <c r="I5" s="9" t="inlineStr">
        <is>
          <t>RED 18 CR</t>
        </is>
      </c>
      <c r="J5" s="9" t="n">
        <v>110002924</v>
      </c>
      <c r="K5" s="9" t="n">
        <v>18</v>
      </c>
      <c r="L5" s="9" t="n"/>
      <c r="M5" s="9" t="n"/>
      <c r="N5" s="9" t="n"/>
      <c r="O5" s="9" t="n">
        <v>10</v>
      </c>
      <c r="P5" s="13" t="n">
        <v>42168</v>
      </c>
      <c r="Q5" s="13" t="n">
        <v>44880</v>
      </c>
      <c r="R5" s="14">
        <f>IFERROR(P5/Q5,"")</f>
        <v/>
      </c>
      <c r="S5" s="15" t="n">
        <v>0.96</v>
      </c>
      <c r="T5" s="9">
        <f>IF(R5&gt;1,"A corregir","Válida")</f>
        <v/>
      </c>
      <c r="U5" s="13">
        <f>Q5-P5</f>
        <v/>
      </c>
      <c r="V5" s="13">
        <f>IF(S5="",0,S5*Q5)</f>
        <v/>
      </c>
      <c r="W5" s="9" t="n">
        <v>2026</v>
      </c>
      <c r="X5" s="9" t="n">
        <v>1</v>
      </c>
      <c r="Y5" s="9" t="inlineStr">
        <is>
          <t>2026-S01</t>
        </is>
      </c>
    </row>
    <row r="6">
      <c r="A6" s="9" t="n">
        <v>43046083</v>
      </c>
      <c r="B6" s="11" t="n">
        <v>46025.22975694444</v>
      </c>
      <c r="C6" s="12" t="n">
        <v>46025</v>
      </c>
      <c r="D6" s="9">
        <f>YEAR(C6)</f>
        <v/>
      </c>
      <c r="E6" s="9">
        <f>MONTH(C6)</f>
        <v/>
      </c>
      <c r="F6" s="9" t="inlineStr">
        <is>
          <t>B Hormigón</t>
        </is>
      </c>
      <c r="G6" s="9" t="inlineStr">
        <is>
          <t>B HORMIGON 18MM 9M A630-420H (N)</t>
        </is>
      </c>
      <c r="H6" s="9" t="inlineStr">
        <is>
          <t>B HORMIGON 18MM 9M A630-420H (N)</t>
        </is>
      </c>
      <c r="I6" s="9" t="inlineStr">
        <is>
          <t>RED 18 CR</t>
        </is>
      </c>
      <c r="J6" s="9" t="n">
        <v>110002951</v>
      </c>
      <c r="K6" s="9" t="n">
        <v>18</v>
      </c>
      <c r="L6" s="9" t="n"/>
      <c r="M6" s="9" t="n"/>
      <c r="N6" s="9" t="n"/>
      <c r="O6" s="9" t="n">
        <v>9</v>
      </c>
      <c r="P6" s="13" t="n">
        <v>55745</v>
      </c>
      <c r="Q6" s="13" t="n">
        <v>59241.6</v>
      </c>
      <c r="R6" s="14">
        <f>IFERROR(P6/Q6,"")</f>
        <v/>
      </c>
      <c r="S6" s="15" t="n">
        <v>0.9590000000000001</v>
      </c>
      <c r="T6" s="9">
        <f>IF(R6&gt;1,"A corregir","Válida")</f>
        <v/>
      </c>
      <c r="U6" s="13">
        <f>Q6-P6</f>
        <v/>
      </c>
      <c r="V6" s="13">
        <f>IF(S6="",0,S6*Q6)</f>
        <v/>
      </c>
      <c r="W6" s="9" t="n">
        <v>2026</v>
      </c>
      <c r="X6" s="9" t="n">
        <v>1</v>
      </c>
      <c r="Y6" s="9" t="inlineStr">
        <is>
          <t>2026-S01</t>
        </is>
      </c>
    </row>
    <row r="7">
      <c r="A7" s="9" t="n">
        <v>43046084</v>
      </c>
      <c r="B7" s="11" t="n">
        <v>46025.35447916666</v>
      </c>
      <c r="C7" s="12" t="n">
        <v>46025</v>
      </c>
      <c r="D7" s="9">
        <f>YEAR(C7)</f>
        <v/>
      </c>
      <c r="E7" s="9">
        <f>MONTH(C7)</f>
        <v/>
      </c>
      <c r="F7" s="9" t="inlineStr">
        <is>
          <t>B Hormigón</t>
        </is>
      </c>
      <c r="G7" s="9" t="inlineStr">
        <is>
          <t>B HORMIGON 18MM 8M A630-420H (N)</t>
        </is>
      </c>
      <c r="H7" s="9" t="inlineStr">
        <is>
          <t>B HORMIGON 18MM 8M A630-420H (N)</t>
        </is>
      </c>
      <c r="I7" s="9" t="inlineStr">
        <is>
          <t>RED 18 CR</t>
        </is>
      </c>
      <c r="J7" s="9" t="n">
        <v>110002952</v>
      </c>
      <c r="K7" s="9" t="n">
        <v>18</v>
      </c>
      <c r="L7" s="9" t="n"/>
      <c r="M7" s="9" t="n"/>
      <c r="N7" s="9" t="n"/>
      <c r="O7" s="9" t="n">
        <v>8</v>
      </c>
      <c r="P7" s="13" t="n">
        <v>22669</v>
      </c>
      <c r="Q7" s="13" t="n">
        <v>24235.2</v>
      </c>
      <c r="R7" s="14">
        <f>IFERROR(P7/Q7,"")</f>
        <v/>
      </c>
      <c r="S7" s="15" t="n">
        <v>0.96</v>
      </c>
      <c r="T7" s="9">
        <f>IF(R7&gt;1,"A corregir","Válida")</f>
        <v/>
      </c>
      <c r="U7" s="13">
        <f>Q7-P7</f>
        <v/>
      </c>
      <c r="V7" s="13">
        <f>IF(S7="",0,S7*Q7)</f>
        <v/>
      </c>
      <c r="W7" s="9" t="n">
        <v>2026</v>
      </c>
      <c r="X7" s="9" t="n">
        <v>1</v>
      </c>
      <c r="Y7" s="9" t="inlineStr">
        <is>
          <t>2026-S01</t>
        </is>
      </c>
    </row>
    <row r="8">
      <c r="A8" s="9" t="n">
        <v>43046085</v>
      </c>
      <c r="B8" s="11" t="n">
        <v>46025.40769675926</v>
      </c>
      <c r="C8" s="12" t="n">
        <v>46025</v>
      </c>
      <c r="D8" s="9">
        <f>YEAR(C8)</f>
        <v/>
      </c>
      <c r="E8" s="9">
        <f>MONTH(C8)</f>
        <v/>
      </c>
      <c r="F8" s="9" t="inlineStr">
        <is>
          <t>B Hormigón</t>
        </is>
      </c>
      <c r="G8" s="9" t="inlineStr">
        <is>
          <t>B HORMIGON 18MM 7M A630-420H (N)</t>
        </is>
      </c>
      <c r="H8" s="9" t="inlineStr">
        <is>
          <t>B HORMIGON 18MM 7M A630-420H (N)</t>
        </is>
      </c>
      <c r="I8" s="9" t="inlineStr">
        <is>
          <t>RED 18 CR</t>
        </is>
      </c>
      <c r="J8" s="9" t="n">
        <v>110002940</v>
      </c>
      <c r="K8" s="9" t="n">
        <v>18</v>
      </c>
      <c r="L8" s="9" t="n"/>
      <c r="M8" s="9" t="n"/>
      <c r="N8" s="9" t="n"/>
      <c r="O8" s="9" t="n">
        <v>7</v>
      </c>
      <c r="P8" s="13" t="n">
        <v>31676</v>
      </c>
      <c r="Q8" s="13" t="n">
        <v>33660</v>
      </c>
      <c r="R8" s="14">
        <f>IFERROR(P8/Q8,"")</f>
        <v/>
      </c>
      <c r="S8" s="15" t="n">
        <v>0.9590000000000001</v>
      </c>
      <c r="T8" s="9">
        <f>IF(R8&gt;1,"A corregir","Válida")</f>
        <v/>
      </c>
      <c r="U8" s="13">
        <f>Q8-P8</f>
        <v/>
      </c>
      <c r="V8" s="13">
        <f>IF(S8="",0,S8*Q8)</f>
        <v/>
      </c>
      <c r="W8" s="9" t="n">
        <v>2026</v>
      </c>
      <c r="X8" s="9" t="n">
        <v>1</v>
      </c>
      <c r="Y8" s="9" t="inlineStr">
        <is>
          <t>2026-S01</t>
        </is>
      </c>
    </row>
    <row r="9">
      <c r="A9" s="9" t="n">
        <v>43046086</v>
      </c>
      <c r="B9" s="11" t="n">
        <v>46025.46818287037</v>
      </c>
      <c r="C9" s="12" t="n">
        <v>46025</v>
      </c>
      <c r="D9" s="9">
        <f>YEAR(C9)</f>
        <v/>
      </c>
      <c r="E9" s="9">
        <f>MONTH(C9)</f>
        <v/>
      </c>
      <c r="F9" s="9" t="inlineStr">
        <is>
          <t>B Hormigón</t>
        </is>
      </c>
      <c r="G9" s="9" t="inlineStr">
        <is>
          <t>B HORMIGON 18MM 6M A630-420H (N)</t>
        </is>
      </c>
      <c r="H9" s="9" t="inlineStr">
        <is>
          <t>B HORMIGON 18MM 6M A630-420H (N)</t>
        </is>
      </c>
      <c r="I9" s="9" t="inlineStr">
        <is>
          <t>RED 18 CR</t>
        </is>
      </c>
      <c r="J9" s="9" t="n">
        <v>110002942</v>
      </c>
      <c r="K9" s="9" t="n">
        <v>18</v>
      </c>
      <c r="L9" s="9" t="n"/>
      <c r="M9" s="9" t="n"/>
      <c r="N9" s="9" t="n"/>
      <c r="O9" s="9" t="n">
        <v>6</v>
      </c>
      <c r="P9" s="13" t="n">
        <v>80445</v>
      </c>
      <c r="Q9" s="13" t="n">
        <v>84823.2</v>
      </c>
      <c r="R9" s="14">
        <f>IFERROR(P9/Q9,"")</f>
        <v/>
      </c>
      <c r="S9" s="15" t="n">
        <v>0.96</v>
      </c>
      <c r="T9" s="9">
        <f>IF(R9&gt;1,"A corregir","Válida")</f>
        <v/>
      </c>
      <c r="U9" s="13">
        <f>Q9-P9</f>
        <v/>
      </c>
      <c r="V9" s="13">
        <f>IF(S9="",0,S9*Q9)</f>
        <v/>
      </c>
      <c r="W9" s="9" t="n">
        <v>2026</v>
      </c>
      <c r="X9" s="9" t="n">
        <v>1</v>
      </c>
      <c r="Y9" s="9" t="inlineStr">
        <is>
          <t>2026-S01</t>
        </is>
      </c>
    </row>
    <row r="10">
      <c r="A10" s="9" t="n">
        <v>43046087</v>
      </c>
      <c r="B10" s="11" t="n">
        <v>46025.65267361111</v>
      </c>
      <c r="C10" s="12" t="n">
        <v>46025</v>
      </c>
      <c r="D10" s="9">
        <f>YEAR(C10)</f>
        <v/>
      </c>
      <c r="E10" s="9">
        <f>MONTH(C10)</f>
        <v/>
      </c>
      <c r="F10" s="9" t="inlineStr">
        <is>
          <t>B Hormigón</t>
        </is>
      </c>
      <c r="G10" s="9" t="inlineStr">
        <is>
          <t>B HORMIGON 18MM 12M A630-420HS (N)</t>
        </is>
      </c>
      <c r="H10" s="9" t="inlineStr">
        <is>
          <t>B HORMIGON 18MM 12M A630-420HS (N)</t>
        </is>
      </c>
      <c r="I10" s="9" t="inlineStr">
        <is>
          <t>RED 18 CR</t>
        </is>
      </c>
      <c r="J10" s="9" t="n">
        <v>110007120</v>
      </c>
      <c r="K10" s="9" t="n">
        <v>18</v>
      </c>
      <c r="L10" s="9" t="n"/>
      <c r="M10" s="9" t="n"/>
      <c r="N10" s="9" t="n"/>
      <c r="O10" s="9" t="n">
        <v>12</v>
      </c>
      <c r="P10" s="13" t="n">
        <v>134976</v>
      </c>
      <c r="Q10" s="13" t="n">
        <v>143616</v>
      </c>
      <c r="R10" s="14">
        <f>IFERROR(P10/Q10,"")</f>
        <v/>
      </c>
      <c r="S10" s="15" t="n">
        <v>0.95</v>
      </c>
      <c r="T10" s="9">
        <f>IF(R10&gt;1,"A corregir","Válida")</f>
        <v/>
      </c>
      <c r="U10" s="13">
        <f>Q10-P10</f>
        <v/>
      </c>
      <c r="V10" s="13">
        <f>IF(S10="",0,S10*Q10)</f>
        <v/>
      </c>
      <c r="W10" s="9" t="n">
        <v>2026</v>
      </c>
      <c r="X10" s="9" t="n">
        <v>1</v>
      </c>
      <c r="Y10" s="9" t="inlineStr">
        <is>
          <t>2026-S01</t>
        </is>
      </c>
    </row>
    <row r="11">
      <c r="A11" s="9" t="n">
        <v>43046088</v>
      </c>
      <c r="B11" s="11" t="n">
        <v>46027.27679398148</v>
      </c>
      <c r="C11" s="12" t="n">
        <v>46027</v>
      </c>
      <c r="D11" s="9">
        <f>YEAR(C11)</f>
        <v/>
      </c>
      <c r="E11" s="9">
        <f>MONTH(C11)</f>
        <v/>
      </c>
      <c r="F11" s="9" t="inlineStr">
        <is>
          <t>B Hormigón</t>
        </is>
      </c>
      <c r="G11" s="9" t="inlineStr">
        <is>
          <t>B HORMIGON 18MM 11M A630-420HS (N)</t>
        </is>
      </c>
      <c r="H11" s="9" t="inlineStr">
        <is>
          <t>B HORMIGON 18MM 11M A630-420HS (N)</t>
        </is>
      </c>
      <c r="I11" s="9" t="inlineStr">
        <is>
          <t>RED 18 CR</t>
        </is>
      </c>
      <c r="J11" s="9" t="n">
        <v>110007314</v>
      </c>
      <c r="K11" s="9" t="n">
        <v>18</v>
      </c>
      <c r="L11" s="9" t="n"/>
      <c r="M11" s="9" t="n"/>
      <c r="N11" s="9" t="n"/>
      <c r="O11" s="9" t="n">
        <v>11</v>
      </c>
      <c r="P11" s="13" t="n">
        <v>29326</v>
      </c>
      <c r="Q11" s="13" t="n">
        <v>28723.2</v>
      </c>
      <c r="R11" s="14">
        <f>IFERROR(P11/Q11,"")</f>
        <v/>
      </c>
      <c r="S11" s="15" t="n">
        <v>0.95</v>
      </c>
      <c r="T11" s="9">
        <f>IF(R11&gt;1,"A corregir","Válida")</f>
        <v/>
      </c>
      <c r="U11" s="13">
        <f>Q11-P11</f>
        <v/>
      </c>
      <c r="V11" s="13">
        <f>IF(S11="",0,S11*Q11)</f>
        <v/>
      </c>
      <c r="W11" s="9" t="n">
        <v>2026</v>
      </c>
      <c r="X11" s="9" t="n">
        <v>2</v>
      </c>
      <c r="Y11" s="9" t="inlineStr">
        <is>
          <t>2026-S02</t>
        </is>
      </c>
    </row>
    <row r="12">
      <c r="A12" s="9" t="n">
        <v>43046089</v>
      </c>
      <c r="B12" s="11" t="n">
        <v>46027.46508101852</v>
      </c>
      <c r="C12" s="12" t="n">
        <v>46027</v>
      </c>
      <c r="D12" s="9">
        <f>YEAR(C12)</f>
        <v/>
      </c>
      <c r="E12" s="9">
        <f>MONTH(C12)</f>
        <v/>
      </c>
      <c r="F12" s="9" t="inlineStr">
        <is>
          <t>B Hormigón</t>
        </is>
      </c>
      <c r="G12" s="9" t="inlineStr">
        <is>
          <t>B HORMIGON 32MM 12M A630-420H (N)</t>
        </is>
      </c>
      <c r="H12" s="9" t="inlineStr">
        <is>
          <t>B HORMIGON 32MM 12M A630-420H (N)</t>
        </is>
      </c>
      <c r="I12" s="9" t="inlineStr">
        <is>
          <t>RED 32 CR</t>
        </is>
      </c>
      <c r="J12" s="9" t="n">
        <v>110002900</v>
      </c>
      <c r="K12" s="9" t="n">
        <v>32</v>
      </c>
      <c r="L12" s="9" t="n"/>
      <c r="M12" s="9" t="n"/>
      <c r="N12" s="9" t="n"/>
      <c r="O12" s="9" t="n">
        <v>12</v>
      </c>
      <c r="P12" s="13" t="n">
        <v>198647</v>
      </c>
      <c r="Q12" s="13" t="n">
        <v>214236</v>
      </c>
      <c r="R12" s="14">
        <f>IFERROR(P12/Q12,"")</f>
        <v/>
      </c>
      <c r="S12" s="15" t="n">
        <v>0.96</v>
      </c>
      <c r="T12" s="9">
        <f>IF(R12&gt;1,"A corregir","Válida")</f>
        <v/>
      </c>
      <c r="U12" s="13">
        <f>Q12-P12</f>
        <v/>
      </c>
      <c r="V12" s="13">
        <f>IF(S12="",0,S12*Q12)</f>
        <v/>
      </c>
      <c r="W12" s="9" t="n">
        <v>2026</v>
      </c>
      <c r="X12" s="9" t="n">
        <v>2</v>
      </c>
      <c r="Y12" s="9" t="inlineStr">
        <is>
          <t>2026-S02</t>
        </is>
      </c>
    </row>
    <row r="13">
      <c r="A13" s="9" t="n">
        <v>43046092</v>
      </c>
      <c r="B13" s="11" t="n">
        <v>46028.11731481482</v>
      </c>
      <c r="C13" s="12" t="n">
        <v>46028</v>
      </c>
      <c r="D13" s="9">
        <f>YEAR(C13)</f>
        <v/>
      </c>
      <c r="E13" s="9">
        <f>MONTH(C13)</f>
        <v/>
      </c>
      <c r="F13" s="9" t="inlineStr">
        <is>
          <t>Saferock</t>
        </is>
      </c>
      <c r="G13" s="9" t="inlineStr">
        <is>
          <t>SAFEROCK 25MM 12M A420</t>
        </is>
      </c>
      <c r="H13" s="9" t="inlineStr">
        <is>
          <t>SAFEROCK 25MM 12M A420</t>
        </is>
      </c>
      <c r="I13" s="9" t="inlineStr">
        <is>
          <t>SFR 25</t>
        </is>
      </c>
      <c r="J13" s="9" t="n">
        <v>106025583</v>
      </c>
      <c r="K13" s="9" t="n">
        <v>25</v>
      </c>
      <c r="L13" s="9" t="n"/>
      <c r="M13" s="9" t="n"/>
      <c r="N13" s="9" t="n"/>
      <c r="O13" s="9" t="n">
        <v>12</v>
      </c>
      <c r="P13" s="13" t="n">
        <v>72482</v>
      </c>
      <c r="Q13" s="13" t="n">
        <v>78540</v>
      </c>
      <c r="R13" s="14">
        <f>IFERROR(P13/Q13,"")</f>
        <v/>
      </c>
      <c r="S13" s="15" t="n">
        <v>0.953</v>
      </c>
      <c r="T13" s="9">
        <f>IF(R13&gt;1,"A corregir","Válida")</f>
        <v/>
      </c>
      <c r="U13" s="13">
        <f>Q13-P13</f>
        <v/>
      </c>
      <c r="V13" s="13">
        <f>IF(S13="",0,S13*Q13)</f>
        <v/>
      </c>
      <c r="W13" s="9" t="n">
        <v>2026</v>
      </c>
      <c r="X13" s="9" t="n">
        <v>2</v>
      </c>
      <c r="Y13" s="9" t="inlineStr">
        <is>
          <t>2026-S02</t>
        </is>
      </c>
    </row>
    <row r="14">
      <c r="A14" s="9" t="n">
        <v>43046094</v>
      </c>
      <c r="B14" s="11" t="n">
        <v>46028.25951388889</v>
      </c>
      <c r="C14" s="12" t="n">
        <v>46028</v>
      </c>
      <c r="D14" s="9">
        <f>YEAR(C14)</f>
        <v/>
      </c>
      <c r="E14" s="9">
        <f>MONTH(C14)</f>
        <v/>
      </c>
      <c r="F14" s="9" t="inlineStr">
        <is>
          <t>Saferock</t>
        </is>
      </c>
      <c r="G14" s="9" t="inlineStr">
        <is>
          <t>SAFEROCK 25MM 10,5M A280</t>
        </is>
      </c>
      <c r="H14" s="9" t="inlineStr">
        <is>
          <t>SAFEROCK SEMI 25MM 10,5M A280</t>
        </is>
      </c>
      <c r="I14" s="9" t="inlineStr">
        <is>
          <t>SFR 25</t>
        </is>
      </c>
      <c r="J14" s="9" t="n">
        <v>106503215</v>
      </c>
      <c r="K14" s="9" t="n">
        <v>25</v>
      </c>
      <c r="L14" s="9" t="n"/>
      <c r="M14" s="9" t="n"/>
      <c r="N14" s="9" t="n"/>
      <c r="O14" s="9" t="n">
        <v>10.5</v>
      </c>
      <c r="P14" s="13" t="n">
        <v>77144</v>
      </c>
      <c r="Q14" s="13" t="n">
        <v>81232.8</v>
      </c>
      <c r="R14" s="14">
        <f>IFERROR(P14/Q14,"")</f>
        <v/>
      </c>
      <c r="S14" s="15" t="n">
        <v>0.95</v>
      </c>
      <c r="T14" s="9">
        <f>IF(R14&gt;1,"A corregir","Válida")</f>
        <v/>
      </c>
      <c r="U14" s="13">
        <f>Q14-P14</f>
        <v/>
      </c>
      <c r="V14" s="13">
        <f>IF(S14="",0,S14*Q14)</f>
        <v/>
      </c>
      <c r="W14" s="9" t="n">
        <v>2026</v>
      </c>
      <c r="X14" s="9" t="n">
        <v>2</v>
      </c>
      <c r="Y14" s="9" t="inlineStr">
        <is>
          <t>2026-S02</t>
        </is>
      </c>
    </row>
    <row r="15">
      <c r="A15" s="9" t="n">
        <v>43046091</v>
      </c>
      <c r="B15" s="11" t="n">
        <v>46028.34185185185</v>
      </c>
      <c r="C15" s="12" t="n">
        <v>46028</v>
      </c>
      <c r="D15" s="9">
        <f>YEAR(C15)</f>
        <v/>
      </c>
      <c r="E15" s="9">
        <f>MONTH(C15)</f>
        <v/>
      </c>
      <c r="F15" s="9" t="inlineStr">
        <is>
          <t>Saferock</t>
        </is>
      </c>
      <c r="G15" s="9" t="inlineStr">
        <is>
          <t>SAFEROCK 25MM 11,96M A520</t>
        </is>
      </c>
      <c r="H15" s="9" t="inlineStr">
        <is>
          <t>SAFEROCK 25MM 11,96M A520</t>
        </is>
      </c>
      <c r="I15" s="9" t="inlineStr">
        <is>
          <t>SFR 25</t>
        </is>
      </c>
      <c r="J15" s="9" t="n">
        <v>119505903</v>
      </c>
      <c r="K15" s="9" t="n">
        <v>25</v>
      </c>
      <c r="L15" s="9" t="n"/>
      <c r="M15" s="9" t="n"/>
      <c r="N15" s="9" t="n"/>
      <c r="O15" s="9" t="n">
        <v>6</v>
      </c>
      <c r="P15" s="13" t="n">
        <v>55630</v>
      </c>
      <c r="Q15" s="13" t="n">
        <v>59241.6</v>
      </c>
      <c r="R15" s="14">
        <f>IFERROR(P15/Q15,"")</f>
        <v/>
      </c>
      <c r="S15" s="15" t="n">
        <v>0.97</v>
      </c>
      <c r="T15" s="9">
        <f>IF(R15&gt;1,"A corregir","Válida")</f>
        <v/>
      </c>
      <c r="U15" s="13">
        <f>Q15-P15</f>
        <v/>
      </c>
      <c r="V15" s="13">
        <f>IF(S15="",0,S15*Q15)</f>
        <v/>
      </c>
      <c r="W15" s="9" t="n">
        <v>2026</v>
      </c>
      <c r="X15" s="9" t="n">
        <v>2</v>
      </c>
      <c r="Y15" s="9" t="inlineStr">
        <is>
          <t>2026-S02</t>
        </is>
      </c>
    </row>
    <row r="16">
      <c r="A16" s="9" t="n">
        <v>43046095</v>
      </c>
      <c r="B16" s="11" t="n">
        <v>46028.45083333334</v>
      </c>
      <c r="C16" s="12" t="n">
        <v>46028</v>
      </c>
      <c r="D16" s="9">
        <f>YEAR(C16)</f>
        <v/>
      </c>
      <c r="E16" s="9">
        <f>MONTH(C16)</f>
        <v/>
      </c>
      <c r="F16" s="9" t="inlineStr">
        <is>
          <t>Saferock</t>
        </is>
      </c>
      <c r="G16" s="9" t="inlineStr">
        <is>
          <t>SAFEROCK 25MM 8,4M A520</t>
        </is>
      </c>
      <c r="H16" s="9" t="inlineStr">
        <is>
          <t>SAFEROCK 25MM 8,4M A520</t>
        </is>
      </c>
      <c r="I16" s="9" t="inlineStr">
        <is>
          <t>SFR 25</t>
        </is>
      </c>
      <c r="J16" s="9" t="n">
        <v>119505906</v>
      </c>
      <c r="K16" s="9" t="n">
        <v>25</v>
      </c>
      <c r="L16" s="9" t="n"/>
      <c r="M16" s="9" t="n"/>
      <c r="N16" s="9" t="n"/>
      <c r="O16" s="9" t="n">
        <v>10.8</v>
      </c>
      <c r="P16" s="13" t="n">
        <v>33919</v>
      </c>
      <c r="Q16" s="13" t="n">
        <v>36801.6</v>
      </c>
      <c r="R16" s="14">
        <f>IFERROR(P16/Q16,"")</f>
        <v/>
      </c>
      <c r="S16" s="15" t="n">
        <v>0.97</v>
      </c>
      <c r="T16" s="9">
        <f>IF(R16&gt;1,"A corregir","Válida")</f>
        <v/>
      </c>
      <c r="U16" s="13">
        <f>Q16-P16</f>
        <v/>
      </c>
      <c r="V16" s="13">
        <f>IF(S16="",0,S16*Q16)</f>
        <v/>
      </c>
      <c r="W16" s="9" t="n">
        <v>2026</v>
      </c>
      <c r="X16" s="9" t="n">
        <v>2</v>
      </c>
      <c r="Y16" s="9" t="inlineStr">
        <is>
          <t>2026-S02</t>
        </is>
      </c>
    </row>
    <row r="17">
      <c r="A17" s="9" t="n">
        <v>43046090</v>
      </c>
      <c r="B17" s="11" t="n">
        <v>46028.53416666666</v>
      </c>
      <c r="C17" s="12" t="n">
        <v>46028</v>
      </c>
      <c r="D17" s="9">
        <f>YEAR(C17)</f>
        <v/>
      </c>
      <c r="E17" s="9">
        <f>MONTH(C17)</f>
        <v/>
      </c>
      <c r="F17" s="9" t="inlineStr">
        <is>
          <t>Saferock</t>
        </is>
      </c>
      <c r="G17" s="9" t="inlineStr">
        <is>
          <t>SAFEROCK 25MM 12M A520D</t>
        </is>
      </c>
      <c r="H17" s="9" t="inlineStr">
        <is>
          <t>SAFEROCK 25MM 12M A520D</t>
        </is>
      </c>
      <c r="I17" s="9" t="inlineStr">
        <is>
          <t>SFR 25</t>
        </is>
      </c>
      <c r="J17" s="9" t="n">
        <v>119506719</v>
      </c>
      <c r="K17" s="9" t="n">
        <v>25</v>
      </c>
      <c r="L17" s="9" t="n"/>
      <c r="M17" s="9" t="n"/>
      <c r="N17" s="9" t="n"/>
      <c r="O17" s="9" t="n">
        <v>12</v>
      </c>
      <c r="P17" s="13" t="n">
        <v>23250</v>
      </c>
      <c r="Q17" s="13" t="n">
        <v>24684</v>
      </c>
      <c r="R17" s="14">
        <f>IFERROR(P17/Q17,"")</f>
        <v/>
      </c>
      <c r="S17" s="15" t="n">
        <v>0.97</v>
      </c>
      <c r="T17" s="9">
        <f>IF(R17&gt;1,"A corregir","Válida")</f>
        <v/>
      </c>
      <c r="U17" s="13">
        <f>Q17-P17</f>
        <v/>
      </c>
      <c r="V17" s="13">
        <f>IF(S17="",0,S17*Q17)</f>
        <v/>
      </c>
      <c r="W17" s="9" t="n">
        <v>2026</v>
      </c>
      <c r="X17" s="9" t="n">
        <v>2</v>
      </c>
      <c r="Y17" s="9" t="inlineStr">
        <is>
          <t>2026-S02</t>
        </is>
      </c>
    </row>
    <row r="18">
      <c r="A18" s="9" t="n">
        <v>43046096</v>
      </c>
      <c r="B18" s="11" t="n">
        <v>46028.89761574074</v>
      </c>
      <c r="C18" s="12" t="n">
        <v>46028</v>
      </c>
      <c r="D18" s="9">
        <f>YEAR(C18)</f>
        <v/>
      </c>
      <c r="E18" s="9">
        <f>MONTH(C18)</f>
        <v/>
      </c>
      <c r="F18" s="9" t="inlineStr">
        <is>
          <t>Ángulo</t>
        </is>
      </c>
      <c r="G18" s="9" t="inlineStr">
        <is>
          <t>ANG 75X75X6MM 12M ASTM A572 T2 (N)</t>
        </is>
      </c>
      <c r="H18" s="9" t="inlineStr">
        <is>
          <t>ANG SEMI 75X75X6MM 12M ASTM A572 T2 (N)</t>
        </is>
      </c>
      <c r="I18" s="9" t="inlineStr">
        <is>
          <t>ANG 75 x 6</t>
        </is>
      </c>
      <c r="J18" s="9" t="n">
        <v>119502820</v>
      </c>
      <c r="K18" s="9" t="n"/>
      <c r="L18" s="9" t="n">
        <v>75</v>
      </c>
      <c r="M18" s="9" t="n">
        <v>6</v>
      </c>
      <c r="N18" s="9" t="n"/>
      <c r="O18" s="9" t="n">
        <v>12</v>
      </c>
      <c r="P18" s="13" t="n">
        <v>21894</v>
      </c>
      <c r="Q18" s="13" t="n">
        <v>25581.6</v>
      </c>
      <c r="R18" s="14">
        <f>IFERROR(P18/Q18,"")</f>
        <v/>
      </c>
      <c r="S18" s="15" t="n">
        <v>0.97</v>
      </c>
      <c r="T18" s="9">
        <f>IF(R18&gt;1,"A corregir","Válida")</f>
        <v/>
      </c>
      <c r="U18" s="13">
        <f>Q18-P18</f>
        <v/>
      </c>
      <c r="V18" s="13">
        <f>IF(S18="",0,S18*Q18)</f>
        <v/>
      </c>
      <c r="W18" s="9" t="n">
        <v>2026</v>
      </c>
      <c r="X18" s="9" t="n">
        <v>2</v>
      </c>
      <c r="Y18" s="9" t="inlineStr">
        <is>
          <t>2026-S02</t>
        </is>
      </c>
    </row>
    <row r="19">
      <c r="A19" s="9" t="n">
        <v>43046097</v>
      </c>
      <c r="B19" s="11" t="n">
        <v>46029.0188425926</v>
      </c>
      <c r="C19" s="12" t="n">
        <v>46029</v>
      </c>
      <c r="D19" s="9">
        <f>YEAR(C19)</f>
        <v/>
      </c>
      <c r="E19" s="9">
        <f>MONTH(C19)</f>
        <v/>
      </c>
      <c r="F19" s="9" t="inlineStr">
        <is>
          <t>Ángulo</t>
        </is>
      </c>
      <c r="G19" s="9" t="inlineStr">
        <is>
          <t>ANGULO 80X80X8MM A270ES</t>
        </is>
      </c>
      <c r="H19" s="9" t="inlineStr">
        <is>
          <t>ANGULO SEMI 80X80X8MM A270ES</t>
        </is>
      </c>
      <c r="I19" s="9" t="inlineStr">
        <is>
          <t>ANG 80 x 8</t>
        </is>
      </c>
      <c r="J19" s="9" t="n">
        <v>106501049</v>
      </c>
      <c r="K19" s="9" t="n"/>
      <c r="L19" s="9" t="n">
        <v>80</v>
      </c>
      <c r="M19" s="9" t="n">
        <v>8</v>
      </c>
      <c r="N19" s="9" t="n"/>
      <c r="O19" s="9" t="n">
        <v>6</v>
      </c>
      <c r="P19" s="13" t="n">
        <v>60255</v>
      </c>
      <c r="Q19" s="13" t="n">
        <v>65524.8</v>
      </c>
      <c r="R19" s="14">
        <f>IFERROR(P19/Q19,"")</f>
        <v/>
      </c>
      <c r="S19" s="15" t="n">
        <v>0.9340000000000001</v>
      </c>
      <c r="T19" s="9">
        <f>IF(R19&gt;1,"A corregir","Válida")</f>
        <v/>
      </c>
      <c r="U19" s="13">
        <f>Q19-P19</f>
        <v/>
      </c>
      <c r="V19" s="13">
        <f>IF(S19="",0,S19*Q19)</f>
        <v/>
      </c>
      <c r="W19" s="9" t="n">
        <v>2026</v>
      </c>
      <c r="X19" s="9" t="n">
        <v>2</v>
      </c>
      <c r="Y19" s="9" t="inlineStr">
        <is>
          <t>2026-S02</t>
        </is>
      </c>
    </row>
    <row r="20">
      <c r="A20" s="9" t="n">
        <v>43046098</v>
      </c>
      <c r="B20" s="11" t="n">
        <v>46029.29056712963</v>
      </c>
      <c r="C20" s="12" t="n">
        <v>46029</v>
      </c>
      <c r="D20" s="9">
        <f>YEAR(C20)</f>
        <v/>
      </c>
      <c r="E20" s="9">
        <f>MONTH(C20)</f>
        <v/>
      </c>
      <c r="F20" s="9" t="inlineStr">
        <is>
          <t>Ángulo</t>
        </is>
      </c>
      <c r="G20" s="9" t="inlineStr">
        <is>
          <t>ANGULO 80X80X6MM A270ES</t>
        </is>
      </c>
      <c r="H20" s="9" t="inlineStr">
        <is>
          <t>ANGULO SEMI 80X80X6MM A270ES</t>
        </is>
      </c>
      <c r="I20" s="9" t="inlineStr">
        <is>
          <t>ANG 80 x 6</t>
        </is>
      </c>
      <c r="J20" s="9" t="n">
        <v>106501050</v>
      </c>
      <c r="K20" s="9" t="n"/>
      <c r="L20" s="9" t="n">
        <v>80</v>
      </c>
      <c r="M20" s="9" t="n">
        <v>6</v>
      </c>
      <c r="N20" s="9" t="n"/>
      <c r="O20" s="9" t="n">
        <v>6</v>
      </c>
      <c r="P20" s="13" t="n">
        <v>28006</v>
      </c>
      <c r="Q20" s="13" t="n">
        <v>35904</v>
      </c>
      <c r="R20" s="14">
        <f>IFERROR(P20/Q20,"")</f>
        <v/>
      </c>
      <c r="S20" s="15" t="n">
        <v>0.9490000000000001</v>
      </c>
      <c r="T20" s="9">
        <f>IF(R20&gt;1,"A corregir","Válida")</f>
        <v/>
      </c>
      <c r="U20" s="13">
        <f>Q20-P20</f>
        <v/>
      </c>
      <c r="V20" s="13">
        <f>IF(S20="",0,S20*Q20)</f>
        <v/>
      </c>
      <c r="W20" s="9" t="n">
        <v>2026</v>
      </c>
      <c r="X20" s="9" t="n">
        <v>2</v>
      </c>
      <c r="Y20" s="9" t="inlineStr">
        <is>
          <t>2026-S02</t>
        </is>
      </c>
    </row>
    <row r="21">
      <c r="A21" s="9" t="n">
        <v>43046237</v>
      </c>
      <c r="B21" s="11" t="n">
        <v>46029.76038194444</v>
      </c>
      <c r="C21" s="12" t="n">
        <v>46029</v>
      </c>
      <c r="D21" s="9">
        <f>YEAR(C21)</f>
        <v/>
      </c>
      <c r="E21" s="9">
        <f>MONTH(C21)</f>
        <v/>
      </c>
      <c r="F21" s="9" t="inlineStr">
        <is>
          <t>Plana</t>
        </is>
      </c>
      <c r="G21" s="9" t="inlineStr">
        <is>
          <t>PLANA 25X3MM 6M A270ES (N)</t>
        </is>
      </c>
      <c r="H21" s="9" t="inlineStr">
        <is>
          <t>PLANA 25X3MM 6M A270ES (N)</t>
        </is>
      </c>
      <c r="I21" s="9" t="inlineStr">
        <is>
          <t>PL 25 x 3</t>
        </is>
      </c>
      <c r="J21" s="9" t="n">
        <v>109013858</v>
      </c>
      <c r="K21" s="9" t="n"/>
      <c r="L21" s="9" t="n">
        <v>25</v>
      </c>
      <c r="M21" s="9" t="n">
        <v>3</v>
      </c>
      <c r="N21" s="9" t="n"/>
      <c r="O21" s="9" t="n">
        <v>6</v>
      </c>
      <c r="P21" s="13" t="n">
        <v>60365</v>
      </c>
      <c r="Q21" s="13" t="n">
        <v>65841.60000000001</v>
      </c>
      <c r="R21" s="14">
        <f>IFERROR(P21/Q21,"")</f>
        <v/>
      </c>
      <c r="S21" s="15" t="n">
        <v>0.968</v>
      </c>
      <c r="T21" s="9">
        <f>IF(R21&gt;1,"A corregir","Válida")</f>
        <v/>
      </c>
      <c r="U21" s="13">
        <f>Q21-P21</f>
        <v/>
      </c>
      <c r="V21" s="13">
        <f>IF(S21="",0,S21*Q21)</f>
        <v/>
      </c>
      <c r="W21" s="9" t="n">
        <v>2026</v>
      </c>
      <c r="X21" s="9" t="n">
        <v>2</v>
      </c>
      <c r="Y21" s="9" t="inlineStr">
        <is>
          <t>2026-S02</t>
        </is>
      </c>
    </row>
    <row r="22">
      <c r="A22" s="9" t="n">
        <v>43046238</v>
      </c>
      <c r="B22" s="11" t="n">
        <v>46030.16266203704</v>
      </c>
      <c r="C22" s="12" t="n">
        <v>46030</v>
      </c>
      <c r="D22" s="9">
        <f>YEAR(C22)</f>
        <v/>
      </c>
      <c r="E22" s="9">
        <f>MONTH(C22)</f>
        <v/>
      </c>
      <c r="F22" s="9" t="inlineStr">
        <is>
          <t>Cuadrado</t>
        </is>
      </c>
      <c r="G22" s="9" t="inlineStr">
        <is>
          <t>CUADRADO 10MM 6M COMERCIAL (N)</t>
        </is>
      </c>
      <c r="H22" s="9" t="inlineStr">
        <is>
          <t>CUADRADO 10MM 6M COMERCIAL (N)</t>
        </is>
      </c>
      <c r="I22" s="9" t="inlineStr">
        <is>
          <t>CUAD 10</t>
        </is>
      </c>
      <c r="J22" s="9" t="n">
        <v>109007066</v>
      </c>
      <c r="K22" s="9" t="n"/>
      <c r="L22" s="9" t="n"/>
      <c r="M22" s="9" t="n"/>
      <c r="N22" s="9" t="n">
        <v>10</v>
      </c>
      <c r="O22" s="9" t="n">
        <v>6</v>
      </c>
      <c r="P22" s="13" t="n">
        <v>78534</v>
      </c>
      <c r="Q22" s="13" t="n">
        <v>84216</v>
      </c>
      <c r="R22" s="14">
        <f>IFERROR(P22/Q22,"")</f>
        <v/>
      </c>
      <c r="S22" s="15" t="n">
        <v>0.9670000000000001</v>
      </c>
      <c r="T22" s="9">
        <f>IF(R22&gt;1,"A corregir","Válida")</f>
        <v/>
      </c>
      <c r="U22" s="13">
        <f>Q22-P22</f>
        <v/>
      </c>
      <c r="V22" s="13">
        <f>IF(S22="",0,S22*Q22)</f>
        <v/>
      </c>
      <c r="W22" s="9" t="n">
        <v>2026</v>
      </c>
      <c r="X22" s="9" t="n">
        <v>2</v>
      </c>
      <c r="Y22" s="9" t="inlineStr">
        <is>
          <t>2026-S02</t>
        </is>
      </c>
    </row>
    <row r="23">
      <c r="A23" s="9" t="n">
        <v>43046240</v>
      </c>
      <c r="B23" s="11" t="n">
        <v>46030.4284375</v>
      </c>
      <c r="C23" s="12" t="n">
        <v>46030</v>
      </c>
      <c r="D23" s="9">
        <f>YEAR(C23)</f>
        <v/>
      </c>
      <c r="E23" s="9">
        <f>MONTH(C23)</f>
        <v/>
      </c>
      <c r="F23" s="9" t="inlineStr">
        <is>
          <t>Plana</t>
        </is>
      </c>
      <c r="G23" s="9" t="inlineStr">
        <is>
          <t>PLANA 20X5MM 6M A270ES (N)</t>
        </is>
      </c>
      <c r="H23" s="9" t="inlineStr">
        <is>
          <t>PLANA 20X5MM 6M A270ES (N)</t>
        </is>
      </c>
      <c r="I23" s="9" t="inlineStr">
        <is>
          <t>PL 20 x 5</t>
        </is>
      </c>
      <c r="J23" s="9" t="n">
        <v>119502244</v>
      </c>
      <c r="K23" s="9" t="n"/>
      <c r="L23" s="9" t="n">
        <v>20</v>
      </c>
      <c r="M23" s="9" t="n">
        <v>5</v>
      </c>
      <c r="N23" s="9" t="n"/>
      <c r="O23" s="9" t="n">
        <v>6</v>
      </c>
      <c r="P23" s="13" t="n">
        <v>31293</v>
      </c>
      <c r="Q23" s="13" t="n">
        <v>33303.6</v>
      </c>
      <c r="R23" s="14">
        <f>IFERROR(P23/Q23,"")</f>
        <v/>
      </c>
      <c r="S23" s="15" t="n">
        <v>0.9670000000000001</v>
      </c>
      <c r="T23" s="9">
        <f>IF(R23&gt;1,"A corregir","Válida")</f>
        <v/>
      </c>
      <c r="U23" s="13">
        <f>Q23-P23</f>
        <v/>
      </c>
      <c r="V23" s="13">
        <f>IF(S23="",0,S23*Q23)</f>
        <v/>
      </c>
      <c r="W23" s="9" t="n">
        <v>2026</v>
      </c>
      <c r="X23" s="9" t="n">
        <v>2</v>
      </c>
      <c r="Y23" s="9" t="inlineStr">
        <is>
          <t>2026-S02</t>
        </is>
      </c>
    </row>
    <row r="24">
      <c r="A24" s="9" t="n">
        <v>43046241</v>
      </c>
      <c r="B24" s="11" t="n">
        <v>46030.70481481482</v>
      </c>
      <c r="C24" s="12" t="n">
        <v>46030</v>
      </c>
      <c r="D24" s="9">
        <f>YEAR(C24)</f>
        <v/>
      </c>
      <c r="E24" s="9">
        <f>MONTH(C24)</f>
        <v/>
      </c>
      <c r="F24" s="9" t="inlineStr">
        <is>
          <t>Ángulo</t>
        </is>
      </c>
      <c r="G24" s="9" t="inlineStr">
        <is>
          <t>ANGULO 20X20X3MM A270ES</t>
        </is>
      </c>
      <c r="H24" s="9" t="inlineStr">
        <is>
          <t>ANGULO SEMI 20X20X3MM A270ES</t>
        </is>
      </c>
      <c r="I24" s="9" t="inlineStr">
        <is>
          <t>ANG 20 x 3</t>
        </is>
      </c>
      <c r="J24" s="9" t="n">
        <v>106501016</v>
      </c>
      <c r="K24" s="9" t="n"/>
      <c r="L24" s="9" t="n">
        <v>20</v>
      </c>
      <c r="M24" s="9" t="n">
        <v>3</v>
      </c>
      <c r="N24" s="9" t="n"/>
      <c r="O24" s="9" t="n">
        <v>12</v>
      </c>
      <c r="P24" s="13" t="n">
        <v>102257</v>
      </c>
      <c r="Q24" s="13" t="n">
        <v>106444.8</v>
      </c>
      <c r="R24" s="14">
        <f>IFERROR(P24/Q24,"")</f>
        <v/>
      </c>
      <c r="S24" s="15" t="n">
        <v>0.963</v>
      </c>
      <c r="T24" s="9">
        <f>IF(R24&gt;1,"A corregir","Válida")</f>
        <v/>
      </c>
      <c r="U24" s="13">
        <f>Q24-P24</f>
        <v/>
      </c>
      <c r="V24" s="13">
        <f>IF(S24="",0,S24*Q24)</f>
        <v/>
      </c>
      <c r="W24" s="9" t="n">
        <v>2026</v>
      </c>
      <c r="X24" s="9" t="n">
        <v>2</v>
      </c>
      <c r="Y24" s="9" t="inlineStr">
        <is>
          <t>2026-S02</t>
        </is>
      </c>
    </row>
    <row r="25">
      <c r="A25" s="9" t="n">
        <v>43046244</v>
      </c>
      <c r="B25" s="11" t="n">
        <v>46031.30111111111</v>
      </c>
      <c r="C25" s="12" t="n">
        <v>46031</v>
      </c>
      <c r="D25" s="9">
        <f>YEAR(C25)</f>
        <v/>
      </c>
      <c r="E25" s="9">
        <f>MONTH(C25)</f>
        <v/>
      </c>
      <c r="F25" s="9" t="inlineStr">
        <is>
          <t>Plana</t>
        </is>
      </c>
      <c r="G25" s="9" t="inlineStr">
        <is>
          <t>PLANA 38X3MM 6M A270ES (N)</t>
        </is>
      </c>
      <c r="H25" s="9" t="inlineStr">
        <is>
          <t>PLANA 38X3MM 6M A270ES (N)</t>
        </is>
      </c>
      <c r="I25" s="9" t="inlineStr">
        <is>
          <t>PL 38 x 3</t>
        </is>
      </c>
      <c r="J25" s="9" t="n">
        <v>109013904</v>
      </c>
      <c r="K25" s="9" t="n"/>
      <c r="L25" s="9" t="n">
        <v>38</v>
      </c>
      <c r="M25" s="9" t="n">
        <v>3</v>
      </c>
      <c r="N25" s="9" t="n"/>
      <c r="O25" s="9" t="n">
        <v>6</v>
      </c>
      <c r="P25" s="13" t="n">
        <v>75178</v>
      </c>
      <c r="Q25" s="13" t="n">
        <v>78988.8</v>
      </c>
      <c r="R25" s="14">
        <f>IFERROR(P25/Q25,"")</f>
        <v/>
      </c>
      <c r="S25" s="15" t="n">
        <v>0.966</v>
      </c>
      <c r="T25" s="9">
        <f>IF(R25&gt;1,"A corregir","Válida")</f>
        <v/>
      </c>
      <c r="U25" s="13">
        <f>Q25-P25</f>
        <v/>
      </c>
      <c r="V25" s="13">
        <f>IF(S25="",0,S25*Q25)</f>
        <v/>
      </c>
      <c r="W25" s="9" t="n">
        <v>2026</v>
      </c>
      <c r="X25" s="9" t="n">
        <v>2</v>
      </c>
      <c r="Y25" s="9" t="inlineStr">
        <is>
          <t>2026-S02</t>
        </is>
      </c>
    </row>
    <row r="26">
      <c r="A26" s="9" t="n">
        <v>43046245</v>
      </c>
      <c r="B26" s="11" t="n">
        <v>46031.59369212963</v>
      </c>
      <c r="C26" s="12" t="n">
        <v>46031</v>
      </c>
      <c r="D26" s="9">
        <f>YEAR(C26)</f>
        <v/>
      </c>
      <c r="E26" s="9">
        <f>MONTH(C26)</f>
        <v/>
      </c>
      <c r="F26" s="9" t="inlineStr">
        <is>
          <t>Plana</t>
        </is>
      </c>
      <c r="G26" s="9" t="inlineStr">
        <is>
          <t>PLANA 32X5MM 6M A270ES (N)</t>
        </is>
      </c>
      <c r="H26" s="9" t="inlineStr">
        <is>
          <t>PLANA 32X5MM 6M A270ES (N)</t>
        </is>
      </c>
      <c r="I26" s="9" t="inlineStr">
        <is>
          <t>PL 32 x 5</t>
        </is>
      </c>
      <c r="J26" s="9" t="n">
        <v>109013897</v>
      </c>
      <c r="K26" s="9" t="n"/>
      <c r="L26" s="9" t="n">
        <v>32</v>
      </c>
      <c r="M26" s="9" t="n">
        <v>5</v>
      </c>
      <c r="N26" s="9" t="n"/>
      <c r="O26" s="9" t="n">
        <v>6</v>
      </c>
      <c r="P26" s="13" t="n">
        <v>30541</v>
      </c>
      <c r="Q26" s="13" t="n">
        <v>32524.8</v>
      </c>
      <c r="R26" s="14">
        <f>IFERROR(P26/Q26,"")</f>
        <v/>
      </c>
      <c r="S26" s="15" t="n">
        <v>0.966</v>
      </c>
      <c r="T26" s="9">
        <f>IF(R26&gt;1,"A corregir","Válida")</f>
        <v/>
      </c>
      <c r="U26" s="13">
        <f>Q26-P26</f>
        <v/>
      </c>
      <c r="V26" s="13">
        <f>IF(S26="",0,S26*Q26)</f>
        <v/>
      </c>
      <c r="W26" s="9" t="n">
        <v>2026</v>
      </c>
      <c r="X26" s="9" t="n">
        <v>2</v>
      </c>
      <c r="Y26" s="9" t="inlineStr">
        <is>
          <t>2026-S02</t>
        </is>
      </c>
    </row>
    <row r="27">
      <c r="A27" s="9" t="n">
        <v>43046246</v>
      </c>
      <c r="B27" s="11" t="n">
        <v>46031.77329861111</v>
      </c>
      <c r="C27" s="12" t="n">
        <v>46031</v>
      </c>
      <c r="D27" s="9">
        <f>YEAR(C27)</f>
        <v/>
      </c>
      <c r="E27" s="9">
        <f>MONTH(C27)</f>
        <v/>
      </c>
      <c r="F27" s="9" t="inlineStr">
        <is>
          <t>Ángulo</t>
        </is>
      </c>
      <c r="G27" s="9" t="inlineStr">
        <is>
          <t>ANGULO 25X25X5MM A270ES</t>
        </is>
      </c>
      <c r="H27" s="9" t="inlineStr">
        <is>
          <t>ANGULO SEMI 25X25X5MM A270ES</t>
        </is>
      </c>
      <c r="I27" s="9" t="inlineStr">
        <is>
          <t>ANG 25 x 5</t>
        </is>
      </c>
      <c r="J27" s="9" t="n">
        <v>106501812</v>
      </c>
      <c r="K27" s="9" t="n"/>
      <c r="L27" s="9" t="n">
        <v>25</v>
      </c>
      <c r="M27" s="9" t="n">
        <v>5</v>
      </c>
      <c r="N27" s="9" t="n"/>
      <c r="O27" s="9" t="n">
        <v>12</v>
      </c>
      <c r="P27" s="13" t="n">
        <v>30817</v>
      </c>
      <c r="Q27" s="13" t="n">
        <v>34557.6</v>
      </c>
      <c r="R27" s="14">
        <f>IFERROR(P27/Q27,"")</f>
        <v/>
      </c>
      <c r="S27" s="15" t="n">
        <v>0.961</v>
      </c>
      <c r="T27" s="9">
        <f>IF(R27&gt;1,"A corregir","Válida")</f>
        <v/>
      </c>
      <c r="U27" s="13">
        <f>Q27-P27</f>
        <v/>
      </c>
      <c r="V27" s="13">
        <f>IF(S27="",0,S27*Q27)</f>
        <v/>
      </c>
      <c r="W27" s="9" t="n">
        <v>2026</v>
      </c>
      <c r="X27" s="9" t="n">
        <v>2</v>
      </c>
      <c r="Y27" s="9" t="inlineStr">
        <is>
          <t>2026-S02</t>
        </is>
      </c>
    </row>
    <row r="28">
      <c r="A28" s="9" t="n">
        <v>43046272</v>
      </c>
      <c r="B28" s="11" t="n">
        <v>46031.9600462963</v>
      </c>
      <c r="C28" s="12" t="n">
        <v>46031</v>
      </c>
      <c r="D28" s="9">
        <f>YEAR(C28)</f>
        <v/>
      </c>
      <c r="E28" s="9">
        <f>MONTH(C28)</f>
        <v/>
      </c>
      <c r="F28" s="9" t="inlineStr">
        <is>
          <t>Ángulo</t>
        </is>
      </c>
      <c r="G28" s="9" t="inlineStr">
        <is>
          <t>ANGULO 25X25X3MM A270ES</t>
        </is>
      </c>
      <c r="H28" s="9" t="inlineStr">
        <is>
          <t>ANGULO SEMI 25X25X3MM A270ES</t>
        </is>
      </c>
      <c r="I28" s="9" t="inlineStr">
        <is>
          <t>ANG 25 x 3</t>
        </is>
      </c>
      <c r="J28" s="9" t="n">
        <v>106501017</v>
      </c>
      <c r="K28" s="9" t="n"/>
      <c r="L28" s="9" t="n">
        <v>25</v>
      </c>
      <c r="M28" s="9" t="n">
        <v>3</v>
      </c>
      <c r="N28" s="9" t="n"/>
      <c r="O28" s="9" t="n">
        <v>12</v>
      </c>
      <c r="P28" s="13" t="n">
        <v>128307</v>
      </c>
      <c r="Q28" s="13" t="n">
        <v>134640</v>
      </c>
      <c r="R28" s="14">
        <f>IFERROR(P28/Q28,"")</f>
        <v/>
      </c>
      <c r="S28" s="15" t="n">
        <v>0.963</v>
      </c>
      <c r="T28" s="9">
        <f>IF(R28&gt;1,"A corregir","Válida")</f>
        <v/>
      </c>
      <c r="U28" s="13">
        <f>Q28-P28</f>
        <v/>
      </c>
      <c r="V28" s="13">
        <f>IF(S28="",0,S28*Q28)</f>
        <v/>
      </c>
      <c r="W28" s="9" t="n">
        <v>2026</v>
      </c>
      <c r="X28" s="9" t="n">
        <v>2</v>
      </c>
      <c r="Y28" s="9" t="inlineStr">
        <is>
          <t>2026-S02</t>
        </is>
      </c>
    </row>
    <row r="29">
      <c r="A29" s="9" t="n">
        <v>43046248</v>
      </c>
      <c r="B29" s="11" t="n">
        <v>46032.30527777778</v>
      </c>
      <c r="C29" s="12" t="n">
        <v>46032</v>
      </c>
      <c r="D29" s="9">
        <f>YEAR(C29)</f>
        <v/>
      </c>
      <c r="E29" s="9">
        <f>MONTH(C29)</f>
        <v/>
      </c>
      <c r="F29" s="9" t="inlineStr">
        <is>
          <t>Redondo liso</t>
        </is>
      </c>
      <c r="G29" s="9" t="inlineStr">
        <is>
          <t>REDONDO LISO 5/8' 6M SAE 1020 (N)</t>
        </is>
      </c>
      <c r="H29" s="9" t="inlineStr">
        <is>
          <t>REDONDO LISO 5/8' 6M SAE 1020 (N)</t>
        </is>
      </c>
      <c r="I29" s="9" t="inlineStr">
        <is>
          <t>RED 16</t>
        </is>
      </c>
      <c r="J29" s="9" t="n">
        <v>109006913</v>
      </c>
      <c r="K29" s="9" t="n">
        <v>15.9</v>
      </c>
      <c r="L29" s="9" t="n"/>
      <c r="M29" s="9" t="n"/>
      <c r="N29" s="9" t="n"/>
      <c r="O29" s="9" t="n">
        <v>6</v>
      </c>
      <c r="P29" s="13" t="n">
        <v>20226</v>
      </c>
      <c r="Q29" s="13" t="n">
        <v>22440</v>
      </c>
      <c r="R29" s="14">
        <f>IFERROR(P29/Q29,"")</f>
        <v/>
      </c>
      <c r="S29" s="15" t="n">
        <v>0.9590000000000001</v>
      </c>
      <c r="T29" s="9">
        <f>IF(R29&gt;1,"A corregir","Válida")</f>
        <v/>
      </c>
      <c r="U29" s="13">
        <f>Q29-P29</f>
        <v/>
      </c>
      <c r="V29" s="13">
        <f>IF(S29="",0,S29*Q29)</f>
        <v/>
      </c>
      <c r="W29" s="9" t="n">
        <v>2026</v>
      </c>
      <c r="X29" s="9" t="n">
        <v>2</v>
      </c>
      <c r="Y29" s="9" t="inlineStr">
        <is>
          <t>2026-S02</t>
        </is>
      </c>
    </row>
    <row r="30">
      <c r="A30" s="9" t="n">
        <v>43046249</v>
      </c>
      <c r="B30" s="11" t="n">
        <v>46032.34734953703</v>
      </c>
      <c r="C30" s="12" t="n">
        <v>46032</v>
      </c>
      <c r="D30" s="9">
        <f>YEAR(C30)</f>
        <v/>
      </c>
      <c r="E30" s="9">
        <f>MONTH(C30)</f>
        <v/>
      </c>
      <c r="F30" s="9" t="inlineStr">
        <is>
          <t>Redondo liso</t>
        </is>
      </c>
      <c r="G30" s="9" t="inlineStr">
        <is>
          <t>REDONDO LISO 16MM 6M SAE 1020 (N)</t>
        </is>
      </c>
      <c r="H30" s="9" t="inlineStr">
        <is>
          <t>REDONDO LISO 16MM 6M SAE 1020 (N)</t>
        </is>
      </c>
      <c r="I30" s="9" t="inlineStr">
        <is>
          <t>RED 16</t>
        </is>
      </c>
      <c r="J30" s="9" t="n">
        <v>119502683</v>
      </c>
      <c r="K30" s="9" t="n">
        <v>16</v>
      </c>
      <c r="L30" s="9" t="n"/>
      <c r="M30" s="9" t="n"/>
      <c r="N30" s="9" t="n"/>
      <c r="O30" s="9" t="n">
        <v>6</v>
      </c>
      <c r="P30" s="13" t="n">
        <v>26674</v>
      </c>
      <c r="Q30" s="13" t="n">
        <v>28274.4</v>
      </c>
      <c r="R30" s="14">
        <f>IFERROR(P30/Q30,"")</f>
        <v/>
      </c>
      <c r="S30" s="15" t="n">
        <v>0.958</v>
      </c>
      <c r="T30" s="9">
        <f>IF(R30&gt;1,"A corregir","Válida")</f>
        <v/>
      </c>
      <c r="U30" s="13">
        <f>Q30-P30</f>
        <v/>
      </c>
      <c r="V30" s="13">
        <f>IF(S30="",0,S30*Q30)</f>
        <v/>
      </c>
      <c r="W30" s="9" t="n">
        <v>2026</v>
      </c>
      <c r="X30" s="9" t="n">
        <v>2</v>
      </c>
      <c r="Y30" s="9" t="inlineStr">
        <is>
          <t>2026-S02</t>
        </is>
      </c>
    </row>
    <row r="31">
      <c r="A31" s="9" t="n">
        <v>43046250</v>
      </c>
      <c r="B31" s="11" t="n">
        <v>46032.44429398148</v>
      </c>
      <c r="C31" s="12" t="n">
        <v>46032</v>
      </c>
      <c r="D31" s="9">
        <f>YEAR(C31)</f>
        <v/>
      </c>
      <c r="E31" s="9">
        <f>MONTH(C31)</f>
        <v/>
      </c>
      <c r="F31" s="9" t="inlineStr">
        <is>
          <t>B Hormigón</t>
        </is>
      </c>
      <c r="G31" s="9" t="inlineStr">
        <is>
          <t>B HORMIGON 16MM 6M A630-420H (N)</t>
        </is>
      </c>
      <c r="H31" s="9" t="inlineStr">
        <is>
          <t>B HORMIGON 16MM 6M A630-420H (N)</t>
        </is>
      </c>
      <c r="I31" s="9" t="inlineStr">
        <is>
          <t>RED 16 CR</t>
        </is>
      </c>
      <c r="J31" s="9" t="n">
        <v>110002928</v>
      </c>
      <c r="K31" s="9" t="n">
        <v>16</v>
      </c>
      <c r="L31" s="9" t="n"/>
      <c r="M31" s="9" t="n"/>
      <c r="N31" s="9" t="n"/>
      <c r="O31" s="9" t="n">
        <v>6</v>
      </c>
      <c r="P31" s="13" t="n">
        <v>169988</v>
      </c>
      <c r="Q31" s="13" t="n">
        <v>177724.8</v>
      </c>
      <c r="R31" s="14">
        <f>IFERROR(P31/Q31,"")</f>
        <v/>
      </c>
      <c r="S31" s="15" t="n">
        <v>0.965</v>
      </c>
      <c r="T31" s="9">
        <f>IF(R31&gt;1,"A corregir","Válida")</f>
        <v/>
      </c>
      <c r="U31" s="13">
        <f>Q31-P31</f>
        <v/>
      </c>
      <c r="V31" s="13">
        <f>IF(S31="",0,S31*Q31)</f>
        <v/>
      </c>
      <c r="W31" s="9" t="n">
        <v>2026</v>
      </c>
      <c r="X31" s="9" t="n">
        <v>2</v>
      </c>
      <c r="Y31" s="9" t="inlineStr">
        <is>
          <t>2026-S02</t>
        </is>
      </c>
    </row>
    <row r="32">
      <c r="A32" s="9" t="n">
        <v>43046273</v>
      </c>
      <c r="B32" s="11" t="n">
        <v>46034.30799768519</v>
      </c>
      <c r="C32" s="12" t="n">
        <v>46034</v>
      </c>
      <c r="D32" s="9">
        <f>YEAR(C32)</f>
        <v/>
      </c>
      <c r="E32" s="9">
        <f>MONTH(C32)</f>
        <v/>
      </c>
      <c r="F32" s="9" t="inlineStr">
        <is>
          <t>B Hormigón</t>
        </is>
      </c>
      <c r="G32" s="9" t="inlineStr">
        <is>
          <t>B HORMIGON 16MM 6M A630-420H (N)</t>
        </is>
      </c>
      <c r="H32" s="9" t="inlineStr">
        <is>
          <t>B HORMIGON 16MM 6M A630-420H (N)</t>
        </is>
      </c>
      <c r="I32" s="9" t="inlineStr">
        <is>
          <t>RED 16 CR</t>
        </is>
      </c>
      <c r="J32" s="9" t="n">
        <v>110002928</v>
      </c>
      <c r="K32" s="9" t="n">
        <v>16</v>
      </c>
      <c r="L32" s="9" t="n"/>
      <c r="M32" s="9" t="n"/>
      <c r="N32" s="9" t="n"/>
      <c r="O32" s="9" t="n">
        <v>6</v>
      </c>
      <c r="P32" s="13" t="n">
        <v>56350</v>
      </c>
      <c r="Q32" s="13" t="n">
        <v>59241.6</v>
      </c>
      <c r="R32" s="14">
        <f>IFERROR(P32/Q32,"")</f>
        <v/>
      </c>
      <c r="S32" s="15" t="n">
        <v>0.965</v>
      </c>
      <c r="T32" s="9">
        <f>IF(R32&gt;1,"A corregir","Válida")</f>
        <v/>
      </c>
      <c r="U32" s="13">
        <f>Q32-P32</f>
        <v/>
      </c>
      <c r="V32" s="13">
        <f>IF(S32="",0,S32*Q32)</f>
        <v/>
      </c>
      <c r="W32" s="9" t="n">
        <v>2026</v>
      </c>
      <c r="X32" s="9" t="n">
        <v>3</v>
      </c>
      <c r="Y32" s="9" t="inlineStr">
        <is>
          <t>2026-S03</t>
        </is>
      </c>
    </row>
    <row r="33">
      <c r="A33" s="9" t="n">
        <v>43046301</v>
      </c>
      <c r="B33" s="11" t="n">
        <v>46034.46042824074</v>
      </c>
      <c r="C33" s="12" t="n">
        <v>46034</v>
      </c>
      <c r="D33" s="9">
        <f>YEAR(C33)</f>
        <v/>
      </c>
      <c r="E33" s="9">
        <f>MONTH(C33)</f>
        <v/>
      </c>
      <c r="F33" s="9" t="inlineStr">
        <is>
          <t>Cuadrado</t>
        </is>
      </c>
      <c r="G33" s="9" t="inlineStr">
        <is>
          <t>CUADRADO 14MM 6M COMERCIAL (N)</t>
        </is>
      </c>
      <c r="H33" s="9" t="inlineStr">
        <is>
          <t>CUADRADO 14MM 6M COMERCIAL (N)</t>
        </is>
      </c>
      <c r="I33" s="9" t="inlineStr">
        <is>
          <t>CUAD 14</t>
        </is>
      </c>
      <c r="J33" s="9" t="n">
        <v>109007064</v>
      </c>
      <c r="K33" s="9" t="n"/>
      <c r="L33" s="9" t="n"/>
      <c r="M33" s="9" t="n"/>
      <c r="N33" s="9" t="n">
        <v>14</v>
      </c>
      <c r="O33" s="9" t="n">
        <v>6</v>
      </c>
      <c r="P33" s="13" t="n">
        <v>32676</v>
      </c>
      <c r="Q33" s="13" t="n">
        <v>35006.4</v>
      </c>
      <c r="R33" s="14">
        <f>IFERROR(P33/Q33,"")</f>
        <v/>
      </c>
      <c r="S33" s="15" t="n">
        <v>0.966</v>
      </c>
      <c r="T33" s="9">
        <f>IF(R33&gt;1,"A corregir","Válida")</f>
        <v/>
      </c>
      <c r="U33" s="13">
        <f>Q33-P33</f>
        <v/>
      </c>
      <c r="V33" s="13">
        <f>IF(S33="",0,S33*Q33)</f>
        <v/>
      </c>
      <c r="W33" s="9" t="n">
        <v>2026</v>
      </c>
      <c r="X33" s="9" t="n">
        <v>3</v>
      </c>
      <c r="Y33" s="9" t="inlineStr">
        <is>
          <t>2026-S03</t>
        </is>
      </c>
    </row>
    <row r="34">
      <c r="A34" s="9" t="n">
        <v>43046317</v>
      </c>
      <c r="B34" s="11" t="n">
        <v>46034.6991550926</v>
      </c>
      <c r="C34" s="12" t="n">
        <v>46034</v>
      </c>
      <c r="D34" s="9">
        <f>YEAR(C34)</f>
        <v/>
      </c>
      <c r="E34" s="9">
        <f>MONTH(C34)</f>
        <v/>
      </c>
      <c r="F34" s="9" t="inlineStr">
        <is>
          <t>Plana</t>
        </is>
      </c>
      <c r="G34" s="9" t="inlineStr">
        <is>
          <t>PLANA 38X5MM 6M A270ES (N)</t>
        </is>
      </c>
      <c r="H34" s="9" t="inlineStr">
        <is>
          <t>PLANA 38X5MM 6M A270ES (N)</t>
        </is>
      </c>
      <c r="I34" s="9" t="inlineStr">
        <is>
          <t>PL 38 x 5</t>
        </is>
      </c>
      <c r="J34" s="9" t="n">
        <v>109013914</v>
      </c>
      <c r="K34" s="9" t="n"/>
      <c r="L34" s="9" t="n">
        <v>38</v>
      </c>
      <c r="M34" s="9" t="n">
        <v>5</v>
      </c>
      <c r="N34" s="9" t="n"/>
      <c r="O34" s="9" t="n">
        <v>6</v>
      </c>
      <c r="P34" s="13" t="n">
        <v>122391</v>
      </c>
      <c r="Q34" s="13" t="n">
        <v>124317.6</v>
      </c>
      <c r="R34" s="14">
        <f>IFERROR(P34/Q34,"")</f>
        <v/>
      </c>
      <c r="S34" s="15" t="n">
        <v>0.965</v>
      </c>
      <c r="T34" s="9">
        <f>IF(R34&gt;1,"A corregir","Válida")</f>
        <v/>
      </c>
      <c r="U34" s="13">
        <f>Q34-P34</f>
        <v/>
      </c>
      <c r="V34" s="13">
        <f>IF(S34="",0,S34*Q34)</f>
        <v/>
      </c>
      <c r="W34" s="9" t="n">
        <v>2026</v>
      </c>
      <c r="X34" s="9" t="n">
        <v>3</v>
      </c>
      <c r="Y34" s="9" t="inlineStr">
        <is>
          <t>2026-S03</t>
        </is>
      </c>
    </row>
    <row r="35">
      <c r="A35" s="9" t="n">
        <v>43046303</v>
      </c>
      <c r="B35" s="11" t="n">
        <v>46035.01322916667</v>
      </c>
      <c r="C35" s="12" t="n">
        <v>46035</v>
      </c>
      <c r="D35" s="9">
        <f>YEAR(C35)</f>
        <v/>
      </c>
      <c r="E35" s="9">
        <f>MONTH(C35)</f>
        <v/>
      </c>
      <c r="F35" s="9" t="inlineStr">
        <is>
          <t>Plana</t>
        </is>
      </c>
      <c r="G35" s="9" t="inlineStr">
        <is>
          <t>PLANA 38X5MM 6M A270ES (N)</t>
        </is>
      </c>
      <c r="H35" s="9" t="inlineStr">
        <is>
          <t>PLANA 38X5MM 6M A270ES (N)</t>
        </is>
      </c>
      <c r="I35" s="9" t="inlineStr">
        <is>
          <t>PL 38 x 5</t>
        </is>
      </c>
      <c r="J35" s="9" t="n">
        <v>109013914</v>
      </c>
      <c r="K35" s="9" t="n"/>
      <c r="L35" s="9" t="n">
        <v>38</v>
      </c>
      <c r="M35" s="9" t="n">
        <v>5</v>
      </c>
      <c r="N35" s="9" t="n"/>
      <c r="O35" s="9" t="n">
        <v>6</v>
      </c>
      <c r="P35" s="13" t="n">
        <v>13017</v>
      </c>
      <c r="Q35" s="13" t="n">
        <v>14361.6</v>
      </c>
      <c r="R35" s="14">
        <f>IFERROR(P35/Q35,"")</f>
        <v/>
      </c>
      <c r="S35" s="15" t="n">
        <v>0.965</v>
      </c>
      <c r="T35" s="9">
        <f>IF(R35&gt;1,"A corregir","Válida")</f>
        <v/>
      </c>
      <c r="U35" s="13">
        <f>Q35-P35</f>
        <v/>
      </c>
      <c r="V35" s="13">
        <f>IF(S35="",0,S35*Q35)</f>
        <v/>
      </c>
      <c r="W35" s="9" t="n">
        <v>2026</v>
      </c>
      <c r="X35" s="9" t="n">
        <v>3</v>
      </c>
      <c r="Y35" s="9" t="inlineStr">
        <is>
          <t>2026-S03</t>
        </is>
      </c>
    </row>
    <row r="36">
      <c r="A36" s="9" t="n">
        <v>43046325</v>
      </c>
      <c r="B36" s="11" t="n">
        <v>46035.21513888889</v>
      </c>
      <c r="C36" s="12" t="n">
        <v>46035</v>
      </c>
      <c r="D36" s="9">
        <f>YEAR(C36)</f>
        <v/>
      </c>
      <c r="E36" s="9">
        <f>MONTH(C36)</f>
        <v/>
      </c>
      <c r="F36" s="9" t="inlineStr">
        <is>
          <t>Ángulo</t>
        </is>
      </c>
      <c r="G36" s="9" t="inlineStr">
        <is>
          <t>ANGULO 30X30X3MM A270ES</t>
        </is>
      </c>
      <c r="H36" s="9" t="inlineStr">
        <is>
          <t>ANGULO SEMI 30X30X3MM A270ES</t>
        </is>
      </c>
      <c r="I36" s="9" t="inlineStr">
        <is>
          <t>ANG 30 x 3</t>
        </is>
      </c>
      <c r="J36" s="9" t="n">
        <v>106501029</v>
      </c>
      <c r="K36" s="9" t="n"/>
      <c r="L36" s="9" t="n">
        <v>30</v>
      </c>
      <c r="M36" s="9" t="n">
        <v>3</v>
      </c>
      <c r="N36" s="9" t="n"/>
      <c r="O36" s="9" t="n">
        <v>6</v>
      </c>
      <c r="P36" s="13" t="n">
        <v>180909</v>
      </c>
      <c r="Q36" s="13" t="n">
        <v>198369.6</v>
      </c>
      <c r="R36" s="14">
        <f>IFERROR(P36/Q36,"")</f>
        <v/>
      </c>
      <c r="S36" s="15" t="n">
        <v>0.96</v>
      </c>
      <c r="T36" s="9">
        <f>IF(R36&gt;1,"A corregir","Válida")</f>
        <v/>
      </c>
      <c r="U36" s="13">
        <f>Q36-P36</f>
        <v/>
      </c>
      <c r="V36" s="13">
        <f>IF(S36="",0,S36*Q36)</f>
        <v/>
      </c>
      <c r="W36" s="9" t="n">
        <v>2026</v>
      </c>
      <c r="X36" s="9" t="n">
        <v>3</v>
      </c>
      <c r="Y36" s="9" t="inlineStr">
        <is>
          <t>2026-S03</t>
        </is>
      </c>
    </row>
    <row r="37">
      <c r="A37" s="9" t="n">
        <v>43046327</v>
      </c>
      <c r="B37" s="11" t="n">
        <v>46035.89364583333</v>
      </c>
      <c r="C37" s="12" t="n">
        <v>46035</v>
      </c>
      <c r="D37" s="9">
        <f>YEAR(C37)</f>
        <v/>
      </c>
      <c r="E37" s="9">
        <f>MONTH(C37)</f>
        <v/>
      </c>
      <c r="F37" s="9" t="inlineStr">
        <is>
          <t>Plana</t>
        </is>
      </c>
      <c r="G37" s="9" t="inlineStr">
        <is>
          <t>PLANA 50X3 MM 6M A270ES (N)</t>
        </is>
      </c>
      <c r="H37" s="9" t="inlineStr">
        <is>
          <t>PLANA 50X3 MM 6M A270ES (N)</t>
        </is>
      </c>
      <c r="I37" s="9" t="inlineStr">
        <is>
          <t>PL 50 x 3</t>
        </is>
      </c>
      <c r="J37" s="9" t="n">
        <v>109013903</v>
      </c>
      <c r="K37" s="9" t="n"/>
      <c r="L37" s="9" t="n">
        <v>50</v>
      </c>
      <c r="M37" s="9" t="n">
        <v>3</v>
      </c>
      <c r="N37" s="9" t="n"/>
      <c r="O37" s="9" t="n">
        <v>6</v>
      </c>
      <c r="P37" s="13" t="n">
        <v>104709</v>
      </c>
      <c r="Q37" s="13" t="n">
        <v>114892.8</v>
      </c>
      <c r="R37" s="14">
        <f>IFERROR(P37/Q37,"")</f>
        <v/>
      </c>
      <c r="S37" s="15" t="n">
        <v>0.963</v>
      </c>
      <c r="T37" s="9">
        <f>IF(R37&gt;1,"A corregir","Válida")</f>
        <v/>
      </c>
      <c r="U37" s="13">
        <f>Q37-P37</f>
        <v/>
      </c>
      <c r="V37" s="13">
        <f>IF(S37="",0,S37*Q37)</f>
        <v/>
      </c>
      <c r="W37" s="9" t="n">
        <v>2026</v>
      </c>
      <c r="X37" s="9" t="n">
        <v>3</v>
      </c>
      <c r="Y37" s="9" t="inlineStr">
        <is>
          <t>2026-S03</t>
        </is>
      </c>
    </row>
    <row r="38">
      <c r="A38" s="9" t="n">
        <v>43046344</v>
      </c>
      <c r="B38" s="11" t="n">
        <v>46036.74931712963</v>
      </c>
      <c r="C38" s="12" t="n">
        <v>46036</v>
      </c>
      <c r="D38" s="9">
        <f>YEAR(C38)</f>
        <v/>
      </c>
      <c r="E38" s="9">
        <f>MONTH(C38)</f>
        <v/>
      </c>
      <c r="F38" s="9" t="inlineStr">
        <is>
          <t>Ángulo</t>
        </is>
      </c>
      <c r="G38" s="9" t="inlineStr">
        <is>
          <t>ANGULO 40X40X4MM A270ES</t>
        </is>
      </c>
      <c r="H38" s="9" t="inlineStr">
        <is>
          <t>ANGULO SEMI 40X40X4MM A270ES</t>
        </is>
      </c>
      <c r="I38" s="9" t="inlineStr">
        <is>
          <t>ANG 40 x 4</t>
        </is>
      </c>
      <c r="J38" s="9" t="n">
        <v>106501034</v>
      </c>
      <c r="K38" s="9" t="n"/>
      <c r="L38" s="9" t="n">
        <v>40</v>
      </c>
      <c r="M38" s="9" t="n">
        <v>4</v>
      </c>
      <c r="N38" s="9" t="n"/>
      <c r="O38" s="9" t="n">
        <v>6</v>
      </c>
      <c r="P38" s="13" t="n">
        <v>30247</v>
      </c>
      <c r="Q38" s="13" t="n">
        <v>33211.2</v>
      </c>
      <c r="R38" s="14">
        <f>IFERROR(P38/Q38,"")</f>
        <v/>
      </c>
      <c r="S38" s="15" t="n">
        <v>0.953</v>
      </c>
      <c r="T38" s="9">
        <f>IF(R38&gt;1,"A corregir","Válida")</f>
        <v/>
      </c>
      <c r="U38" s="13">
        <f>Q38-P38</f>
        <v/>
      </c>
      <c r="V38" s="13">
        <f>IF(S38="",0,S38*Q38)</f>
        <v/>
      </c>
      <c r="W38" s="9" t="n">
        <v>2026</v>
      </c>
      <c r="X38" s="9" t="n">
        <v>3</v>
      </c>
      <c r="Y38" s="9" t="inlineStr">
        <is>
          <t>2026-S03</t>
        </is>
      </c>
    </row>
    <row r="39">
      <c r="A39" s="9" t="n">
        <v>43046345</v>
      </c>
      <c r="B39" s="11" t="n">
        <v>46036.97516203704</v>
      </c>
      <c r="C39" s="12" t="n">
        <v>46036</v>
      </c>
      <c r="D39" s="9">
        <f>YEAR(C39)</f>
        <v/>
      </c>
      <c r="E39" s="9">
        <f>MONTH(C39)</f>
        <v/>
      </c>
      <c r="F39" s="9" t="inlineStr">
        <is>
          <t>Ángulo</t>
        </is>
      </c>
      <c r="G39" s="9" t="inlineStr">
        <is>
          <t>ANGULO 40X40X3MM A270ES</t>
        </is>
      </c>
      <c r="H39" s="9" t="inlineStr">
        <is>
          <t>ANGULO SEMI 40X40X3MM A270ES</t>
        </is>
      </c>
      <c r="I39" s="9" t="inlineStr">
        <is>
          <t>ANG 40 x 3</t>
        </is>
      </c>
      <c r="J39" s="9" t="n">
        <v>106501033</v>
      </c>
      <c r="K39" s="9" t="n"/>
      <c r="L39" s="9" t="n">
        <v>40</v>
      </c>
      <c r="M39" s="9" t="n">
        <v>3</v>
      </c>
      <c r="N39" s="9" t="n"/>
      <c r="O39" s="9" t="n">
        <v>6</v>
      </c>
      <c r="P39" s="13" t="n">
        <v>190119</v>
      </c>
      <c r="Q39" s="13" t="n">
        <v>205101.6</v>
      </c>
      <c r="R39" s="14">
        <f>IFERROR(P39/Q39,"")</f>
        <v/>
      </c>
      <c r="S39" s="15" t="n">
        <v>0.9570000000000001</v>
      </c>
      <c r="T39" s="9">
        <f>IF(R39&gt;1,"A corregir","Válida")</f>
        <v/>
      </c>
      <c r="U39" s="13">
        <f>Q39-P39</f>
        <v/>
      </c>
      <c r="V39" s="13">
        <f>IF(S39="",0,S39*Q39)</f>
        <v/>
      </c>
      <c r="W39" s="9" t="n">
        <v>2026</v>
      </c>
      <c r="X39" s="9" t="n">
        <v>3</v>
      </c>
      <c r="Y39" s="9" t="inlineStr">
        <is>
          <t>2026-S03</t>
        </is>
      </c>
    </row>
    <row r="40">
      <c r="A40" s="9" t="n">
        <v>43046350</v>
      </c>
      <c r="B40" s="11" t="n">
        <v>46037.62900462963</v>
      </c>
      <c r="C40" s="12" t="n">
        <v>46037</v>
      </c>
      <c r="D40" s="9">
        <f>YEAR(C40)</f>
        <v/>
      </c>
      <c r="E40" s="9">
        <f>MONTH(C40)</f>
        <v/>
      </c>
      <c r="F40" s="9" t="inlineStr">
        <is>
          <t>Ángulo</t>
        </is>
      </c>
      <c r="G40" s="9" t="inlineStr">
        <is>
          <t>ANGULO 40X40X3MM 6M A36 (AL)</t>
        </is>
      </c>
      <c r="H40" s="9" t="inlineStr">
        <is>
          <t>ANGULO SEMI 40X40X3MM 6M A36 (AL)</t>
        </is>
      </c>
      <c r="I40" s="9" t="inlineStr">
        <is>
          <t>ANG 40 X 3</t>
        </is>
      </c>
      <c r="J40" s="9" t="n">
        <v>119502602</v>
      </c>
      <c r="K40" s="9" t="n"/>
      <c r="L40" s="9" t="n">
        <v>40</v>
      </c>
      <c r="M40" s="9" t="n">
        <v>3</v>
      </c>
      <c r="N40" s="9" t="n"/>
      <c r="O40" s="9" t="n">
        <v>6</v>
      </c>
      <c r="P40" s="13" t="n">
        <v>17970</v>
      </c>
      <c r="Q40" s="13" t="n">
        <v>19430.4</v>
      </c>
      <c r="R40" s="14">
        <f>IFERROR(P40/Q40,"")</f>
        <v/>
      </c>
      <c r="S40" s="15" t="n">
        <v>0.97</v>
      </c>
      <c r="T40" s="9">
        <f>IF(R40&gt;1,"A corregir","Válida")</f>
        <v/>
      </c>
      <c r="U40" s="13">
        <f>Q40-P40</f>
        <v/>
      </c>
      <c r="V40" s="13">
        <f>IF(S40="",0,S40*Q40)</f>
        <v/>
      </c>
      <c r="W40" s="9" t="n">
        <v>2026</v>
      </c>
      <c r="X40" s="9" t="n">
        <v>3</v>
      </c>
      <c r="Y40" s="9" t="inlineStr">
        <is>
          <t>2026-S03</t>
        </is>
      </c>
    </row>
    <row r="41">
      <c r="A41" s="9" t="n">
        <v>43046333</v>
      </c>
      <c r="B41" s="11" t="n">
        <v>46037.78372685185</v>
      </c>
      <c r="C41" s="12" t="n">
        <v>46037</v>
      </c>
      <c r="D41" s="9">
        <f>YEAR(C41)</f>
        <v/>
      </c>
      <c r="E41" s="9">
        <f>MONTH(C41)</f>
        <v/>
      </c>
      <c r="F41" s="9" t="inlineStr">
        <is>
          <t>Ángulo</t>
        </is>
      </c>
      <c r="G41" s="9" t="inlineStr">
        <is>
          <t>ANGULO 50X50X4MM A270ES</t>
        </is>
      </c>
      <c r="H41" s="9" t="inlineStr">
        <is>
          <t>ANGULO SEMI 50X50X4MM A270ES</t>
        </is>
      </c>
      <c r="I41" s="9" t="inlineStr">
        <is>
          <t>ANG 50 x 4</t>
        </is>
      </c>
      <c r="J41" s="9" t="n">
        <v>106501036</v>
      </c>
      <c r="K41" s="9" t="n"/>
      <c r="L41" s="9" t="n">
        <v>50</v>
      </c>
      <c r="M41" s="9" t="n">
        <v>4</v>
      </c>
      <c r="N41" s="9" t="n"/>
      <c r="O41" s="9" t="n">
        <v>6</v>
      </c>
      <c r="P41" s="13" t="n">
        <v>43862</v>
      </c>
      <c r="Q41" s="13" t="n">
        <v>48021.6</v>
      </c>
      <c r="R41" s="14">
        <f>IFERROR(P41/Q41,"")</f>
        <v/>
      </c>
      <c r="S41" s="15" t="n">
        <v>0.948</v>
      </c>
      <c r="T41" s="9">
        <f>IF(R41&gt;1,"A corregir","Válida")</f>
        <v/>
      </c>
      <c r="U41" s="13">
        <f>Q41-P41</f>
        <v/>
      </c>
      <c r="V41" s="13">
        <f>IF(S41="",0,S41*Q41)</f>
        <v/>
      </c>
      <c r="W41" s="9" t="n">
        <v>2026</v>
      </c>
      <c r="X41" s="9" t="n">
        <v>3</v>
      </c>
      <c r="Y41" s="9" t="inlineStr">
        <is>
          <t>2026-S03</t>
        </is>
      </c>
    </row>
    <row r="42">
      <c r="A42" s="9" t="n">
        <v>43046336</v>
      </c>
      <c r="B42" s="11" t="n">
        <v>46037.9612037037</v>
      </c>
      <c r="C42" s="12" t="n">
        <v>46037</v>
      </c>
      <c r="D42" s="9">
        <f>YEAR(C42)</f>
        <v/>
      </c>
      <c r="E42" s="9">
        <f>MONTH(C42)</f>
        <v/>
      </c>
      <c r="F42" s="9" t="inlineStr">
        <is>
          <t>Ángulo</t>
        </is>
      </c>
      <c r="G42" s="9" t="inlineStr">
        <is>
          <t>ANGULO 50X50X3MM A270ES</t>
        </is>
      </c>
      <c r="H42" s="9" t="inlineStr">
        <is>
          <t>ANGULO SEMI 50X50X3MM A270ES</t>
        </is>
      </c>
      <c r="I42" s="9" t="inlineStr">
        <is>
          <t>ANG 50 x 3</t>
        </is>
      </c>
      <c r="J42" s="9" t="n">
        <v>106501038</v>
      </c>
      <c r="K42" s="9" t="n"/>
      <c r="L42" s="9" t="n">
        <v>50</v>
      </c>
      <c r="M42" s="9" t="n">
        <v>3</v>
      </c>
      <c r="N42" s="9" t="n"/>
      <c r="O42" s="9" t="n">
        <v>6</v>
      </c>
      <c r="P42" s="13" t="n">
        <v>221125</v>
      </c>
      <c r="Q42" s="13" t="n">
        <v>239210.4</v>
      </c>
      <c r="R42" s="14">
        <f>IFERROR(P42/Q42,"")</f>
        <v/>
      </c>
      <c r="S42" s="15" t="n">
        <v>0.953</v>
      </c>
      <c r="T42" s="9">
        <f>IF(R42&gt;1,"A corregir","Válida")</f>
        <v/>
      </c>
      <c r="U42" s="13">
        <f>Q42-P42</f>
        <v/>
      </c>
      <c r="V42" s="13">
        <f>IF(S42="",0,S42*Q42)</f>
        <v/>
      </c>
      <c r="W42" s="9" t="n">
        <v>2026</v>
      </c>
      <c r="X42" s="9" t="n">
        <v>3</v>
      </c>
      <c r="Y42" s="9" t="inlineStr">
        <is>
          <t>2026-S03</t>
        </is>
      </c>
    </row>
    <row r="43">
      <c r="A43" s="9" t="n">
        <v>43046383</v>
      </c>
      <c r="B43" s="11" t="n">
        <v>46038.71107638889</v>
      </c>
      <c r="C43" s="12" t="n">
        <v>46038</v>
      </c>
      <c r="D43" s="9">
        <f>YEAR(C43)</f>
        <v/>
      </c>
      <c r="E43" s="9">
        <f>MONTH(C43)</f>
        <v/>
      </c>
      <c r="F43" s="9" t="inlineStr">
        <is>
          <t>B Hormigón</t>
        </is>
      </c>
      <c r="G43" s="9" t="inlineStr">
        <is>
          <t>B HORMIGON 25MM 12M A630-420H (N)</t>
        </is>
      </c>
      <c r="H43" s="9" t="inlineStr">
        <is>
          <t>B HORMIGON 25MM 12M A630-420H (N)</t>
        </is>
      </c>
      <c r="I43" s="9" t="inlineStr">
        <is>
          <t>RED 25 CR</t>
        </is>
      </c>
      <c r="J43" s="9" t="n">
        <v>110002941</v>
      </c>
      <c r="K43" s="9" t="n">
        <v>25</v>
      </c>
      <c r="L43" s="9" t="n"/>
      <c r="M43" s="9" t="n"/>
      <c r="N43" s="9" t="n"/>
      <c r="O43" s="9" t="n">
        <v>12</v>
      </c>
      <c r="P43" s="13" t="n">
        <v>62928</v>
      </c>
      <c r="Q43" s="13" t="n">
        <v>67082.39999999999</v>
      </c>
      <c r="R43" s="14">
        <f>IFERROR(P43/Q43,"")</f>
        <v/>
      </c>
      <c r="S43" s="15" t="n">
        <v>0.95</v>
      </c>
      <c r="T43" s="9">
        <f>IF(R43&gt;1,"A corregir","Válida")</f>
        <v/>
      </c>
      <c r="U43" s="13">
        <f>Q43-P43</f>
        <v/>
      </c>
      <c r="V43" s="13">
        <f>IF(S43="",0,S43*Q43)</f>
        <v/>
      </c>
      <c r="W43" s="9" t="n">
        <v>2026</v>
      </c>
      <c r="X43" s="9" t="n">
        <v>3</v>
      </c>
      <c r="Y43" s="9" t="inlineStr">
        <is>
          <t>2026-S03</t>
        </is>
      </c>
    </row>
    <row r="44">
      <c r="A44" s="9" t="n">
        <v>43046385</v>
      </c>
      <c r="B44" s="11" t="n">
        <v>46038.82732638889</v>
      </c>
      <c r="C44" s="12" t="n">
        <v>46038</v>
      </c>
      <c r="D44" s="9">
        <f>YEAR(C44)</f>
        <v/>
      </c>
      <c r="E44" s="9">
        <f>MONTH(C44)</f>
        <v/>
      </c>
      <c r="F44" s="9" t="inlineStr">
        <is>
          <t>B Hormigón</t>
        </is>
      </c>
      <c r="G44" s="9" t="inlineStr">
        <is>
          <t>B HORMIGON 25MM 10M A630-420H (N)</t>
        </is>
      </c>
      <c r="H44" s="9" t="inlineStr">
        <is>
          <t>B HORMIGON 25MM 10M A630-420H (N)</t>
        </is>
      </c>
      <c r="I44" s="9" t="inlineStr">
        <is>
          <t>RED 25 CR</t>
        </is>
      </c>
      <c r="J44" s="9" t="n">
        <v>110002943</v>
      </c>
      <c r="K44" s="9" t="n">
        <v>25</v>
      </c>
      <c r="L44" s="9" t="n"/>
      <c r="M44" s="9" t="n"/>
      <c r="N44" s="9" t="n"/>
      <c r="O44" s="9" t="n">
        <v>10</v>
      </c>
      <c r="P44" s="13" t="n">
        <v>182827</v>
      </c>
      <c r="Q44" s="13" t="n">
        <v>191664</v>
      </c>
      <c r="R44" s="14">
        <f>IFERROR(P44/Q44,"")</f>
        <v/>
      </c>
      <c r="S44" s="15" t="n">
        <v>0.95</v>
      </c>
      <c r="T44" s="9">
        <f>IF(R44&gt;1,"A corregir","Válida")</f>
        <v/>
      </c>
      <c r="U44" s="13">
        <f>Q44-P44</f>
        <v/>
      </c>
      <c r="V44" s="13">
        <f>IF(S44="",0,S44*Q44)</f>
        <v/>
      </c>
      <c r="W44" s="9" t="n">
        <v>2026</v>
      </c>
      <c r="X44" s="9" t="n">
        <v>3</v>
      </c>
      <c r="Y44" s="9" t="inlineStr">
        <is>
          <t>2026-S03</t>
        </is>
      </c>
    </row>
    <row r="45">
      <c r="A45" s="9" t="n">
        <v>43046386</v>
      </c>
      <c r="B45" s="11" t="n">
        <v>46039.16517361111</v>
      </c>
      <c r="C45" s="12" t="n">
        <v>46039</v>
      </c>
      <c r="D45" s="9">
        <f>YEAR(C45)</f>
        <v/>
      </c>
      <c r="E45" s="9">
        <f>MONTH(C45)</f>
        <v/>
      </c>
      <c r="F45" s="9" t="inlineStr">
        <is>
          <t>B Hormigón</t>
        </is>
      </c>
      <c r="G45" s="9" t="inlineStr">
        <is>
          <t>B HORMIGON 25MM 10M A630-420H (N)</t>
        </is>
      </c>
      <c r="H45" s="9" t="inlineStr">
        <is>
          <t>B HORMIGON 25MM 10M A630-420H (N)</t>
        </is>
      </c>
      <c r="I45" s="9" t="inlineStr">
        <is>
          <t>RED 25 CR</t>
        </is>
      </c>
      <c r="J45" s="9" t="n">
        <v>110002943</v>
      </c>
      <c r="K45" s="9" t="n">
        <v>25</v>
      </c>
      <c r="L45" s="9" t="n"/>
      <c r="M45" s="9" t="n"/>
      <c r="N45" s="9" t="n"/>
      <c r="O45" s="9" t="n">
        <v>10</v>
      </c>
      <c r="P45" s="13" t="n">
        <v>23015</v>
      </c>
      <c r="Q45" s="13" t="n">
        <v>24684</v>
      </c>
      <c r="R45" s="14">
        <f>IFERROR(P45/Q45,"")</f>
        <v/>
      </c>
      <c r="S45" s="15" t="n">
        <v>0.95</v>
      </c>
      <c r="T45" s="9">
        <f>IF(R45&gt;1,"A corregir","Válida")</f>
        <v/>
      </c>
      <c r="U45" s="13">
        <f>Q45-P45</f>
        <v/>
      </c>
      <c r="V45" s="13">
        <f>IF(S45="",0,S45*Q45)</f>
        <v/>
      </c>
      <c r="W45" s="9" t="n">
        <v>2026</v>
      </c>
      <c r="X45" s="9" t="n">
        <v>3</v>
      </c>
      <c r="Y45" s="9" t="inlineStr">
        <is>
          <t>2026-S03</t>
        </is>
      </c>
    </row>
    <row r="46">
      <c r="A46" s="9" t="n">
        <v>43046387</v>
      </c>
      <c r="B46" s="11" t="n">
        <v>46039.21888888889</v>
      </c>
      <c r="C46" s="12" t="n">
        <v>46039</v>
      </c>
      <c r="D46" s="9">
        <f>YEAR(C46)</f>
        <v/>
      </c>
      <c r="E46" s="9">
        <f>MONTH(C46)</f>
        <v/>
      </c>
      <c r="F46" s="9" t="inlineStr">
        <is>
          <t>B Hormigón</t>
        </is>
      </c>
      <c r="G46" s="9" t="inlineStr">
        <is>
          <t>B HORMIGON 25MM 9M A630-420H (N)</t>
        </is>
      </c>
      <c r="H46" s="9" t="inlineStr">
        <is>
          <t>B HORMIGON 25MM 9M A630-420H (N)</t>
        </is>
      </c>
      <c r="I46" s="9" t="inlineStr">
        <is>
          <t>RED 25 CR</t>
        </is>
      </c>
      <c r="J46" s="9" t="n">
        <v>110002905</v>
      </c>
      <c r="K46" s="9" t="n">
        <v>25</v>
      </c>
      <c r="L46" s="9" t="n"/>
      <c r="M46" s="9" t="n"/>
      <c r="N46" s="9" t="n"/>
      <c r="O46" s="9" t="n">
        <v>9</v>
      </c>
      <c r="P46" s="13" t="n">
        <v>57330</v>
      </c>
      <c r="Q46" s="13" t="n">
        <v>60984</v>
      </c>
      <c r="R46" s="14">
        <f>IFERROR(P46/Q46,"")</f>
        <v/>
      </c>
      <c r="S46" s="15" t="n">
        <v>0.95</v>
      </c>
      <c r="T46" s="9">
        <f>IF(R46&gt;1,"A corregir","Válida")</f>
        <v/>
      </c>
      <c r="U46" s="13">
        <f>Q46-P46</f>
        <v/>
      </c>
      <c r="V46" s="13">
        <f>IF(S46="",0,S46*Q46)</f>
        <v/>
      </c>
      <c r="W46" s="9" t="n">
        <v>2026</v>
      </c>
      <c r="X46" s="9" t="n">
        <v>3</v>
      </c>
      <c r="Y46" s="9" t="inlineStr">
        <is>
          <t>2026-S03</t>
        </is>
      </c>
    </row>
    <row r="47">
      <c r="A47" s="9" t="n">
        <v>43046393</v>
      </c>
      <c r="B47" s="11" t="n">
        <v>46039.34241898148</v>
      </c>
      <c r="C47" s="12" t="n">
        <v>46039</v>
      </c>
      <c r="D47" s="9">
        <f>YEAR(C47)</f>
        <v/>
      </c>
      <c r="E47" s="9">
        <f>MONTH(C47)</f>
        <v/>
      </c>
      <c r="F47" s="9" t="inlineStr">
        <is>
          <t>B Hormigón</t>
        </is>
      </c>
      <c r="G47" s="9" t="inlineStr">
        <is>
          <t>B HORMIGON 25MM 7M A630-420H (N)</t>
        </is>
      </c>
      <c r="H47" s="9" t="inlineStr">
        <is>
          <t>B HORMIGON 25MM 7M A630-420H (N)</t>
        </is>
      </c>
      <c r="I47" s="9" t="inlineStr">
        <is>
          <t>RED 25 CR</t>
        </is>
      </c>
      <c r="J47" s="9" t="n">
        <v>110002927</v>
      </c>
      <c r="K47" s="9" t="n">
        <v>25</v>
      </c>
      <c r="L47" s="9" t="n"/>
      <c r="M47" s="9" t="n"/>
      <c r="N47" s="9" t="n"/>
      <c r="O47" s="9" t="n">
        <v>7</v>
      </c>
      <c r="P47" s="13" t="n">
        <v>82831</v>
      </c>
      <c r="Q47" s="13" t="n">
        <v>88281.60000000001</v>
      </c>
      <c r="R47" s="14">
        <f>IFERROR(P47/Q47,"")</f>
        <v/>
      </c>
      <c r="S47" s="15" t="n">
        <v>0.95</v>
      </c>
      <c r="T47" s="9">
        <f>IF(R47&gt;1,"A corregir","Válida")</f>
        <v/>
      </c>
      <c r="U47" s="13">
        <f>Q47-P47</f>
        <v/>
      </c>
      <c r="V47" s="13">
        <f>IF(S47="",0,S47*Q47)</f>
        <v/>
      </c>
      <c r="W47" s="9" t="n">
        <v>2026</v>
      </c>
      <c r="X47" s="9" t="n">
        <v>3</v>
      </c>
      <c r="Y47" s="9" t="inlineStr">
        <is>
          <t>2026-S03</t>
        </is>
      </c>
    </row>
    <row r="48">
      <c r="A48" s="9" t="n">
        <v>43046420</v>
      </c>
      <c r="B48" s="11" t="n">
        <v>46041.05015046296</v>
      </c>
      <c r="C48" s="12" t="n">
        <v>46041</v>
      </c>
      <c r="D48" s="9">
        <f>YEAR(C48)</f>
        <v/>
      </c>
      <c r="E48" s="9">
        <f>MONTH(C48)</f>
        <v/>
      </c>
      <c r="F48" s="9" t="inlineStr">
        <is>
          <t>B Hormigón</t>
        </is>
      </c>
      <c r="G48" s="9" t="inlineStr">
        <is>
          <t>B HORMIGON 25MM 8M A630-420H (N)</t>
        </is>
      </c>
      <c r="H48" s="9" t="inlineStr">
        <is>
          <t>B HORMIGON 25MM 8M A630-420H (N)</t>
        </is>
      </c>
      <c r="I48" s="9" t="inlineStr">
        <is>
          <t>RED 25 CR</t>
        </is>
      </c>
      <c r="J48" s="9" t="n">
        <v>110002921</v>
      </c>
      <c r="K48" s="9" t="n">
        <v>25</v>
      </c>
      <c r="L48" s="9" t="n"/>
      <c r="M48" s="9" t="n"/>
      <c r="N48" s="9" t="n"/>
      <c r="O48" s="9" t="n">
        <v>8</v>
      </c>
      <c r="P48" s="13" t="n">
        <v>24872</v>
      </c>
      <c r="Q48" s="13" t="n">
        <v>26928</v>
      </c>
      <c r="R48" s="14">
        <f>IFERROR(P48/Q48,"")</f>
        <v/>
      </c>
      <c r="S48" s="15" t="n">
        <v>0.95</v>
      </c>
      <c r="T48" s="9">
        <f>IF(R48&gt;1,"A corregir","Válida")</f>
        <v/>
      </c>
      <c r="U48" s="13">
        <f>Q48-P48</f>
        <v/>
      </c>
      <c r="V48" s="13">
        <f>IF(S48="",0,S48*Q48)</f>
        <v/>
      </c>
      <c r="W48" s="9" t="n">
        <v>2026</v>
      </c>
      <c r="X48" s="9" t="n">
        <v>4</v>
      </c>
      <c r="Y48" s="9" t="inlineStr">
        <is>
          <t>2026-S04</t>
        </is>
      </c>
    </row>
    <row r="49">
      <c r="A49" s="9" t="n">
        <v>43046421</v>
      </c>
      <c r="B49" s="11" t="n">
        <v>46041.11877314815</v>
      </c>
      <c r="C49" s="12" t="n">
        <v>46041</v>
      </c>
      <c r="D49" s="9">
        <f>YEAR(C49)</f>
        <v/>
      </c>
      <c r="E49" s="9">
        <f>MONTH(C49)</f>
        <v/>
      </c>
      <c r="F49" s="9" t="inlineStr">
        <is>
          <t>B Hormigón</t>
        </is>
      </c>
      <c r="G49" s="9" t="inlineStr">
        <is>
          <t>B HORMIGON 25MM 9M A630-420H (N)</t>
        </is>
      </c>
      <c r="H49" s="9" t="inlineStr">
        <is>
          <t>B HORMIGON 25MM 9M A630-420H (N)</t>
        </is>
      </c>
      <c r="I49" s="9" t="inlineStr">
        <is>
          <t>RED 25 CR</t>
        </is>
      </c>
      <c r="J49" s="9" t="n">
        <v>110002905</v>
      </c>
      <c r="K49" s="9" t="n">
        <v>25</v>
      </c>
      <c r="L49" s="9" t="n"/>
      <c r="M49" s="9" t="n"/>
      <c r="N49" s="9" t="n"/>
      <c r="O49" s="9" t="n">
        <v>9</v>
      </c>
      <c r="P49" s="13" t="n">
        <v>33662</v>
      </c>
      <c r="Q49" s="13" t="n">
        <v>36352.8</v>
      </c>
      <c r="R49" s="14">
        <f>IFERROR(P49/Q49,"")</f>
        <v/>
      </c>
      <c r="S49" s="15" t="n">
        <v>0.95</v>
      </c>
      <c r="T49" s="9">
        <f>IF(R49&gt;1,"A corregir","Válida")</f>
        <v/>
      </c>
      <c r="U49" s="13">
        <f>Q49-P49</f>
        <v/>
      </c>
      <c r="V49" s="13">
        <f>IF(S49="",0,S49*Q49)</f>
        <v/>
      </c>
      <c r="W49" s="9" t="n">
        <v>2026</v>
      </c>
      <c r="X49" s="9" t="n">
        <v>4</v>
      </c>
      <c r="Y49" s="9" t="inlineStr">
        <is>
          <t>2026-S04</t>
        </is>
      </c>
    </row>
    <row r="50">
      <c r="A50" s="9" t="n">
        <v>43046390</v>
      </c>
      <c r="B50" s="11" t="n">
        <v>46041.18298611111</v>
      </c>
      <c r="C50" s="12" t="n">
        <v>46041</v>
      </c>
      <c r="D50" s="9">
        <f>YEAR(C50)</f>
        <v/>
      </c>
      <c r="E50" s="9">
        <f>MONTH(C50)</f>
        <v/>
      </c>
      <c r="F50" s="9" t="inlineStr">
        <is>
          <t>B Hormigón</t>
        </is>
      </c>
      <c r="G50" s="9" t="inlineStr">
        <is>
          <t>B HORMIGON 25MM 6M A630-420H (N)</t>
        </is>
      </c>
      <c r="H50" s="9" t="inlineStr">
        <is>
          <t>B HORMIGON 25MM 6M A630-420H (N)</t>
        </is>
      </c>
      <c r="I50" s="9" t="inlineStr">
        <is>
          <t>RED 25 CR</t>
        </is>
      </c>
      <c r="J50" s="9" t="n">
        <v>110002923</v>
      </c>
      <c r="K50" s="9" t="n">
        <v>25</v>
      </c>
      <c r="L50" s="9" t="n"/>
      <c r="M50" s="9" t="n"/>
      <c r="N50" s="9" t="n"/>
      <c r="O50" s="9" t="n">
        <v>6</v>
      </c>
      <c r="P50" s="13" t="n">
        <v>38630</v>
      </c>
      <c r="Q50" s="13" t="n">
        <v>41289.6</v>
      </c>
      <c r="R50" s="14">
        <f>IFERROR(P50/Q50,"")</f>
        <v/>
      </c>
      <c r="S50" s="15" t="n">
        <v>0.95</v>
      </c>
      <c r="T50" s="9">
        <f>IF(R50&gt;1,"A corregir","Válida")</f>
        <v/>
      </c>
      <c r="U50" s="13">
        <f>Q50-P50</f>
        <v/>
      </c>
      <c r="V50" s="13">
        <f>IF(S50="",0,S50*Q50)</f>
        <v/>
      </c>
      <c r="W50" s="9" t="n">
        <v>2026</v>
      </c>
      <c r="X50" s="9" t="n">
        <v>4</v>
      </c>
      <c r="Y50" s="9" t="inlineStr">
        <is>
          <t>2026-S04</t>
        </is>
      </c>
    </row>
    <row r="51">
      <c r="A51" s="9" t="n">
        <v>43046394</v>
      </c>
      <c r="B51" s="11" t="n">
        <v>46041.26222222222</v>
      </c>
      <c r="C51" s="12" t="n">
        <v>46041</v>
      </c>
      <c r="D51" s="9">
        <f>YEAR(C51)</f>
        <v/>
      </c>
      <c r="E51" s="9">
        <f>MONTH(C51)</f>
        <v/>
      </c>
      <c r="F51" s="9" t="inlineStr">
        <is>
          <t>B Hormigón</t>
        </is>
      </c>
      <c r="G51" s="9" t="inlineStr">
        <is>
          <t>B HORMIGON 25MM 12M A630-420HS (N)</t>
        </is>
      </c>
      <c r="H51" s="9" t="inlineStr">
        <is>
          <t>B HORMIGON 25MM 12M A630-420HS (N)</t>
        </is>
      </c>
      <c r="I51" s="9" t="inlineStr">
        <is>
          <t>RED 25 CR</t>
        </is>
      </c>
      <c r="J51" s="9" t="n">
        <v>110007122</v>
      </c>
      <c r="K51" s="9" t="n">
        <v>25</v>
      </c>
      <c r="L51" s="9" t="n"/>
      <c r="M51" s="9" t="n"/>
      <c r="N51" s="9" t="n"/>
      <c r="O51" s="9" t="n">
        <v>12</v>
      </c>
      <c r="P51" s="13" t="n">
        <v>27516</v>
      </c>
      <c r="Q51" s="13" t="n">
        <v>29620.8</v>
      </c>
      <c r="R51" s="14">
        <f>IFERROR(P51/Q51,"")</f>
        <v/>
      </c>
      <c r="S51" s="15" t="n">
        <v>0.95</v>
      </c>
      <c r="T51" s="9">
        <f>IF(R51&gt;1,"A corregir","Válida")</f>
        <v/>
      </c>
      <c r="U51" s="13">
        <f>Q51-P51</f>
        <v/>
      </c>
      <c r="V51" s="13">
        <f>IF(S51="",0,S51*Q51)</f>
        <v/>
      </c>
      <c r="W51" s="9" t="n">
        <v>2026</v>
      </c>
      <c r="X51" s="9" t="n">
        <v>4</v>
      </c>
      <c r="Y51" s="9" t="inlineStr">
        <is>
          <t>2026-S04</t>
        </is>
      </c>
    </row>
    <row r="52">
      <c r="A52" s="9" t="n">
        <v>43046396</v>
      </c>
      <c r="B52" s="11" t="n">
        <v>46041.31530092593</v>
      </c>
      <c r="C52" s="12" t="n">
        <v>46041</v>
      </c>
      <c r="D52" s="9">
        <f>YEAR(C52)</f>
        <v/>
      </c>
      <c r="E52" s="9">
        <f>MONTH(C52)</f>
        <v/>
      </c>
      <c r="F52" s="9" t="inlineStr">
        <is>
          <t>B Hormigón</t>
        </is>
      </c>
      <c r="G52" s="9" t="inlineStr">
        <is>
          <t>B HORMIGON 25MM 11M A630-420HS (N)</t>
        </is>
      </c>
      <c r="H52" s="9" t="inlineStr">
        <is>
          <t>B HORMIGON 25MM 11M A630-420HS (N)</t>
        </is>
      </c>
      <c r="I52" s="9" t="inlineStr">
        <is>
          <t>RED 25 CR</t>
        </is>
      </c>
      <c r="J52" s="9" t="n">
        <v>110007414</v>
      </c>
      <c r="K52" s="9" t="n">
        <v>25</v>
      </c>
      <c r="L52" s="9" t="n"/>
      <c r="M52" s="9" t="n"/>
      <c r="N52" s="9" t="n"/>
      <c r="O52" s="9" t="n">
        <v>11</v>
      </c>
      <c r="P52" s="13" t="n">
        <v>24036</v>
      </c>
      <c r="Q52" s="13" t="n">
        <v>25132.8</v>
      </c>
      <c r="R52" s="14">
        <f>IFERROR(P52/Q52,"")</f>
        <v/>
      </c>
      <c r="S52" s="15" t="n">
        <v>0.95</v>
      </c>
      <c r="T52" s="9">
        <f>IF(R52&gt;1,"A corregir","Válida")</f>
        <v/>
      </c>
      <c r="U52" s="13">
        <f>Q52-P52</f>
        <v/>
      </c>
      <c r="V52" s="13">
        <f>IF(S52="",0,S52*Q52)</f>
        <v/>
      </c>
      <c r="W52" s="9" t="n">
        <v>2026</v>
      </c>
      <c r="X52" s="9" t="n">
        <v>4</v>
      </c>
      <c r="Y52" s="9" t="inlineStr">
        <is>
          <t>2026-S04</t>
        </is>
      </c>
    </row>
    <row r="53">
      <c r="A53" s="9" t="n">
        <v>43046398</v>
      </c>
      <c r="B53" s="11" t="n">
        <v>46041.35976851852</v>
      </c>
      <c r="C53" s="12" t="n">
        <v>46041</v>
      </c>
      <c r="D53" s="9">
        <f>YEAR(C53)</f>
        <v/>
      </c>
      <c r="E53" s="9">
        <f>MONTH(C53)</f>
        <v/>
      </c>
      <c r="F53" s="9" t="inlineStr">
        <is>
          <t>B Hormigón</t>
        </is>
      </c>
      <c r="G53" s="9" t="inlineStr">
        <is>
          <t>B HORMIGON 25MM 9M A630-420HS (N)</t>
        </is>
      </c>
      <c r="H53" s="9" t="inlineStr">
        <is>
          <t>B HORMIGON 25MM 9M A630-420HS (N)</t>
        </is>
      </c>
      <c r="I53" s="9" t="inlineStr">
        <is>
          <t>RED 25 CR</t>
        </is>
      </c>
      <c r="J53" s="9" t="n">
        <v>110007412</v>
      </c>
      <c r="K53" s="9" t="n">
        <v>25</v>
      </c>
      <c r="L53" s="9" t="n"/>
      <c r="M53" s="9" t="n"/>
      <c r="N53" s="9" t="n"/>
      <c r="O53" s="9" t="n">
        <v>9</v>
      </c>
      <c r="P53" s="13" t="n">
        <v>40747</v>
      </c>
      <c r="Q53" s="13" t="n">
        <v>43533.6</v>
      </c>
      <c r="R53" s="14">
        <f>IFERROR(P53/Q53,"")</f>
        <v/>
      </c>
      <c r="S53" s="15" t="n">
        <v>0.95</v>
      </c>
      <c r="T53" s="9">
        <f>IF(R53&gt;1,"A corregir","Válida")</f>
        <v/>
      </c>
      <c r="U53" s="13">
        <f>Q53-P53</f>
        <v/>
      </c>
      <c r="V53" s="13">
        <f>IF(S53="",0,S53*Q53)</f>
        <v/>
      </c>
      <c r="W53" s="9" t="n">
        <v>2026</v>
      </c>
      <c r="X53" s="9" t="n">
        <v>4</v>
      </c>
      <c r="Y53" s="9" t="inlineStr">
        <is>
          <t>2026-S04</t>
        </is>
      </c>
    </row>
    <row r="54">
      <c r="A54" s="9" t="n">
        <v>43046400</v>
      </c>
      <c r="B54" s="11" t="n">
        <v>46041.51824074074</v>
      </c>
      <c r="C54" s="12" t="n">
        <v>46041</v>
      </c>
      <c r="D54" s="9">
        <f>YEAR(C54)</f>
        <v/>
      </c>
      <c r="E54" s="9">
        <f>MONTH(C54)</f>
        <v/>
      </c>
      <c r="F54" s="9" t="inlineStr">
        <is>
          <t>Plana</t>
        </is>
      </c>
      <c r="G54" s="9" t="inlineStr">
        <is>
          <t>PLANA 50X6MM 6M A270ES (N)</t>
        </is>
      </c>
      <c r="H54" s="9" t="inlineStr">
        <is>
          <t>PLANA 50X6MM 6M A270ES (N)</t>
        </is>
      </c>
      <c r="I54" s="9" t="inlineStr">
        <is>
          <t>PL 50 x 6</t>
        </is>
      </c>
      <c r="J54" s="9" t="n">
        <v>109013901</v>
      </c>
      <c r="K54" s="9" t="n"/>
      <c r="L54" s="9" t="n">
        <v>50</v>
      </c>
      <c r="M54" s="9" t="n">
        <v>6</v>
      </c>
      <c r="N54" s="9" t="n"/>
      <c r="O54" s="9" t="n">
        <v>6</v>
      </c>
      <c r="P54" s="13" t="n">
        <v>72553</v>
      </c>
      <c r="Q54" s="13" t="n">
        <v>77193.60000000001</v>
      </c>
      <c r="R54" s="14">
        <f>IFERROR(P54/Q54,"")</f>
        <v/>
      </c>
      <c r="S54" s="15" t="n">
        <v>0.96</v>
      </c>
      <c r="T54" s="9">
        <f>IF(R54&gt;1,"A corregir","Válida")</f>
        <v/>
      </c>
      <c r="U54" s="13">
        <f>Q54-P54</f>
        <v/>
      </c>
      <c r="V54" s="13">
        <f>IF(S54="",0,S54*Q54)</f>
        <v/>
      </c>
      <c r="W54" s="9" t="n">
        <v>2026</v>
      </c>
      <c r="X54" s="9" t="n">
        <v>4</v>
      </c>
      <c r="Y54" s="9" t="inlineStr">
        <is>
          <t>2026-S04</t>
        </is>
      </c>
    </row>
    <row r="55">
      <c r="A55" s="9" t="n">
        <v>43046424</v>
      </c>
      <c r="B55" s="11" t="n">
        <v>46041.78170138889</v>
      </c>
      <c r="C55" s="12" t="n">
        <v>46041</v>
      </c>
      <c r="D55" s="9">
        <f>YEAR(C55)</f>
        <v/>
      </c>
      <c r="E55" s="9">
        <f>MONTH(C55)</f>
        <v/>
      </c>
      <c r="F55" s="9" t="inlineStr">
        <is>
          <t>Plana</t>
        </is>
      </c>
      <c r="G55" s="9" t="inlineStr">
        <is>
          <t>PLANA 75X12MM 6M A270ES</t>
        </is>
      </c>
      <c r="H55" s="9" t="inlineStr">
        <is>
          <t>PLANA 75X12MM 6M A270ES</t>
        </is>
      </c>
      <c r="I55" s="9" t="n"/>
      <c r="J55" s="9" t="n"/>
      <c r="K55" s="9" t="n"/>
      <c r="L55" s="9" t="n">
        <v>75</v>
      </c>
      <c r="M55" s="9" t="n">
        <v>12</v>
      </c>
      <c r="N55" s="9" t="n"/>
      <c r="O55" s="9" t="n">
        <v>6</v>
      </c>
      <c r="P55" s="13" t="n">
        <v>25145</v>
      </c>
      <c r="Q55" s="13" t="n">
        <v>32762.4</v>
      </c>
      <c r="R55" s="14">
        <f>IFERROR(P55/Q55,"")</f>
        <v/>
      </c>
      <c r="S55" s="15" t="n">
        <v>0.945</v>
      </c>
      <c r="T55" s="9">
        <f>IF(R55&gt;1,"A corregir","Válida")</f>
        <v/>
      </c>
      <c r="U55" s="13">
        <f>Q55-P55</f>
        <v/>
      </c>
      <c r="V55" s="13">
        <f>IF(S55="",0,S55*Q55)</f>
        <v/>
      </c>
      <c r="W55" s="9" t="n">
        <v>2026</v>
      </c>
      <c r="X55" s="9" t="n">
        <v>4</v>
      </c>
      <c r="Y55" s="9" t="inlineStr">
        <is>
          <t>2026-S04</t>
        </is>
      </c>
    </row>
    <row r="56">
      <c r="A56" s="9" t="n">
        <v>43046425</v>
      </c>
      <c r="B56" s="11" t="n">
        <v>46041.95204861111</v>
      </c>
      <c r="C56" s="12" t="n">
        <v>46041</v>
      </c>
      <c r="D56" s="9">
        <f>YEAR(C56)</f>
        <v/>
      </c>
      <c r="E56" s="9">
        <f>MONTH(C56)</f>
        <v/>
      </c>
      <c r="F56" s="9" t="inlineStr">
        <is>
          <t>Plana</t>
        </is>
      </c>
      <c r="G56" s="9" t="inlineStr">
        <is>
          <t>PLANA 75X10MM 6M A270ES (N)</t>
        </is>
      </c>
      <c r="H56" s="9" t="inlineStr">
        <is>
          <t>PLANA 75X10MM 6M A270ES (N)</t>
        </is>
      </c>
      <c r="I56" s="9" t="inlineStr">
        <is>
          <t>PL 75 x 10</t>
        </is>
      </c>
      <c r="J56" s="9" t="n">
        <v>109013907</v>
      </c>
      <c r="K56" s="9" t="n"/>
      <c r="L56" s="9" t="n">
        <v>75</v>
      </c>
      <c r="M56" s="9" t="n">
        <v>10</v>
      </c>
      <c r="N56" s="9" t="n"/>
      <c r="O56" s="9" t="n">
        <v>6</v>
      </c>
      <c r="P56" s="13" t="n">
        <v>73055</v>
      </c>
      <c r="Q56" s="13" t="n">
        <v>78091.2</v>
      </c>
      <c r="R56" s="14">
        <f>IFERROR(P56/Q56,"")</f>
        <v/>
      </c>
      <c r="S56" s="15" t="n">
        <v>0.9470000000000001</v>
      </c>
      <c r="T56" s="9">
        <f>IF(R56&gt;1,"A corregir","Válida")</f>
        <v/>
      </c>
      <c r="U56" s="13">
        <f>Q56-P56</f>
        <v/>
      </c>
      <c r="V56" s="13">
        <f>IF(S56="",0,S56*Q56)</f>
        <v/>
      </c>
      <c r="W56" s="9" t="n">
        <v>2026</v>
      </c>
      <c r="X56" s="9" t="n">
        <v>4</v>
      </c>
      <c r="Y56" s="9" t="inlineStr">
        <is>
          <t>2026-S04</t>
        </is>
      </c>
    </row>
    <row r="57">
      <c r="A57" s="9" t="n">
        <v>43046426</v>
      </c>
      <c r="B57" s="11" t="n">
        <v>46042.10295138889</v>
      </c>
      <c r="C57" s="12" t="n">
        <v>46042</v>
      </c>
      <c r="D57" s="9">
        <f>YEAR(C57)</f>
        <v/>
      </c>
      <c r="E57" s="9">
        <f>MONTH(C57)</f>
        <v/>
      </c>
      <c r="F57" s="9" t="inlineStr">
        <is>
          <t>Plana</t>
        </is>
      </c>
      <c r="G57" s="9" t="inlineStr">
        <is>
          <t>PLANA 75X8MM 6M A270ES (N)</t>
        </is>
      </c>
      <c r="H57" s="9" t="inlineStr">
        <is>
          <t>PLANA 75X8MM 6M A270ES (N)</t>
        </is>
      </c>
      <c r="I57" s="9" t="inlineStr">
        <is>
          <t>PL 75 x 8</t>
        </is>
      </c>
      <c r="J57" s="9" t="n">
        <v>109013909</v>
      </c>
      <c r="K57" s="9" t="n"/>
      <c r="L57" s="9" t="n">
        <v>75</v>
      </c>
      <c r="M57" s="9" t="n">
        <v>8</v>
      </c>
      <c r="N57" s="9" t="n"/>
      <c r="O57" s="9" t="n">
        <v>6</v>
      </c>
      <c r="P57" s="13" t="n">
        <v>60035</v>
      </c>
      <c r="Q57" s="13" t="n">
        <v>64178.4</v>
      </c>
      <c r="R57" s="14">
        <f>IFERROR(P57/Q57,"")</f>
        <v/>
      </c>
      <c r="S57" s="15" t="n">
        <v>0.951</v>
      </c>
      <c r="T57" s="9">
        <f>IF(R57&gt;1,"A corregir","Válida")</f>
        <v/>
      </c>
      <c r="U57" s="13">
        <f>Q57-P57</f>
        <v/>
      </c>
      <c r="V57" s="13">
        <f>IF(S57="",0,S57*Q57)</f>
        <v/>
      </c>
      <c r="W57" s="9" t="n">
        <v>2026</v>
      </c>
      <c r="X57" s="9" t="n">
        <v>4</v>
      </c>
      <c r="Y57" s="9" t="inlineStr">
        <is>
          <t>2026-S04</t>
        </is>
      </c>
    </row>
    <row r="58">
      <c r="A58" s="9" t="n">
        <v>43046427</v>
      </c>
      <c r="B58" s="11" t="n">
        <v>46042.26840277778</v>
      </c>
      <c r="C58" s="12" t="n">
        <v>46042</v>
      </c>
      <c r="D58" s="9">
        <f>YEAR(C58)</f>
        <v/>
      </c>
      <c r="E58" s="9">
        <f>MONTH(C58)</f>
        <v/>
      </c>
      <c r="F58" s="9" t="inlineStr">
        <is>
          <t>Plana</t>
        </is>
      </c>
      <c r="G58" s="9" t="inlineStr">
        <is>
          <t>PLANA 75X6MM 6M A270ES (N)</t>
        </is>
      </c>
      <c r="H58" s="9" t="inlineStr">
        <is>
          <t>PLANA 75X6MM 6M A270ES (N)</t>
        </is>
      </c>
      <c r="I58" s="9" t="inlineStr">
        <is>
          <t>PL 75 x 6</t>
        </is>
      </c>
      <c r="J58" s="9" t="n">
        <v>109013911</v>
      </c>
      <c r="K58" s="9" t="n"/>
      <c r="L58" s="9" t="n">
        <v>75</v>
      </c>
      <c r="M58" s="9" t="n">
        <v>6</v>
      </c>
      <c r="N58" s="9" t="n"/>
      <c r="O58" s="9" t="n">
        <v>6</v>
      </c>
      <c r="P58" s="13" t="n">
        <v>30556</v>
      </c>
      <c r="Q58" s="13" t="n">
        <v>30069.6</v>
      </c>
      <c r="R58" s="14">
        <f>IFERROR(P58/Q58,"")</f>
        <v/>
      </c>
      <c r="S58" s="15" t="n">
        <v>0.9540000000000001</v>
      </c>
      <c r="T58" s="9">
        <f>IF(R58&gt;1,"A corregir","Válida")</f>
        <v/>
      </c>
      <c r="U58" s="13">
        <f>Q58-P58</f>
        <v/>
      </c>
      <c r="V58" s="13">
        <f>IF(S58="",0,S58*Q58)</f>
        <v/>
      </c>
      <c r="W58" s="9" t="n">
        <v>2026</v>
      </c>
      <c r="X58" s="9" t="n">
        <v>4</v>
      </c>
      <c r="Y58" s="9" t="inlineStr">
        <is>
          <t>2026-S04</t>
        </is>
      </c>
    </row>
    <row r="59">
      <c r="A59" s="9" t="n">
        <v>43046428</v>
      </c>
      <c r="B59" s="11" t="n">
        <v>46042.39030092592</v>
      </c>
      <c r="C59" s="12" t="n">
        <v>46042</v>
      </c>
      <c r="D59" s="9">
        <f>YEAR(C59)</f>
        <v/>
      </c>
      <c r="E59" s="9">
        <f>MONTH(C59)</f>
        <v/>
      </c>
      <c r="F59" s="9" t="inlineStr">
        <is>
          <t>Plana</t>
        </is>
      </c>
      <c r="G59" s="9" t="inlineStr">
        <is>
          <t>PLANA 75X5MM 6M A270ES (N)</t>
        </is>
      </c>
      <c r="H59" s="9" t="inlineStr">
        <is>
          <t>PLANA 75X5MM 6M A270ES (N)</t>
        </is>
      </c>
      <c r="I59" s="9" t="inlineStr">
        <is>
          <t>PL 75 x 5</t>
        </is>
      </c>
      <c r="J59" s="9" t="n">
        <v>109013908</v>
      </c>
      <c r="K59" s="9" t="n"/>
      <c r="L59" s="9" t="n">
        <v>75</v>
      </c>
      <c r="M59" s="9" t="n">
        <v>5</v>
      </c>
      <c r="N59" s="9" t="n"/>
      <c r="O59" s="9" t="n">
        <v>6</v>
      </c>
      <c r="P59" s="13" t="n">
        <v>44066</v>
      </c>
      <c r="Q59" s="13" t="n">
        <v>50265.6</v>
      </c>
      <c r="R59" s="14">
        <f>IFERROR(P59/Q59,"")</f>
        <v/>
      </c>
      <c r="S59" s="15" t="n">
        <v>0.956</v>
      </c>
      <c r="T59" s="9">
        <f>IF(R59&gt;1,"A corregir","Válida")</f>
        <v/>
      </c>
      <c r="U59" s="13">
        <f>Q59-P59</f>
        <v/>
      </c>
      <c r="V59" s="13">
        <f>IF(S59="",0,S59*Q59)</f>
        <v/>
      </c>
      <c r="W59" s="9" t="n">
        <v>2026</v>
      </c>
      <c r="X59" s="9" t="n">
        <v>4</v>
      </c>
      <c r="Y59" s="9" t="inlineStr">
        <is>
          <t>2026-S04</t>
        </is>
      </c>
    </row>
    <row r="60">
      <c r="A60" s="9" t="n">
        <v>43046434</v>
      </c>
      <c r="B60" s="11" t="n">
        <v>46042.59546296296</v>
      </c>
      <c r="C60" s="12" t="n">
        <v>46042</v>
      </c>
      <c r="D60" s="9">
        <f>YEAR(C60)</f>
        <v/>
      </c>
      <c r="E60" s="9">
        <f>MONTH(C60)</f>
        <v/>
      </c>
      <c r="F60" s="9" t="inlineStr">
        <is>
          <t>Ángulo</t>
        </is>
      </c>
      <c r="G60" s="9" t="inlineStr">
        <is>
          <t>ANGULO 65X65X10MM A270ES</t>
        </is>
      </c>
      <c r="H60" s="9" t="inlineStr">
        <is>
          <t>ANGULO SEMI 65X65X10MM A270ES</t>
        </is>
      </c>
      <c r="I60" s="9" t="inlineStr">
        <is>
          <t>ANG 65 x 10</t>
        </is>
      </c>
      <c r="J60" s="9" t="n">
        <v>106501052</v>
      </c>
      <c r="K60" s="9" t="n"/>
      <c r="L60" s="9" t="n">
        <v>65</v>
      </c>
      <c r="M60" s="9" t="n">
        <v>10</v>
      </c>
      <c r="N60" s="9" t="n"/>
      <c r="O60" s="9" t="n">
        <v>6</v>
      </c>
      <c r="P60" s="13" t="n">
        <v>31232</v>
      </c>
      <c r="Q60" s="13" t="n">
        <v>33660</v>
      </c>
      <c r="R60" s="14">
        <f>IFERROR(P60/Q60,"")</f>
        <v/>
      </c>
      <c r="S60" s="15" t="n">
        <v>0.9470000000000001</v>
      </c>
      <c r="T60" s="9">
        <f>IF(R60&gt;1,"A corregir","Válida")</f>
        <v/>
      </c>
      <c r="U60" s="13">
        <f>Q60-P60</f>
        <v/>
      </c>
      <c r="V60" s="13">
        <f>IF(S60="",0,S60*Q60)</f>
        <v/>
      </c>
      <c r="W60" s="9" t="n">
        <v>2026</v>
      </c>
      <c r="X60" s="9" t="n">
        <v>4</v>
      </c>
      <c r="Y60" s="9" t="inlineStr">
        <is>
          <t>2026-S04</t>
        </is>
      </c>
    </row>
    <row r="61">
      <c r="A61" s="9" t="n">
        <v>43046435</v>
      </c>
      <c r="B61" s="11" t="n">
        <v>46042.73010416667</v>
      </c>
      <c r="C61" s="12" t="n">
        <v>46042</v>
      </c>
      <c r="D61" s="9">
        <f>YEAR(C61)</f>
        <v/>
      </c>
      <c r="E61" s="9">
        <f>MONTH(C61)</f>
        <v/>
      </c>
      <c r="F61" s="9" t="inlineStr">
        <is>
          <t>Ángulo</t>
        </is>
      </c>
      <c r="G61" s="9" t="inlineStr">
        <is>
          <t>ANGULO 65X65X6MM A270ES</t>
        </is>
      </c>
      <c r="H61" s="9" t="inlineStr">
        <is>
          <t>ANGULO SEMI 65X65X6MM A270ES</t>
        </is>
      </c>
      <c r="I61" s="9" t="inlineStr">
        <is>
          <t>ANG 65 x 6</t>
        </is>
      </c>
      <c r="J61" s="9" t="n">
        <v>106501057</v>
      </c>
      <c r="K61" s="9" t="n"/>
      <c r="L61" s="9" t="n">
        <v>65</v>
      </c>
      <c r="M61" s="9" t="n">
        <v>6</v>
      </c>
      <c r="N61" s="9" t="n"/>
      <c r="O61" s="9" t="n">
        <v>6</v>
      </c>
      <c r="P61" s="13" t="n">
        <v>70432</v>
      </c>
      <c r="Q61" s="13" t="n">
        <v>75398.39999999999</v>
      </c>
      <c r="R61" s="14">
        <f>IFERROR(P61/Q61,"")</f>
        <v/>
      </c>
      <c r="S61" s="15" t="n">
        <v>0.951</v>
      </c>
      <c r="T61" s="9">
        <f>IF(R61&gt;1,"A corregir","Válida")</f>
        <v/>
      </c>
      <c r="U61" s="13">
        <f>Q61-P61</f>
        <v/>
      </c>
      <c r="V61" s="13">
        <f>IF(S61="",0,S61*Q61)</f>
        <v/>
      </c>
      <c r="W61" s="9" t="n">
        <v>2026</v>
      </c>
      <c r="X61" s="9" t="n">
        <v>4</v>
      </c>
      <c r="Y61" s="9" t="inlineStr">
        <is>
          <t>2026-S04</t>
        </is>
      </c>
    </row>
    <row r="62">
      <c r="A62" s="9" t="n">
        <v>43046436</v>
      </c>
      <c r="B62" s="11" t="n">
        <v>46042.88396990741</v>
      </c>
      <c r="C62" s="12" t="n">
        <v>46042</v>
      </c>
      <c r="D62" s="9">
        <f>YEAR(C62)</f>
        <v/>
      </c>
      <c r="E62" s="9">
        <f>MONTH(C62)</f>
        <v/>
      </c>
      <c r="F62" s="9" t="inlineStr">
        <is>
          <t>Ángulo</t>
        </is>
      </c>
      <c r="G62" s="9" t="inlineStr">
        <is>
          <t>ANGULO 65X65X6MM A270ES</t>
        </is>
      </c>
      <c r="H62" s="9" t="inlineStr">
        <is>
          <t>ANGULO SEMI 65X65X6MM A270ES</t>
        </is>
      </c>
      <c r="I62" s="9" t="inlineStr">
        <is>
          <t>ANG 65 x 6</t>
        </is>
      </c>
      <c r="J62" s="9" t="n">
        <v>106501057</v>
      </c>
      <c r="K62" s="9" t="n"/>
      <c r="L62" s="9" t="n">
        <v>65</v>
      </c>
      <c r="M62" s="9" t="n">
        <v>6</v>
      </c>
      <c r="N62" s="9" t="n"/>
      <c r="O62" s="9" t="n">
        <v>6</v>
      </c>
      <c r="P62" s="13" t="n">
        <v>26112</v>
      </c>
      <c r="Q62" s="13" t="n">
        <v>27376.8</v>
      </c>
      <c r="R62" s="14">
        <f>IFERROR(P62/Q62,"")</f>
        <v/>
      </c>
      <c r="S62" s="15" t="n">
        <v>0.951</v>
      </c>
      <c r="T62" s="9">
        <f>IF(R62&gt;1,"A corregir","Válida")</f>
        <v/>
      </c>
      <c r="U62" s="13">
        <f>Q62-P62</f>
        <v/>
      </c>
      <c r="V62" s="13">
        <f>IF(S62="",0,S62*Q62)</f>
        <v/>
      </c>
      <c r="W62" s="9" t="n">
        <v>2026</v>
      </c>
      <c r="X62" s="9" t="n">
        <v>4</v>
      </c>
      <c r="Y62" s="9" t="inlineStr">
        <is>
          <t>2026-S04</t>
        </is>
      </c>
    </row>
    <row r="63">
      <c r="A63" s="9" t="n">
        <v>43046438</v>
      </c>
      <c r="B63" s="11" t="n">
        <v>46042.97163194444</v>
      </c>
      <c r="C63" s="12" t="n">
        <v>46042</v>
      </c>
      <c r="D63" s="9">
        <f>YEAR(C63)</f>
        <v/>
      </c>
      <c r="E63" s="9">
        <f>MONTH(C63)</f>
        <v/>
      </c>
      <c r="F63" s="9" t="inlineStr">
        <is>
          <t>Ángulo</t>
        </is>
      </c>
      <c r="G63" s="9" t="inlineStr">
        <is>
          <t>ANGULO 65X65X5MM A270ES</t>
        </is>
      </c>
      <c r="H63" s="9" t="inlineStr">
        <is>
          <t>ANGULO SEMI 65X65X5MM A270ES</t>
        </is>
      </c>
      <c r="I63" s="9" t="inlineStr">
        <is>
          <t>ANG 65 x 5</t>
        </is>
      </c>
      <c r="J63" s="9" t="n">
        <v>106501053</v>
      </c>
      <c r="K63" s="9" t="n"/>
      <c r="L63" s="9" t="n">
        <v>65</v>
      </c>
      <c r="M63" s="9" t="n">
        <v>5</v>
      </c>
      <c r="N63" s="9" t="n"/>
      <c r="O63" s="9" t="n">
        <v>6</v>
      </c>
      <c r="P63" s="13" t="n">
        <v>137217</v>
      </c>
      <c r="Q63" s="13" t="n">
        <v>147206.4</v>
      </c>
      <c r="R63" s="14">
        <f>IFERROR(P63/Q63,"")</f>
        <v/>
      </c>
      <c r="S63" s="15" t="n">
        <v>0.951</v>
      </c>
      <c r="T63" s="9">
        <f>IF(R63&gt;1,"A corregir","Válida")</f>
        <v/>
      </c>
      <c r="U63" s="13">
        <f>Q63-P63</f>
        <v/>
      </c>
      <c r="V63" s="13">
        <f>IF(S63="",0,S63*Q63)</f>
        <v/>
      </c>
      <c r="W63" s="9" t="n">
        <v>2026</v>
      </c>
      <c r="X63" s="9" t="n">
        <v>4</v>
      </c>
      <c r="Y63" s="9" t="inlineStr">
        <is>
          <t>2026-S04</t>
        </is>
      </c>
    </row>
    <row r="64">
      <c r="A64" s="9" t="n">
        <v>43046437</v>
      </c>
      <c r="B64" s="11" t="n">
        <v>46043.07903935185</v>
      </c>
      <c r="C64" s="12" t="n">
        <v>46043</v>
      </c>
      <c r="D64" s="9">
        <f>YEAR(C64)</f>
        <v/>
      </c>
      <c r="E64" s="9">
        <f>MONTH(C64)</f>
        <v/>
      </c>
      <c r="F64" s="9" t="inlineStr">
        <is>
          <t>Ángulo</t>
        </is>
      </c>
      <c r="G64" s="9" t="inlineStr">
        <is>
          <t>ANG 65X65X5MM 12M ASTM A572 T2 (N)</t>
        </is>
      </c>
      <c r="H64" s="9" t="inlineStr">
        <is>
          <t>ANG SEMI 65X65X5MM 12M ASTM A572 T2 (N)</t>
        </is>
      </c>
      <c r="I64" s="9" t="inlineStr">
        <is>
          <t>ANG 65 x 5</t>
        </is>
      </c>
      <c r="J64" s="9" t="n">
        <v>119502817</v>
      </c>
      <c r="K64" s="9" t="n"/>
      <c r="L64" s="9" t="n">
        <v>65</v>
      </c>
      <c r="M64" s="9" t="n">
        <v>5</v>
      </c>
      <c r="N64" s="9" t="n"/>
      <c r="O64" s="9" t="n">
        <v>12</v>
      </c>
      <c r="P64" s="13" t="n">
        <v>23239</v>
      </c>
      <c r="Q64" s="13" t="n">
        <v>25132.8</v>
      </c>
      <c r="R64" s="14">
        <f>IFERROR(P64/Q64,"")</f>
        <v/>
      </c>
      <c r="S64" s="15" t="n">
        <v>0.97</v>
      </c>
      <c r="T64" s="9">
        <f>IF(R64&gt;1,"A corregir","Válida")</f>
        <v/>
      </c>
      <c r="U64" s="13">
        <f>Q64-P64</f>
        <v/>
      </c>
      <c r="V64" s="13">
        <f>IF(S64="",0,S64*Q64)</f>
        <v/>
      </c>
      <c r="W64" s="9" t="n">
        <v>2026</v>
      </c>
      <c r="X64" s="9" t="n">
        <v>4</v>
      </c>
      <c r="Y64" s="9" t="inlineStr">
        <is>
          <t>2026-S04</t>
        </is>
      </c>
    </row>
    <row r="65">
      <c r="A65" s="9" t="n">
        <v>43046443</v>
      </c>
      <c r="B65" s="11" t="n">
        <v>46043.74815972222</v>
      </c>
      <c r="C65" s="12" t="n">
        <v>46043</v>
      </c>
      <c r="D65" s="9">
        <f>YEAR(C65)</f>
        <v/>
      </c>
      <c r="E65" s="9">
        <f>MONTH(C65)</f>
        <v/>
      </c>
      <c r="F65" s="9" t="inlineStr">
        <is>
          <t>Saferock</t>
        </is>
      </c>
      <c r="G65" s="9" t="inlineStr">
        <is>
          <t>SAFEROCK 22MM 10,8M A280</t>
        </is>
      </c>
      <c r="H65" s="9" t="inlineStr">
        <is>
          <t>SAFEROCK SEMI 22MM 10,8M A280</t>
        </is>
      </c>
      <c r="I65" s="9" t="inlineStr">
        <is>
          <t>SFRCK 22</t>
        </is>
      </c>
      <c r="J65" s="9" t="n">
        <v>119502095</v>
      </c>
      <c r="K65" s="9" t="n">
        <v>22</v>
      </c>
      <c r="L65" s="9" t="n"/>
      <c r="M65" s="9" t="n"/>
      <c r="N65" s="9" t="n"/>
      <c r="O65" s="9" t="n">
        <v>10.8</v>
      </c>
      <c r="P65" s="13" t="n">
        <v>27349</v>
      </c>
      <c r="Q65" s="13" t="n">
        <v>29620.8</v>
      </c>
      <c r="R65" s="14">
        <f>IFERROR(P65/Q65,"")</f>
        <v/>
      </c>
      <c r="S65" s="15" t="n">
        <v>0.96</v>
      </c>
      <c r="T65" s="9">
        <f>IF(R65&gt;1,"A corregir","Válida")</f>
        <v/>
      </c>
      <c r="U65" s="13">
        <f>Q65-P65</f>
        <v/>
      </c>
      <c r="V65" s="13">
        <f>IF(S65="",0,S65*Q65)</f>
        <v/>
      </c>
      <c r="W65" s="9" t="n">
        <v>2026</v>
      </c>
      <c r="X65" s="9" t="n">
        <v>4</v>
      </c>
      <c r="Y65" s="9" t="inlineStr">
        <is>
          <t>2026-S04</t>
        </is>
      </c>
    </row>
    <row r="66">
      <c r="A66" s="9" t="n">
        <v>43046481</v>
      </c>
      <c r="B66" s="11" t="n">
        <v>46043.83607638889</v>
      </c>
      <c r="C66" s="12" t="n">
        <v>46043</v>
      </c>
      <c r="D66" s="9">
        <f>YEAR(C66)</f>
        <v/>
      </c>
      <c r="E66" s="9">
        <f>MONTH(C66)</f>
        <v/>
      </c>
      <c r="F66" s="9" t="inlineStr">
        <is>
          <t>Saferock</t>
        </is>
      </c>
      <c r="G66" s="9" t="inlineStr">
        <is>
          <t>SAFEROCK 22MM 12M A280</t>
        </is>
      </c>
      <c r="H66" s="9" t="inlineStr">
        <is>
          <t>SAFEROCK 22MM 12M A280</t>
        </is>
      </c>
      <c r="I66" s="9" t="inlineStr">
        <is>
          <t>SFRCK 22</t>
        </is>
      </c>
      <c r="J66" s="9" t="n">
        <v>106025569</v>
      </c>
      <c r="K66" s="9" t="n">
        <v>22</v>
      </c>
      <c r="L66" s="9" t="n"/>
      <c r="M66" s="9" t="n"/>
      <c r="N66" s="9" t="n"/>
      <c r="O66" s="9" t="n">
        <v>12</v>
      </c>
      <c r="P66" s="13" t="n">
        <v>163929</v>
      </c>
      <c r="Q66" s="13" t="n">
        <v>176140.8</v>
      </c>
      <c r="R66" s="14">
        <f>IFERROR(P66/Q66,"")</f>
        <v/>
      </c>
      <c r="S66" s="15" t="n">
        <v>0.9590000000000001</v>
      </c>
      <c r="T66" s="9">
        <f>IF(R66&gt;1,"A corregir","Válida")</f>
        <v/>
      </c>
      <c r="U66" s="13">
        <f>Q66-P66</f>
        <v/>
      </c>
      <c r="V66" s="13">
        <f>IF(S66="",0,S66*Q66)</f>
        <v/>
      </c>
      <c r="W66" s="9" t="n">
        <v>2026</v>
      </c>
      <c r="X66" s="9" t="n">
        <v>4</v>
      </c>
      <c r="Y66" s="9" t="inlineStr">
        <is>
          <t>2026-S04</t>
        </is>
      </c>
    </row>
    <row r="67">
      <c r="A67" s="9" t="n">
        <v>43046439</v>
      </c>
      <c r="B67" s="11" t="n">
        <v>46044.17049768518</v>
      </c>
      <c r="C67" s="12" t="n">
        <v>46044</v>
      </c>
      <c r="D67" s="9">
        <f>YEAR(C67)</f>
        <v/>
      </c>
      <c r="E67" s="9">
        <f>MONTH(C67)</f>
        <v/>
      </c>
      <c r="F67" s="9" t="inlineStr">
        <is>
          <t>Saferock</t>
        </is>
      </c>
      <c r="G67" s="9" t="inlineStr">
        <is>
          <t>SAFEROCK 22MM 6M A280</t>
        </is>
      </c>
      <c r="H67" s="9" t="inlineStr">
        <is>
          <t>SAFEROCK 22MM 6M A280</t>
        </is>
      </c>
      <c r="I67" s="9" t="inlineStr">
        <is>
          <t>SFRCK 22</t>
        </is>
      </c>
      <c r="J67" s="9" t="n">
        <v>106025587</v>
      </c>
      <c r="K67" s="9" t="n">
        <v>22</v>
      </c>
      <c r="L67" s="9" t="n"/>
      <c r="M67" s="9" t="n"/>
      <c r="N67" s="9" t="n"/>
      <c r="O67" s="9" t="n">
        <v>6</v>
      </c>
      <c r="P67" s="13" t="n">
        <v>23202</v>
      </c>
      <c r="Q67" s="13" t="n">
        <v>19430.4</v>
      </c>
      <c r="R67" s="14">
        <f>IFERROR(P67/Q67,"")</f>
        <v/>
      </c>
      <c r="S67" s="15" t="n">
        <v>0.9590000000000001</v>
      </c>
      <c r="T67" s="9">
        <f>IF(R67&gt;1,"A corregir","Válida")</f>
        <v/>
      </c>
      <c r="U67" s="13">
        <f>Q67-P67</f>
        <v/>
      </c>
      <c r="V67" s="13">
        <f>IF(S67="",0,S67*Q67)</f>
        <v/>
      </c>
      <c r="W67" s="9" t="n">
        <v>2026</v>
      </c>
      <c r="X67" s="9" t="n">
        <v>4</v>
      </c>
      <c r="Y67" s="9" t="inlineStr">
        <is>
          <t>2026-S04</t>
        </is>
      </c>
    </row>
    <row r="68">
      <c r="A68" s="9" t="n">
        <v>43046442</v>
      </c>
      <c r="B68" s="11" t="n">
        <v>46044.21856481482</v>
      </c>
      <c r="C68" s="12" t="n">
        <v>46044</v>
      </c>
      <c r="D68" s="9">
        <f>YEAR(C68)</f>
        <v/>
      </c>
      <c r="E68" s="9">
        <f>MONTH(C68)</f>
        <v/>
      </c>
      <c r="F68" s="9" t="inlineStr">
        <is>
          <t>Saferock</t>
        </is>
      </c>
      <c r="G68" s="9" t="inlineStr">
        <is>
          <t>SAFEROCK 22MM 12M A280</t>
        </is>
      </c>
      <c r="H68" s="9" t="inlineStr">
        <is>
          <t>SAFEROCK SEMI 22MM 12M A280</t>
        </is>
      </c>
      <c r="I68" s="9" t="inlineStr">
        <is>
          <t>SFRCK 22</t>
        </is>
      </c>
      <c r="J68" s="9" t="n">
        <v>106025569</v>
      </c>
      <c r="K68" s="9" t="n">
        <v>22</v>
      </c>
      <c r="L68" s="9" t="n"/>
      <c r="M68" s="9" t="n"/>
      <c r="N68" s="9" t="n"/>
      <c r="O68" s="9" t="n">
        <v>12</v>
      </c>
      <c r="P68" s="13" t="n">
        <v>52097</v>
      </c>
      <c r="Q68" s="13" t="n">
        <v>54912</v>
      </c>
      <c r="R68" s="14">
        <f>IFERROR(P68/Q68,"")</f>
        <v/>
      </c>
      <c r="S68" s="15" t="n">
        <v>0.9590000000000001</v>
      </c>
      <c r="T68" s="9">
        <f>IF(R68&gt;1,"A corregir","Válida")</f>
        <v/>
      </c>
      <c r="U68" s="13">
        <f>Q68-P68</f>
        <v/>
      </c>
      <c r="V68" s="13">
        <f>IF(S68="",0,S68*Q68)</f>
        <v/>
      </c>
      <c r="W68" s="9" t="n">
        <v>2026</v>
      </c>
      <c r="X68" s="9" t="n">
        <v>4</v>
      </c>
      <c r="Y68" s="9" t="inlineStr">
        <is>
          <t>2026-S04</t>
        </is>
      </c>
    </row>
    <row r="69">
      <c r="A69" s="9" t="n">
        <v>43046487</v>
      </c>
      <c r="B69" s="11" t="n">
        <v>46044.35064814815</v>
      </c>
      <c r="C69" s="12" t="n">
        <v>46044</v>
      </c>
      <c r="D69" s="9">
        <f>YEAR(C69)</f>
        <v/>
      </c>
      <c r="E69" s="9">
        <f>MONTH(C69)</f>
        <v/>
      </c>
      <c r="F69" s="9" t="inlineStr">
        <is>
          <t>Saferock</t>
        </is>
      </c>
      <c r="G69" s="9" t="inlineStr">
        <is>
          <t>SAFEROCK 22MM 10.5M A280</t>
        </is>
      </c>
      <c r="H69" s="9" t="inlineStr">
        <is>
          <t>SAFEROCK 22MM 10.5M A280</t>
        </is>
      </c>
      <c r="I69" s="9" t="inlineStr">
        <is>
          <t>SFRCK 22</t>
        </is>
      </c>
      <c r="J69" s="9" t="n">
        <v>106043321</v>
      </c>
      <c r="K69" s="9" t="n">
        <v>22</v>
      </c>
      <c r="L69" s="9" t="n"/>
      <c r="M69" s="9" t="n"/>
      <c r="N69" s="9" t="n"/>
      <c r="O69" s="9" t="n">
        <v>10.5</v>
      </c>
      <c r="P69" s="13" t="n">
        <v>23187</v>
      </c>
      <c r="Q69" s="13" t="n">
        <v>16051.2</v>
      </c>
      <c r="R69" s="14">
        <f>IFERROR(P69/Q69,"")</f>
        <v/>
      </c>
      <c r="S69" s="15" t="n">
        <v>0.97</v>
      </c>
      <c r="T69" s="9">
        <f>IF(R69&gt;1,"A corregir","Válida")</f>
        <v/>
      </c>
      <c r="U69" s="13">
        <f>Q69-P69</f>
        <v/>
      </c>
      <c r="V69" s="13">
        <f>IF(S69="",0,S69*Q69)</f>
        <v/>
      </c>
      <c r="W69" s="9" t="n">
        <v>2026</v>
      </c>
      <c r="X69" s="9" t="n">
        <v>4</v>
      </c>
      <c r="Y69" s="9" t="inlineStr">
        <is>
          <t>2026-S04</t>
        </is>
      </c>
    </row>
    <row r="70">
      <c r="A70" s="9" t="n">
        <v>43046489</v>
      </c>
      <c r="B70" s="11" t="n">
        <v>46044.39538194444</v>
      </c>
      <c r="C70" s="12" t="n">
        <v>46044</v>
      </c>
      <c r="D70" s="9">
        <f>YEAR(C70)</f>
        <v/>
      </c>
      <c r="E70" s="9">
        <f>MONTH(C70)</f>
        <v/>
      </c>
      <c r="F70" s="9" t="inlineStr">
        <is>
          <t>Saferock</t>
        </is>
      </c>
      <c r="G70" s="9" t="inlineStr">
        <is>
          <t>SAFEROCK 22MM 10,5M A280</t>
        </is>
      </c>
      <c r="H70" s="9" t="inlineStr">
        <is>
          <t>SAFEROCK SEMI 22MM 10,5M A280</t>
        </is>
      </c>
      <c r="I70" s="9" t="inlineStr">
        <is>
          <t>SFRCK 22</t>
        </is>
      </c>
      <c r="J70" s="9" t="n">
        <v>106501802</v>
      </c>
      <c r="K70" s="9" t="n">
        <v>22</v>
      </c>
      <c r="L70" s="9" t="n"/>
      <c r="M70" s="9" t="n"/>
      <c r="N70" s="9" t="n"/>
      <c r="O70" s="9" t="n">
        <v>10.5</v>
      </c>
      <c r="P70" s="13" t="n">
        <v>49093</v>
      </c>
      <c r="Q70" s="13" t="n">
        <v>48153.6</v>
      </c>
      <c r="R70" s="14">
        <f>IFERROR(P70/Q70,"")</f>
        <v/>
      </c>
      <c r="S70" s="15" t="n">
        <v>0.958</v>
      </c>
      <c r="T70" s="9">
        <f>IF(R70&gt;1,"A corregir","Válida")</f>
        <v/>
      </c>
      <c r="U70" s="13">
        <f>Q70-P70</f>
        <v/>
      </c>
      <c r="V70" s="13">
        <f>IF(S70="",0,S70*Q70)</f>
        <v/>
      </c>
      <c r="W70" s="9" t="n">
        <v>2026</v>
      </c>
      <c r="X70" s="9" t="n">
        <v>4</v>
      </c>
      <c r="Y70" s="9" t="inlineStr">
        <is>
          <t>2026-S04</t>
        </is>
      </c>
    </row>
    <row r="71">
      <c r="A71" s="9" t="n">
        <v>43046446</v>
      </c>
      <c r="B71" s="11" t="n">
        <v>46044.50424768519</v>
      </c>
      <c r="C71" s="12" t="n">
        <v>46044</v>
      </c>
      <c r="D71" s="9">
        <f>YEAR(C71)</f>
        <v/>
      </c>
      <c r="E71" s="9">
        <f>MONTH(C71)</f>
        <v/>
      </c>
      <c r="F71" s="9" t="inlineStr">
        <is>
          <t>Saferock</t>
        </is>
      </c>
      <c r="G71" s="9" t="inlineStr">
        <is>
          <t>SAFEROCK 22MM 10M A280</t>
        </is>
      </c>
      <c r="H71" s="9" t="inlineStr">
        <is>
          <t>SAFEROCK SEMI 22MM 10M A280</t>
        </is>
      </c>
      <c r="I71" s="9" t="inlineStr">
        <is>
          <t>SFRCK 22</t>
        </is>
      </c>
      <c r="J71" s="9" t="n">
        <v>106043322</v>
      </c>
      <c r="K71" s="9" t="n">
        <v>22</v>
      </c>
      <c r="L71" s="9" t="n"/>
      <c r="M71" s="9" t="n"/>
      <c r="N71" s="9" t="n"/>
      <c r="O71" s="9" t="n">
        <v>10</v>
      </c>
      <c r="P71" s="13" t="n">
        <v>46669</v>
      </c>
      <c r="Q71" s="13" t="n">
        <v>49368</v>
      </c>
      <c r="R71" s="14">
        <f>IFERROR(P71/Q71,"")</f>
        <v/>
      </c>
      <c r="S71" s="15" t="n">
        <v>0.953</v>
      </c>
      <c r="T71" s="9">
        <f>IF(R71&gt;1,"A corregir","Válida")</f>
        <v/>
      </c>
      <c r="U71" s="13">
        <f>Q71-P71</f>
        <v/>
      </c>
      <c r="V71" s="13">
        <f>IF(S71="",0,S71*Q71)</f>
        <v/>
      </c>
      <c r="W71" s="9" t="n">
        <v>2026</v>
      </c>
      <c r="X71" s="9" t="n">
        <v>4</v>
      </c>
      <c r="Y71" s="9" t="inlineStr">
        <is>
          <t>2026-S04</t>
        </is>
      </c>
    </row>
    <row r="72">
      <c r="A72" s="9" t="n">
        <v>43046447</v>
      </c>
      <c r="B72" s="11" t="n">
        <v>46044.58814814815</v>
      </c>
      <c r="C72" s="12" t="n">
        <v>46044</v>
      </c>
      <c r="D72" s="9">
        <f>YEAR(C72)</f>
        <v/>
      </c>
      <c r="E72" s="9">
        <f>MONTH(C72)</f>
        <v/>
      </c>
      <c r="F72" s="9" t="inlineStr">
        <is>
          <t>Saferock</t>
        </is>
      </c>
      <c r="G72" s="9" t="inlineStr">
        <is>
          <t>SAFEROCK 22MM 9,6M A280</t>
        </is>
      </c>
      <c r="H72" s="9" t="inlineStr">
        <is>
          <t>SAFEROCK SEMI 22MM 9,6M A280</t>
        </is>
      </c>
      <c r="I72" s="9" t="inlineStr">
        <is>
          <t>SFRCK 22</t>
        </is>
      </c>
      <c r="J72" s="9" t="n">
        <v>106503248</v>
      </c>
      <c r="K72" s="9" t="n">
        <v>22</v>
      </c>
      <c r="L72" s="9" t="n"/>
      <c r="M72" s="9" t="n"/>
      <c r="N72" s="9" t="n"/>
      <c r="O72" s="9" t="n">
        <v>9.6</v>
      </c>
      <c r="P72" s="13" t="n">
        <v>135071</v>
      </c>
      <c r="Q72" s="13" t="n">
        <v>142269.6</v>
      </c>
      <c r="R72" s="14">
        <f>IFERROR(P72/Q72,"")</f>
        <v/>
      </c>
      <c r="S72" s="15" t="n">
        <v>0.9570000000000001</v>
      </c>
      <c r="T72" s="9">
        <f>IF(R72&gt;1,"A corregir","Válida")</f>
        <v/>
      </c>
      <c r="U72" s="13">
        <f>Q72-P72</f>
        <v/>
      </c>
      <c r="V72" s="13">
        <f>IF(S72="",0,S72*Q72)</f>
        <v/>
      </c>
      <c r="W72" s="9" t="n">
        <v>2026</v>
      </c>
      <c r="X72" s="9" t="n">
        <v>4</v>
      </c>
      <c r="Y72" s="9" t="inlineStr">
        <is>
          <t>2026-S04</t>
        </is>
      </c>
    </row>
    <row r="73">
      <c r="A73" s="9" t="n">
        <v>43046433</v>
      </c>
      <c r="B73" s="11" t="n">
        <v>46045.02715277778</v>
      </c>
      <c r="C73" s="12" t="n">
        <v>46045</v>
      </c>
      <c r="D73" s="9">
        <f>YEAR(C73)</f>
        <v/>
      </c>
      <c r="E73" s="9">
        <f>MONTH(C73)</f>
        <v/>
      </c>
      <c r="F73" s="9" t="inlineStr">
        <is>
          <t>Saferock</t>
        </is>
      </c>
      <c r="G73" s="9" t="inlineStr">
        <is>
          <t>SAFEROCK 22MM 10,5M A280D</t>
        </is>
      </c>
      <c r="H73" s="9" t="inlineStr">
        <is>
          <t>SAFEROCK SEMI 22MM 10,5M A280D</t>
        </is>
      </c>
      <c r="I73" s="9" t="inlineStr">
        <is>
          <t>SFRCK 22</t>
        </is>
      </c>
      <c r="J73" s="9" t="n">
        <v>119506836</v>
      </c>
      <c r="K73" s="9" t="n">
        <v>22</v>
      </c>
      <c r="L73" s="9" t="n"/>
      <c r="M73" s="9" t="n"/>
      <c r="N73" s="9" t="n"/>
      <c r="O73" s="9" t="n">
        <v>10.5</v>
      </c>
      <c r="P73" s="13" t="n">
        <v>144360</v>
      </c>
      <c r="Q73" s="13" t="n">
        <v>165607.2</v>
      </c>
      <c r="R73" s="14">
        <f>IFERROR(P73/Q73,"")</f>
        <v/>
      </c>
      <c r="S73" s="15" t="n">
        <v>0.97</v>
      </c>
      <c r="T73" s="9">
        <f>IF(R73&gt;1,"A corregir","Válida")</f>
        <v/>
      </c>
      <c r="U73" s="13">
        <f>Q73-P73</f>
        <v/>
      </c>
      <c r="V73" s="13">
        <f>IF(S73="",0,S73*Q73)</f>
        <v/>
      </c>
      <c r="W73" s="9" t="n">
        <v>2026</v>
      </c>
      <c r="X73" s="9" t="n">
        <v>4</v>
      </c>
      <c r="Y73" s="9" t="inlineStr">
        <is>
          <t>2026-S04</t>
        </is>
      </c>
    </row>
    <row r="74">
      <c r="A74" s="9" t="n">
        <v>43046449</v>
      </c>
      <c r="B74" s="11" t="n">
        <v>46045.59321759259</v>
      </c>
      <c r="C74" s="12" t="n">
        <v>46045</v>
      </c>
      <c r="D74" s="9">
        <f>YEAR(C74)</f>
        <v/>
      </c>
      <c r="E74" s="9">
        <f>MONTH(C74)</f>
        <v/>
      </c>
      <c r="F74" s="9" t="inlineStr">
        <is>
          <t>Saferock</t>
        </is>
      </c>
      <c r="G74" s="9" t="inlineStr">
        <is>
          <t>SAFEROCK 19MM 11,96M A520</t>
        </is>
      </c>
      <c r="H74" s="9" t="inlineStr">
        <is>
          <t>SAFEROCK 19MM 11,96M A520</t>
        </is>
      </c>
      <c r="I74" s="9" t="inlineStr">
        <is>
          <t>SFRCK 19</t>
        </is>
      </c>
      <c r="J74" s="9" t="n">
        <v>119505901</v>
      </c>
      <c r="K74" s="9" t="n">
        <v>19</v>
      </c>
      <c r="L74" s="9" t="n"/>
      <c r="M74" s="9" t="n"/>
      <c r="N74" s="9" t="n"/>
      <c r="O74" s="9" t="n">
        <v>6</v>
      </c>
      <c r="P74" s="13" t="n">
        <v>28084</v>
      </c>
      <c r="Q74" s="13" t="n">
        <v>30967.2</v>
      </c>
      <c r="R74" s="14">
        <f>IFERROR(P74/Q74,"")</f>
        <v/>
      </c>
      <c r="S74" s="15" t="n">
        <v>0.97</v>
      </c>
      <c r="T74" s="9">
        <f>IF(R74&gt;1,"A corregir","Válida")</f>
        <v/>
      </c>
      <c r="U74" s="13">
        <f>Q74-P74</f>
        <v/>
      </c>
      <c r="V74" s="13">
        <f>IF(S74="",0,S74*Q74)</f>
        <v/>
      </c>
      <c r="W74" s="9" t="n">
        <v>2026</v>
      </c>
      <c r="X74" s="9" t="n">
        <v>4</v>
      </c>
      <c r="Y74" s="9" t="inlineStr">
        <is>
          <t>2026-S04</t>
        </is>
      </c>
    </row>
    <row r="75">
      <c r="A75" s="9" t="n">
        <v>43046476</v>
      </c>
      <c r="B75" s="11" t="n">
        <v>46045.71146990741</v>
      </c>
      <c r="C75" s="12" t="n">
        <v>46045</v>
      </c>
      <c r="D75" s="9">
        <f>YEAR(C75)</f>
        <v/>
      </c>
      <c r="E75" s="9">
        <f>MONTH(C75)</f>
        <v/>
      </c>
      <c r="F75" s="9" t="inlineStr">
        <is>
          <t>B Hormigón</t>
        </is>
      </c>
      <c r="G75" s="9" t="inlineStr">
        <is>
          <t>B HORMIGON 18MM 12M A630-420H (N)</t>
        </is>
      </c>
      <c r="H75" s="9" t="inlineStr">
        <is>
          <t>B HORMIGON 18MM 12M A630-420H (N)</t>
        </is>
      </c>
      <c r="I75" s="9" t="inlineStr">
        <is>
          <t>RED 18 CR</t>
        </is>
      </c>
      <c r="J75" s="9" t="n">
        <v>110002938</v>
      </c>
      <c r="K75" s="9" t="n">
        <v>18</v>
      </c>
      <c r="L75" s="9" t="n"/>
      <c r="M75" s="9" t="n"/>
      <c r="N75" s="9" t="n"/>
      <c r="O75" s="9" t="n">
        <v>12</v>
      </c>
      <c r="P75" s="13" t="n">
        <v>566071</v>
      </c>
      <c r="Q75" s="13" t="n">
        <v>594211.2</v>
      </c>
      <c r="R75" s="14">
        <f>IFERROR(P75/Q75,"")</f>
        <v/>
      </c>
      <c r="S75" s="15" t="n">
        <v>0.96</v>
      </c>
      <c r="T75" s="9">
        <f>IF(R75&gt;1,"A corregir","Válida")</f>
        <v/>
      </c>
      <c r="U75" s="13">
        <f>Q75-P75</f>
        <v/>
      </c>
      <c r="V75" s="13">
        <f>IF(S75="",0,S75*Q75)</f>
        <v/>
      </c>
      <c r="W75" s="9" t="n">
        <v>2026</v>
      </c>
      <c r="X75" s="9" t="n">
        <v>4</v>
      </c>
      <c r="Y75" s="9" t="inlineStr">
        <is>
          <t>2026-S04</t>
        </is>
      </c>
    </row>
    <row r="76">
      <c r="A76" s="9" t="n">
        <v>43046477</v>
      </c>
      <c r="B76" s="11" t="n">
        <v>46048.28972222222</v>
      </c>
      <c r="C76" s="12" t="n">
        <v>46048</v>
      </c>
      <c r="D76" s="9">
        <f>YEAR(C76)</f>
        <v/>
      </c>
      <c r="E76" s="9">
        <f>MONTH(C76)</f>
        <v/>
      </c>
      <c r="F76" s="9" t="inlineStr">
        <is>
          <t>B Hormigón</t>
        </is>
      </c>
      <c r="G76" s="9" t="inlineStr">
        <is>
          <t>B HORMIGON 18MM 10M A630-420H (N)</t>
        </is>
      </c>
      <c r="H76" s="9" t="inlineStr">
        <is>
          <t>B HORMIGON 18MM 10M A630-420H (N)</t>
        </is>
      </c>
      <c r="I76" s="9" t="inlineStr">
        <is>
          <t>RED 18 CR</t>
        </is>
      </c>
      <c r="J76" s="9" t="n">
        <v>110002924</v>
      </c>
      <c r="K76" s="9" t="n">
        <v>18</v>
      </c>
      <c r="L76" s="9" t="n"/>
      <c r="M76" s="9" t="n"/>
      <c r="N76" s="9" t="n"/>
      <c r="O76" s="9" t="n">
        <v>10</v>
      </c>
      <c r="P76" s="13" t="n">
        <v>11966</v>
      </c>
      <c r="Q76" s="13" t="n">
        <v>12566.4</v>
      </c>
      <c r="R76" s="14">
        <f>IFERROR(P76/Q76,"")</f>
        <v/>
      </c>
      <c r="S76" s="15" t="n">
        <v>0.96</v>
      </c>
      <c r="T76" s="9">
        <f>IF(R76&gt;1,"A corregir","Válida")</f>
        <v/>
      </c>
      <c r="U76" s="13">
        <f>Q76-P76</f>
        <v/>
      </c>
      <c r="V76" s="13">
        <f>IF(S76="",0,S76*Q76)</f>
        <v/>
      </c>
      <c r="W76" s="9" t="n">
        <v>2026</v>
      </c>
      <c r="X76" s="9" t="n">
        <v>5</v>
      </c>
      <c r="Y76" s="9" t="inlineStr">
        <is>
          <t>2026-S05</t>
        </is>
      </c>
    </row>
    <row r="77">
      <c r="A77" s="9" t="n">
        <v>43046402</v>
      </c>
      <c r="B77" s="11" t="n">
        <v>46048.73288194444</v>
      </c>
      <c r="C77" s="12" t="n">
        <v>46048</v>
      </c>
      <c r="D77" s="9">
        <f>YEAR(C77)</f>
        <v/>
      </c>
      <c r="E77" s="9">
        <f>MONTH(C77)</f>
        <v/>
      </c>
      <c r="F77" s="9" t="inlineStr">
        <is>
          <t>Plana</t>
        </is>
      </c>
      <c r="G77" s="9" t="inlineStr">
        <is>
          <t>PLANA 100X12MM 6M A270ES (N)</t>
        </is>
      </c>
      <c r="H77" s="9" t="inlineStr">
        <is>
          <t>PLANA 100X12MM 6M A270ES (N)</t>
        </is>
      </c>
      <c r="I77" s="9" t="inlineStr">
        <is>
          <t>PL 100 x 12</t>
        </is>
      </c>
      <c r="J77" s="9" t="n">
        <v>109007135</v>
      </c>
      <c r="K77" s="9" t="n"/>
      <c r="L77" s="9" t="n">
        <v>100</v>
      </c>
      <c r="M77" s="9" t="n">
        <v>12</v>
      </c>
      <c r="N77" s="9" t="n"/>
      <c r="O77" s="9" t="n">
        <v>6</v>
      </c>
      <c r="P77" s="13" t="n">
        <v>30960</v>
      </c>
      <c r="Q77" s="13" t="n">
        <v>33211.2</v>
      </c>
      <c r="R77" s="14">
        <f>IFERROR(P77/Q77,"")</f>
        <v/>
      </c>
      <c r="S77" s="15" t="n">
        <v>0.951</v>
      </c>
      <c r="T77" s="9">
        <f>IF(R77&gt;1,"A corregir","Válida")</f>
        <v/>
      </c>
      <c r="U77" s="13">
        <f>Q77-P77</f>
        <v/>
      </c>
      <c r="V77" s="13">
        <f>IF(S77="",0,S77*Q77)</f>
        <v/>
      </c>
      <c r="W77" s="9" t="n">
        <v>2026</v>
      </c>
      <c r="X77" s="9" t="n">
        <v>5</v>
      </c>
      <c r="Y77" s="9" t="inlineStr">
        <is>
          <t>2026-S05</t>
        </is>
      </c>
    </row>
    <row r="78">
      <c r="A78" s="9" t="n">
        <v>43046527</v>
      </c>
      <c r="B78" s="11" t="n">
        <v>46048.80738425926</v>
      </c>
      <c r="C78" s="12" t="n">
        <v>46048</v>
      </c>
      <c r="D78" s="9">
        <f>YEAR(C78)</f>
        <v/>
      </c>
      <c r="E78" s="9">
        <f>MONTH(C78)</f>
        <v/>
      </c>
      <c r="F78" s="9" t="inlineStr">
        <is>
          <t>Plana</t>
        </is>
      </c>
      <c r="G78" s="9" t="inlineStr">
        <is>
          <t>PLANA 100X10MM 6M A270ES (N)</t>
        </is>
      </c>
      <c r="H78" s="9" t="inlineStr">
        <is>
          <t>PLANA 100X10MM 6M A270ES (N)</t>
        </is>
      </c>
      <c r="I78" s="9" t="inlineStr">
        <is>
          <t>PL 100 x 10</t>
        </is>
      </c>
      <c r="J78" s="9" t="n">
        <v>109007136</v>
      </c>
      <c r="K78" s="9" t="n"/>
      <c r="L78" s="9" t="n">
        <v>100</v>
      </c>
      <c r="M78" s="9" t="n">
        <v>10</v>
      </c>
      <c r="N78" s="9" t="n"/>
      <c r="O78" s="9" t="n">
        <v>6</v>
      </c>
      <c r="P78" s="13" t="n">
        <v>70530</v>
      </c>
      <c r="Q78" s="13" t="n">
        <v>75398.39999999999</v>
      </c>
      <c r="R78" s="14">
        <f>IFERROR(P78/Q78,"")</f>
        <v/>
      </c>
      <c r="S78" s="15" t="n">
        <v>0.955</v>
      </c>
      <c r="T78" s="9">
        <f>IF(R78&gt;1,"A corregir","Válida")</f>
        <v/>
      </c>
      <c r="U78" s="13">
        <f>Q78-P78</f>
        <v/>
      </c>
      <c r="V78" s="13">
        <f>IF(S78="",0,S78*Q78)</f>
        <v/>
      </c>
      <c r="W78" s="9" t="n">
        <v>2026</v>
      </c>
      <c r="X78" s="9" t="n">
        <v>5</v>
      </c>
      <c r="Y78" s="9" t="inlineStr">
        <is>
          <t>2026-S05</t>
        </is>
      </c>
    </row>
    <row r="79">
      <c r="A79" s="9" t="n">
        <v>43046404</v>
      </c>
      <c r="B79" s="11" t="n">
        <v>46049.02958333334</v>
      </c>
      <c r="C79" s="12" t="n">
        <v>46049</v>
      </c>
      <c r="D79" s="9">
        <f>YEAR(C79)</f>
        <v/>
      </c>
      <c r="E79" s="9">
        <f>MONTH(C79)</f>
        <v/>
      </c>
      <c r="F79" s="9" t="inlineStr">
        <is>
          <t>Plana</t>
        </is>
      </c>
      <c r="G79" s="9" t="inlineStr">
        <is>
          <t>PLANA 100X8MM 6M A270ES (N)</t>
        </is>
      </c>
      <c r="H79" s="9" t="inlineStr">
        <is>
          <t>PLANA 100X8MM 6M A270ES (N)</t>
        </is>
      </c>
      <c r="I79" s="9" t="inlineStr">
        <is>
          <t>PL 100 x 8</t>
        </is>
      </c>
      <c r="J79" s="9" t="n">
        <v>109007137</v>
      </c>
      <c r="K79" s="9" t="n"/>
      <c r="L79" s="9" t="n">
        <v>100</v>
      </c>
      <c r="M79" s="9" t="n">
        <v>8</v>
      </c>
      <c r="N79" s="9" t="n"/>
      <c r="O79" s="9" t="n">
        <v>6</v>
      </c>
      <c r="P79" s="13" t="n">
        <v>26018</v>
      </c>
      <c r="Q79" s="13" t="n">
        <v>29172</v>
      </c>
      <c r="R79" s="14">
        <f>IFERROR(P79/Q79,"")</f>
        <v/>
      </c>
      <c r="S79" s="15" t="n">
        <v>0.9520000000000001</v>
      </c>
      <c r="T79" s="9">
        <f>IF(R79&gt;1,"A corregir","Válida")</f>
        <v/>
      </c>
      <c r="U79" s="13">
        <f>Q79-P79</f>
        <v/>
      </c>
      <c r="V79" s="13">
        <f>IF(S79="",0,S79*Q79)</f>
        <v/>
      </c>
      <c r="W79" s="9" t="n">
        <v>2026</v>
      </c>
      <c r="X79" s="9" t="n">
        <v>5</v>
      </c>
      <c r="Y79" s="9" t="inlineStr">
        <is>
          <t>2026-S05</t>
        </is>
      </c>
    </row>
    <row r="80">
      <c r="A80" s="9" t="n">
        <v>43046528</v>
      </c>
      <c r="B80" s="11" t="n">
        <v>46049.08616898148</v>
      </c>
      <c r="C80" s="12" t="n">
        <v>46049</v>
      </c>
      <c r="D80" s="9">
        <f>YEAR(C80)</f>
        <v/>
      </c>
      <c r="E80" s="9">
        <f>MONTH(C80)</f>
        <v/>
      </c>
      <c r="F80" s="9" t="inlineStr">
        <is>
          <t>Plana</t>
        </is>
      </c>
      <c r="G80" s="9" t="inlineStr">
        <is>
          <t>PLANA 100X8MM 6M A270ES (N)</t>
        </is>
      </c>
      <c r="H80" s="9" t="inlineStr">
        <is>
          <t>PLANA 100X8MM 6M A270ES (N)</t>
        </is>
      </c>
      <c r="I80" s="9" t="inlineStr">
        <is>
          <t>PL 100 x 8</t>
        </is>
      </c>
      <c r="J80" s="9" t="n">
        <v>109007137</v>
      </c>
      <c r="K80" s="9" t="n"/>
      <c r="L80" s="9" t="n">
        <v>100</v>
      </c>
      <c r="M80" s="9" t="n">
        <v>8</v>
      </c>
      <c r="N80" s="9" t="n"/>
      <c r="O80" s="9" t="n">
        <v>6</v>
      </c>
      <c r="P80" s="13" t="n">
        <v>5192</v>
      </c>
      <c r="Q80" s="13" t="n">
        <v>4224</v>
      </c>
      <c r="R80" s="14">
        <f>IFERROR(P80/Q80,"")</f>
        <v/>
      </c>
      <c r="S80" s="15" t="n">
        <v>0.9520000000000001</v>
      </c>
      <c r="T80" s="9">
        <f>IF(R80&gt;1,"A corregir","Válida")</f>
        <v/>
      </c>
      <c r="U80" s="13">
        <f>Q80-P80</f>
        <v/>
      </c>
      <c r="V80" s="13">
        <f>IF(S80="",0,S80*Q80)</f>
        <v/>
      </c>
      <c r="W80" s="9" t="n">
        <v>2026</v>
      </c>
      <c r="X80" s="9" t="n">
        <v>5</v>
      </c>
      <c r="Y80" s="9" t="inlineStr">
        <is>
          <t>2026-S05</t>
        </is>
      </c>
    </row>
    <row r="81">
      <c r="A81" s="9" t="n">
        <v>43046529</v>
      </c>
      <c r="B81" s="11" t="n">
        <v>46049.18305555556</v>
      </c>
      <c r="C81" s="12" t="n">
        <v>46049</v>
      </c>
      <c r="D81" s="9">
        <f>YEAR(C81)</f>
        <v/>
      </c>
      <c r="E81" s="9">
        <f>MONTH(C81)</f>
        <v/>
      </c>
      <c r="F81" s="9" t="inlineStr">
        <is>
          <t>Plana</t>
        </is>
      </c>
      <c r="G81" s="9" t="inlineStr">
        <is>
          <t>PLANA 100X5MM 6M A270ES (N)</t>
        </is>
      </c>
      <c r="H81" s="9" t="inlineStr">
        <is>
          <t>PLANA 100X5MM 6M A270ES (N)</t>
        </is>
      </c>
      <c r="I81" s="9" t="inlineStr">
        <is>
          <t>PL 100 x 5</t>
        </is>
      </c>
      <c r="J81" s="9" t="n">
        <v>109007139</v>
      </c>
      <c r="K81" s="9" t="n"/>
      <c r="L81" s="9" t="n">
        <v>100</v>
      </c>
      <c r="M81" s="9" t="n">
        <v>5</v>
      </c>
      <c r="N81" s="9" t="n"/>
      <c r="O81" s="9" t="n">
        <v>6</v>
      </c>
      <c r="P81" s="13" t="n">
        <v>53597</v>
      </c>
      <c r="Q81" s="13" t="n">
        <v>55756.8</v>
      </c>
      <c r="R81" s="14">
        <f>IFERROR(P81/Q81,"")</f>
        <v/>
      </c>
      <c r="S81" s="15" t="n">
        <v>0.96</v>
      </c>
      <c r="T81" s="9">
        <f>IF(R81&gt;1,"A corregir","Válida")</f>
        <v/>
      </c>
      <c r="U81" s="13">
        <f>Q81-P81</f>
        <v/>
      </c>
      <c r="V81" s="13">
        <f>IF(S81="",0,S81*Q81)</f>
        <v/>
      </c>
      <c r="W81" s="9" t="n">
        <v>2026</v>
      </c>
      <c r="X81" s="9" t="n">
        <v>5</v>
      </c>
      <c r="Y81" s="9" t="inlineStr">
        <is>
          <t>2026-S05</t>
        </is>
      </c>
    </row>
    <row r="82">
      <c r="A82" s="9" t="n">
        <v>43046530</v>
      </c>
      <c r="B82" s="11" t="n">
        <v>46049.29888888889</v>
      </c>
      <c r="C82" s="12" t="n">
        <v>46049</v>
      </c>
      <c r="D82" s="9">
        <f>YEAR(C82)</f>
        <v/>
      </c>
      <c r="E82" s="9">
        <f>MONTH(C82)</f>
        <v/>
      </c>
      <c r="F82" s="9" t="inlineStr">
        <is>
          <t>Plana</t>
        </is>
      </c>
      <c r="G82" s="9" t="inlineStr">
        <is>
          <t>PLANA 100X5MM 6M A270ES (N)</t>
        </is>
      </c>
      <c r="H82" s="9" t="inlineStr">
        <is>
          <t>PLANA 100X5MM 6M A270ES (N)</t>
        </is>
      </c>
      <c r="I82" s="9" t="inlineStr">
        <is>
          <t>PL 100 x 5</t>
        </is>
      </c>
      <c r="J82" s="9" t="n">
        <v>109007139</v>
      </c>
      <c r="K82" s="9" t="n"/>
      <c r="L82" s="9" t="n">
        <v>100</v>
      </c>
      <c r="M82" s="9" t="n">
        <v>5</v>
      </c>
      <c r="N82" s="9" t="n"/>
      <c r="O82" s="9" t="n">
        <v>6</v>
      </c>
      <c r="P82" s="13" t="n">
        <v>56034</v>
      </c>
      <c r="Q82" s="13" t="n">
        <v>58792.8</v>
      </c>
      <c r="R82" s="14">
        <f>IFERROR(P82/Q82,"")</f>
        <v/>
      </c>
      <c r="S82" s="15" t="n">
        <v>0.96</v>
      </c>
      <c r="T82" s="9">
        <f>IF(R82&gt;1,"A corregir","Válida")</f>
        <v/>
      </c>
      <c r="U82" s="13">
        <f>Q82-P82</f>
        <v/>
      </c>
      <c r="V82" s="13">
        <f>IF(S82="",0,S82*Q82)</f>
        <v/>
      </c>
      <c r="W82" s="9" t="n">
        <v>2026</v>
      </c>
      <c r="X82" s="9" t="n">
        <v>5</v>
      </c>
      <c r="Y82" s="9" t="inlineStr">
        <is>
          <t>2026-S05</t>
        </is>
      </c>
    </row>
    <row r="83">
      <c r="A83" s="9" t="n">
        <v>43046507</v>
      </c>
      <c r="B83" s="11" t="n">
        <v>46049.59469907408</v>
      </c>
      <c r="C83" s="12" t="n">
        <v>46049</v>
      </c>
      <c r="D83" s="9">
        <f>YEAR(C83)</f>
        <v/>
      </c>
      <c r="E83" s="9">
        <f>MONTH(C83)</f>
        <v/>
      </c>
      <c r="F83" s="9" t="inlineStr">
        <is>
          <t>Saferock</t>
        </is>
      </c>
      <c r="G83" s="9" t="inlineStr">
        <is>
          <t>SAFEROCK 25MM 12M A420</t>
        </is>
      </c>
      <c r="H83" s="9" t="inlineStr">
        <is>
          <t>SAFEROCK SEMI 25MM 12M A420</t>
        </is>
      </c>
      <c r="I83" s="9" t="inlineStr">
        <is>
          <t>SFR 25</t>
        </is>
      </c>
      <c r="J83" s="9" t="n">
        <v>106025583</v>
      </c>
      <c r="K83" s="9" t="n">
        <v>25</v>
      </c>
      <c r="L83" s="9" t="n"/>
      <c r="M83" s="9" t="n"/>
      <c r="N83" s="9" t="n"/>
      <c r="O83" s="9" t="n">
        <v>12</v>
      </c>
      <c r="P83" s="13" t="n">
        <v>121314</v>
      </c>
      <c r="Q83" s="13" t="n">
        <v>127908</v>
      </c>
      <c r="R83" s="14">
        <f>IFERROR(P83/Q83,"")</f>
        <v/>
      </c>
      <c r="S83" s="15" t="n">
        <v>0.953</v>
      </c>
      <c r="T83" s="9">
        <f>IF(R83&gt;1,"A corregir","Válida")</f>
        <v/>
      </c>
      <c r="U83" s="13">
        <f>Q83-P83</f>
        <v/>
      </c>
      <c r="V83" s="13">
        <f>IF(S83="",0,S83*Q83)</f>
        <v/>
      </c>
      <c r="W83" s="9" t="n">
        <v>2026</v>
      </c>
      <c r="X83" s="9" t="n">
        <v>5</v>
      </c>
      <c r="Y83" s="9" t="inlineStr">
        <is>
          <t>2026-S05</t>
        </is>
      </c>
    </row>
    <row r="84">
      <c r="A84" s="9" t="n">
        <v>43046536</v>
      </c>
      <c r="B84" s="11" t="n">
        <v>46049.71355324074</v>
      </c>
      <c r="C84" s="12" t="n">
        <v>46049</v>
      </c>
      <c r="D84" s="9">
        <f>YEAR(C84)</f>
        <v/>
      </c>
      <c r="E84" s="9">
        <f>MONTH(C84)</f>
        <v/>
      </c>
      <c r="F84" s="9" t="inlineStr">
        <is>
          <t>Saferock</t>
        </is>
      </c>
      <c r="G84" s="9" t="inlineStr">
        <is>
          <t>SAFEROCK 25MM 12M A420</t>
        </is>
      </c>
      <c r="H84" s="9" t="inlineStr">
        <is>
          <t>SAFEROCK 25MM 12M A420</t>
        </is>
      </c>
      <c r="I84" s="9" t="inlineStr">
        <is>
          <t>SFR 25</t>
        </is>
      </c>
      <c r="J84" s="9" t="n">
        <v>106025583</v>
      </c>
      <c r="K84" s="9" t="n">
        <v>25</v>
      </c>
      <c r="L84" s="9" t="n"/>
      <c r="M84" s="9" t="n"/>
      <c r="N84" s="9" t="n"/>
      <c r="O84" s="9" t="n">
        <v>12</v>
      </c>
      <c r="P84" s="13" t="n">
        <v>147042</v>
      </c>
      <c r="Q84" s="13" t="n">
        <v>155733.6</v>
      </c>
      <c r="R84" s="14">
        <f>IFERROR(P84/Q84,"")</f>
        <v/>
      </c>
      <c r="S84" s="15" t="n">
        <v>0.953</v>
      </c>
      <c r="T84" s="9">
        <f>IF(R84&gt;1,"A corregir","Válida")</f>
        <v/>
      </c>
      <c r="U84" s="13">
        <f>Q84-P84</f>
        <v/>
      </c>
      <c r="V84" s="13">
        <f>IF(S84="",0,S84*Q84)</f>
        <v/>
      </c>
      <c r="W84" s="9" t="n">
        <v>2026</v>
      </c>
      <c r="X84" s="9" t="n">
        <v>5</v>
      </c>
      <c r="Y84" s="9" t="inlineStr">
        <is>
          <t>2026-S05</t>
        </is>
      </c>
    </row>
    <row r="85">
      <c r="A85" s="9" t="n">
        <v>43046508</v>
      </c>
      <c r="B85" s="11" t="n">
        <v>46049.8928125</v>
      </c>
      <c r="C85" s="12" t="n">
        <v>46049</v>
      </c>
      <c r="D85" s="9">
        <f>YEAR(C85)</f>
        <v/>
      </c>
      <c r="E85" s="9">
        <f>MONTH(C85)</f>
        <v/>
      </c>
      <c r="F85" s="9" t="inlineStr">
        <is>
          <t>Saferock</t>
        </is>
      </c>
      <c r="G85" s="9" t="inlineStr">
        <is>
          <t>SAFEROCK 25MM 11,6M A420</t>
        </is>
      </c>
      <c r="H85" s="9" t="inlineStr">
        <is>
          <t>SAFEROCK SEMI 25MM 11,6M A420</t>
        </is>
      </c>
      <c r="I85" s="9" t="inlineStr">
        <is>
          <t>SFR 25</t>
        </is>
      </c>
      <c r="J85" s="9" t="n">
        <v>106047304</v>
      </c>
      <c r="K85" s="9" t="n">
        <v>25</v>
      </c>
      <c r="L85" s="9" t="n"/>
      <c r="M85" s="9" t="n"/>
      <c r="N85" s="9" t="n"/>
      <c r="O85" s="9" t="n">
        <v>11.6</v>
      </c>
      <c r="P85" s="13" t="n">
        <v>31491</v>
      </c>
      <c r="Q85" s="13" t="n">
        <v>34557.6</v>
      </c>
      <c r="R85" s="14">
        <f>IFERROR(P85/Q85,"")</f>
        <v/>
      </c>
      <c r="S85" s="15" t="n">
        <v>0.9540000000000001</v>
      </c>
      <c r="T85" s="9">
        <f>IF(R85&gt;1,"A corregir","Válida")</f>
        <v/>
      </c>
      <c r="U85" s="13">
        <f>Q85-P85</f>
        <v/>
      </c>
      <c r="V85" s="13">
        <f>IF(S85="",0,S85*Q85)</f>
        <v/>
      </c>
      <c r="W85" s="9" t="n">
        <v>2026</v>
      </c>
      <c r="X85" s="9" t="n">
        <v>5</v>
      </c>
      <c r="Y85" s="9" t="inlineStr">
        <is>
          <t>2026-S05</t>
        </is>
      </c>
    </row>
    <row r="86">
      <c r="A86" s="9" t="n">
        <v>43046509</v>
      </c>
      <c r="B86" s="11" t="n">
        <v>46050.27148148148</v>
      </c>
      <c r="C86" s="12" t="n">
        <v>46050</v>
      </c>
      <c r="D86" s="9">
        <f>YEAR(C86)</f>
        <v/>
      </c>
      <c r="E86" s="9">
        <f>MONTH(C86)</f>
        <v/>
      </c>
      <c r="F86" s="9" t="inlineStr">
        <is>
          <t>Saferock</t>
        </is>
      </c>
      <c r="G86" s="9" t="inlineStr">
        <is>
          <t>SAFEROCK 25MM 10,8M A420</t>
        </is>
      </c>
      <c r="H86" s="9" t="inlineStr">
        <is>
          <t>SAFEROCK SEMI 25MM 10,8M A420</t>
        </is>
      </c>
      <c r="I86" s="9" t="inlineStr">
        <is>
          <t>SFR 25</t>
        </is>
      </c>
      <c r="J86" s="9" t="n">
        <v>106047303</v>
      </c>
      <c r="K86" s="9" t="n">
        <v>25</v>
      </c>
      <c r="L86" s="9" t="n"/>
      <c r="M86" s="9" t="n"/>
      <c r="N86" s="9" t="n"/>
      <c r="O86" s="9" t="n">
        <v>10.8</v>
      </c>
      <c r="P86" s="13" t="n">
        <v>45275</v>
      </c>
      <c r="Q86" s="13" t="n">
        <v>47572.8</v>
      </c>
      <c r="R86" s="14">
        <f>IFERROR(P86/Q86,"")</f>
        <v/>
      </c>
      <c r="S86" s="15" t="n">
        <v>0.953</v>
      </c>
      <c r="T86" s="9">
        <f>IF(R86&gt;1,"A corregir","Válida")</f>
        <v/>
      </c>
      <c r="U86" s="13">
        <f>Q86-P86</f>
        <v/>
      </c>
      <c r="V86" s="13">
        <f>IF(S86="",0,S86*Q86)</f>
        <v/>
      </c>
      <c r="W86" s="9" t="n">
        <v>2026</v>
      </c>
      <c r="X86" s="9" t="n">
        <v>5</v>
      </c>
      <c r="Y86" s="9" t="inlineStr">
        <is>
          <t>2026-S05</t>
        </is>
      </c>
    </row>
    <row r="87">
      <c r="A87" s="9" t="n">
        <v>43046510</v>
      </c>
      <c r="B87" s="11" t="n">
        <v>46050.35334490741</v>
      </c>
      <c r="C87" s="12" t="n">
        <v>46050</v>
      </c>
      <c r="D87" s="9">
        <f>YEAR(C87)</f>
        <v/>
      </c>
      <c r="E87" s="9">
        <f>MONTH(C87)</f>
        <v/>
      </c>
      <c r="F87" s="9" t="inlineStr">
        <is>
          <t>Saferock</t>
        </is>
      </c>
      <c r="G87" s="9" t="inlineStr">
        <is>
          <t>SAFEROCK 25MM 10M A420</t>
        </is>
      </c>
      <c r="H87" s="9" t="inlineStr">
        <is>
          <t>SAFEROCK SEMI 25MM 10M A420</t>
        </is>
      </c>
      <c r="I87" s="9" t="inlineStr">
        <is>
          <t>SFR 25</t>
        </is>
      </c>
      <c r="J87" s="9" t="n">
        <v>106043671</v>
      </c>
      <c r="K87" s="9" t="n">
        <v>25</v>
      </c>
      <c r="L87" s="9" t="n"/>
      <c r="M87" s="9" t="n"/>
      <c r="N87" s="9" t="n"/>
      <c r="O87" s="9" t="n">
        <v>10</v>
      </c>
      <c r="P87" s="13" t="n">
        <v>58065</v>
      </c>
      <c r="Q87" s="13" t="n">
        <v>63280.8</v>
      </c>
      <c r="R87" s="14">
        <f>IFERROR(P87/Q87,"")</f>
        <v/>
      </c>
      <c r="S87" s="15" t="n">
        <v>0.9540000000000001</v>
      </c>
      <c r="T87" s="9">
        <f>IF(R87&gt;1,"A corregir","Válida")</f>
        <v/>
      </c>
      <c r="U87" s="13">
        <f>Q87-P87</f>
        <v/>
      </c>
      <c r="V87" s="13">
        <f>IF(S87="",0,S87*Q87)</f>
        <v/>
      </c>
      <c r="W87" s="9" t="n">
        <v>2026</v>
      </c>
      <c r="X87" s="9" t="n">
        <v>5</v>
      </c>
      <c r="Y87" s="9" t="inlineStr">
        <is>
          <t>2026-S05</t>
        </is>
      </c>
    </row>
    <row r="88">
      <c r="A88" s="9" t="n">
        <v>43046511</v>
      </c>
      <c r="B88" s="11" t="n">
        <v>46050.46842592592</v>
      </c>
      <c r="C88" s="12" t="n">
        <v>46050</v>
      </c>
      <c r="D88" s="9">
        <f>YEAR(C88)</f>
        <v/>
      </c>
      <c r="E88" s="9">
        <f>MONTH(C88)</f>
        <v/>
      </c>
      <c r="F88" s="9" t="inlineStr">
        <is>
          <t>Saferock</t>
        </is>
      </c>
      <c r="G88" s="9" t="inlineStr">
        <is>
          <t>SAFEROCK 25MM 10M A420</t>
        </is>
      </c>
      <c r="H88" s="9" t="inlineStr">
        <is>
          <t>SAFEROCK 25MM 10M A420</t>
        </is>
      </c>
      <c r="I88" s="9" t="inlineStr">
        <is>
          <t>SFR 25</t>
        </is>
      </c>
      <c r="J88" s="9" t="n">
        <v>106043671</v>
      </c>
      <c r="K88" s="9" t="n">
        <v>25</v>
      </c>
      <c r="L88" s="9" t="n"/>
      <c r="M88" s="9" t="n"/>
      <c r="N88" s="9" t="n"/>
      <c r="O88" s="9" t="n">
        <v>10</v>
      </c>
      <c r="P88" s="13" t="n">
        <v>64700</v>
      </c>
      <c r="Q88" s="13" t="n">
        <v>69115.2</v>
      </c>
      <c r="R88" s="14">
        <f>IFERROR(P88/Q88,"")</f>
        <v/>
      </c>
      <c r="S88" s="15" t="n">
        <v>0.9540000000000001</v>
      </c>
      <c r="T88" s="9">
        <f>IF(R88&gt;1,"A corregir","Válida")</f>
        <v/>
      </c>
      <c r="U88" s="13">
        <f>Q88-P88</f>
        <v/>
      </c>
      <c r="V88" s="13">
        <f>IF(S88="",0,S88*Q88)</f>
        <v/>
      </c>
      <c r="W88" s="9" t="n">
        <v>2026</v>
      </c>
      <c r="X88" s="9" t="n">
        <v>5</v>
      </c>
      <c r="Y88" s="9" t="inlineStr">
        <is>
          <t>2026-S05</t>
        </is>
      </c>
    </row>
    <row r="89">
      <c r="A89" s="9" t="n">
        <v>43046512</v>
      </c>
      <c r="B89" s="11" t="n">
        <v>46050.59309027778</v>
      </c>
      <c r="C89" s="12" t="n">
        <v>46050</v>
      </c>
      <c r="D89" s="9">
        <f>YEAR(C89)</f>
        <v/>
      </c>
      <c r="E89" s="9">
        <f>MONTH(C89)</f>
        <v/>
      </c>
      <c r="F89" s="9" t="inlineStr">
        <is>
          <t>Saferock</t>
        </is>
      </c>
      <c r="G89" s="9" t="inlineStr">
        <is>
          <t>SAFEROCK 25MM 12M A520D</t>
        </is>
      </c>
      <c r="H89" s="9" t="inlineStr">
        <is>
          <t>SAFEROCK 25MM 12M A520D</t>
        </is>
      </c>
      <c r="I89" s="9" t="inlineStr">
        <is>
          <t>SFR 25</t>
        </is>
      </c>
      <c r="J89" s="9" t="n">
        <v>119506719</v>
      </c>
      <c r="K89" s="9" t="n">
        <v>25</v>
      </c>
      <c r="L89" s="9" t="n"/>
      <c r="M89" s="9" t="n"/>
      <c r="N89" s="9" t="n"/>
      <c r="O89" s="9" t="n">
        <v>12</v>
      </c>
      <c r="P89" s="13" t="n">
        <v>28034</v>
      </c>
      <c r="Q89" s="13" t="n">
        <v>29620.8</v>
      </c>
      <c r="R89" s="14">
        <f>IFERROR(P89/Q89,"")</f>
        <v/>
      </c>
      <c r="S89" s="15" t="n">
        <v>0.97</v>
      </c>
      <c r="T89" s="9">
        <f>IF(R89&gt;1,"A corregir","Válida")</f>
        <v/>
      </c>
      <c r="U89" s="13">
        <f>Q89-P89</f>
        <v/>
      </c>
      <c r="V89" s="13">
        <f>IF(S89="",0,S89*Q89)</f>
        <v/>
      </c>
      <c r="W89" s="9" t="n">
        <v>2026</v>
      </c>
      <c r="X89" s="9" t="n">
        <v>5</v>
      </c>
      <c r="Y89" s="9" t="inlineStr">
        <is>
          <t>2026-S05</t>
        </is>
      </c>
    </row>
    <row r="90">
      <c r="A90" s="9" t="n">
        <v>43046505</v>
      </c>
      <c r="B90" s="11" t="n">
        <v>46050.68530092593</v>
      </c>
      <c r="C90" s="12" t="n">
        <v>46050</v>
      </c>
      <c r="D90" s="9">
        <f>YEAR(C90)</f>
        <v/>
      </c>
      <c r="E90" s="9">
        <f>MONTH(C90)</f>
        <v/>
      </c>
      <c r="F90" s="9" t="inlineStr">
        <is>
          <t>Redondo liso</t>
        </is>
      </c>
      <c r="G90" s="9" t="inlineStr">
        <is>
          <t>REDONDO LISO 1' 6M A615 GR60(P)</t>
        </is>
      </c>
      <c r="H90" s="9" t="inlineStr">
        <is>
          <t>REDONDO LISO 1' 6M A615 GR60(P)</t>
        </is>
      </c>
      <c r="I90" s="9" t="n"/>
      <c r="J90" s="9" t="n"/>
      <c r="K90" s="9" t="n">
        <v>25.4</v>
      </c>
      <c r="L90" s="9" t="n"/>
      <c r="M90" s="9" t="n"/>
      <c r="N90" s="9" t="n"/>
      <c r="O90" s="9" t="n">
        <v>6</v>
      </c>
      <c r="P90" s="13" t="n">
        <v>55030</v>
      </c>
      <c r="Q90" s="13" t="n">
        <v>59241.6</v>
      </c>
      <c r="R90" s="14">
        <f>IFERROR(P90/Q90,"")</f>
        <v/>
      </c>
      <c r="S90" s="15" t="n">
        <v>0.97</v>
      </c>
      <c r="T90" s="9">
        <f>IF(R90&gt;1,"A corregir","Válida")</f>
        <v/>
      </c>
      <c r="U90" s="13">
        <f>Q90-P90</f>
        <v/>
      </c>
      <c r="V90" s="13">
        <f>IF(S90="",0,S90*Q90)</f>
        <v/>
      </c>
      <c r="W90" s="9" t="n">
        <v>2026</v>
      </c>
      <c r="X90" s="9" t="n">
        <v>5</v>
      </c>
      <c r="Y90" s="9" t="inlineStr">
        <is>
          <t>2026-S05</t>
        </is>
      </c>
    </row>
    <row r="91">
      <c r="A91" s="9" t="n">
        <v>43046513</v>
      </c>
      <c r="B91" s="11" t="n">
        <v>46050.78049768518</v>
      </c>
      <c r="C91" s="12" t="n">
        <v>46050</v>
      </c>
      <c r="D91" s="9">
        <f>YEAR(C91)</f>
        <v/>
      </c>
      <c r="E91" s="9">
        <f>MONTH(C91)</f>
        <v/>
      </c>
      <c r="F91" s="9" t="inlineStr">
        <is>
          <t>Redondo liso</t>
        </is>
      </c>
      <c r="G91" s="9" t="inlineStr">
        <is>
          <t>REDONDO LISO 1' 6M SAE 1020 (N)</t>
        </is>
      </c>
      <c r="H91" s="9" t="inlineStr">
        <is>
          <t>REDONDO LISO 1' 6M SAE 1020 (N)</t>
        </is>
      </c>
      <c r="I91" s="9" t="inlineStr">
        <is>
          <t>RED 1</t>
        </is>
      </c>
      <c r="J91" s="9" t="n">
        <v>109006911</v>
      </c>
      <c r="K91" s="9" t="n">
        <v>25.4</v>
      </c>
      <c r="L91" s="9" t="n"/>
      <c r="M91" s="9" t="n"/>
      <c r="N91" s="9" t="n"/>
      <c r="O91" s="9" t="n">
        <v>6</v>
      </c>
      <c r="P91" s="13" t="n">
        <v>129938</v>
      </c>
      <c r="Q91" s="13" t="n">
        <v>138230.4</v>
      </c>
      <c r="R91" s="14">
        <f>IFERROR(P91/Q91,"")</f>
        <v/>
      </c>
      <c r="S91" s="15" t="n">
        <v>0.9470000000000001</v>
      </c>
      <c r="T91" s="9">
        <f>IF(R91&gt;1,"A corregir","Válida")</f>
        <v/>
      </c>
      <c r="U91" s="13">
        <f>Q91-P91</f>
        <v/>
      </c>
      <c r="V91" s="13">
        <f>IF(S91="",0,S91*Q91)</f>
        <v/>
      </c>
      <c r="W91" s="9" t="n">
        <v>2026</v>
      </c>
      <c r="X91" s="9" t="n">
        <v>5</v>
      </c>
      <c r="Y91" s="9" t="inlineStr">
        <is>
          <t>2026-S05</t>
        </is>
      </c>
    </row>
    <row r="92">
      <c r="A92" s="9" t="n">
        <v>43046514</v>
      </c>
      <c r="B92" s="11" t="n">
        <v>46051.00600694444</v>
      </c>
      <c r="C92" s="12" t="n">
        <v>46051</v>
      </c>
      <c r="D92" s="9">
        <f>YEAR(C92)</f>
        <v/>
      </c>
      <c r="E92" s="9">
        <f>MONTH(C92)</f>
        <v/>
      </c>
      <c r="F92" s="9" t="inlineStr">
        <is>
          <t>Redondo liso</t>
        </is>
      </c>
      <c r="G92" s="9" t="inlineStr">
        <is>
          <t>REDONDO LISO 1' 6M SAE 1045 (N)</t>
        </is>
      </c>
      <c r="H92" s="9" t="inlineStr">
        <is>
          <t>REDONDO LISO 1' 6M SAE 1045 (N)</t>
        </is>
      </c>
      <c r="I92" s="9" t="inlineStr">
        <is>
          <t>RED 1</t>
        </is>
      </c>
      <c r="J92" s="9" t="n">
        <v>109006875</v>
      </c>
      <c r="K92" s="9" t="n">
        <v>25.4</v>
      </c>
      <c r="L92" s="9" t="n"/>
      <c r="M92" s="9" t="n"/>
      <c r="N92" s="9" t="n"/>
      <c r="O92" s="9" t="n">
        <v>6</v>
      </c>
      <c r="P92" s="13" t="n">
        <v>47334</v>
      </c>
      <c r="Q92" s="13" t="n">
        <v>49816.8</v>
      </c>
      <c r="R92" s="14">
        <f>IFERROR(P92/Q92,"")</f>
        <v/>
      </c>
      <c r="S92" s="15" t="n">
        <v>0.9470000000000001</v>
      </c>
      <c r="T92" s="9">
        <f>IF(R92&gt;1,"A corregir","Válida")</f>
        <v/>
      </c>
      <c r="U92" s="13">
        <f>Q92-P92</f>
        <v/>
      </c>
      <c r="V92" s="13">
        <f>IF(S92="",0,S92*Q92)</f>
        <v/>
      </c>
      <c r="W92" s="9" t="n">
        <v>2026</v>
      </c>
      <c r="X92" s="9" t="n">
        <v>5</v>
      </c>
      <c r="Y92" s="9" t="inlineStr">
        <is>
          <t>2026-S05</t>
        </is>
      </c>
    </row>
    <row r="93">
      <c r="A93" s="9" t="n">
        <v>43046515</v>
      </c>
      <c r="B93" s="11" t="n">
        <v>46051.15623842592</v>
      </c>
      <c r="C93" s="12" t="n">
        <v>46051</v>
      </c>
      <c r="D93" s="9">
        <f>YEAR(C93)</f>
        <v/>
      </c>
      <c r="E93" s="9">
        <f>MONTH(C93)</f>
        <v/>
      </c>
      <c r="F93" s="9" t="inlineStr">
        <is>
          <t>Plana</t>
        </is>
      </c>
      <c r="G93" s="9" t="inlineStr">
        <is>
          <t>PLANA 50X8MM 6M A270ES (N)</t>
        </is>
      </c>
      <c r="H93" s="9" t="inlineStr">
        <is>
          <t>PLANA 50X8MM 6M A270ES (N)</t>
        </is>
      </c>
      <c r="I93" s="9" t="inlineStr">
        <is>
          <t>PL 50 x 8</t>
        </is>
      </c>
      <c r="J93" s="9" t="n">
        <v>109013900</v>
      </c>
      <c r="K93" s="9" t="n"/>
      <c r="L93" s="9" t="n">
        <v>50</v>
      </c>
      <c r="M93" s="9" t="n">
        <v>8</v>
      </c>
      <c r="N93" s="9" t="n"/>
      <c r="O93" s="9" t="n">
        <v>6</v>
      </c>
      <c r="P93" s="13" t="n">
        <v>45826</v>
      </c>
      <c r="Q93" s="13" t="n">
        <v>48919.2</v>
      </c>
      <c r="R93" s="14">
        <f>IFERROR(P93/Q93,"")</f>
        <v/>
      </c>
      <c r="S93" s="15" t="n">
        <v>0.9570000000000001</v>
      </c>
      <c r="T93" s="9">
        <f>IF(R93&gt;1,"A corregir","Válida")</f>
        <v/>
      </c>
      <c r="U93" s="13">
        <f>Q93-P93</f>
        <v/>
      </c>
      <c r="V93" s="13">
        <f>IF(S93="",0,S93*Q93)</f>
        <v/>
      </c>
      <c r="W93" s="9" t="n">
        <v>2026</v>
      </c>
      <c r="X93" s="9" t="n">
        <v>5</v>
      </c>
      <c r="Y93" s="9" t="inlineStr">
        <is>
          <t>2026-S05</t>
        </is>
      </c>
    </row>
    <row r="94">
      <c r="A94" s="9" t="n">
        <v>43046516</v>
      </c>
      <c r="B94" s="11" t="n">
        <v>46051.28792824074</v>
      </c>
      <c r="C94" s="12" t="n">
        <v>46051</v>
      </c>
      <c r="D94" s="9">
        <f>YEAR(C94)</f>
        <v/>
      </c>
      <c r="E94" s="9">
        <f>MONTH(C94)</f>
        <v/>
      </c>
      <c r="F94" s="9" t="inlineStr">
        <is>
          <t>Plana</t>
        </is>
      </c>
      <c r="G94" s="9" t="inlineStr">
        <is>
          <t>PLANA 50X5MM 6M A270ES (N)</t>
        </is>
      </c>
      <c r="H94" s="9" t="inlineStr">
        <is>
          <t>PLANA 50X5MM 6M A270ES (N)</t>
        </is>
      </c>
      <c r="I94" s="9" t="inlineStr">
        <is>
          <t>PL 50 x 5</t>
        </is>
      </c>
      <c r="J94" s="9" t="n">
        <v>109013902</v>
      </c>
      <c r="K94" s="9" t="n"/>
      <c r="L94" s="9" t="n">
        <v>50</v>
      </c>
      <c r="M94" s="9" t="n">
        <v>5</v>
      </c>
      <c r="N94" s="9" t="n"/>
      <c r="O94" s="9" t="n">
        <v>6</v>
      </c>
      <c r="P94" s="13" t="n">
        <v>98031</v>
      </c>
      <c r="Q94" s="13" t="n">
        <v>105916.8</v>
      </c>
      <c r="R94" s="14">
        <f>IFERROR(P94/Q94,"")</f>
        <v/>
      </c>
      <c r="S94" s="15" t="n">
        <v>0.96</v>
      </c>
      <c r="T94" s="9">
        <f>IF(R94&gt;1,"A corregir","Válida")</f>
        <v/>
      </c>
      <c r="U94" s="13">
        <f>Q94-P94</f>
        <v/>
      </c>
      <c r="V94" s="13">
        <f>IF(S94="",0,S94*Q94)</f>
        <v/>
      </c>
      <c r="W94" s="9" t="n">
        <v>2026</v>
      </c>
      <c r="X94" s="9" t="n">
        <v>5</v>
      </c>
      <c r="Y94" s="9" t="inlineStr">
        <is>
          <t>2026-S05</t>
        </is>
      </c>
    </row>
    <row r="95">
      <c r="A95" s="9" t="n">
        <v>43046544</v>
      </c>
      <c r="B95" s="11" t="n">
        <v>46051.65033564815</v>
      </c>
      <c r="C95" s="12" t="n">
        <v>46051</v>
      </c>
      <c r="D95" s="9">
        <f>YEAR(C95)</f>
        <v/>
      </c>
      <c r="E95" s="9">
        <f>MONTH(C95)</f>
        <v/>
      </c>
      <c r="F95" s="9" t="inlineStr">
        <is>
          <t>Ángulo</t>
        </is>
      </c>
      <c r="G95" s="9" t="inlineStr">
        <is>
          <t>ANGULO 30X30X5MM A270ES</t>
        </is>
      </c>
      <c r="H95" s="9" t="inlineStr">
        <is>
          <t>ANGULO SEMI 30X30X5MM A270ES</t>
        </is>
      </c>
      <c r="I95" s="9" t="inlineStr">
        <is>
          <t>ANG 30 x 5</t>
        </is>
      </c>
      <c r="J95" s="9" t="n">
        <v>106501813</v>
      </c>
      <c r="K95" s="9" t="n"/>
      <c r="L95" s="9" t="n">
        <v>30</v>
      </c>
      <c r="M95" s="9" t="n">
        <v>5</v>
      </c>
      <c r="N95" s="9" t="n"/>
      <c r="O95" s="9" t="n">
        <v>6</v>
      </c>
      <c r="P95" s="13" t="n">
        <v>30890</v>
      </c>
      <c r="Q95" s="13" t="n">
        <v>33211.2</v>
      </c>
      <c r="R95" s="14">
        <f>IFERROR(P95/Q95,"")</f>
        <v/>
      </c>
      <c r="S95" s="15" t="n">
        <v>0.958</v>
      </c>
      <c r="T95" s="9">
        <f>IF(R95&gt;1,"A corregir","Válida")</f>
        <v/>
      </c>
      <c r="U95" s="13">
        <f>Q95-P95</f>
        <v/>
      </c>
      <c r="V95" s="13">
        <f>IF(S95="",0,S95*Q95)</f>
        <v/>
      </c>
      <c r="W95" s="9" t="n">
        <v>2026</v>
      </c>
      <c r="X95" s="9" t="n">
        <v>5</v>
      </c>
      <c r="Y95" s="9" t="inlineStr">
        <is>
          <t>2026-S05</t>
        </is>
      </c>
    </row>
    <row r="96">
      <c r="A96" s="9" t="n">
        <v>43046547</v>
      </c>
      <c r="B96" s="11" t="n">
        <v>46051.73664351852</v>
      </c>
      <c r="C96" s="12" t="n">
        <v>46051</v>
      </c>
      <c r="D96" s="9">
        <f>YEAR(C96)</f>
        <v/>
      </c>
      <c r="E96" s="9">
        <f>MONTH(C96)</f>
        <v/>
      </c>
      <c r="F96" s="9" t="inlineStr">
        <is>
          <t>Ángulo</t>
        </is>
      </c>
      <c r="G96" s="9" t="inlineStr">
        <is>
          <t>ANGULO 30X30X3MM A270ES</t>
        </is>
      </c>
      <c r="H96" s="9" t="inlineStr">
        <is>
          <t>ANGULO SEMI 30X30X3MM A270ES</t>
        </is>
      </c>
      <c r="I96" s="9" t="inlineStr">
        <is>
          <t>ANG 30 x 3</t>
        </is>
      </c>
      <c r="J96" s="9" t="n">
        <v>106501029</v>
      </c>
      <c r="K96" s="9" t="n"/>
      <c r="L96" s="9" t="n">
        <v>30</v>
      </c>
      <c r="M96" s="9" t="n">
        <v>3</v>
      </c>
      <c r="N96" s="9" t="n"/>
      <c r="O96" s="9" t="n">
        <v>6</v>
      </c>
      <c r="P96" s="13" t="n">
        <v>197450</v>
      </c>
      <c r="Q96" s="13" t="n">
        <v>215424</v>
      </c>
      <c r="R96" s="14">
        <f>IFERROR(P96/Q96,"")</f>
        <v/>
      </c>
      <c r="S96" s="15" t="n">
        <v>0.96</v>
      </c>
      <c r="T96" s="9">
        <f>IF(R96&gt;1,"A corregir","Válida")</f>
        <v/>
      </c>
      <c r="U96" s="13">
        <f>Q96-P96</f>
        <v/>
      </c>
      <c r="V96" s="13">
        <f>IF(S96="",0,S96*Q96)</f>
        <v/>
      </c>
      <c r="W96" s="9" t="n">
        <v>2026</v>
      </c>
      <c r="X96" s="9" t="n">
        <v>5</v>
      </c>
      <c r="Y96" s="9" t="inlineStr">
        <is>
          <t>2026-S05</t>
        </is>
      </c>
    </row>
    <row r="97">
      <c r="A97" s="9" t="n">
        <v>43046548</v>
      </c>
      <c r="B97" s="11" t="n">
        <v>46052.30135416667</v>
      </c>
      <c r="C97" s="12" t="n">
        <v>46052</v>
      </c>
      <c r="D97" s="9">
        <f>YEAR(C97)</f>
        <v/>
      </c>
      <c r="E97" s="9">
        <f>MONTH(C97)</f>
        <v/>
      </c>
      <c r="F97" s="9" t="inlineStr">
        <is>
          <t>Cuadrado</t>
        </is>
      </c>
      <c r="G97" s="9" t="inlineStr">
        <is>
          <t>CUADRADO 18MM 6M COMERCIAL (N)</t>
        </is>
      </c>
      <c r="H97" s="9" t="inlineStr">
        <is>
          <t>CUADRADO 18MM 6M COMERCIAL (N)</t>
        </is>
      </c>
      <c r="I97" s="9" t="inlineStr">
        <is>
          <t>CUAD 18</t>
        </is>
      </c>
      <c r="J97" s="9" t="n">
        <v>109007068</v>
      </c>
      <c r="K97" s="9" t="n"/>
      <c r="L97" s="9" t="n"/>
      <c r="M97" s="9" t="n"/>
      <c r="N97" s="9" t="n">
        <v>18</v>
      </c>
      <c r="O97" s="9" t="n">
        <v>6</v>
      </c>
      <c r="P97" s="13" t="n">
        <v>32559</v>
      </c>
      <c r="Q97" s="13" t="n">
        <v>34557.6</v>
      </c>
      <c r="R97" s="14">
        <f>IFERROR(P97/Q97,"")</f>
        <v/>
      </c>
      <c r="S97" s="15" t="n">
        <v>0.9540000000000001</v>
      </c>
      <c r="T97" s="9">
        <f>IF(R97&gt;1,"A corregir","Válida")</f>
        <v/>
      </c>
      <c r="U97" s="13">
        <f>Q97-P97</f>
        <v/>
      </c>
      <c r="V97" s="13">
        <f>IF(S97="",0,S97*Q97)</f>
        <v/>
      </c>
      <c r="W97" s="9" t="n">
        <v>2026</v>
      </c>
      <c r="X97" s="9" t="n">
        <v>5</v>
      </c>
      <c r="Y97" s="9" t="inlineStr">
        <is>
          <t>2026-S05</t>
        </is>
      </c>
    </row>
    <row r="98">
      <c r="A98" s="9" t="n">
        <v>43046550</v>
      </c>
      <c r="B98" s="11" t="n">
        <v>46052.41998842593</v>
      </c>
      <c r="C98" s="12" t="n">
        <v>46052</v>
      </c>
      <c r="D98" s="9">
        <f>YEAR(C98)</f>
        <v/>
      </c>
      <c r="E98" s="9">
        <f>MONTH(C98)</f>
        <v/>
      </c>
      <c r="F98" s="9" t="inlineStr">
        <is>
          <t>Redondo liso</t>
        </is>
      </c>
      <c r="G98" s="9" t="inlineStr">
        <is>
          <t>REDONDO LISO 18MM 6M SAE 1020 (N)</t>
        </is>
      </c>
      <c r="H98" s="9" t="inlineStr">
        <is>
          <t>REDONDO LISO 18MM 6M SAE 1020 (N)</t>
        </is>
      </c>
      <c r="I98" s="9" t="inlineStr">
        <is>
          <t>RED 18</t>
        </is>
      </c>
      <c r="J98" s="9" t="n">
        <v>109006919</v>
      </c>
      <c r="K98" s="9" t="n">
        <v>18</v>
      </c>
      <c r="L98" s="9" t="n"/>
      <c r="M98" s="9" t="n"/>
      <c r="N98" s="9" t="n"/>
      <c r="O98" s="9" t="n">
        <v>6</v>
      </c>
      <c r="P98" s="13" t="n">
        <v>31973</v>
      </c>
      <c r="Q98" s="13" t="n">
        <v>34108.8</v>
      </c>
      <c r="R98" s="14">
        <f>IFERROR(P98/Q98,"")</f>
        <v/>
      </c>
      <c r="S98" s="15" t="n">
        <v>0.953</v>
      </c>
      <c r="T98" s="9">
        <f>IF(R98&gt;1,"A corregir","Válida")</f>
        <v/>
      </c>
      <c r="U98" s="13">
        <f>Q98-P98</f>
        <v/>
      </c>
      <c r="V98" s="13">
        <f>IF(S98="",0,S98*Q98)</f>
        <v/>
      </c>
      <c r="W98" s="9" t="n">
        <v>2026</v>
      </c>
      <c r="X98" s="9" t="n">
        <v>5</v>
      </c>
      <c r="Y98" s="9" t="inlineStr">
        <is>
          <t>2026-S05</t>
        </is>
      </c>
    </row>
    <row r="99">
      <c r="A99" s="9" t="n">
        <v>43046479</v>
      </c>
      <c r="B99" s="11" t="n">
        <v>46052.49762731481</v>
      </c>
      <c r="C99" s="12" t="n">
        <v>46052</v>
      </c>
      <c r="D99" s="9">
        <f>YEAR(C99)</f>
        <v/>
      </c>
      <c r="E99" s="9">
        <f>MONTH(C99)</f>
        <v/>
      </c>
      <c r="F99" s="9" t="inlineStr">
        <is>
          <t>B Hormigón</t>
        </is>
      </c>
      <c r="G99" s="9" t="inlineStr">
        <is>
          <t>B HORMIGON 18MM 7M A630-420H (N)</t>
        </is>
      </c>
      <c r="H99" s="9" t="inlineStr">
        <is>
          <t>B HORMIGON 18MM 7M A630-420H (N)</t>
        </is>
      </c>
      <c r="I99" s="9" t="inlineStr">
        <is>
          <t>RED 18 CR</t>
        </is>
      </c>
      <c r="J99" s="9" t="n">
        <v>110002940</v>
      </c>
      <c r="K99" s="9" t="n">
        <v>18</v>
      </c>
      <c r="L99" s="9" t="n"/>
      <c r="M99" s="9" t="n"/>
      <c r="N99" s="9" t="n"/>
      <c r="O99" s="9" t="n">
        <v>7</v>
      </c>
      <c r="P99" s="13" t="n">
        <v>23719</v>
      </c>
      <c r="Q99" s="13" t="n">
        <v>25132.8</v>
      </c>
      <c r="R99" s="14">
        <f>IFERROR(P99/Q99,"")</f>
        <v/>
      </c>
      <c r="S99" s="15" t="n">
        <v>0.9590000000000001</v>
      </c>
      <c r="T99" s="9">
        <f>IF(R99&gt;1,"A corregir","Válida")</f>
        <v/>
      </c>
      <c r="U99" s="13">
        <f>Q99-P99</f>
        <v/>
      </c>
      <c r="V99" s="13">
        <f>IF(S99="",0,S99*Q99)</f>
        <v/>
      </c>
      <c r="W99" s="9" t="n">
        <v>2026</v>
      </c>
      <c r="X99" s="9" t="n">
        <v>5</v>
      </c>
      <c r="Y99" s="9" t="inlineStr">
        <is>
          <t>2026-S05</t>
        </is>
      </c>
    </row>
    <row r="100">
      <c r="A100" s="9" t="n">
        <v>43046561</v>
      </c>
      <c r="B100" s="11" t="n">
        <v>46052.54480324074</v>
      </c>
      <c r="C100" s="12" t="n">
        <v>46052</v>
      </c>
      <c r="D100" s="9">
        <f>YEAR(C100)</f>
        <v/>
      </c>
      <c r="E100" s="9">
        <f>MONTH(C100)</f>
        <v/>
      </c>
      <c r="F100" s="9" t="inlineStr">
        <is>
          <t>B Hormigón</t>
        </is>
      </c>
      <c r="G100" s="9" t="inlineStr">
        <is>
          <t>B HORMIGON 18MM 8M A630-420H (N)</t>
        </is>
      </c>
      <c r="H100" s="9" t="inlineStr">
        <is>
          <t>B HORMIGON 18MM 8M A630-420H (N)</t>
        </is>
      </c>
      <c r="I100" s="9" t="inlineStr">
        <is>
          <t>RED 18 CR</t>
        </is>
      </c>
      <c r="J100" s="9" t="n">
        <v>110002952</v>
      </c>
      <c r="K100" s="9" t="n">
        <v>18</v>
      </c>
      <c r="L100" s="9" t="n"/>
      <c r="M100" s="9" t="n"/>
      <c r="N100" s="9" t="n"/>
      <c r="O100" s="9" t="n">
        <v>8</v>
      </c>
      <c r="P100" s="13" t="n">
        <v>59215</v>
      </c>
      <c r="Q100" s="13" t="n">
        <v>62290.8</v>
      </c>
      <c r="R100" s="14">
        <f>IFERROR(P100/Q100,"")</f>
        <v/>
      </c>
      <c r="S100" s="15" t="n">
        <v>0.96</v>
      </c>
      <c r="T100" s="9">
        <f>IF(R100&gt;1,"A corregir","Válida")</f>
        <v/>
      </c>
      <c r="U100" s="13">
        <f>Q100-P100</f>
        <v/>
      </c>
      <c r="V100" s="13">
        <f>IF(S100="",0,S100*Q100)</f>
        <v/>
      </c>
      <c r="W100" s="9" t="n">
        <v>2026</v>
      </c>
      <c r="X100" s="9" t="n">
        <v>5</v>
      </c>
      <c r="Y100" s="9" t="inlineStr">
        <is>
          <t>2026-S05</t>
        </is>
      </c>
    </row>
    <row r="101">
      <c r="A101" s="9" t="n">
        <v>43046562</v>
      </c>
      <c r="B101" s="11" t="n">
        <v>46052.65480324074</v>
      </c>
      <c r="C101" s="12" t="n">
        <v>46052</v>
      </c>
      <c r="D101" s="9">
        <f>YEAR(C101)</f>
        <v/>
      </c>
      <c r="E101" s="9">
        <f>MONTH(C101)</f>
        <v/>
      </c>
      <c r="F101" s="9" t="inlineStr">
        <is>
          <t>B Hormigón</t>
        </is>
      </c>
      <c r="G101" s="9" t="inlineStr">
        <is>
          <t>B HORMIGON 18MM 9M A630-420H (N)</t>
        </is>
      </c>
      <c r="H101" s="9" t="inlineStr">
        <is>
          <t>B HORMIGON 18MM 9M A630-420H (N)</t>
        </is>
      </c>
      <c r="I101" s="9" t="inlineStr">
        <is>
          <t>RED 18 CR</t>
        </is>
      </c>
      <c r="J101" s="9" t="n">
        <v>110002951</v>
      </c>
      <c r="K101" s="9" t="n">
        <v>18</v>
      </c>
      <c r="L101" s="9" t="n"/>
      <c r="M101" s="9" t="n"/>
      <c r="N101" s="9" t="n"/>
      <c r="O101" s="9" t="n">
        <v>9</v>
      </c>
      <c r="P101" s="13" t="n">
        <v>59730</v>
      </c>
      <c r="Q101" s="13" t="n">
        <v>63597.6</v>
      </c>
      <c r="R101" s="14">
        <f>IFERROR(P101/Q101,"")</f>
        <v/>
      </c>
      <c r="S101" s="15" t="n">
        <v>0.9590000000000001</v>
      </c>
      <c r="T101" s="9">
        <f>IF(R101&gt;1,"A corregir","Válida")</f>
        <v/>
      </c>
      <c r="U101" s="13">
        <f>Q101-P101</f>
        <v/>
      </c>
      <c r="V101" s="13">
        <f>IF(S101="",0,S101*Q101)</f>
        <v/>
      </c>
      <c r="W101" s="9" t="n">
        <v>2026</v>
      </c>
      <c r="X101" s="9" t="n">
        <v>5</v>
      </c>
      <c r="Y101" s="9" t="inlineStr">
        <is>
          <t>2026-S05</t>
        </is>
      </c>
    </row>
    <row r="102">
      <c r="A102" s="9" t="n">
        <v>43046563</v>
      </c>
      <c r="B102" s="11" t="n">
        <v>46052.76965277778</v>
      </c>
      <c r="C102" s="12" t="n">
        <v>46052</v>
      </c>
      <c r="D102" s="9">
        <f>YEAR(C102)</f>
        <v/>
      </c>
      <c r="E102" s="9">
        <f>MONTH(C102)</f>
        <v/>
      </c>
      <c r="F102" s="9" t="inlineStr">
        <is>
          <t>B Hormigón</t>
        </is>
      </c>
      <c r="G102" s="9" t="inlineStr">
        <is>
          <t>B HORMIGON 18MM 9M A630-420H (N)</t>
        </is>
      </c>
      <c r="H102" s="9" t="inlineStr">
        <is>
          <t>B HORMIGON 18MM 9M A630-420H (N)</t>
        </is>
      </c>
      <c r="I102" s="9" t="inlineStr">
        <is>
          <t>RED 18 CR</t>
        </is>
      </c>
      <c r="J102" s="9" t="n">
        <v>110002951</v>
      </c>
      <c r="K102" s="9" t="n">
        <v>18</v>
      </c>
      <c r="L102" s="9" t="n"/>
      <c r="M102" s="9" t="n"/>
      <c r="N102" s="9" t="n"/>
      <c r="O102" s="9" t="n">
        <v>9</v>
      </c>
      <c r="P102" s="13" t="n">
        <v>9069</v>
      </c>
      <c r="Q102" s="13" t="n">
        <v>9873.6</v>
      </c>
      <c r="R102" s="14">
        <f>IFERROR(P102/Q102,"")</f>
        <v/>
      </c>
      <c r="S102" s="15" t="n">
        <v>0.9590000000000001</v>
      </c>
      <c r="T102" s="9">
        <f>IF(R102&gt;1,"A corregir","Válida")</f>
        <v/>
      </c>
      <c r="U102" s="13">
        <f>Q102-P102</f>
        <v/>
      </c>
      <c r="V102" s="13">
        <f>IF(S102="",0,S102*Q102)</f>
        <v/>
      </c>
      <c r="W102" s="9" t="n">
        <v>2026</v>
      </c>
      <c r="X102" s="9" t="n">
        <v>5</v>
      </c>
      <c r="Y102" s="9" t="inlineStr">
        <is>
          <t>2026-S05</t>
        </is>
      </c>
    </row>
    <row r="103">
      <c r="A103" s="9" t="n">
        <v>43046564</v>
      </c>
      <c r="B103" s="11" t="n">
        <v>46052.79363425926</v>
      </c>
      <c r="C103" s="12" t="n">
        <v>46052</v>
      </c>
      <c r="D103" s="9">
        <f>YEAR(C103)</f>
        <v/>
      </c>
      <c r="E103" s="9">
        <f>MONTH(C103)</f>
        <v/>
      </c>
      <c r="F103" s="9" t="inlineStr">
        <is>
          <t>B Hormigón</t>
        </is>
      </c>
      <c r="G103" s="9" t="inlineStr">
        <is>
          <t>B HORMIGON 18MM 12M A630-420H (N)</t>
        </is>
      </c>
      <c r="H103" s="9" t="inlineStr">
        <is>
          <t>B HORMIGON 18MM 12M A630-420H (N)</t>
        </is>
      </c>
      <c r="I103" s="9" t="inlineStr">
        <is>
          <t>RED 18 CR</t>
        </is>
      </c>
      <c r="J103" s="9" t="n">
        <v>110002938</v>
      </c>
      <c r="K103" s="9" t="n">
        <v>18</v>
      </c>
      <c r="L103" s="9" t="n"/>
      <c r="M103" s="9" t="n"/>
      <c r="N103" s="9" t="n"/>
      <c r="O103" s="9" t="n">
        <v>12</v>
      </c>
      <c r="P103" s="13" t="n">
        <v>108299</v>
      </c>
      <c r="Q103" s="13" t="n">
        <v>113546.4</v>
      </c>
      <c r="R103" s="14">
        <f>IFERROR(P103/Q103,"")</f>
        <v/>
      </c>
      <c r="S103" s="15" t="n">
        <v>0.96</v>
      </c>
      <c r="T103" s="9">
        <f>IF(R103&gt;1,"A corregir","Válida")</f>
        <v/>
      </c>
      <c r="U103" s="13">
        <f>Q103-P103</f>
        <v/>
      </c>
      <c r="V103" s="13">
        <f>IF(S103="",0,S103*Q103)</f>
        <v/>
      </c>
      <c r="W103" s="9" t="n">
        <v>2026</v>
      </c>
      <c r="X103" s="9" t="n">
        <v>5</v>
      </c>
      <c r="Y103" s="9" t="inlineStr">
        <is>
          <t>2026-S05</t>
        </is>
      </c>
    </row>
    <row r="104">
      <c r="A104" s="9" t="n">
        <v>43046565</v>
      </c>
      <c r="B104" s="11" t="n">
        <v>46052.99494212963</v>
      </c>
      <c r="C104" s="12" t="n">
        <v>46052</v>
      </c>
      <c r="D104" s="9">
        <f>YEAR(C104)</f>
        <v/>
      </c>
      <c r="E104" s="9">
        <f>MONTH(C104)</f>
        <v/>
      </c>
      <c r="F104" s="9" t="inlineStr">
        <is>
          <t>B Hormigón</t>
        </is>
      </c>
      <c r="G104" s="9" t="inlineStr">
        <is>
          <t>B HORMIGON 18MM 11M A630-420H (N)</t>
        </is>
      </c>
      <c r="H104" s="9" t="inlineStr">
        <is>
          <t>B HORMIGON 18MM 11M A630-420H (N)</t>
        </is>
      </c>
      <c r="I104" s="9" t="inlineStr">
        <is>
          <t>RED 18 CR</t>
        </is>
      </c>
      <c r="J104" s="9" t="n">
        <v>110002937</v>
      </c>
      <c r="K104" s="9" t="n">
        <v>18</v>
      </c>
      <c r="L104" s="9" t="n"/>
      <c r="M104" s="9" t="n"/>
      <c r="N104" s="9" t="n"/>
      <c r="O104" s="9" t="n">
        <v>11</v>
      </c>
      <c r="P104" s="13" t="n">
        <v>131364</v>
      </c>
      <c r="Q104" s="13" t="n">
        <v>138230.4</v>
      </c>
      <c r="R104" s="14">
        <f>IFERROR(P104/Q104,"")</f>
        <v/>
      </c>
      <c r="S104" s="15" t="n">
        <v>0.96</v>
      </c>
      <c r="T104" s="9">
        <f>IF(R104&gt;1,"A corregir","Válida")</f>
        <v/>
      </c>
      <c r="U104" s="13">
        <f>Q104-P104</f>
        <v/>
      </c>
      <c r="V104" s="13">
        <f>IF(S104="",0,S104*Q104)</f>
        <v/>
      </c>
      <c r="W104" s="9" t="n">
        <v>2026</v>
      </c>
      <c r="X104" s="9" t="n">
        <v>5</v>
      </c>
      <c r="Y104" s="9" t="inlineStr">
        <is>
          <t>2026-S05</t>
        </is>
      </c>
    </row>
    <row r="105">
      <c r="A105" s="9" t="n">
        <v>43046566</v>
      </c>
      <c r="B105" s="11" t="n">
        <v>46053.24341435185</v>
      </c>
      <c r="C105" s="12" t="n">
        <v>46053</v>
      </c>
      <c r="D105" s="9">
        <f>YEAR(C105)</f>
        <v/>
      </c>
      <c r="E105" s="9">
        <f>MONTH(C105)</f>
        <v/>
      </c>
      <c r="F105" s="9" t="inlineStr">
        <is>
          <t>B Hormigón</t>
        </is>
      </c>
      <c r="G105" s="9" t="inlineStr">
        <is>
          <t>B HORMIGON 18MM 10M A630-420H (N)</t>
        </is>
      </c>
      <c r="H105" s="9" t="inlineStr">
        <is>
          <t>B HORMIGON 18MM 10M A630-420H (N)</t>
        </is>
      </c>
      <c r="I105" s="9" t="inlineStr">
        <is>
          <t>RED 18 CR</t>
        </is>
      </c>
      <c r="J105" s="9" t="n">
        <v>110002924</v>
      </c>
      <c r="K105" s="9" t="n">
        <v>18</v>
      </c>
      <c r="L105" s="9" t="n"/>
      <c r="M105" s="9" t="n"/>
      <c r="N105" s="9" t="n"/>
      <c r="O105" s="9" t="n">
        <v>10</v>
      </c>
      <c r="P105" s="13" t="n">
        <v>89449</v>
      </c>
      <c r="Q105" s="13" t="n">
        <v>94248</v>
      </c>
      <c r="R105" s="14">
        <f>IFERROR(P105/Q105,"")</f>
        <v/>
      </c>
      <c r="S105" s="15" t="n">
        <v>0.96</v>
      </c>
      <c r="T105" s="9">
        <f>IF(R105&gt;1,"A corregir","Válida")</f>
        <v/>
      </c>
      <c r="U105" s="13">
        <f>Q105-P105</f>
        <v/>
      </c>
      <c r="V105" s="13">
        <f>IF(S105="",0,S105*Q105)</f>
        <v/>
      </c>
      <c r="W105" s="9" t="n">
        <v>2026</v>
      </c>
      <c r="X105" s="9" t="n">
        <v>5</v>
      </c>
      <c r="Y105" s="9" t="inlineStr">
        <is>
          <t>2026-S05</t>
        </is>
      </c>
    </row>
    <row r="106">
      <c r="A106" s="9" t="n">
        <v>43046657</v>
      </c>
      <c r="B106" s="11" t="n">
        <v>46053.43961805556</v>
      </c>
      <c r="C106" s="12" t="n">
        <v>46053</v>
      </c>
      <c r="D106" s="9">
        <f>YEAR(C106)</f>
        <v/>
      </c>
      <c r="E106" s="9">
        <f>MONTH(C106)</f>
        <v/>
      </c>
      <c r="F106" s="9" t="inlineStr">
        <is>
          <t>B Hormigón</t>
        </is>
      </c>
      <c r="G106" s="9" t="inlineStr">
        <is>
          <t>B HORMIGON 18MM 6M A630-420H (N)</t>
        </is>
      </c>
      <c r="H106" s="9" t="inlineStr">
        <is>
          <t>B HORMIGON 18MM 6M A630-420H (N)</t>
        </is>
      </c>
      <c r="I106" s="9" t="inlineStr">
        <is>
          <t>RED 18 CR</t>
        </is>
      </c>
      <c r="J106" s="9" t="n">
        <v>110002942</v>
      </c>
      <c r="K106" s="9" t="n">
        <v>18</v>
      </c>
      <c r="L106" s="9" t="n"/>
      <c r="M106" s="9" t="n"/>
      <c r="N106" s="9" t="n"/>
      <c r="O106" s="9" t="n">
        <v>6</v>
      </c>
      <c r="P106" s="13" t="n">
        <v>62733</v>
      </c>
      <c r="Q106" s="13" t="n">
        <v>66871.2</v>
      </c>
      <c r="R106" s="14">
        <f>IFERROR(P106/Q106,"")</f>
        <v/>
      </c>
      <c r="S106" s="15" t="n">
        <v>0.96</v>
      </c>
      <c r="T106" s="9">
        <f>IF(R106&gt;1,"A corregir","Válida")</f>
        <v/>
      </c>
      <c r="U106" s="13">
        <f>Q106-P106</f>
        <v/>
      </c>
      <c r="V106" s="13">
        <f>IF(S106="",0,S106*Q106)</f>
        <v/>
      </c>
      <c r="W106" s="9" t="n">
        <v>2026</v>
      </c>
      <c r="X106" s="9" t="n">
        <v>5</v>
      </c>
      <c r="Y106" s="9" t="inlineStr">
        <is>
          <t>2026-S05</t>
        </is>
      </c>
    </row>
    <row r="107">
      <c r="A107" s="9" t="n">
        <v>43046638</v>
      </c>
      <c r="B107" s="11" t="n">
        <v>46055.04547453704</v>
      </c>
      <c r="C107" s="12" t="n">
        <v>46055</v>
      </c>
      <c r="D107" s="9">
        <f>YEAR(C107)</f>
        <v/>
      </c>
      <c r="E107" s="9">
        <f>MONTH(C107)</f>
        <v/>
      </c>
      <c r="F107" s="9" t="inlineStr">
        <is>
          <t>B Hormigón</t>
        </is>
      </c>
      <c r="G107" s="9" t="inlineStr">
        <is>
          <t>B HORMIGON 18MM 6M A630-420H (N)</t>
        </is>
      </c>
      <c r="H107" s="9" t="inlineStr">
        <is>
          <t>B HORMIGON 18MM 6M A630-420H (N)</t>
        </is>
      </c>
      <c r="I107" s="9" t="inlineStr">
        <is>
          <t>RED 18 CR</t>
        </is>
      </c>
      <c r="J107" s="9" t="n">
        <v>110002942</v>
      </c>
      <c r="K107" s="9" t="n">
        <v>18</v>
      </c>
      <c r="L107" s="9" t="n"/>
      <c r="M107" s="9" t="n"/>
      <c r="N107" s="9" t="n"/>
      <c r="O107" s="9" t="n">
        <v>6</v>
      </c>
      <c r="P107" s="13" t="n">
        <v>48334</v>
      </c>
      <c r="Q107" s="13" t="n">
        <v>50714.4</v>
      </c>
      <c r="R107" s="14">
        <f>IFERROR(P107/Q107,"")</f>
        <v/>
      </c>
      <c r="S107" s="15" t="n">
        <v>0.96</v>
      </c>
      <c r="T107" s="9">
        <f>IF(R107&gt;1,"A corregir","Válida")</f>
        <v/>
      </c>
      <c r="U107" s="13">
        <f>Q107-P107</f>
        <v/>
      </c>
      <c r="V107" s="13">
        <f>IF(S107="",0,S107*Q107)</f>
        <v/>
      </c>
      <c r="W107" s="9" t="n">
        <v>2026</v>
      </c>
      <c r="X107" s="9" t="n">
        <v>6</v>
      </c>
      <c r="Y107" s="9" t="inlineStr">
        <is>
          <t>2026-S06</t>
        </is>
      </c>
    </row>
    <row r="108">
      <c r="A108" s="9" t="n">
        <v>43046639</v>
      </c>
      <c r="B108" s="11" t="n">
        <v>46055.17822916667</v>
      </c>
      <c r="C108" s="12" t="n">
        <v>46055</v>
      </c>
      <c r="D108" s="9">
        <f>YEAR(C108)</f>
        <v/>
      </c>
      <c r="E108" s="9">
        <f>MONTH(C108)</f>
        <v/>
      </c>
      <c r="F108" s="9" t="inlineStr">
        <is>
          <t>B Hormigón</t>
        </is>
      </c>
      <c r="G108" s="9" t="inlineStr">
        <is>
          <t>B HORMIGON 22MM 12M A630-420H (N)</t>
        </is>
      </c>
      <c r="H108" s="9" t="inlineStr">
        <is>
          <t>B HORMIGON 22MM 12M A630-420H (N)</t>
        </is>
      </c>
      <c r="I108" s="9" t="inlineStr">
        <is>
          <t>RED 22 CR</t>
        </is>
      </c>
      <c r="J108" s="9" t="n">
        <v>110002948</v>
      </c>
      <c r="K108" s="9" t="n">
        <v>22</v>
      </c>
      <c r="L108" s="9" t="n"/>
      <c r="M108" s="9" t="n"/>
      <c r="N108" s="9" t="n"/>
      <c r="O108" s="9" t="n">
        <v>12</v>
      </c>
      <c r="P108" s="13" t="n">
        <v>284576</v>
      </c>
      <c r="Q108" s="13" t="n">
        <v>302398.8</v>
      </c>
      <c r="R108" s="14">
        <f>IFERROR(P108/Q108,"")</f>
        <v/>
      </c>
      <c r="S108" s="15" t="n">
        <v>0.9740000000000001</v>
      </c>
      <c r="T108" s="9">
        <f>IF(R108&gt;1,"A corregir","Válida")</f>
        <v/>
      </c>
      <c r="U108" s="13">
        <f>Q108-P108</f>
        <v/>
      </c>
      <c r="V108" s="13">
        <f>IF(S108="",0,S108*Q108)</f>
        <v/>
      </c>
      <c r="W108" s="9" t="n">
        <v>2026</v>
      </c>
      <c r="X108" s="9" t="n">
        <v>6</v>
      </c>
      <c r="Y108" s="9" t="inlineStr">
        <is>
          <t>2026-S06</t>
        </is>
      </c>
    </row>
    <row r="109">
      <c r="A109" s="9" t="n">
        <v>43046672</v>
      </c>
      <c r="B109" s="11" t="n">
        <v>46055.78388888889</v>
      </c>
      <c r="C109" s="12" t="n">
        <v>46055</v>
      </c>
      <c r="D109" s="9">
        <f>YEAR(C109)</f>
        <v/>
      </c>
      <c r="E109" s="9">
        <f>MONTH(C109)</f>
        <v/>
      </c>
      <c r="F109" s="9" t="inlineStr">
        <is>
          <t>B Hormigón</t>
        </is>
      </c>
      <c r="G109" s="9" t="inlineStr">
        <is>
          <t>B HORMIGON 22MM 12M A630-420H (N)</t>
        </is>
      </c>
      <c r="H109" s="9" t="inlineStr">
        <is>
          <t>B HORMIGON 22MM 12M A630-420H (N)</t>
        </is>
      </c>
      <c r="I109" s="9" t="inlineStr">
        <is>
          <t>RED 22 CR</t>
        </is>
      </c>
      <c r="J109" s="9" t="n">
        <v>110002948</v>
      </c>
      <c r="K109" s="9" t="n">
        <v>22</v>
      </c>
      <c r="L109" s="9" t="n"/>
      <c r="M109" s="9" t="n"/>
      <c r="N109" s="9" t="n"/>
      <c r="O109" s="9" t="n">
        <v>12</v>
      </c>
      <c r="P109" s="13" t="n">
        <v>8559</v>
      </c>
      <c r="Q109" s="13" t="n">
        <v>9292.799999999999</v>
      </c>
      <c r="R109" s="14">
        <f>IFERROR(P109/Q109,"")</f>
        <v/>
      </c>
      <c r="S109" s="15" t="n">
        <v>0.9740000000000001</v>
      </c>
      <c r="T109" s="9">
        <f>IF(R109&gt;1,"A corregir","Válida")</f>
        <v/>
      </c>
      <c r="U109" s="13">
        <f>Q109-P109</f>
        <v/>
      </c>
      <c r="V109" s="13">
        <f>IF(S109="",0,S109*Q109)</f>
        <v/>
      </c>
      <c r="W109" s="9" t="n">
        <v>2026</v>
      </c>
      <c r="X109" s="9" t="n">
        <v>6</v>
      </c>
      <c r="Y109" s="9" t="inlineStr">
        <is>
          <t>2026-S06</t>
        </is>
      </c>
    </row>
    <row r="110">
      <c r="A110" s="9" t="n">
        <v>43046674</v>
      </c>
      <c r="B110" s="11" t="n">
        <v>46055.81858796296</v>
      </c>
      <c r="C110" s="12" t="n">
        <v>46055</v>
      </c>
      <c r="D110" s="9">
        <f>YEAR(C110)</f>
        <v/>
      </c>
      <c r="E110" s="9">
        <f>MONTH(C110)</f>
        <v/>
      </c>
      <c r="F110" s="9" t="inlineStr">
        <is>
          <t>B Hormigón</t>
        </is>
      </c>
      <c r="G110" s="9" t="inlineStr">
        <is>
          <t>B HORMIGON 22MM 10M A630-420H (N)</t>
        </is>
      </c>
      <c r="H110" s="9" t="inlineStr">
        <is>
          <t>B HORMIGON 22MM 10M A630-420H (N)</t>
        </is>
      </c>
      <c r="I110" s="9" t="inlineStr">
        <is>
          <t>RED 22 CR</t>
        </is>
      </c>
      <c r="J110" s="9" t="n">
        <v>110002950</v>
      </c>
      <c r="K110" s="9" t="n">
        <v>22</v>
      </c>
      <c r="L110" s="9" t="n"/>
      <c r="M110" s="9" t="n"/>
      <c r="N110" s="9" t="n"/>
      <c r="O110" s="9" t="n">
        <v>10</v>
      </c>
      <c r="P110" s="13" t="n">
        <v>33638</v>
      </c>
      <c r="Q110" s="13" t="n">
        <v>35904</v>
      </c>
      <c r="R110" s="14">
        <f>IFERROR(P110/Q110,"")</f>
        <v/>
      </c>
      <c r="S110" s="15" t="n">
        <v>0.9740000000000001</v>
      </c>
      <c r="T110" s="9">
        <f>IF(R110&gt;1,"A corregir","Válida")</f>
        <v/>
      </c>
      <c r="U110" s="13">
        <f>Q110-P110</f>
        <v/>
      </c>
      <c r="V110" s="13">
        <f>IF(S110="",0,S110*Q110)</f>
        <v/>
      </c>
      <c r="W110" s="9" t="n">
        <v>2026</v>
      </c>
      <c r="X110" s="9" t="n">
        <v>6</v>
      </c>
      <c r="Y110" s="9" t="inlineStr">
        <is>
          <t>2026-S06</t>
        </is>
      </c>
    </row>
    <row r="111">
      <c r="A111" s="9" t="n">
        <v>43046675</v>
      </c>
      <c r="B111" s="11" t="n">
        <v>46055.8825462963</v>
      </c>
      <c r="C111" s="12" t="n">
        <v>46055</v>
      </c>
      <c r="D111" s="9">
        <f>YEAR(C111)</f>
        <v/>
      </c>
      <c r="E111" s="9">
        <f>MONTH(C111)</f>
        <v/>
      </c>
      <c r="F111" s="9" t="inlineStr">
        <is>
          <t>B Hormigón</t>
        </is>
      </c>
      <c r="G111" s="9" t="inlineStr">
        <is>
          <t>B HORMIGON 22MM 7M A630-420H (N)</t>
        </is>
      </c>
      <c r="H111" s="9" t="inlineStr">
        <is>
          <t>B HORMIGON 22MM 7M A630-420H (N)</t>
        </is>
      </c>
      <c r="I111" s="9" t="inlineStr">
        <is>
          <t>RED 22 CR</t>
        </is>
      </c>
      <c r="J111" s="9" t="n">
        <v>110002946</v>
      </c>
      <c r="K111" s="9" t="n">
        <v>22</v>
      </c>
      <c r="L111" s="9" t="n"/>
      <c r="M111" s="9" t="n"/>
      <c r="N111" s="9" t="n"/>
      <c r="O111" s="9" t="n">
        <v>7</v>
      </c>
      <c r="P111" s="13" t="n">
        <v>99872</v>
      </c>
      <c r="Q111" s="13" t="n">
        <v>105916.8</v>
      </c>
      <c r="R111" s="14">
        <f>IFERROR(P111/Q111,"")</f>
        <v/>
      </c>
      <c r="S111" s="15" t="n">
        <v>0.9740000000000001</v>
      </c>
      <c r="T111" s="9">
        <f>IF(R111&gt;1,"A corregir","Válida")</f>
        <v/>
      </c>
      <c r="U111" s="13">
        <f>Q111-P111</f>
        <v/>
      </c>
      <c r="V111" s="13">
        <f>IF(S111="",0,S111*Q111)</f>
        <v/>
      </c>
      <c r="W111" s="9" t="n">
        <v>2026</v>
      </c>
      <c r="X111" s="9" t="n">
        <v>6</v>
      </c>
      <c r="Y111" s="9" t="inlineStr">
        <is>
          <t>2026-S06</t>
        </is>
      </c>
    </row>
    <row r="112">
      <c r="A112" s="9" t="n">
        <v>43046673</v>
      </c>
      <c r="B112" s="11" t="n">
        <v>46056.06841435185</v>
      </c>
      <c r="C112" s="12" t="n">
        <v>46056</v>
      </c>
      <c r="D112" s="9">
        <f>YEAR(C112)</f>
        <v/>
      </c>
      <c r="E112" s="9">
        <f>MONTH(C112)</f>
        <v/>
      </c>
      <c r="F112" s="9" t="inlineStr">
        <is>
          <t>B Hormigón</t>
        </is>
      </c>
      <c r="G112" s="9" t="inlineStr">
        <is>
          <t>B HORMIGON 22MM 6M A630-420H (N)</t>
        </is>
      </c>
      <c r="H112" s="9" t="inlineStr">
        <is>
          <t>B HORMIGON 22MM 6M A630-420H (N)</t>
        </is>
      </c>
      <c r="I112" s="9" t="inlineStr">
        <is>
          <t>RED 22 CR</t>
        </is>
      </c>
      <c r="J112" s="9" t="n">
        <v>110002953</v>
      </c>
      <c r="K112" s="9" t="n">
        <v>22</v>
      </c>
      <c r="L112" s="9" t="n"/>
      <c r="M112" s="9" t="n"/>
      <c r="N112" s="9" t="n"/>
      <c r="O112" s="9" t="n">
        <v>6</v>
      </c>
      <c r="P112" s="13" t="n">
        <v>57385</v>
      </c>
      <c r="Q112" s="13" t="n">
        <v>60403.2</v>
      </c>
      <c r="R112" s="14">
        <f>IFERROR(P112/Q112,"")</f>
        <v/>
      </c>
      <c r="S112" s="15" t="n">
        <v>0.9740000000000001</v>
      </c>
      <c r="T112" s="9">
        <f>IF(R112&gt;1,"A corregir","Válida")</f>
        <v/>
      </c>
      <c r="U112" s="13">
        <f>Q112-P112</f>
        <v/>
      </c>
      <c r="V112" s="13">
        <f>IF(S112="",0,S112*Q112)</f>
        <v/>
      </c>
      <c r="W112" s="9" t="n">
        <v>2026</v>
      </c>
      <c r="X112" s="9" t="n">
        <v>6</v>
      </c>
      <c r="Y112" s="9" t="inlineStr">
        <is>
          <t>2026-S06</t>
        </is>
      </c>
    </row>
    <row r="113">
      <c r="A113" s="9" t="n">
        <v>43046643</v>
      </c>
      <c r="B113" s="11" t="n">
        <v>46056.25961805556</v>
      </c>
      <c r="C113" s="12" t="n">
        <v>46056</v>
      </c>
      <c r="D113" s="9">
        <f>YEAR(C113)</f>
        <v/>
      </c>
      <c r="E113" s="9">
        <f>MONTH(C113)</f>
        <v/>
      </c>
      <c r="F113" s="9" t="inlineStr">
        <is>
          <t>Plana</t>
        </is>
      </c>
      <c r="G113" s="9" t="inlineStr">
        <is>
          <t>PLANA 50X12MM 6M A270ES</t>
        </is>
      </c>
      <c r="H113" s="9" t="inlineStr">
        <is>
          <t>PLANA 50X12MM 6M A270ES</t>
        </is>
      </c>
      <c r="I113" s="9" t="inlineStr">
        <is>
          <t>Pl 50 x 12</t>
        </is>
      </c>
      <c r="J113" s="9" t="n">
        <v>109014933</v>
      </c>
      <c r="K113" s="9" t="n"/>
      <c r="L113" s="9" t="n">
        <v>50</v>
      </c>
      <c r="M113" s="9" t="n">
        <v>12</v>
      </c>
      <c r="N113" s="9" t="n"/>
      <c r="O113" s="9" t="n">
        <v>6</v>
      </c>
      <c r="P113" s="13" t="n">
        <v>37866</v>
      </c>
      <c r="Q113" s="13" t="n">
        <v>40392</v>
      </c>
      <c r="R113" s="14">
        <f>IFERROR(P113/Q113,"")</f>
        <v/>
      </c>
      <c r="S113" s="15" t="n">
        <v>0.951</v>
      </c>
      <c r="T113" s="9">
        <f>IF(R113&gt;1,"A corregir","Válida")</f>
        <v/>
      </c>
      <c r="U113" s="13">
        <f>Q113-P113</f>
        <v/>
      </c>
      <c r="V113" s="13">
        <f>IF(S113="",0,S113*Q113)</f>
        <v/>
      </c>
      <c r="W113" s="9" t="n">
        <v>2026</v>
      </c>
      <c r="X113" s="9" t="n">
        <v>6</v>
      </c>
      <c r="Y113" s="9" t="inlineStr">
        <is>
          <t>2026-S06</t>
        </is>
      </c>
    </row>
    <row r="114">
      <c r="A114" s="9" t="n">
        <v>43046644</v>
      </c>
      <c r="B114" s="11" t="n">
        <v>46056.37105324074</v>
      </c>
      <c r="C114" s="12" t="n">
        <v>46056</v>
      </c>
      <c r="D114" s="9">
        <f>YEAR(C114)</f>
        <v/>
      </c>
      <c r="E114" s="9">
        <f>MONTH(C114)</f>
        <v/>
      </c>
      <c r="F114" s="9" t="inlineStr">
        <is>
          <t>Plana</t>
        </is>
      </c>
      <c r="G114" s="9" t="inlineStr">
        <is>
          <t>PLANA 50X10MM 6M A270ES (N)</t>
        </is>
      </c>
      <c r="H114" s="9" t="inlineStr">
        <is>
          <t>PLANA 50X10MM 6M A270ES (N)</t>
        </is>
      </c>
      <c r="I114" s="9" t="inlineStr">
        <is>
          <t>PL 50 x 10</t>
        </is>
      </c>
      <c r="J114" s="9" t="n">
        <v>109013905</v>
      </c>
      <c r="K114" s="9" t="n"/>
      <c r="L114" s="9" t="n">
        <v>50</v>
      </c>
      <c r="M114" s="9" t="n">
        <v>10</v>
      </c>
      <c r="N114" s="9" t="n"/>
      <c r="O114" s="9" t="n">
        <v>6</v>
      </c>
      <c r="P114" s="13" t="n">
        <v>92160</v>
      </c>
      <c r="Q114" s="13" t="n">
        <v>97838.39999999999</v>
      </c>
      <c r="R114" s="14">
        <f>IFERROR(P114/Q114,"")</f>
        <v/>
      </c>
      <c r="S114" s="15" t="n">
        <v>0.9540000000000001</v>
      </c>
      <c r="T114" s="9">
        <f>IF(R114&gt;1,"A corregir","Válida")</f>
        <v/>
      </c>
      <c r="U114" s="13">
        <f>Q114-P114</f>
        <v/>
      </c>
      <c r="V114" s="13">
        <f>IF(S114="",0,S114*Q114)</f>
        <v/>
      </c>
      <c r="W114" s="9" t="n">
        <v>2026</v>
      </c>
      <c r="X114" s="9" t="n">
        <v>6</v>
      </c>
      <c r="Y114" s="9" t="inlineStr">
        <is>
          <t>2026-S06</t>
        </is>
      </c>
    </row>
    <row r="115">
      <c r="A115" s="9" t="n">
        <v>43046645</v>
      </c>
      <c r="B115" s="11" t="n">
        <v>46056.60951388889</v>
      </c>
      <c r="C115" s="12" t="n">
        <v>46056</v>
      </c>
      <c r="D115" s="9">
        <f>YEAR(C115)</f>
        <v/>
      </c>
      <c r="E115" s="9">
        <f>MONTH(C115)</f>
        <v/>
      </c>
      <c r="F115" s="9" t="inlineStr">
        <is>
          <t>Plana</t>
        </is>
      </c>
      <c r="G115" s="9" t="inlineStr">
        <is>
          <t>PLANA 63X12MM 6M A270ES</t>
        </is>
      </c>
      <c r="H115" s="9" t="inlineStr">
        <is>
          <t>PLANA 63X12MM 6M A270ES</t>
        </is>
      </c>
      <c r="I115" s="9" t="inlineStr">
        <is>
          <t>PL 63 x 12</t>
        </is>
      </c>
      <c r="J115" s="9" t="n">
        <v>109014932</v>
      </c>
      <c r="K115" s="9" t="n"/>
      <c r="L115" s="9" t="n">
        <v>63</v>
      </c>
      <c r="M115" s="9" t="n">
        <v>12</v>
      </c>
      <c r="N115" s="9" t="n"/>
      <c r="O115" s="9" t="n">
        <v>6</v>
      </c>
      <c r="P115" s="13" t="n">
        <v>49230</v>
      </c>
      <c r="Q115" s="13" t="n">
        <v>53856</v>
      </c>
      <c r="R115" s="14">
        <f>IFERROR(P115/Q115,"")</f>
        <v/>
      </c>
      <c r="S115" s="15" t="n">
        <v>0.948</v>
      </c>
      <c r="T115" s="9">
        <f>IF(R115&gt;1,"A corregir","Válida")</f>
        <v/>
      </c>
      <c r="U115" s="13">
        <f>Q115-P115</f>
        <v/>
      </c>
      <c r="V115" s="13">
        <f>IF(S115="",0,S115*Q115)</f>
        <v/>
      </c>
      <c r="W115" s="9" t="n">
        <v>2026</v>
      </c>
      <c r="X115" s="9" t="n">
        <v>6</v>
      </c>
      <c r="Y115" s="9" t="inlineStr">
        <is>
          <t>2026-S06</t>
        </is>
      </c>
    </row>
    <row r="116">
      <c r="A116" s="9" t="n">
        <v>43046646</v>
      </c>
      <c r="B116" s="11" t="n">
        <v>46056.75319444444</v>
      </c>
      <c r="C116" s="12" t="n">
        <v>46056</v>
      </c>
      <c r="D116" s="9">
        <f>YEAR(C116)</f>
        <v/>
      </c>
      <c r="E116" s="9">
        <f>MONTH(C116)</f>
        <v/>
      </c>
      <c r="F116" s="9" t="inlineStr">
        <is>
          <t>Plana</t>
        </is>
      </c>
      <c r="G116" s="9" t="inlineStr">
        <is>
          <t>PLANA 63X10MM 6M A270 (N)</t>
        </is>
      </c>
      <c r="H116" s="9" t="inlineStr">
        <is>
          <t>PLANA 63X10MM 6M A270 (N)</t>
        </is>
      </c>
      <c r="I116" s="9" t="inlineStr">
        <is>
          <t>PL 63 x 10</t>
        </is>
      </c>
      <c r="J116" s="9" t="n">
        <v>109013910</v>
      </c>
      <c r="K116" s="9" t="n"/>
      <c r="L116" s="9" t="n">
        <v>63</v>
      </c>
      <c r="M116" s="9" t="n">
        <v>10</v>
      </c>
      <c r="N116" s="9" t="n"/>
      <c r="O116" s="9" t="n">
        <v>6</v>
      </c>
      <c r="P116" s="13" t="n">
        <v>49943</v>
      </c>
      <c r="Q116" s="13" t="n">
        <v>53407.2</v>
      </c>
      <c r="R116" s="14">
        <f>IFERROR(P116/Q116,"")</f>
        <v/>
      </c>
      <c r="S116" s="15" t="n">
        <v>0.9520000000000001</v>
      </c>
      <c r="T116" s="9">
        <f>IF(R116&gt;1,"A corregir","Válida")</f>
        <v/>
      </c>
      <c r="U116" s="13">
        <f>Q116-P116</f>
        <v/>
      </c>
      <c r="V116" s="13">
        <f>IF(S116="",0,S116*Q116)</f>
        <v/>
      </c>
      <c r="W116" s="9" t="n">
        <v>2026</v>
      </c>
      <c r="X116" s="9" t="n">
        <v>6</v>
      </c>
      <c r="Y116" s="9" t="inlineStr">
        <is>
          <t>2026-S06</t>
        </is>
      </c>
    </row>
    <row r="117">
      <c r="A117" s="9" t="n">
        <v>43046647</v>
      </c>
      <c r="B117" s="11" t="n">
        <v>46056.90361111111</v>
      </c>
      <c r="C117" s="12" t="n">
        <v>46056</v>
      </c>
      <c r="D117" s="9">
        <f>YEAR(C117)</f>
        <v/>
      </c>
      <c r="E117" s="9">
        <f>MONTH(C117)</f>
        <v/>
      </c>
      <c r="F117" s="9" t="inlineStr">
        <is>
          <t>Plana</t>
        </is>
      </c>
      <c r="G117" s="9" t="inlineStr">
        <is>
          <t>PLANA 63X6MM 6M A270ES (N)</t>
        </is>
      </c>
      <c r="H117" s="9" t="inlineStr">
        <is>
          <t>PLANA 63X6MM 6M A270ES (N)</t>
        </is>
      </c>
      <c r="I117" s="9" t="inlineStr">
        <is>
          <t>PL 63 x 6</t>
        </is>
      </c>
      <c r="J117" s="9" t="n">
        <v>109013906</v>
      </c>
      <c r="K117" s="9" t="n"/>
      <c r="L117" s="9" t="n">
        <v>63</v>
      </c>
      <c r="M117" s="9" t="n">
        <v>6</v>
      </c>
      <c r="N117" s="9" t="n"/>
      <c r="O117" s="9" t="n">
        <v>6</v>
      </c>
      <c r="P117" s="13" t="n">
        <v>39904</v>
      </c>
      <c r="Q117" s="13" t="n">
        <v>42187.2</v>
      </c>
      <c r="R117" s="14">
        <f>IFERROR(P117/Q117,"")</f>
        <v/>
      </c>
      <c r="S117" s="15" t="n">
        <v>0.9570000000000001</v>
      </c>
      <c r="T117" s="9">
        <f>IF(R117&gt;1,"A corregir","Válida")</f>
        <v/>
      </c>
      <c r="U117" s="13">
        <f>Q117-P117</f>
        <v/>
      </c>
      <c r="V117" s="13">
        <f>IF(S117="",0,S117*Q117)</f>
        <v/>
      </c>
      <c r="W117" s="9" t="n">
        <v>2026</v>
      </c>
      <c r="X117" s="9" t="n">
        <v>6</v>
      </c>
      <c r="Y117" s="9" t="inlineStr">
        <is>
          <t>2026-S06</t>
        </is>
      </c>
    </row>
    <row r="118">
      <c r="A118" s="9" t="n">
        <v>43046648</v>
      </c>
      <c r="B118" s="11" t="n">
        <v>46057.0231712963</v>
      </c>
      <c r="C118" s="12" t="n">
        <v>46057</v>
      </c>
      <c r="D118" s="9">
        <f>YEAR(C118)</f>
        <v/>
      </c>
      <c r="E118" s="9">
        <f>MONTH(C118)</f>
        <v/>
      </c>
      <c r="F118" s="9" t="inlineStr">
        <is>
          <t>Plana</t>
        </is>
      </c>
      <c r="G118" s="9" t="inlineStr">
        <is>
          <t>PLANA 63X5MM 6M A270ES (N)</t>
        </is>
      </c>
      <c r="H118" s="9" t="inlineStr">
        <is>
          <t>PLANA 63X5MM 6M A270ES (N)</t>
        </is>
      </c>
      <c r="I118" s="9" t="inlineStr">
        <is>
          <t>PL 63 x 5</t>
        </is>
      </c>
      <c r="J118" s="9" t="n">
        <v>109013899</v>
      </c>
      <c r="K118" s="9" t="n"/>
      <c r="L118" s="9" t="n">
        <v>63</v>
      </c>
      <c r="M118" s="9" t="n">
        <v>5</v>
      </c>
      <c r="N118" s="9" t="n"/>
      <c r="O118" s="9" t="n">
        <v>6</v>
      </c>
      <c r="P118" s="13" t="n">
        <v>142247</v>
      </c>
      <c r="Q118" s="13" t="n">
        <v>151694.4</v>
      </c>
      <c r="R118" s="14">
        <f>IFERROR(P118/Q118,"")</f>
        <v/>
      </c>
      <c r="S118" s="15" t="n">
        <v>0.958</v>
      </c>
      <c r="T118" s="9">
        <f>IF(R118&gt;1,"A corregir","Válida")</f>
        <v/>
      </c>
      <c r="U118" s="13">
        <f>Q118-P118</f>
        <v/>
      </c>
      <c r="V118" s="13">
        <f>IF(S118="",0,S118*Q118)</f>
        <v/>
      </c>
      <c r="W118" s="9" t="n">
        <v>2026</v>
      </c>
      <c r="X118" s="9" t="n">
        <v>6</v>
      </c>
      <c r="Y118" s="9" t="inlineStr">
        <is>
          <t>2026-S06</t>
        </is>
      </c>
    </row>
    <row r="119">
      <c r="A119" s="9" t="n">
        <v>43046725</v>
      </c>
      <c r="B119" s="11" t="n">
        <v>46057.33775462963</v>
      </c>
      <c r="C119" s="12" t="n">
        <v>46057</v>
      </c>
      <c r="D119" s="9">
        <f>YEAR(C119)</f>
        <v/>
      </c>
      <c r="E119" s="9">
        <f>MONTH(C119)</f>
        <v/>
      </c>
      <c r="F119" s="9" t="inlineStr">
        <is>
          <t>Plana</t>
        </is>
      </c>
      <c r="G119" s="9" t="inlineStr">
        <is>
          <t>PLANA 63X5MM 6M A270ES (N)</t>
        </is>
      </c>
      <c r="H119" s="9" t="inlineStr">
        <is>
          <t>PLANA 63X5MM 6M A270ES (N)</t>
        </is>
      </c>
      <c r="I119" s="9" t="inlineStr">
        <is>
          <t>PL 63 x 5</t>
        </is>
      </c>
      <c r="J119" s="9" t="n">
        <v>109013899</v>
      </c>
      <c r="K119" s="9" t="n"/>
      <c r="L119" s="9" t="n">
        <v>63</v>
      </c>
      <c r="M119" s="9" t="n">
        <v>5</v>
      </c>
      <c r="N119" s="9" t="n"/>
      <c r="O119" s="9" t="n">
        <v>6</v>
      </c>
      <c r="P119" s="13" t="n">
        <v>6432</v>
      </c>
      <c r="Q119" s="13" t="n">
        <v>6758.4</v>
      </c>
      <c r="R119" s="14">
        <f>IFERROR(P119/Q119,"")</f>
        <v/>
      </c>
      <c r="S119" s="15" t="n">
        <v>0.958</v>
      </c>
      <c r="T119" s="9">
        <f>IF(R119&gt;1,"A corregir","Válida")</f>
        <v/>
      </c>
      <c r="U119" s="13">
        <f>Q119-P119</f>
        <v/>
      </c>
      <c r="V119" s="13">
        <f>IF(S119="",0,S119*Q119)</f>
        <v/>
      </c>
      <c r="W119" s="9" t="n">
        <v>2026</v>
      </c>
      <c r="X119" s="9" t="n">
        <v>6</v>
      </c>
      <c r="Y119" s="9" t="inlineStr">
        <is>
          <t>2026-S06</t>
        </is>
      </c>
    </row>
    <row r="120">
      <c r="A120" s="9" t="n">
        <v>43046712</v>
      </c>
      <c r="B120" s="11" t="n">
        <v>46057.74087962963</v>
      </c>
      <c r="C120" s="12" t="n">
        <v>46057</v>
      </c>
      <c r="D120" s="9">
        <f>YEAR(C120)</f>
        <v/>
      </c>
      <c r="E120" s="9">
        <f>MONTH(C120)</f>
        <v/>
      </c>
      <c r="F120" s="9" t="inlineStr">
        <is>
          <t>Ángulo</t>
        </is>
      </c>
      <c r="G120" s="9" t="inlineStr">
        <is>
          <t>ANGULO 40X40X5MM A270ES</t>
        </is>
      </c>
      <c r="H120" s="9" t="inlineStr">
        <is>
          <t>ANGULO SEMI 40X40X5MM A270ES</t>
        </is>
      </c>
      <c r="I120" s="9" t="inlineStr">
        <is>
          <t>ANG 40 x 5</t>
        </is>
      </c>
      <c r="J120" s="9" t="n">
        <v>106501035</v>
      </c>
      <c r="K120" s="9" t="n"/>
      <c r="L120" s="9" t="n">
        <v>40</v>
      </c>
      <c r="M120" s="9" t="n">
        <v>5</v>
      </c>
      <c r="N120" s="9" t="n"/>
      <c r="O120" s="9" t="n">
        <v>6</v>
      </c>
      <c r="P120" s="13" t="n">
        <v>89909</v>
      </c>
      <c r="Q120" s="13" t="n">
        <v>96492</v>
      </c>
      <c r="R120" s="14">
        <f>IFERROR(P120/Q120,"")</f>
        <v/>
      </c>
      <c r="S120" s="15" t="n">
        <v>0.9540000000000001</v>
      </c>
      <c r="T120" s="9">
        <f>IF(R120&gt;1,"A corregir","Válida")</f>
        <v/>
      </c>
      <c r="U120" s="13">
        <f>Q120-P120</f>
        <v/>
      </c>
      <c r="V120" s="13">
        <f>IF(S120="",0,S120*Q120)</f>
        <v/>
      </c>
      <c r="W120" s="9" t="n">
        <v>2026</v>
      </c>
      <c r="X120" s="9" t="n">
        <v>6</v>
      </c>
      <c r="Y120" s="9" t="inlineStr">
        <is>
          <t>2026-S06</t>
        </is>
      </c>
    </row>
    <row r="121">
      <c r="A121" s="9" t="n">
        <v>43046713</v>
      </c>
      <c r="B121" s="11" t="n">
        <v>46057.98640046296</v>
      </c>
      <c r="C121" s="12" t="n">
        <v>46057</v>
      </c>
      <c r="D121" s="9">
        <f>YEAR(C121)</f>
        <v/>
      </c>
      <c r="E121" s="9">
        <f>MONTH(C121)</f>
        <v/>
      </c>
      <c r="F121" s="9" t="inlineStr">
        <is>
          <t>Ángulo</t>
        </is>
      </c>
      <c r="G121" s="9" t="inlineStr">
        <is>
          <t>ANGULO 40X40X4MM A270ES</t>
        </is>
      </c>
      <c r="H121" s="9" t="inlineStr">
        <is>
          <t>ANGULO SEMI 40X40X4MM A270ES</t>
        </is>
      </c>
      <c r="I121" s="9" t="inlineStr">
        <is>
          <t>ANG 40 x 4</t>
        </is>
      </c>
      <c r="J121" s="9" t="n">
        <v>106501034</v>
      </c>
      <c r="K121" s="9" t="n"/>
      <c r="L121" s="9" t="n">
        <v>40</v>
      </c>
      <c r="M121" s="9" t="n">
        <v>4</v>
      </c>
      <c r="N121" s="9" t="n"/>
      <c r="O121" s="9" t="n">
        <v>6</v>
      </c>
      <c r="P121" s="13" t="n">
        <v>60188</v>
      </c>
      <c r="Q121" s="13" t="n">
        <v>64178.4</v>
      </c>
      <c r="R121" s="14">
        <f>IFERROR(P121/Q121,"")</f>
        <v/>
      </c>
      <c r="S121" s="15" t="n">
        <v>0.953</v>
      </c>
      <c r="T121" s="9">
        <f>IF(R121&gt;1,"A corregir","Válida")</f>
        <v/>
      </c>
      <c r="U121" s="13">
        <f>Q121-P121</f>
        <v/>
      </c>
      <c r="V121" s="13">
        <f>IF(S121="",0,S121*Q121)</f>
        <v/>
      </c>
      <c r="W121" s="9" t="n">
        <v>2026</v>
      </c>
      <c r="X121" s="9" t="n">
        <v>6</v>
      </c>
      <c r="Y121" s="9" t="inlineStr">
        <is>
          <t>2026-S06</t>
        </is>
      </c>
    </row>
    <row r="122">
      <c r="A122" s="9" t="n">
        <v>43046714</v>
      </c>
      <c r="B122" s="11" t="n">
        <v>46058.16170138889</v>
      </c>
      <c r="C122" s="12" t="n">
        <v>46058</v>
      </c>
      <c r="D122" s="9">
        <f>YEAR(C122)</f>
        <v/>
      </c>
      <c r="E122" s="9">
        <f>MONTH(C122)</f>
        <v/>
      </c>
      <c r="F122" s="9" t="inlineStr">
        <is>
          <t>Ángulo</t>
        </is>
      </c>
      <c r="G122" s="9" t="inlineStr">
        <is>
          <t>ANGULO 40X40X3MM A270ES</t>
        </is>
      </c>
      <c r="H122" s="9" t="inlineStr">
        <is>
          <t>ANGULO SEMI 40X40X3MM A270ES</t>
        </is>
      </c>
      <c r="I122" s="9" t="inlineStr">
        <is>
          <t>ANG 40 x 3</t>
        </is>
      </c>
      <c r="J122" s="9" t="n">
        <v>106501033</v>
      </c>
      <c r="K122" s="9" t="n"/>
      <c r="L122" s="9" t="n">
        <v>40</v>
      </c>
      <c r="M122" s="9" t="n">
        <v>3</v>
      </c>
      <c r="N122" s="9" t="n"/>
      <c r="O122" s="9" t="n">
        <v>6</v>
      </c>
      <c r="P122" s="13" t="n">
        <v>145922</v>
      </c>
      <c r="Q122" s="13" t="n">
        <v>155284.8</v>
      </c>
      <c r="R122" s="14">
        <f>IFERROR(P122/Q122,"")</f>
        <v/>
      </c>
      <c r="S122" s="15" t="n">
        <v>0.9570000000000001</v>
      </c>
      <c r="T122" s="9">
        <f>IF(R122&gt;1,"A corregir","Válida")</f>
        <v/>
      </c>
      <c r="U122" s="13">
        <f>Q122-P122</f>
        <v/>
      </c>
      <c r="V122" s="13">
        <f>IF(S122="",0,S122*Q122)</f>
        <v/>
      </c>
      <c r="W122" s="9" t="n">
        <v>2026</v>
      </c>
      <c r="X122" s="9" t="n">
        <v>6</v>
      </c>
      <c r="Y122" s="9" t="inlineStr">
        <is>
          <t>2026-S06</t>
        </is>
      </c>
    </row>
    <row r="123">
      <c r="A123" s="9" t="n">
        <v>43046728</v>
      </c>
      <c r="B123" s="11" t="n">
        <v>46058.54050925926</v>
      </c>
      <c r="C123" s="12" t="n">
        <v>46058</v>
      </c>
      <c r="D123" s="9">
        <f>YEAR(C123)</f>
        <v/>
      </c>
      <c r="E123" s="9">
        <f>MONTH(C123)</f>
        <v/>
      </c>
      <c r="F123" s="9" t="inlineStr">
        <is>
          <t>Ángulo</t>
        </is>
      </c>
      <c r="G123" s="9" t="inlineStr">
        <is>
          <t>ANGULO 40X40X3MM A270ES</t>
        </is>
      </c>
      <c r="H123" s="9" t="inlineStr">
        <is>
          <t>ANGULO SEMI 40X40X3MM A270ES</t>
        </is>
      </c>
      <c r="I123" s="9" t="inlineStr">
        <is>
          <t>ANG 40 x 3</t>
        </is>
      </c>
      <c r="J123" s="9" t="n">
        <v>106501033</v>
      </c>
      <c r="K123" s="9" t="n"/>
      <c r="L123" s="9" t="n">
        <v>40</v>
      </c>
      <c r="M123" s="9" t="n">
        <v>3</v>
      </c>
      <c r="N123" s="9" t="n"/>
      <c r="O123" s="9" t="n">
        <v>6</v>
      </c>
      <c r="P123" s="13" t="n">
        <v>11807</v>
      </c>
      <c r="Q123" s="13" t="n">
        <v>12566.4</v>
      </c>
      <c r="R123" s="14">
        <f>IFERROR(P123/Q123,"")</f>
        <v/>
      </c>
      <c r="S123" s="15" t="n">
        <v>0.9570000000000001</v>
      </c>
      <c r="T123" s="9">
        <f>IF(R123&gt;1,"A corregir","Válida")</f>
        <v/>
      </c>
      <c r="U123" s="13">
        <f>Q123-P123</f>
        <v/>
      </c>
      <c r="V123" s="13">
        <f>IF(S123="",0,S123*Q123)</f>
        <v/>
      </c>
      <c r="W123" s="9" t="n">
        <v>2026</v>
      </c>
      <c r="X123" s="9" t="n">
        <v>6</v>
      </c>
      <c r="Y123" s="9" t="inlineStr">
        <is>
          <t>2026-S06</t>
        </is>
      </c>
    </row>
    <row r="124">
      <c r="A124" s="9" t="n">
        <v>43046740</v>
      </c>
      <c r="B124" s="11" t="n">
        <v>46058.63900462963</v>
      </c>
      <c r="C124" s="12" t="n">
        <v>46058</v>
      </c>
      <c r="D124" s="9">
        <f>YEAR(C124)</f>
        <v/>
      </c>
      <c r="E124" s="9">
        <f>MONTH(C124)</f>
        <v/>
      </c>
      <c r="F124" s="9" t="inlineStr">
        <is>
          <t>B Hormigón</t>
        </is>
      </c>
      <c r="G124" s="9" t="inlineStr">
        <is>
          <t>B HORMIGON 25MM 11M A630-420H (N)</t>
        </is>
      </c>
      <c r="H124" s="9" t="inlineStr">
        <is>
          <t>B HORMIGON 25MM 11M A630-420H (N)</t>
        </is>
      </c>
      <c r="I124" s="9" t="inlineStr">
        <is>
          <t>RED 25 CR</t>
        </is>
      </c>
      <c r="J124" s="9" t="n">
        <v>110002947</v>
      </c>
      <c r="K124" s="9" t="n">
        <v>25</v>
      </c>
      <c r="L124" s="9" t="n"/>
      <c r="M124" s="9" t="n"/>
      <c r="N124" s="9" t="n"/>
      <c r="O124" s="9" t="n">
        <v>11</v>
      </c>
      <c r="P124" s="13" t="n">
        <v>127587</v>
      </c>
      <c r="Q124" s="13" t="n">
        <v>133729.2</v>
      </c>
      <c r="R124" s="14">
        <f>IFERROR(P124/Q124,"")</f>
        <v/>
      </c>
      <c r="S124" s="15" t="n">
        <v>0.95</v>
      </c>
      <c r="T124" s="9">
        <f>IF(R124&gt;1,"A corregir","Válida")</f>
        <v/>
      </c>
      <c r="U124" s="13">
        <f>Q124-P124</f>
        <v/>
      </c>
      <c r="V124" s="13">
        <f>IF(S124="",0,S124*Q124)</f>
        <v/>
      </c>
      <c r="W124" s="9" t="n">
        <v>2026</v>
      </c>
      <c r="X124" s="9" t="n">
        <v>6</v>
      </c>
      <c r="Y124" s="9" t="inlineStr">
        <is>
          <t>2026-S06</t>
        </is>
      </c>
    </row>
    <row r="125">
      <c r="A125" s="9" t="n">
        <v>43046741</v>
      </c>
      <c r="B125" s="11" t="n">
        <v>46058.96666666667</v>
      </c>
      <c r="C125" s="12" t="n">
        <v>46058</v>
      </c>
      <c r="D125" s="9">
        <f>YEAR(C125)</f>
        <v/>
      </c>
      <c r="E125" s="9">
        <f>MONTH(C125)</f>
        <v/>
      </c>
      <c r="F125" s="9" t="inlineStr">
        <is>
          <t>B Hormigón</t>
        </is>
      </c>
      <c r="G125" s="9" t="inlineStr">
        <is>
          <t>B HORMIGON 25MM 7M A630-420H (N)</t>
        </is>
      </c>
      <c r="H125" s="9" t="inlineStr">
        <is>
          <t>B HORMIGON 25MM 7M A630-420H (N)</t>
        </is>
      </c>
      <c r="I125" s="9" t="inlineStr">
        <is>
          <t>RED 25 CR</t>
        </is>
      </c>
      <c r="J125" s="9" t="n">
        <v>110002927</v>
      </c>
      <c r="K125" s="9" t="n">
        <v>25</v>
      </c>
      <c r="L125" s="9" t="n"/>
      <c r="M125" s="9" t="n"/>
      <c r="N125" s="9" t="n"/>
      <c r="O125" s="9" t="n">
        <v>7</v>
      </c>
      <c r="P125" s="13" t="n">
        <v>102039</v>
      </c>
      <c r="Q125" s="13" t="n">
        <v>108609.6</v>
      </c>
      <c r="R125" s="14">
        <f>IFERROR(P125/Q125,"")</f>
        <v/>
      </c>
      <c r="S125" s="15" t="n">
        <v>0.95</v>
      </c>
      <c r="T125" s="9">
        <f>IF(R125&gt;1,"A corregir","Válida")</f>
        <v/>
      </c>
      <c r="U125" s="13">
        <f>Q125-P125</f>
        <v/>
      </c>
      <c r="V125" s="13">
        <f>IF(S125="",0,S125*Q125)</f>
        <v/>
      </c>
      <c r="W125" s="9" t="n">
        <v>2026</v>
      </c>
      <c r="X125" s="9" t="n">
        <v>6</v>
      </c>
      <c r="Y125" s="9" t="inlineStr">
        <is>
          <t>2026-S06</t>
        </is>
      </c>
    </row>
    <row r="126">
      <c r="A126" s="9" t="n">
        <v>43046742</v>
      </c>
      <c r="B126" s="11" t="n">
        <v>46059.16784722222</v>
      </c>
      <c r="C126" s="12" t="n">
        <v>46059</v>
      </c>
      <c r="D126" s="9">
        <f>YEAR(C126)</f>
        <v/>
      </c>
      <c r="E126" s="9">
        <f>MONTH(C126)</f>
        <v/>
      </c>
      <c r="F126" s="9" t="inlineStr">
        <is>
          <t>B Hormigón</t>
        </is>
      </c>
      <c r="G126" s="9" t="inlineStr">
        <is>
          <t>B HORMIGON 25MM 6M A630-420H (N)</t>
        </is>
      </c>
      <c r="H126" s="9" t="inlineStr">
        <is>
          <t>B HORMIGON 25MM 6M A630-420H (N)</t>
        </is>
      </c>
      <c r="I126" s="9" t="inlineStr">
        <is>
          <t>RED 25 CR</t>
        </is>
      </c>
      <c r="J126" s="9" t="n">
        <v>110002923</v>
      </c>
      <c r="K126" s="9" t="n">
        <v>25</v>
      </c>
      <c r="L126" s="9" t="n"/>
      <c r="M126" s="9" t="n"/>
      <c r="N126" s="9" t="n"/>
      <c r="O126" s="9" t="n">
        <v>6</v>
      </c>
      <c r="P126" s="13" t="n">
        <v>104598</v>
      </c>
      <c r="Q126" s="13" t="n">
        <v>110206.8</v>
      </c>
      <c r="R126" s="14">
        <f>IFERROR(P126/Q126,"")</f>
        <v/>
      </c>
      <c r="S126" s="15" t="n">
        <v>0.95</v>
      </c>
      <c r="T126" s="9">
        <f>IF(R126&gt;1,"A corregir","Válida")</f>
        <v/>
      </c>
      <c r="U126" s="13">
        <f>Q126-P126</f>
        <v/>
      </c>
      <c r="V126" s="13">
        <f>IF(S126="",0,S126*Q126)</f>
        <v/>
      </c>
      <c r="W126" s="9" t="n">
        <v>2026</v>
      </c>
      <c r="X126" s="9" t="n">
        <v>6</v>
      </c>
      <c r="Y126" s="9" t="inlineStr">
        <is>
          <t>2026-S06</t>
        </is>
      </c>
    </row>
    <row r="127">
      <c r="A127" s="9" t="n">
        <v>43046746</v>
      </c>
      <c r="B127" s="11" t="n">
        <v>46059.4819212963</v>
      </c>
      <c r="C127" s="12" t="n">
        <v>46059</v>
      </c>
      <c r="D127" s="9">
        <f>YEAR(C127)</f>
        <v/>
      </c>
      <c r="E127" s="9">
        <f>MONTH(C127)</f>
        <v/>
      </c>
      <c r="F127" s="9" t="inlineStr">
        <is>
          <t>Plana</t>
        </is>
      </c>
      <c r="G127" s="9" t="inlineStr">
        <is>
          <t>PLANA 38X10MM 6M A270ES (N)</t>
        </is>
      </c>
      <c r="H127" s="9" t="inlineStr">
        <is>
          <t>PLANA 38X10MM 6M A270ES (N)</t>
        </is>
      </c>
      <c r="I127" s="9" t="inlineStr">
        <is>
          <t>PL 38 x 10</t>
        </is>
      </c>
      <c r="J127" s="9" t="n">
        <v>109013898</v>
      </c>
      <c r="K127" s="9" t="n"/>
      <c r="L127" s="9" t="n">
        <v>38</v>
      </c>
      <c r="M127" s="9" t="n">
        <v>10</v>
      </c>
      <c r="N127" s="9" t="n"/>
      <c r="O127" s="9" t="n">
        <v>6</v>
      </c>
      <c r="P127" s="13" t="n">
        <v>45411</v>
      </c>
      <c r="Q127" s="13" t="n">
        <v>48470.4</v>
      </c>
      <c r="R127" s="14">
        <f>IFERROR(P127/Q127,"")</f>
        <v/>
      </c>
      <c r="S127" s="15" t="n">
        <v>0.958</v>
      </c>
      <c r="T127" s="9">
        <f>IF(R127&gt;1,"A corregir","Válida")</f>
        <v/>
      </c>
      <c r="U127" s="13">
        <f>Q127-P127</f>
        <v/>
      </c>
      <c r="V127" s="13">
        <f>IF(S127="",0,S127*Q127)</f>
        <v/>
      </c>
      <c r="W127" s="9" t="n">
        <v>2026</v>
      </c>
      <c r="X127" s="9" t="n">
        <v>6</v>
      </c>
      <c r="Y127" s="9" t="inlineStr">
        <is>
          <t>2026-S06</t>
        </is>
      </c>
    </row>
    <row r="128">
      <c r="A128" s="9" t="n">
        <v>43046748</v>
      </c>
      <c r="B128" s="11" t="n">
        <v>46059.65015046296</v>
      </c>
      <c r="C128" s="12" t="n">
        <v>46059</v>
      </c>
      <c r="D128" s="9">
        <f>YEAR(C128)</f>
        <v/>
      </c>
      <c r="E128" s="9">
        <f>MONTH(C128)</f>
        <v/>
      </c>
      <c r="F128" s="9" t="inlineStr">
        <is>
          <t>Plana</t>
        </is>
      </c>
      <c r="G128" s="9" t="inlineStr">
        <is>
          <t>PLANA 38X8MM 6M A270ES (N)</t>
        </is>
      </c>
      <c r="H128" s="9" t="inlineStr">
        <is>
          <t>PLANA 38X8MM 6M A270ES (N)</t>
        </is>
      </c>
      <c r="I128" s="9" t="inlineStr">
        <is>
          <t>PL 38 x 8</t>
        </is>
      </c>
      <c r="J128" s="9" t="n">
        <v>109013912</v>
      </c>
      <c r="K128" s="9" t="n"/>
      <c r="L128" s="9" t="n">
        <v>38</v>
      </c>
      <c r="M128" s="9" t="n">
        <v>8</v>
      </c>
      <c r="N128" s="9" t="n"/>
      <c r="O128" s="9" t="n">
        <v>6</v>
      </c>
      <c r="P128" s="13" t="n">
        <v>45506</v>
      </c>
      <c r="Q128" s="13" t="n">
        <v>47572.8</v>
      </c>
      <c r="R128" s="14">
        <f>IFERROR(P128/Q128,"")</f>
        <v/>
      </c>
      <c r="S128" s="15" t="n">
        <v>0.96</v>
      </c>
      <c r="T128" s="9">
        <f>IF(R128&gt;1,"A corregir","Válida")</f>
        <v/>
      </c>
      <c r="U128" s="13">
        <f>Q128-P128</f>
        <v/>
      </c>
      <c r="V128" s="13">
        <f>IF(S128="",0,S128*Q128)</f>
        <v/>
      </c>
      <c r="W128" s="9" t="n">
        <v>2026</v>
      </c>
      <c r="X128" s="9" t="n">
        <v>6</v>
      </c>
      <c r="Y128" s="9" t="inlineStr">
        <is>
          <t>2026-S06</t>
        </is>
      </c>
    </row>
    <row r="129">
      <c r="A129" s="9" t="n">
        <v>43046788</v>
      </c>
      <c r="B129" s="11" t="n">
        <v>46059.79563657408</v>
      </c>
      <c r="C129" s="12" t="n">
        <v>46059</v>
      </c>
      <c r="D129" s="9">
        <f>YEAR(C129)</f>
        <v/>
      </c>
      <c r="E129" s="9">
        <f>MONTH(C129)</f>
        <v/>
      </c>
      <c r="F129" s="9" t="inlineStr">
        <is>
          <t>Plana</t>
        </is>
      </c>
      <c r="G129" s="9" t="inlineStr">
        <is>
          <t>PLANA 50X3 MM 6M A270ES (N)</t>
        </is>
      </c>
      <c r="H129" s="9" t="inlineStr">
        <is>
          <t>PLANA 50X3 MM 6M A270ES (N)</t>
        </is>
      </c>
      <c r="I129" s="9" t="inlineStr">
        <is>
          <t>PL 50 x 3</t>
        </is>
      </c>
      <c r="J129" s="9" t="n">
        <v>109013903</v>
      </c>
      <c r="K129" s="9" t="n"/>
      <c r="L129" s="9" t="n">
        <v>50</v>
      </c>
      <c r="M129" s="9" t="n">
        <v>3</v>
      </c>
      <c r="N129" s="9" t="n"/>
      <c r="O129" s="9" t="n">
        <v>6</v>
      </c>
      <c r="P129" s="13" t="n">
        <v>74933</v>
      </c>
      <c r="Q129" s="13" t="n">
        <v>80784</v>
      </c>
      <c r="R129" s="14">
        <f>IFERROR(P129/Q129,"")</f>
        <v/>
      </c>
      <c r="S129" s="15" t="n">
        <v>0.963</v>
      </c>
      <c r="T129" s="9">
        <f>IF(R129&gt;1,"A corregir","Válida")</f>
        <v/>
      </c>
      <c r="U129" s="13">
        <f>Q129-P129</f>
        <v/>
      </c>
      <c r="V129" s="13">
        <f>IF(S129="",0,S129*Q129)</f>
        <v/>
      </c>
      <c r="W129" s="9" t="n">
        <v>2026</v>
      </c>
      <c r="X129" s="9" t="n">
        <v>6</v>
      </c>
      <c r="Y129" s="9" t="inlineStr">
        <is>
          <t>2026-S06</t>
        </is>
      </c>
    </row>
    <row r="130">
      <c r="A130" s="9" t="n">
        <v>43046820</v>
      </c>
      <c r="B130" s="11" t="n">
        <v>46060.05578703704</v>
      </c>
      <c r="C130" s="12" t="n">
        <v>46060</v>
      </c>
      <c r="D130" s="9">
        <f>YEAR(C130)</f>
        <v/>
      </c>
      <c r="E130" s="9">
        <f>MONTH(C130)</f>
        <v/>
      </c>
      <c r="F130" s="9" t="inlineStr">
        <is>
          <t>Plana</t>
        </is>
      </c>
      <c r="G130" s="9" t="inlineStr">
        <is>
          <t>PLANA 50X3 MM 6M A270ES (N)</t>
        </is>
      </c>
      <c r="H130" s="9" t="inlineStr">
        <is>
          <t>PLANA 50X3 MM 6M A270ES (N)</t>
        </is>
      </c>
      <c r="I130" s="9" t="inlineStr">
        <is>
          <t>PL 50 x 3</t>
        </is>
      </c>
      <c r="J130" s="9" t="n">
        <v>109013903</v>
      </c>
      <c r="K130" s="9" t="n"/>
      <c r="L130" s="9" t="n">
        <v>50</v>
      </c>
      <c r="M130" s="9" t="n">
        <v>3</v>
      </c>
      <c r="N130" s="9" t="n"/>
      <c r="O130" s="9" t="n">
        <v>6</v>
      </c>
      <c r="P130" s="13" t="n">
        <v>59887</v>
      </c>
      <c r="Q130" s="13" t="n">
        <v>65049.6</v>
      </c>
      <c r="R130" s="14">
        <f>IFERROR(P130/Q130,"")</f>
        <v/>
      </c>
      <c r="S130" s="15" t="n">
        <v>0.963</v>
      </c>
      <c r="T130" s="9">
        <f>IF(R130&gt;1,"A corregir","Válida")</f>
        <v/>
      </c>
      <c r="U130" s="13">
        <f>Q130-P130</f>
        <v/>
      </c>
      <c r="V130" s="13">
        <f>IF(S130="",0,S130*Q130)</f>
        <v/>
      </c>
      <c r="W130" s="9" t="n">
        <v>2026</v>
      </c>
      <c r="X130" s="9" t="n">
        <v>6</v>
      </c>
      <c r="Y130" s="9" t="inlineStr">
        <is>
          <t>2026-S06</t>
        </is>
      </c>
    </row>
    <row r="131">
      <c r="A131" s="9" t="n">
        <v>43046819</v>
      </c>
      <c r="B131" s="11" t="n">
        <v>46060.30172453704</v>
      </c>
      <c r="C131" s="12" t="n">
        <v>46060</v>
      </c>
      <c r="D131" s="9">
        <f>YEAR(C131)</f>
        <v/>
      </c>
      <c r="E131" s="9">
        <f>MONTH(C131)</f>
        <v/>
      </c>
      <c r="F131" s="9" t="inlineStr">
        <is>
          <t>Cuadrado</t>
        </is>
      </c>
      <c r="G131" s="9" t="inlineStr">
        <is>
          <t>CUADRADO 16MM 6M COMERCIAL (N)</t>
        </is>
      </c>
      <c r="H131" s="9" t="inlineStr">
        <is>
          <t>CUADRADO 16MM 6M COMERCIAL (N)</t>
        </is>
      </c>
      <c r="I131" s="9" t="inlineStr">
        <is>
          <t>CUAD 16</t>
        </is>
      </c>
      <c r="J131" s="9" t="n">
        <v>109007062</v>
      </c>
      <c r="K131" s="9" t="n"/>
      <c r="L131" s="9" t="n"/>
      <c r="M131" s="9" t="n"/>
      <c r="N131" s="9" t="n">
        <v>16</v>
      </c>
      <c r="O131" s="9" t="n">
        <v>6</v>
      </c>
      <c r="P131" s="13" t="n">
        <v>30824</v>
      </c>
      <c r="Q131" s="13" t="n">
        <v>33792</v>
      </c>
      <c r="R131" s="14">
        <f>IFERROR(P131/Q131,"")</f>
        <v/>
      </c>
      <c r="S131" s="15" t="n">
        <v>0.955</v>
      </c>
      <c r="T131" s="9">
        <f>IF(R131&gt;1,"A corregir","Válida")</f>
        <v/>
      </c>
      <c r="U131" s="13">
        <f>Q131-P131</f>
        <v/>
      </c>
      <c r="V131" s="13">
        <f>IF(S131="",0,S131*Q131)</f>
        <v/>
      </c>
      <c r="W131" s="9" t="n">
        <v>2026</v>
      </c>
      <c r="X131" s="9" t="n">
        <v>6</v>
      </c>
      <c r="Y131" s="9" t="inlineStr">
        <is>
          <t>2026-S06</t>
        </is>
      </c>
    </row>
    <row r="132">
      <c r="A132" s="9" t="n">
        <v>43046751</v>
      </c>
      <c r="B132" s="11" t="n">
        <v>46060.41378472222</v>
      </c>
      <c r="C132" s="12" t="n">
        <v>46060</v>
      </c>
      <c r="D132" s="9">
        <f>YEAR(C132)</f>
        <v/>
      </c>
      <c r="E132" s="9">
        <f>MONTH(C132)</f>
        <v/>
      </c>
      <c r="F132" s="9" t="inlineStr">
        <is>
          <t>Saferock</t>
        </is>
      </c>
      <c r="G132" s="9" t="inlineStr">
        <is>
          <t>SAFEROCK 22MM 10,5M A280D</t>
        </is>
      </c>
      <c r="H132" s="9" t="inlineStr">
        <is>
          <t>SAFEROCK SEMI 22MM 10,5M A280D</t>
        </is>
      </c>
      <c r="I132" s="9" t="inlineStr">
        <is>
          <t>SFRCK 22</t>
        </is>
      </c>
      <c r="J132" s="9" t="n">
        <v>119506836</v>
      </c>
      <c r="K132" s="9" t="n">
        <v>22</v>
      </c>
      <c r="L132" s="9" t="n"/>
      <c r="M132" s="9" t="n"/>
      <c r="N132" s="9" t="n"/>
      <c r="O132" s="9" t="n">
        <v>10.5</v>
      </c>
      <c r="P132" s="13" t="n">
        <v>104035</v>
      </c>
      <c r="Q132" s="13" t="n">
        <v>116688</v>
      </c>
      <c r="R132" s="14">
        <f>IFERROR(P132/Q132,"")</f>
        <v/>
      </c>
      <c r="S132" s="15" t="n">
        <v>0.97</v>
      </c>
      <c r="T132" s="9">
        <f>IF(R132&gt;1,"A corregir","Válida")</f>
        <v/>
      </c>
      <c r="U132" s="13">
        <f>Q132-P132</f>
        <v/>
      </c>
      <c r="V132" s="13">
        <f>IF(S132="",0,S132*Q132)</f>
        <v/>
      </c>
      <c r="W132" s="9" t="n">
        <v>2026</v>
      </c>
      <c r="X132" s="9" t="n">
        <v>6</v>
      </c>
      <c r="Y132" s="9" t="inlineStr">
        <is>
          <t>2026-S06</t>
        </is>
      </c>
    </row>
    <row r="133">
      <c r="A133" s="9" t="n">
        <v>43046752</v>
      </c>
      <c r="B133" s="11" t="n">
        <v>46062.11700231482</v>
      </c>
      <c r="C133" s="12" t="n">
        <v>46062</v>
      </c>
      <c r="D133" s="9">
        <f>YEAR(C133)</f>
        <v/>
      </c>
      <c r="E133" s="9">
        <f>MONTH(C133)</f>
        <v/>
      </c>
      <c r="F133" s="9" t="inlineStr">
        <is>
          <t>Saferock</t>
        </is>
      </c>
      <c r="G133" s="9" t="inlineStr">
        <is>
          <t>SAFEROCK 22MM 12M A280D</t>
        </is>
      </c>
      <c r="H133" s="9" t="inlineStr">
        <is>
          <t>SAFEROCK SEMI 22MM 12M A280D</t>
        </is>
      </c>
      <c r="I133" s="9" t="inlineStr">
        <is>
          <t>SFRCK 22</t>
        </is>
      </c>
      <c r="J133" s="9" t="n">
        <v>119506901</v>
      </c>
      <c r="K133" s="9" t="n">
        <v>22</v>
      </c>
      <c r="L133" s="9" t="n"/>
      <c r="M133" s="9" t="n"/>
      <c r="N133" s="9" t="n"/>
      <c r="O133" s="9" t="n">
        <v>12</v>
      </c>
      <c r="P133" s="13" t="n">
        <v>63041</v>
      </c>
      <c r="Q133" s="13" t="n">
        <v>66871.2</v>
      </c>
      <c r="R133" s="14">
        <f>IFERROR(P133/Q133,"")</f>
        <v/>
      </c>
      <c r="S133" s="15" t="n">
        <v>0.97</v>
      </c>
      <c r="T133" s="9">
        <f>IF(R133&gt;1,"A corregir","Válida")</f>
        <v/>
      </c>
      <c r="U133" s="13">
        <f>Q133-P133</f>
        <v/>
      </c>
      <c r="V133" s="13">
        <f>IF(S133="",0,S133*Q133)</f>
        <v/>
      </c>
      <c r="W133" s="9" t="n">
        <v>2026</v>
      </c>
      <c r="X133" s="9" t="n">
        <v>7</v>
      </c>
      <c r="Y133" s="9" t="inlineStr">
        <is>
          <t>2026-S07</t>
        </is>
      </c>
    </row>
    <row r="134">
      <c r="A134" s="9" t="n">
        <v>43046753</v>
      </c>
      <c r="B134" s="11" t="n">
        <v>46062.32561342593</v>
      </c>
      <c r="C134" s="12" t="n">
        <v>46062</v>
      </c>
      <c r="D134" s="9">
        <f>YEAR(C134)</f>
        <v/>
      </c>
      <c r="E134" s="9">
        <f>MONTH(C134)</f>
        <v/>
      </c>
      <c r="F134" s="9" t="inlineStr">
        <is>
          <t>Saferock</t>
        </is>
      </c>
      <c r="G134" s="9" t="inlineStr">
        <is>
          <t>SAFEROCK 22MM 12M A280</t>
        </is>
      </c>
      <c r="H134" s="9" t="inlineStr">
        <is>
          <t>SAFEROCK 22MM 12M A280</t>
        </is>
      </c>
      <c r="I134" s="9" t="inlineStr">
        <is>
          <t>SFRCK 22</t>
        </is>
      </c>
      <c r="J134" s="9" t="n">
        <v>106025569</v>
      </c>
      <c r="K134" s="9" t="n">
        <v>22</v>
      </c>
      <c r="L134" s="9" t="n"/>
      <c r="M134" s="9" t="n"/>
      <c r="N134" s="9" t="n"/>
      <c r="O134" s="9" t="n">
        <v>12</v>
      </c>
      <c r="P134" s="13" t="n">
        <v>61787</v>
      </c>
      <c r="Q134" s="13" t="n">
        <v>65894.39999999999</v>
      </c>
      <c r="R134" s="14">
        <f>IFERROR(P134/Q134,"")</f>
        <v/>
      </c>
      <c r="S134" s="15" t="n">
        <v>0.9590000000000001</v>
      </c>
      <c r="T134" s="9">
        <f>IF(R134&gt;1,"A corregir","Válida")</f>
        <v/>
      </c>
      <c r="U134" s="13">
        <f>Q134-P134</f>
        <v/>
      </c>
      <c r="V134" s="13">
        <f>IF(S134="",0,S134*Q134)</f>
        <v/>
      </c>
      <c r="W134" s="9" t="n">
        <v>2026</v>
      </c>
      <c r="X134" s="9" t="n">
        <v>7</v>
      </c>
      <c r="Y134" s="9" t="inlineStr">
        <is>
          <t>2026-S07</t>
        </is>
      </c>
    </row>
    <row r="135">
      <c r="A135" s="9" t="n">
        <v>43046809</v>
      </c>
      <c r="B135" s="11" t="n">
        <v>46062.46717592593</v>
      </c>
      <c r="C135" s="12" t="n">
        <v>46062</v>
      </c>
      <c r="D135" s="9">
        <f>YEAR(C135)</f>
        <v/>
      </c>
      <c r="E135" s="9">
        <f>MONTH(C135)</f>
        <v/>
      </c>
      <c r="F135" s="9" t="inlineStr">
        <is>
          <t>Saferock</t>
        </is>
      </c>
      <c r="G135" s="9" t="inlineStr">
        <is>
          <t>SAFEROCK 22MM 12M A280</t>
        </is>
      </c>
      <c r="H135" s="9" t="inlineStr">
        <is>
          <t>SAFEROCK SEMI 22MM 12M A280</t>
        </is>
      </c>
      <c r="I135" s="9" t="inlineStr">
        <is>
          <t>SFRCK 22</t>
        </is>
      </c>
      <c r="J135" s="9" t="n">
        <v>106025569</v>
      </c>
      <c r="K135" s="9" t="n">
        <v>22</v>
      </c>
      <c r="L135" s="9" t="n"/>
      <c r="M135" s="9" t="n"/>
      <c r="N135" s="9" t="n"/>
      <c r="O135" s="9" t="n">
        <v>12</v>
      </c>
      <c r="P135" s="13" t="n">
        <v>138716</v>
      </c>
      <c r="Q135" s="13" t="n">
        <v>147417.6</v>
      </c>
      <c r="R135" s="14">
        <f>IFERROR(P135/Q135,"")</f>
        <v/>
      </c>
      <c r="S135" s="15" t="n">
        <v>0.9590000000000001</v>
      </c>
      <c r="T135" s="9">
        <f>IF(R135&gt;1,"A corregir","Válida")</f>
        <v/>
      </c>
      <c r="U135" s="13">
        <f>Q135-P135</f>
        <v/>
      </c>
      <c r="V135" s="13">
        <f>IF(S135="",0,S135*Q135)</f>
        <v/>
      </c>
      <c r="W135" s="9" t="n">
        <v>2026</v>
      </c>
      <c r="X135" s="9" t="n">
        <v>7</v>
      </c>
      <c r="Y135" s="9" t="inlineStr">
        <is>
          <t>2026-S07</t>
        </is>
      </c>
    </row>
    <row r="136">
      <c r="A136" s="9" t="n">
        <v>43046810</v>
      </c>
      <c r="B136" s="11" t="n">
        <v>46062.75842592592</v>
      </c>
      <c r="C136" s="12" t="n">
        <v>46062</v>
      </c>
      <c r="D136" s="9">
        <f>YEAR(C136)</f>
        <v/>
      </c>
      <c r="E136" s="9">
        <f>MONTH(C136)</f>
        <v/>
      </c>
      <c r="F136" s="9" t="inlineStr">
        <is>
          <t>Saferock</t>
        </is>
      </c>
      <c r="G136" s="9" t="inlineStr">
        <is>
          <t>SAFEROCK 22MM 10,5M A280</t>
        </is>
      </c>
      <c r="H136" s="9" t="inlineStr">
        <is>
          <t>SAFEROCK SEMI 22MM 10,5M A280</t>
        </is>
      </c>
      <c r="I136" s="9" t="inlineStr">
        <is>
          <t>SFRCK 22</t>
        </is>
      </c>
      <c r="J136" s="9" t="n">
        <v>106501802</v>
      </c>
      <c r="K136" s="9" t="n">
        <v>22</v>
      </c>
      <c r="L136" s="9" t="n"/>
      <c r="M136" s="9" t="n"/>
      <c r="N136" s="9" t="n"/>
      <c r="O136" s="9" t="n">
        <v>10.5</v>
      </c>
      <c r="P136" s="13" t="n">
        <v>48459</v>
      </c>
      <c r="Q136" s="13" t="n">
        <v>51110.4</v>
      </c>
      <c r="R136" s="14">
        <f>IFERROR(P136/Q136,"")</f>
        <v/>
      </c>
      <c r="S136" s="15" t="n">
        <v>0.958</v>
      </c>
      <c r="T136" s="9">
        <f>IF(R136&gt;1,"A corregir","Válida")</f>
        <v/>
      </c>
      <c r="U136" s="13">
        <f>Q136-P136</f>
        <v/>
      </c>
      <c r="V136" s="13">
        <f>IF(S136="",0,S136*Q136)</f>
        <v/>
      </c>
      <c r="W136" s="9" t="n">
        <v>2026</v>
      </c>
      <c r="X136" s="9" t="n">
        <v>7</v>
      </c>
      <c r="Y136" s="9" t="inlineStr">
        <is>
          <t>2026-S07</t>
        </is>
      </c>
    </row>
    <row r="137">
      <c r="A137" s="9" t="n">
        <v>43046811</v>
      </c>
      <c r="B137" s="11" t="n">
        <v>46063.04896990741</v>
      </c>
      <c r="C137" s="12" t="n">
        <v>46063</v>
      </c>
      <c r="D137" s="9">
        <f>YEAR(C137)</f>
        <v/>
      </c>
      <c r="E137" s="9">
        <f>MONTH(C137)</f>
        <v/>
      </c>
      <c r="F137" s="9" t="inlineStr">
        <is>
          <t>Saferock</t>
        </is>
      </c>
      <c r="G137" s="9" t="inlineStr">
        <is>
          <t>SAFEROCK 22MM 10M A280</t>
        </is>
      </c>
      <c r="H137" s="9" t="inlineStr">
        <is>
          <t>SAFEROCK SEMI 22MM 10M A280</t>
        </is>
      </c>
      <c r="I137" s="9" t="inlineStr">
        <is>
          <t>SFRCK 22</t>
        </is>
      </c>
      <c r="J137" s="9" t="n">
        <v>106043322</v>
      </c>
      <c r="K137" s="9" t="n">
        <v>22</v>
      </c>
      <c r="L137" s="9" t="n"/>
      <c r="M137" s="9" t="n"/>
      <c r="N137" s="9" t="n"/>
      <c r="O137" s="9" t="n">
        <v>10</v>
      </c>
      <c r="P137" s="13" t="n">
        <v>108935</v>
      </c>
      <c r="Q137" s="13" t="n">
        <v>117136.8</v>
      </c>
      <c r="R137" s="14">
        <f>IFERROR(P137/Q137,"")</f>
        <v/>
      </c>
      <c r="S137" s="15" t="n">
        <v>0.953</v>
      </c>
      <c r="T137" s="9">
        <f>IF(R137&gt;1,"A corregir","Válida")</f>
        <v/>
      </c>
      <c r="U137" s="13">
        <f>Q137-P137</f>
        <v/>
      </c>
      <c r="V137" s="13">
        <f>IF(S137="",0,S137*Q137)</f>
        <v/>
      </c>
      <c r="W137" s="9" t="n">
        <v>2026</v>
      </c>
      <c r="X137" s="9" t="n">
        <v>7</v>
      </c>
      <c r="Y137" s="9" t="inlineStr">
        <is>
          <t>2026-S07</t>
        </is>
      </c>
    </row>
    <row r="138">
      <c r="A138" s="9" t="n">
        <v>43046812</v>
      </c>
      <c r="B138" s="11" t="n">
        <v>46063.31609953703</v>
      </c>
      <c r="C138" s="12" t="n">
        <v>46063</v>
      </c>
      <c r="D138" s="9">
        <f>YEAR(C138)</f>
        <v/>
      </c>
      <c r="E138" s="9">
        <f>MONTH(C138)</f>
        <v/>
      </c>
      <c r="F138" s="9" t="inlineStr">
        <is>
          <t>B Hormigón</t>
        </is>
      </c>
      <c r="G138" s="9" t="inlineStr">
        <is>
          <t>B HORMIGON 18MM 12M A630-420H (N)</t>
        </is>
      </c>
      <c r="H138" s="9" t="inlineStr">
        <is>
          <t>B HORMIGON 18MM 12M A630-420H (N)</t>
        </is>
      </c>
      <c r="I138" s="9" t="inlineStr">
        <is>
          <t>RED 18 CR</t>
        </is>
      </c>
      <c r="J138" s="9" t="n">
        <v>110002938</v>
      </c>
      <c r="K138" s="9" t="n">
        <v>18</v>
      </c>
      <c r="L138" s="9" t="n"/>
      <c r="M138" s="9" t="n"/>
      <c r="N138" s="9" t="n"/>
      <c r="O138" s="9" t="n">
        <v>12</v>
      </c>
      <c r="P138" s="13" t="n">
        <v>424648</v>
      </c>
      <c r="Q138" s="13" t="n">
        <v>449697.6</v>
      </c>
      <c r="R138" s="14">
        <f>IFERROR(P138/Q138,"")</f>
        <v/>
      </c>
      <c r="S138" s="15" t="n">
        <v>0.96</v>
      </c>
      <c r="T138" s="9">
        <f>IF(R138&gt;1,"A corregir","Válida")</f>
        <v/>
      </c>
      <c r="U138" s="13">
        <f>Q138-P138</f>
        <v/>
      </c>
      <c r="V138" s="13">
        <f>IF(S138="",0,S138*Q138)</f>
        <v/>
      </c>
      <c r="W138" s="9" t="n">
        <v>2026</v>
      </c>
      <c r="X138" s="9" t="n">
        <v>7</v>
      </c>
      <c r="Y138" s="9" t="inlineStr">
        <is>
          <t>2026-S07</t>
        </is>
      </c>
    </row>
    <row r="139">
      <c r="A139" s="9" t="n">
        <v>43046815</v>
      </c>
      <c r="B139" s="11" t="n">
        <v>46064.11866898148</v>
      </c>
      <c r="C139" s="12" t="n">
        <v>46064</v>
      </c>
      <c r="D139" s="9">
        <f>YEAR(C139)</f>
        <v/>
      </c>
      <c r="E139" s="9">
        <f>MONTH(C139)</f>
        <v/>
      </c>
      <c r="F139" s="9" t="inlineStr">
        <is>
          <t>B Hormigón</t>
        </is>
      </c>
      <c r="G139" s="9" t="inlineStr">
        <is>
          <t>B HORMIGON 18MM 9M A630-420H (N)</t>
        </is>
      </c>
      <c r="H139" s="9" t="inlineStr">
        <is>
          <t>B HORMIGON 18MM 9M A630-420H (N)</t>
        </is>
      </c>
      <c r="I139" s="9" t="inlineStr">
        <is>
          <t>RED 18 CR</t>
        </is>
      </c>
      <c r="J139" s="9" t="n">
        <v>110002951</v>
      </c>
      <c r="K139" s="9" t="n">
        <v>18</v>
      </c>
      <c r="L139" s="9" t="n"/>
      <c r="M139" s="9" t="n"/>
      <c r="N139" s="9" t="n"/>
      <c r="O139" s="9" t="n">
        <v>9</v>
      </c>
      <c r="P139" s="13" t="n">
        <v>21291</v>
      </c>
      <c r="Q139" s="13" t="n">
        <v>22440</v>
      </c>
      <c r="R139" s="14">
        <f>IFERROR(P139/Q139,"")</f>
        <v/>
      </c>
      <c r="S139" s="15" t="n">
        <v>0.9590000000000001</v>
      </c>
      <c r="T139" s="9">
        <f>IF(R139&gt;1,"A corregir","Válida")</f>
        <v/>
      </c>
      <c r="U139" s="13">
        <f>Q139-P139</f>
        <v/>
      </c>
      <c r="V139" s="13">
        <f>IF(S139="",0,S139*Q139)</f>
        <v/>
      </c>
      <c r="W139" s="9" t="n">
        <v>2026</v>
      </c>
      <c r="X139" s="9" t="n">
        <v>7</v>
      </c>
      <c r="Y139" s="9" t="inlineStr">
        <is>
          <t>2026-S07</t>
        </is>
      </c>
    </row>
    <row r="140">
      <c r="A140" s="9" t="n">
        <v>43046816</v>
      </c>
      <c r="B140" s="11" t="n">
        <v>46064.16195601852</v>
      </c>
      <c r="C140" s="12" t="n">
        <v>46064</v>
      </c>
      <c r="D140" s="9">
        <f>YEAR(C140)</f>
        <v/>
      </c>
      <c r="E140" s="9">
        <f>MONTH(C140)</f>
        <v/>
      </c>
      <c r="F140" s="9" t="inlineStr">
        <is>
          <t>B Hormigón</t>
        </is>
      </c>
      <c r="G140" s="9" t="inlineStr">
        <is>
          <t>B HORMIGON 18MM 8M A630-420H (N)</t>
        </is>
      </c>
      <c r="H140" s="9" t="inlineStr">
        <is>
          <t>B HORMIGON 18MM 8M A630-420H (N)</t>
        </is>
      </c>
      <c r="I140" s="9" t="inlineStr">
        <is>
          <t>RED 18 CR</t>
        </is>
      </c>
      <c r="J140" s="9" t="n">
        <v>110002952</v>
      </c>
      <c r="K140" s="9" t="n">
        <v>18</v>
      </c>
      <c r="L140" s="9" t="n"/>
      <c r="M140" s="9" t="n"/>
      <c r="N140" s="9" t="n"/>
      <c r="O140" s="9" t="n">
        <v>8</v>
      </c>
      <c r="P140" s="13" t="n">
        <v>23692</v>
      </c>
      <c r="Q140" s="13" t="n">
        <v>25132.8</v>
      </c>
      <c r="R140" s="14">
        <f>IFERROR(P140/Q140,"")</f>
        <v/>
      </c>
      <c r="S140" s="15" t="n">
        <v>0.96</v>
      </c>
      <c r="T140" s="9">
        <f>IF(R140&gt;1,"A corregir","Válida")</f>
        <v/>
      </c>
      <c r="U140" s="13">
        <f>Q140-P140</f>
        <v/>
      </c>
      <c r="V140" s="13">
        <f>IF(S140="",0,S140*Q140)</f>
        <v/>
      </c>
      <c r="W140" s="9" t="n">
        <v>2026</v>
      </c>
      <c r="X140" s="9" t="n">
        <v>7</v>
      </c>
      <c r="Y140" s="9" t="inlineStr">
        <is>
          <t>2026-S07</t>
        </is>
      </c>
    </row>
    <row r="141">
      <c r="A141" s="9" t="n">
        <v>43046817</v>
      </c>
      <c r="B141" s="11" t="n">
        <v>46064.21653935185</v>
      </c>
      <c r="C141" s="12" t="n">
        <v>46064</v>
      </c>
      <c r="D141" s="9">
        <f>YEAR(C141)</f>
        <v/>
      </c>
      <c r="E141" s="9">
        <f>MONTH(C141)</f>
        <v/>
      </c>
      <c r="F141" s="9" t="inlineStr">
        <is>
          <t>B Hormigón</t>
        </is>
      </c>
      <c r="G141" s="9" t="inlineStr">
        <is>
          <t>B HORMIGON 18MM 7M A630-420H (N)</t>
        </is>
      </c>
      <c r="H141" s="9" t="inlineStr">
        <is>
          <t>B HORMIGON 18MM 7M A630-420H (N)</t>
        </is>
      </c>
      <c r="I141" s="9" t="inlineStr">
        <is>
          <t>RED 18 CR</t>
        </is>
      </c>
      <c r="J141" s="9" t="n">
        <v>110002940</v>
      </c>
      <c r="K141" s="9" t="n">
        <v>18</v>
      </c>
      <c r="L141" s="9" t="n"/>
      <c r="M141" s="9" t="n"/>
      <c r="N141" s="9" t="n"/>
      <c r="O141" s="9" t="n">
        <v>7</v>
      </c>
      <c r="P141" s="13" t="n">
        <v>21668</v>
      </c>
      <c r="Q141" s="13" t="n">
        <v>22888.8</v>
      </c>
      <c r="R141" s="14">
        <f>IFERROR(P141/Q141,"")</f>
        <v/>
      </c>
      <c r="S141" s="15" t="n">
        <v>0.9590000000000001</v>
      </c>
      <c r="T141" s="9">
        <f>IF(R141&gt;1,"A corregir","Válida")</f>
        <v/>
      </c>
      <c r="U141" s="13">
        <f>Q141-P141</f>
        <v/>
      </c>
      <c r="V141" s="13">
        <f>IF(S141="",0,S141*Q141)</f>
        <v/>
      </c>
      <c r="W141" s="9" t="n">
        <v>2026</v>
      </c>
      <c r="X141" s="9" t="n">
        <v>7</v>
      </c>
      <c r="Y141" s="9" t="inlineStr">
        <is>
          <t>2026-S07</t>
        </is>
      </c>
    </row>
    <row r="142">
      <c r="A142" s="9" t="n">
        <v>43046818</v>
      </c>
      <c r="B142" s="11" t="n">
        <v>46064.26642361111</v>
      </c>
      <c r="C142" s="12" t="n">
        <v>46064</v>
      </c>
      <c r="D142" s="9">
        <f>YEAR(C142)</f>
        <v/>
      </c>
      <c r="E142" s="9">
        <f>MONTH(C142)</f>
        <v/>
      </c>
      <c r="F142" s="9" t="inlineStr">
        <is>
          <t>B Hormigón</t>
        </is>
      </c>
      <c r="G142" s="9" t="inlineStr">
        <is>
          <t>B HORMIGON 18MM 6M A630-420H (N)</t>
        </is>
      </c>
      <c r="H142" s="9" t="inlineStr">
        <is>
          <t>B HORMIGON 18MM 6M A630-420H (N)</t>
        </is>
      </c>
      <c r="I142" s="9" t="inlineStr">
        <is>
          <t>RED 18 CR</t>
        </is>
      </c>
      <c r="J142" s="9" t="n">
        <v>110002942</v>
      </c>
      <c r="K142" s="9" t="n">
        <v>18</v>
      </c>
      <c r="L142" s="9" t="n"/>
      <c r="M142" s="9" t="n"/>
      <c r="N142" s="9" t="n"/>
      <c r="O142" s="9" t="n">
        <v>6</v>
      </c>
      <c r="P142" s="13" t="n">
        <v>45400</v>
      </c>
      <c r="Q142" s="13" t="n">
        <v>47572.8</v>
      </c>
      <c r="R142" s="14">
        <f>IFERROR(P142/Q142,"")</f>
        <v/>
      </c>
      <c r="S142" s="15" t="n">
        <v>0.96</v>
      </c>
      <c r="T142" s="9">
        <f>IF(R142&gt;1,"A corregir","Válida")</f>
        <v/>
      </c>
      <c r="U142" s="13">
        <f>Q142-P142</f>
        <v/>
      </c>
      <c r="V142" s="13">
        <f>IF(S142="",0,S142*Q142)</f>
        <v/>
      </c>
      <c r="W142" s="9" t="n">
        <v>2026</v>
      </c>
      <c r="X142" s="9" t="n">
        <v>7</v>
      </c>
      <c r="Y142" s="9" t="inlineStr">
        <is>
          <t>2026-S07</t>
        </is>
      </c>
    </row>
    <row r="143">
      <c r="A143" s="9" t="n">
        <v>43046847</v>
      </c>
      <c r="B143" s="11" t="n">
        <v>46064.73657407407</v>
      </c>
      <c r="C143" s="12" t="n">
        <v>46064</v>
      </c>
      <c r="D143" s="9">
        <f>YEAR(C143)</f>
        <v/>
      </c>
      <c r="E143" s="9">
        <f>MONTH(C143)</f>
        <v/>
      </c>
      <c r="F143" s="9" t="inlineStr">
        <is>
          <t>B Hormigón</t>
        </is>
      </c>
      <c r="G143" s="9" t="inlineStr">
        <is>
          <t>B HORMIGON 36MM 12M A630-420HS (N)</t>
        </is>
      </c>
      <c r="H143" s="9" t="inlineStr">
        <is>
          <t>B HORMIGON 36MM 12M A630-420HS (N)</t>
        </is>
      </c>
      <c r="I143" s="9" t="inlineStr">
        <is>
          <t>RED 36 CR</t>
        </is>
      </c>
      <c r="J143" s="9" t="n">
        <v>110007600</v>
      </c>
      <c r="K143" s="9" t="n">
        <v>36</v>
      </c>
      <c r="L143" s="9" t="n"/>
      <c r="M143" s="9" t="n"/>
      <c r="N143" s="9" t="n"/>
      <c r="O143" s="9" t="n">
        <v>12</v>
      </c>
      <c r="P143" s="13" t="n">
        <v>52250</v>
      </c>
      <c r="Q143" s="13" t="n">
        <v>57697.2</v>
      </c>
      <c r="R143" s="14">
        <f>IFERROR(P143/Q143,"")</f>
        <v/>
      </c>
      <c r="S143" s="15" t="n">
        <v>0.96</v>
      </c>
      <c r="T143" s="9">
        <f>IF(R143&gt;1,"A corregir","Válida")</f>
        <v/>
      </c>
      <c r="U143" s="13">
        <f>Q143-P143</f>
        <v/>
      </c>
      <c r="V143" s="13">
        <f>IF(S143="",0,S143*Q143)</f>
        <v/>
      </c>
      <c r="W143" s="9" t="n">
        <v>2026</v>
      </c>
      <c r="X143" s="9" t="n">
        <v>7</v>
      </c>
      <c r="Y143" s="9" t="inlineStr">
        <is>
          <t>2026-S07</t>
        </is>
      </c>
    </row>
    <row r="144">
      <c r="A144" s="9" t="n">
        <v>43046848</v>
      </c>
      <c r="B144" s="11" t="n">
        <v>46064.86599537037</v>
      </c>
      <c r="C144" s="12" t="n">
        <v>46064</v>
      </c>
      <c r="D144" s="9">
        <f>YEAR(C144)</f>
        <v/>
      </c>
      <c r="E144" s="9">
        <f>MONTH(C144)</f>
        <v/>
      </c>
      <c r="F144" s="9" t="inlineStr">
        <is>
          <t>B Hormigón</t>
        </is>
      </c>
      <c r="G144" s="9" t="inlineStr">
        <is>
          <t>B HORMIGON 36MM 8M A630-420HS (N)</t>
        </is>
      </c>
      <c r="H144" s="9" t="inlineStr">
        <is>
          <t>B HORMIGON 36MM 8M A630-420HS (N)</t>
        </is>
      </c>
      <c r="I144" s="9" t="inlineStr">
        <is>
          <t>RED 36 CR</t>
        </is>
      </c>
      <c r="J144" s="9" t="n">
        <v>110007603</v>
      </c>
      <c r="K144" s="9" t="n">
        <v>36</v>
      </c>
      <c r="L144" s="9" t="n"/>
      <c r="M144" s="9" t="n"/>
      <c r="N144" s="9" t="n"/>
      <c r="O144" s="9" t="n">
        <v>8</v>
      </c>
      <c r="P144" s="13" t="n">
        <v>21594</v>
      </c>
      <c r="Q144" s="13" t="n">
        <v>23654.4</v>
      </c>
      <c r="R144" s="14">
        <f>IFERROR(P144/Q144,"")</f>
        <v/>
      </c>
      <c r="S144" s="15" t="n">
        <v>0.97</v>
      </c>
      <c r="T144" s="9">
        <f>IF(R144&gt;1,"A corregir","Válida")</f>
        <v/>
      </c>
      <c r="U144" s="13">
        <f>Q144-P144</f>
        <v/>
      </c>
      <c r="V144" s="13">
        <f>IF(S144="",0,S144*Q144)</f>
        <v/>
      </c>
      <c r="W144" s="9" t="n">
        <v>2026</v>
      </c>
      <c r="X144" s="9" t="n">
        <v>7</v>
      </c>
      <c r="Y144" s="9" t="inlineStr">
        <is>
          <t>2026-S07</t>
        </is>
      </c>
    </row>
    <row r="145">
      <c r="A145" s="9" t="n">
        <v>43046849</v>
      </c>
      <c r="B145" s="11" t="n">
        <v>46064.92850694444</v>
      </c>
      <c r="C145" s="12" t="n">
        <v>46064</v>
      </c>
      <c r="D145" s="9">
        <f>YEAR(C145)</f>
        <v/>
      </c>
      <c r="E145" s="9">
        <f>MONTH(C145)</f>
        <v/>
      </c>
      <c r="F145" s="9" t="inlineStr">
        <is>
          <t>B Hormigón</t>
        </is>
      </c>
      <c r="G145" s="9" t="inlineStr">
        <is>
          <t>B HORMIGON 36MM 10M A630-420H (N)</t>
        </is>
      </c>
      <c r="H145" s="9" t="inlineStr">
        <is>
          <t>B HORMIGON 36MM 10M A630-420H (N)</t>
        </is>
      </c>
      <c r="I145" s="9" t="inlineStr">
        <is>
          <t>RED 36 CR</t>
        </is>
      </c>
      <c r="J145" s="9" t="n">
        <v>110002906</v>
      </c>
      <c r="K145" s="9" t="n">
        <v>36</v>
      </c>
      <c r="L145" s="9" t="n"/>
      <c r="M145" s="9" t="n"/>
      <c r="N145" s="9" t="n"/>
      <c r="O145" s="9" t="n">
        <v>10</v>
      </c>
      <c r="P145" s="13" t="n">
        <v>34390</v>
      </c>
      <c r="Q145" s="13" t="n">
        <v>38016</v>
      </c>
      <c r="R145" s="14">
        <f>IFERROR(P145/Q145,"")</f>
        <v/>
      </c>
      <c r="S145" s="15" t="n">
        <v>0.96</v>
      </c>
      <c r="T145" s="9">
        <f>IF(R145&gt;1,"A corregir","Válida")</f>
        <v/>
      </c>
      <c r="U145" s="13">
        <f>Q145-P145</f>
        <v/>
      </c>
      <c r="V145" s="13">
        <f>IF(S145="",0,S145*Q145)</f>
        <v/>
      </c>
      <c r="W145" s="9" t="n">
        <v>2026</v>
      </c>
      <c r="X145" s="9" t="n">
        <v>7</v>
      </c>
      <c r="Y145" s="9" t="inlineStr">
        <is>
          <t>2026-S07</t>
        </is>
      </c>
    </row>
    <row r="146">
      <c r="A146" s="9" t="n">
        <v>43046850</v>
      </c>
      <c r="B146" s="11" t="n">
        <v>46064.99895833333</v>
      </c>
      <c r="C146" s="12" t="n">
        <v>46064</v>
      </c>
      <c r="D146" s="9">
        <f>YEAR(C146)</f>
        <v/>
      </c>
      <c r="E146" s="9">
        <f>MONTH(C146)</f>
        <v/>
      </c>
      <c r="F146" s="9" t="inlineStr">
        <is>
          <t>B Hormigón</t>
        </is>
      </c>
      <c r="G146" s="9" t="inlineStr">
        <is>
          <t>B HORMIGON 36MM 9M A630-420H (N)</t>
        </is>
      </c>
      <c r="H146" s="9" t="inlineStr">
        <is>
          <t>B HORMIGON 36MM 9M A630-420H (N)</t>
        </is>
      </c>
      <c r="I146" s="9" t="inlineStr">
        <is>
          <t>RED 36 CR</t>
        </is>
      </c>
      <c r="J146" s="9" t="n">
        <v>110002910</v>
      </c>
      <c r="K146" s="9" t="n">
        <v>36</v>
      </c>
      <c r="L146" s="9" t="n"/>
      <c r="M146" s="9" t="n"/>
      <c r="N146" s="9" t="n"/>
      <c r="O146" s="9" t="n">
        <v>9</v>
      </c>
      <c r="P146" s="13" t="n">
        <v>30354</v>
      </c>
      <c r="Q146" s="13" t="n">
        <v>32920.8</v>
      </c>
      <c r="R146" s="14">
        <f>IFERROR(P146/Q146,"")</f>
        <v/>
      </c>
      <c r="S146" s="15" t="n">
        <v>0.97</v>
      </c>
      <c r="T146" s="9">
        <f>IF(R146&gt;1,"A corregir","Válida")</f>
        <v/>
      </c>
      <c r="U146" s="13">
        <f>Q146-P146</f>
        <v/>
      </c>
      <c r="V146" s="13">
        <f>IF(S146="",0,S146*Q146)</f>
        <v/>
      </c>
      <c r="W146" s="9" t="n">
        <v>2026</v>
      </c>
      <c r="X146" s="9" t="n">
        <v>7</v>
      </c>
      <c r="Y146" s="9" t="inlineStr">
        <is>
          <t>2026-S07</t>
        </is>
      </c>
    </row>
    <row r="147">
      <c r="A147" s="9" t="n">
        <v>43046851</v>
      </c>
      <c r="B147" s="11" t="n">
        <v>46065.17165509259</v>
      </c>
      <c r="C147" s="12" t="n">
        <v>46065</v>
      </c>
      <c r="D147" s="9">
        <f>YEAR(C147)</f>
        <v/>
      </c>
      <c r="E147" s="9">
        <f>MONTH(C147)</f>
        <v/>
      </c>
      <c r="F147" s="9" t="inlineStr">
        <is>
          <t>B Hormigón</t>
        </is>
      </c>
      <c r="G147" s="9" t="inlineStr">
        <is>
          <t>B HORMIGON 32MM 12M A630-420H (N)</t>
        </is>
      </c>
      <c r="H147" s="9" t="inlineStr">
        <is>
          <t>B HORMIGON 32MM 12M A630-420H (N)</t>
        </is>
      </c>
      <c r="I147" s="9" t="inlineStr">
        <is>
          <t>RED 32 CR</t>
        </is>
      </c>
      <c r="J147" s="9" t="n">
        <v>110002900</v>
      </c>
      <c r="K147" s="9" t="n">
        <v>32</v>
      </c>
      <c r="L147" s="9" t="n"/>
      <c r="M147" s="9" t="n"/>
      <c r="N147" s="9" t="n"/>
      <c r="O147" s="9" t="n">
        <v>12</v>
      </c>
      <c r="P147" s="13" t="n">
        <v>199067</v>
      </c>
      <c r="Q147" s="13" t="n">
        <v>207108</v>
      </c>
      <c r="R147" s="14">
        <f>IFERROR(P147/Q147,"")</f>
        <v/>
      </c>
      <c r="S147" s="15" t="n">
        <v>0.96</v>
      </c>
      <c r="T147" s="9">
        <f>IF(R147&gt;1,"A corregir","Válida")</f>
        <v/>
      </c>
      <c r="U147" s="13">
        <f>Q147-P147</f>
        <v/>
      </c>
      <c r="V147" s="13">
        <f>IF(S147="",0,S147*Q147)</f>
        <v/>
      </c>
      <c r="W147" s="9" t="n">
        <v>2026</v>
      </c>
      <c r="X147" s="9" t="n">
        <v>7</v>
      </c>
      <c r="Y147" s="9" t="inlineStr">
        <is>
          <t>2026-S07</t>
        </is>
      </c>
    </row>
    <row r="148">
      <c r="A148" s="9" t="n">
        <v>43046876</v>
      </c>
      <c r="B148" s="11" t="n">
        <v>46065.62658564815</v>
      </c>
      <c r="C148" s="12" t="n">
        <v>46065</v>
      </c>
      <c r="D148" s="9">
        <f>YEAR(C148)</f>
        <v/>
      </c>
      <c r="E148" s="9">
        <f>MONTH(C148)</f>
        <v/>
      </c>
      <c r="F148" s="9" t="inlineStr">
        <is>
          <t>B Hormigón</t>
        </is>
      </c>
      <c r="G148" s="9" t="inlineStr">
        <is>
          <t>B HORMIGON R 28MM 12M A630-420H (N)</t>
        </is>
      </c>
      <c r="H148" s="9" t="inlineStr">
        <is>
          <t>B HORMIGON R 28MM 12M A630-420H (N)</t>
        </is>
      </c>
      <c r="I148" s="9" t="inlineStr">
        <is>
          <t>RED 28 CR</t>
        </is>
      </c>
      <c r="J148" s="9" t="n">
        <v>119506608</v>
      </c>
      <c r="K148" s="9" t="n">
        <v>28</v>
      </c>
      <c r="L148" s="9" t="n"/>
      <c r="M148" s="9" t="n"/>
      <c r="N148" s="9" t="n"/>
      <c r="O148" s="9" t="n">
        <v>12</v>
      </c>
      <c r="P148" s="13" t="n">
        <v>21106</v>
      </c>
      <c r="Q148" s="13" t="n">
        <v>23232</v>
      </c>
      <c r="R148" s="14">
        <f>IFERROR(P148/Q148,"")</f>
        <v/>
      </c>
      <c r="S148" s="15" t="n">
        <v>0.97</v>
      </c>
      <c r="T148" s="9">
        <f>IF(R148&gt;1,"A corregir","Válida")</f>
        <v/>
      </c>
      <c r="U148" s="13">
        <f>Q148-P148</f>
        <v/>
      </c>
      <c r="V148" s="13">
        <f>IF(S148="",0,S148*Q148)</f>
        <v/>
      </c>
      <c r="W148" s="9" t="n">
        <v>2026</v>
      </c>
      <c r="X148" s="9" t="n">
        <v>7</v>
      </c>
      <c r="Y148" s="9" t="inlineStr">
        <is>
          <t>2026-S07</t>
        </is>
      </c>
    </row>
    <row r="149">
      <c r="A149" s="9" t="n">
        <v>43046870</v>
      </c>
      <c r="B149" s="11" t="n">
        <v>46065.66958333334</v>
      </c>
      <c r="C149" s="12" t="n">
        <v>46065</v>
      </c>
      <c r="D149" s="9">
        <f>YEAR(C149)</f>
        <v/>
      </c>
      <c r="E149" s="9">
        <f>MONTH(C149)</f>
        <v/>
      </c>
      <c r="F149" s="9" t="inlineStr">
        <is>
          <t>B Hormigón</t>
        </is>
      </c>
      <c r="G149" s="9" t="inlineStr">
        <is>
          <t>B HORMIGON 28MM 12M A630-420H (N)</t>
        </is>
      </c>
      <c r="H149" s="9" t="inlineStr">
        <is>
          <t>B HORMIGON 28MM 12M A630-420H (N)</t>
        </is>
      </c>
      <c r="I149" s="9" t="inlineStr">
        <is>
          <t>RED 28 CR</t>
        </is>
      </c>
      <c r="J149" s="9" t="n">
        <v>110002894</v>
      </c>
      <c r="K149" s="9" t="n">
        <v>28</v>
      </c>
      <c r="L149" s="9" t="n"/>
      <c r="M149" s="9" t="n"/>
      <c r="N149" s="9" t="n"/>
      <c r="O149" s="9" t="n">
        <v>12</v>
      </c>
      <c r="P149" s="13" t="n">
        <v>432063</v>
      </c>
      <c r="Q149" s="13" t="n">
        <v>456192</v>
      </c>
      <c r="R149" s="14">
        <f>IFERROR(P149/Q149,"")</f>
        <v/>
      </c>
      <c r="S149" s="15" t="n">
        <v>0.96</v>
      </c>
      <c r="T149" s="9">
        <f>IF(R149&gt;1,"A corregir","Válida")</f>
        <v/>
      </c>
      <c r="U149" s="13">
        <f>Q149-P149</f>
        <v/>
      </c>
      <c r="V149" s="13">
        <f>IF(S149="",0,S149*Q149)</f>
        <v/>
      </c>
      <c r="W149" s="9" t="n">
        <v>2026</v>
      </c>
      <c r="X149" s="9" t="n">
        <v>7</v>
      </c>
      <c r="Y149" s="9" t="inlineStr">
        <is>
          <t>2026-S07</t>
        </is>
      </c>
    </row>
    <row r="150">
      <c r="A150" s="9" t="n">
        <v>43046871</v>
      </c>
      <c r="B150" s="11" t="n">
        <v>46066.49923611111</v>
      </c>
      <c r="C150" s="12" t="n">
        <v>46066</v>
      </c>
      <c r="D150" s="9">
        <f>YEAR(C150)</f>
        <v/>
      </c>
      <c r="E150" s="9">
        <f>MONTH(C150)</f>
        <v/>
      </c>
      <c r="F150" s="9" t="inlineStr">
        <is>
          <t>B Hormigón</t>
        </is>
      </c>
      <c r="G150" s="9" t="inlineStr">
        <is>
          <t>B HORMIGON 28MM 11M A630-420H (N)</t>
        </is>
      </c>
      <c r="H150" s="9" t="inlineStr">
        <is>
          <t>B HORMIGON 28MM 11M A630-420H (N)</t>
        </is>
      </c>
      <c r="I150" s="9" t="inlineStr">
        <is>
          <t>RED 28 CR</t>
        </is>
      </c>
      <c r="J150" s="9" t="n">
        <v>110002893</v>
      </c>
      <c r="K150" s="9" t="n">
        <v>28</v>
      </c>
      <c r="L150" s="9" t="n"/>
      <c r="M150" s="9" t="n"/>
      <c r="N150" s="9" t="n"/>
      <c r="O150" s="9" t="n">
        <v>11</v>
      </c>
      <c r="P150" s="13" t="n">
        <v>100975</v>
      </c>
      <c r="Q150" s="13" t="n">
        <v>108504</v>
      </c>
      <c r="R150" s="14">
        <f>IFERROR(P150/Q150,"")</f>
        <v/>
      </c>
      <c r="S150" s="15" t="n">
        <v>0.9399999999999999</v>
      </c>
      <c r="T150" s="9">
        <f>IF(R150&gt;1,"A corregir","Válida")</f>
        <v/>
      </c>
      <c r="U150" s="13">
        <f>Q150-P150</f>
        <v/>
      </c>
      <c r="V150" s="13">
        <f>IF(S150="",0,S150*Q150)</f>
        <v/>
      </c>
      <c r="W150" s="9" t="n">
        <v>2026</v>
      </c>
      <c r="X150" s="9" t="n">
        <v>7</v>
      </c>
      <c r="Y150" s="9" t="inlineStr">
        <is>
          <t>2026-S07</t>
        </is>
      </c>
    </row>
    <row r="151">
      <c r="A151" s="9" t="n">
        <v>43046872</v>
      </c>
      <c r="B151" s="11" t="n">
        <v>46066.70765046297</v>
      </c>
      <c r="C151" s="12" t="n">
        <v>46066</v>
      </c>
      <c r="D151" s="9">
        <f>YEAR(C151)</f>
        <v/>
      </c>
      <c r="E151" s="9">
        <f>MONTH(C151)</f>
        <v/>
      </c>
      <c r="F151" s="9" t="inlineStr">
        <is>
          <t>B Hormigón</t>
        </is>
      </c>
      <c r="G151" s="9" t="inlineStr">
        <is>
          <t>B HORMIGON 28MM 10M A630-420H (N)</t>
        </is>
      </c>
      <c r="H151" s="9" t="inlineStr">
        <is>
          <t>B HORMIGON 28MM 10M A630-420H (N)</t>
        </is>
      </c>
      <c r="I151" s="9" t="inlineStr">
        <is>
          <t>RED 28 CR</t>
        </is>
      </c>
      <c r="J151" s="9" t="n">
        <v>110002892</v>
      </c>
      <c r="K151" s="9" t="n">
        <v>28</v>
      </c>
      <c r="L151" s="9" t="n"/>
      <c r="M151" s="9" t="n"/>
      <c r="N151" s="9" t="n"/>
      <c r="O151" s="9" t="n">
        <v>10</v>
      </c>
      <c r="P151" s="13" t="n">
        <v>100751</v>
      </c>
      <c r="Q151" s="13" t="n">
        <v>108160.8</v>
      </c>
      <c r="R151" s="14">
        <f>IFERROR(P151/Q151,"")</f>
        <v/>
      </c>
      <c r="S151" s="15" t="n">
        <v>0.96</v>
      </c>
      <c r="T151" s="9">
        <f>IF(R151&gt;1,"A corregir","Válida")</f>
        <v/>
      </c>
      <c r="U151" s="13">
        <f>Q151-P151</f>
        <v/>
      </c>
      <c r="V151" s="13">
        <f>IF(S151="",0,S151*Q151)</f>
        <v/>
      </c>
      <c r="W151" s="9" t="n">
        <v>2026</v>
      </c>
      <c r="X151" s="9" t="n">
        <v>7</v>
      </c>
      <c r="Y151" s="9" t="inlineStr">
        <is>
          <t>2026-S07</t>
        </is>
      </c>
    </row>
    <row r="152">
      <c r="A152" s="9" t="n">
        <v>43046873</v>
      </c>
      <c r="B152" s="11" t="n">
        <v>46066.93027777778</v>
      </c>
      <c r="C152" s="12" t="n">
        <v>46066</v>
      </c>
      <c r="D152" s="9">
        <f>YEAR(C152)</f>
        <v/>
      </c>
      <c r="E152" s="9">
        <f>MONTH(C152)</f>
        <v/>
      </c>
      <c r="F152" s="9" t="inlineStr">
        <is>
          <t>B Hormigón</t>
        </is>
      </c>
      <c r="G152" s="9" t="inlineStr">
        <is>
          <t>B HORMIGON 28MM 9M A630-420H (N)</t>
        </is>
      </c>
      <c r="H152" s="9" t="inlineStr">
        <is>
          <t>B HORMIGON 28MM 9M A630-420H (N)</t>
        </is>
      </c>
      <c r="I152" s="9" t="inlineStr">
        <is>
          <t>RED 28 CR</t>
        </is>
      </c>
      <c r="J152" s="9" t="n">
        <v>110002897</v>
      </c>
      <c r="K152" s="9" t="n">
        <v>28</v>
      </c>
      <c r="L152" s="9" t="n"/>
      <c r="M152" s="9" t="n"/>
      <c r="N152" s="9" t="n"/>
      <c r="O152" s="9" t="n">
        <v>9</v>
      </c>
      <c r="P152" s="13" t="n">
        <v>130174</v>
      </c>
      <c r="Q152" s="13" t="n">
        <v>138230.4</v>
      </c>
      <c r="R152" s="14">
        <f>IFERROR(P152/Q152,"")</f>
        <v/>
      </c>
      <c r="S152" s="15" t="n">
        <v>0.9399999999999999</v>
      </c>
      <c r="T152" s="9">
        <f>IF(R152&gt;1,"A corregir","Válida")</f>
        <v/>
      </c>
      <c r="U152" s="13">
        <f>Q152-P152</f>
        <v/>
      </c>
      <c r="V152" s="13">
        <f>IF(S152="",0,S152*Q152)</f>
        <v/>
      </c>
      <c r="W152" s="9" t="n">
        <v>2026</v>
      </c>
      <c r="X152" s="9" t="n">
        <v>7</v>
      </c>
      <c r="Y152" s="9" t="inlineStr">
        <is>
          <t>2026-S07</t>
        </is>
      </c>
    </row>
    <row r="153">
      <c r="A153" s="9" t="n">
        <v>43046875</v>
      </c>
      <c r="B153" s="11" t="n">
        <v>46067.08326388889</v>
      </c>
      <c r="C153" s="12" t="n">
        <v>46067</v>
      </c>
      <c r="D153" s="9">
        <f>YEAR(C153)</f>
        <v/>
      </c>
      <c r="E153" s="9">
        <f>MONTH(C153)</f>
        <v/>
      </c>
      <c r="F153" s="9" t="inlineStr">
        <is>
          <t>B Hormigón</t>
        </is>
      </c>
      <c r="G153" s="9" t="inlineStr">
        <is>
          <t>B HORMIGON 28MM 7M A630-420H (N)</t>
        </is>
      </c>
      <c r="H153" s="9" t="inlineStr">
        <is>
          <t>B HORMIGON 28MM 7M A630-420H (N)</t>
        </is>
      </c>
      <c r="I153" s="9" t="inlineStr">
        <is>
          <t>RED 28 CR</t>
        </is>
      </c>
      <c r="J153" s="9" t="n">
        <v>110002895</v>
      </c>
      <c r="K153" s="9" t="n">
        <v>28</v>
      </c>
      <c r="L153" s="9" t="n"/>
      <c r="M153" s="9" t="n"/>
      <c r="N153" s="9" t="n"/>
      <c r="O153" s="9" t="n">
        <v>7</v>
      </c>
      <c r="P153" s="13" t="n">
        <v>156353</v>
      </c>
      <c r="Q153" s="13" t="n">
        <v>167270.4</v>
      </c>
      <c r="R153" s="14">
        <f>IFERROR(P153/Q153,"")</f>
        <v/>
      </c>
      <c r="S153" s="15" t="n">
        <v>0.96</v>
      </c>
      <c r="T153" s="9">
        <f>IF(R153&gt;1,"A corregir","Válida")</f>
        <v/>
      </c>
      <c r="U153" s="13">
        <f>Q153-P153</f>
        <v/>
      </c>
      <c r="V153" s="13">
        <f>IF(S153="",0,S153*Q153)</f>
        <v/>
      </c>
      <c r="W153" s="9" t="n">
        <v>2026</v>
      </c>
      <c r="X153" s="9" t="n">
        <v>7</v>
      </c>
      <c r="Y153" s="9" t="inlineStr">
        <is>
          <t>2026-S07</t>
        </is>
      </c>
    </row>
    <row r="154">
      <c r="A154" s="9" t="n">
        <v>43046874</v>
      </c>
      <c r="B154" s="11" t="n">
        <v>46069.0790625</v>
      </c>
      <c r="C154" s="12" t="n">
        <v>46069</v>
      </c>
      <c r="D154" s="9">
        <f>YEAR(C154)</f>
        <v/>
      </c>
      <c r="E154" s="9">
        <f>MONTH(C154)</f>
        <v/>
      </c>
      <c r="F154" s="9" t="inlineStr">
        <is>
          <t>B Hormigón</t>
        </is>
      </c>
      <c r="G154" s="9" t="inlineStr">
        <is>
          <t>B HORMIGON 28MM 8M A630-420H (N)</t>
        </is>
      </c>
      <c r="H154" s="9" t="inlineStr">
        <is>
          <t>B HORMIGON 28MM 8M A630-420H (N)</t>
        </is>
      </c>
      <c r="I154" s="9" t="inlineStr">
        <is>
          <t>RED 28 CR</t>
        </is>
      </c>
      <c r="J154" s="9" t="n">
        <v>110002896</v>
      </c>
      <c r="K154" s="9" t="n">
        <v>28</v>
      </c>
      <c r="L154" s="9" t="n"/>
      <c r="M154" s="9" t="n"/>
      <c r="N154" s="9" t="n"/>
      <c r="O154" s="9" t="n">
        <v>8</v>
      </c>
      <c r="P154" s="13" t="n">
        <v>95867</v>
      </c>
      <c r="Q154" s="13" t="n">
        <v>100980</v>
      </c>
      <c r="R154" s="14">
        <f>IFERROR(P154/Q154,"")</f>
        <v/>
      </c>
      <c r="S154" s="15" t="n">
        <v>0.96</v>
      </c>
      <c r="T154" s="9">
        <f>IF(R154&gt;1,"A corregir","Válida")</f>
        <v/>
      </c>
      <c r="U154" s="13">
        <f>Q154-P154</f>
        <v/>
      </c>
      <c r="V154" s="13">
        <f>IF(S154="",0,S154*Q154)</f>
        <v/>
      </c>
      <c r="W154" s="9" t="n">
        <v>2026</v>
      </c>
      <c r="X154" s="9" t="n">
        <v>8</v>
      </c>
      <c r="Y154" s="9" t="inlineStr">
        <is>
          <t>2026-S08</t>
        </is>
      </c>
    </row>
    <row r="155">
      <c r="A155" s="9" t="n">
        <v>43046892</v>
      </c>
      <c r="B155" s="11" t="n">
        <v>46069.2774074074</v>
      </c>
      <c r="C155" s="12" t="n">
        <v>46069</v>
      </c>
      <c r="D155" s="9">
        <f>YEAR(C155)</f>
        <v/>
      </c>
      <c r="E155" s="9">
        <f>MONTH(C155)</f>
        <v/>
      </c>
      <c r="F155" s="9" t="inlineStr">
        <is>
          <t>B Hormigón</t>
        </is>
      </c>
      <c r="G155" s="9" t="inlineStr">
        <is>
          <t>B HORMIGON 28MM 6M A630-420H (N)</t>
        </is>
      </c>
      <c r="H155" s="9" t="inlineStr">
        <is>
          <t>B HORMIGON 28MM 6M A630-420H (N)</t>
        </is>
      </c>
      <c r="I155" s="9" t="inlineStr">
        <is>
          <t>RED 28 CR</t>
        </is>
      </c>
      <c r="J155" s="9" t="n">
        <v>110002922</v>
      </c>
      <c r="K155" s="9" t="n">
        <v>28</v>
      </c>
      <c r="L155" s="9" t="n"/>
      <c r="M155" s="9" t="n"/>
      <c r="N155" s="9" t="n"/>
      <c r="O155" s="9" t="n">
        <v>6</v>
      </c>
      <c r="P155" s="13" t="n">
        <v>21152</v>
      </c>
      <c r="Q155" s="13" t="n">
        <v>22440</v>
      </c>
      <c r="R155" s="14">
        <f>IFERROR(P155/Q155,"")</f>
        <v/>
      </c>
      <c r="S155" s="15" t="n">
        <v>0.96</v>
      </c>
      <c r="T155" s="9">
        <f>IF(R155&gt;1,"A corregir","Válida")</f>
        <v/>
      </c>
      <c r="U155" s="13">
        <f>Q155-P155</f>
        <v/>
      </c>
      <c r="V155" s="13">
        <f>IF(S155="",0,S155*Q155)</f>
        <v/>
      </c>
      <c r="W155" s="9" t="n">
        <v>2026</v>
      </c>
      <c r="X155" s="9" t="n">
        <v>8</v>
      </c>
      <c r="Y155" s="9" t="inlineStr">
        <is>
          <t>2026-S08</t>
        </is>
      </c>
    </row>
    <row r="156">
      <c r="A156" s="9" t="n">
        <v>43046893</v>
      </c>
      <c r="B156" s="11" t="n">
        <v>46069.39509259259</v>
      </c>
      <c r="C156" s="12" t="n">
        <v>46069</v>
      </c>
      <c r="D156" s="9">
        <f>YEAR(C156)</f>
        <v/>
      </c>
      <c r="E156" s="9">
        <f>MONTH(C156)</f>
        <v/>
      </c>
      <c r="F156" s="9" t="inlineStr">
        <is>
          <t>B Hormigón</t>
        </is>
      </c>
      <c r="G156" s="9" t="inlineStr">
        <is>
          <t>B HORMIGON R 25MM 12M A630-420HS(N)</t>
        </is>
      </c>
      <c r="H156" s="9" t="inlineStr">
        <is>
          <t>B HORMIGON R 25MM 12M A630-420HS(N)</t>
        </is>
      </c>
      <c r="I156" s="9" t="inlineStr">
        <is>
          <t>RED 25 CR</t>
        </is>
      </c>
      <c r="J156" s="9" t="n">
        <v>119506789</v>
      </c>
      <c r="K156" s="9" t="n">
        <v>25</v>
      </c>
      <c r="L156" s="9" t="n"/>
      <c r="M156" s="9" t="n"/>
      <c r="N156" s="9" t="n"/>
      <c r="O156" s="9" t="n">
        <v>12</v>
      </c>
      <c r="P156" s="13" t="n">
        <v>53588</v>
      </c>
      <c r="Q156" s="13" t="n">
        <v>57934.8</v>
      </c>
      <c r="R156" s="14">
        <f>IFERROR(P156/Q156,"")</f>
        <v/>
      </c>
      <c r="S156" s="15" t="n">
        <v>0.97</v>
      </c>
      <c r="T156" s="9">
        <f>IF(R156&gt;1,"A corregir","Válida")</f>
        <v/>
      </c>
      <c r="U156" s="13">
        <f>Q156-P156</f>
        <v/>
      </c>
      <c r="V156" s="13">
        <f>IF(S156="",0,S156*Q156)</f>
        <v/>
      </c>
      <c r="W156" s="9" t="n">
        <v>2026</v>
      </c>
      <c r="X156" s="9" t="n">
        <v>8</v>
      </c>
      <c r="Y156" s="9" t="inlineStr">
        <is>
          <t>2026-S08</t>
        </is>
      </c>
    </row>
    <row r="157">
      <c r="A157" s="9" t="n">
        <v>43046894</v>
      </c>
      <c r="B157" s="11" t="n">
        <v>46069.50640046296</v>
      </c>
      <c r="C157" s="12" t="n">
        <v>46069</v>
      </c>
      <c r="D157" s="9">
        <f>YEAR(C157)</f>
        <v/>
      </c>
      <c r="E157" s="9">
        <f>MONTH(C157)</f>
        <v/>
      </c>
      <c r="F157" s="9" t="inlineStr">
        <is>
          <t>B Hormigón</t>
        </is>
      </c>
      <c r="G157" s="9" t="inlineStr">
        <is>
          <t>B HORMIGON 25MM 12M A630-420H (N)</t>
        </is>
      </c>
      <c r="H157" s="9" t="inlineStr">
        <is>
          <t>B HORMIGON 25MM 12M A630-420H (N)</t>
        </is>
      </c>
      <c r="I157" s="9" t="inlineStr">
        <is>
          <t>RED 25 CR</t>
        </is>
      </c>
      <c r="J157" s="9" t="n">
        <v>110002941</v>
      </c>
      <c r="K157" s="9" t="n">
        <v>25</v>
      </c>
      <c r="L157" s="9" t="n"/>
      <c r="M157" s="9" t="n"/>
      <c r="N157" s="9" t="n"/>
      <c r="O157" s="9" t="n">
        <v>12</v>
      </c>
      <c r="P157" s="13" t="n">
        <v>22488</v>
      </c>
      <c r="Q157" s="13" t="n">
        <v>23958</v>
      </c>
      <c r="R157" s="14">
        <f>IFERROR(P157/Q157,"")</f>
        <v/>
      </c>
      <c r="S157" s="15" t="n">
        <v>0.95</v>
      </c>
      <c r="T157" s="9">
        <f>IF(R157&gt;1,"A corregir","Válida")</f>
        <v/>
      </c>
      <c r="U157" s="13">
        <f>Q157-P157</f>
        <v/>
      </c>
      <c r="V157" s="13">
        <f>IF(S157="",0,S157*Q157)</f>
        <v/>
      </c>
      <c r="W157" s="9" t="n">
        <v>2026</v>
      </c>
      <c r="X157" s="9" t="n">
        <v>8</v>
      </c>
      <c r="Y157" s="9" t="inlineStr">
        <is>
          <t>2026-S08</t>
        </is>
      </c>
    </row>
    <row r="158">
      <c r="A158" s="9" t="n">
        <v>43046895</v>
      </c>
      <c r="B158" s="11" t="n">
        <v>46069.69011574074</v>
      </c>
      <c r="C158" s="12" t="n">
        <v>46069</v>
      </c>
      <c r="D158" s="9">
        <f>YEAR(C158)</f>
        <v/>
      </c>
      <c r="E158" s="9">
        <f>MONTH(C158)</f>
        <v/>
      </c>
      <c r="F158" s="9" t="inlineStr">
        <is>
          <t>Saferock</t>
        </is>
      </c>
      <c r="G158" s="9" t="inlineStr">
        <is>
          <t>SAFEROCK 25MM 10,5M A420</t>
        </is>
      </c>
      <c r="H158" s="9" t="inlineStr">
        <is>
          <t>SAFEROCK SEMI 25MM 10,5M A420</t>
        </is>
      </c>
      <c r="I158" s="9" t="inlineStr">
        <is>
          <t>SFR 25</t>
        </is>
      </c>
      <c r="J158" s="9" t="n">
        <v>106503243</v>
      </c>
      <c r="K158" s="9" t="n">
        <v>25</v>
      </c>
      <c r="L158" s="9" t="n"/>
      <c r="M158" s="9" t="n"/>
      <c r="N158" s="9" t="n"/>
      <c r="O158" s="9" t="n">
        <v>10.5</v>
      </c>
      <c r="P158" s="13" t="n">
        <v>49673</v>
      </c>
      <c r="Q158" s="13" t="n">
        <v>51612</v>
      </c>
      <c r="R158" s="14">
        <f>IFERROR(P158/Q158,"")</f>
        <v/>
      </c>
      <c r="S158" s="15" t="n">
        <v>0.95</v>
      </c>
      <c r="T158" s="9">
        <f>IF(R158&gt;1,"A corregir","Válida")</f>
        <v/>
      </c>
      <c r="U158" s="13">
        <f>Q158-P158</f>
        <v/>
      </c>
      <c r="V158" s="13">
        <f>IF(S158="",0,S158*Q158)</f>
        <v/>
      </c>
      <c r="W158" s="9" t="n">
        <v>2026</v>
      </c>
      <c r="X158" s="9" t="n">
        <v>8</v>
      </c>
      <c r="Y158" s="9" t="inlineStr">
        <is>
          <t>2026-S08</t>
        </is>
      </c>
    </row>
    <row r="159">
      <c r="A159" s="9" t="n">
        <v>43046896</v>
      </c>
      <c r="B159" s="11" t="n">
        <v>46069.80503472222</v>
      </c>
      <c r="C159" s="12" t="n">
        <v>46069</v>
      </c>
      <c r="D159" s="9">
        <f>YEAR(C159)</f>
        <v/>
      </c>
      <c r="E159" s="9">
        <f>MONTH(C159)</f>
        <v/>
      </c>
      <c r="F159" s="9" t="inlineStr">
        <is>
          <t>Saferock</t>
        </is>
      </c>
      <c r="G159" s="9" t="inlineStr">
        <is>
          <t>SAFEROCK 25MM 10M A420</t>
        </is>
      </c>
      <c r="H159" s="9" t="inlineStr">
        <is>
          <t>SAFEROCK SEMI 25MM 10M A420</t>
        </is>
      </c>
      <c r="I159" s="9" t="inlineStr">
        <is>
          <t>SFR 25</t>
        </is>
      </c>
      <c r="J159" s="9" t="n">
        <v>106043671</v>
      </c>
      <c r="K159" s="9" t="n">
        <v>25</v>
      </c>
      <c r="L159" s="9" t="n"/>
      <c r="M159" s="9" t="n"/>
      <c r="N159" s="9" t="n"/>
      <c r="O159" s="9" t="n">
        <v>10</v>
      </c>
      <c r="P159" s="13" t="n">
        <v>31168</v>
      </c>
      <c r="Q159" s="13" t="n">
        <v>33211.2</v>
      </c>
      <c r="R159" s="14">
        <f>IFERROR(P159/Q159,"")</f>
        <v/>
      </c>
      <c r="S159" s="15" t="n">
        <v>0.9540000000000001</v>
      </c>
      <c r="T159" s="9">
        <f>IF(R159&gt;1,"A corregir","Válida")</f>
        <v/>
      </c>
      <c r="U159" s="13">
        <f>Q159-P159</f>
        <v/>
      </c>
      <c r="V159" s="13">
        <f>IF(S159="",0,S159*Q159)</f>
        <v/>
      </c>
      <c r="W159" s="9" t="n">
        <v>2026</v>
      </c>
      <c r="X159" s="9" t="n">
        <v>8</v>
      </c>
      <c r="Y159" s="9" t="inlineStr">
        <is>
          <t>2026-S08</t>
        </is>
      </c>
    </row>
    <row r="160">
      <c r="A160" s="9" t="n">
        <v>43046897</v>
      </c>
      <c r="B160" s="11" t="n">
        <v>46069.87784722223</v>
      </c>
      <c r="C160" s="12" t="n">
        <v>46069</v>
      </c>
      <c r="D160" s="9">
        <f>YEAR(C160)</f>
        <v/>
      </c>
      <c r="E160" s="9">
        <f>MONTH(C160)</f>
        <v/>
      </c>
      <c r="F160" s="9" t="inlineStr">
        <is>
          <t>Saferock</t>
        </is>
      </c>
      <c r="G160" s="9" t="inlineStr">
        <is>
          <t>SAFEROCK 25MM 12M A420</t>
        </is>
      </c>
      <c r="H160" s="9" t="inlineStr">
        <is>
          <t>SAFEROCK SEMI 25MM 12M A420</t>
        </is>
      </c>
      <c r="I160" s="9" t="inlineStr">
        <is>
          <t>SFR 25</t>
        </is>
      </c>
      <c r="J160" s="9" t="n">
        <v>106025583</v>
      </c>
      <c r="K160" s="9" t="n">
        <v>25</v>
      </c>
      <c r="L160" s="9" t="n"/>
      <c r="M160" s="9" t="n"/>
      <c r="N160" s="9" t="n"/>
      <c r="O160" s="9" t="n">
        <v>12</v>
      </c>
      <c r="P160" s="13" t="n">
        <v>31705</v>
      </c>
      <c r="Q160" s="13" t="n">
        <v>33211.2</v>
      </c>
      <c r="R160" s="14">
        <f>IFERROR(P160/Q160,"")</f>
        <v/>
      </c>
      <c r="S160" s="15" t="n">
        <v>0.953</v>
      </c>
      <c r="T160" s="9">
        <f>IF(R160&gt;1,"A corregir","Válida")</f>
        <v/>
      </c>
      <c r="U160" s="13">
        <f>Q160-P160</f>
        <v/>
      </c>
      <c r="V160" s="13">
        <f>IF(S160="",0,S160*Q160)</f>
        <v/>
      </c>
      <c r="W160" s="9" t="n">
        <v>2026</v>
      </c>
      <c r="X160" s="9" t="n">
        <v>8</v>
      </c>
      <c r="Y160" s="9" t="inlineStr">
        <is>
          <t>2026-S08</t>
        </is>
      </c>
    </row>
    <row r="161">
      <c r="A161" s="9" t="n">
        <v>43046898</v>
      </c>
      <c r="B161" s="11" t="n">
        <v>46069.9418287037</v>
      </c>
      <c r="C161" s="12" t="n">
        <v>46069</v>
      </c>
      <c r="D161" s="9">
        <f>YEAR(C161)</f>
        <v/>
      </c>
      <c r="E161" s="9">
        <f>MONTH(C161)</f>
        <v/>
      </c>
      <c r="F161" s="9" t="inlineStr">
        <is>
          <t>Saferock</t>
        </is>
      </c>
      <c r="G161" s="9" t="inlineStr">
        <is>
          <t>SAFEROCK 25MM 11,6M A420</t>
        </is>
      </c>
      <c r="H161" s="9" t="inlineStr">
        <is>
          <t>SAFEROCK SEMI 25MM 11,6M A420</t>
        </is>
      </c>
      <c r="I161" s="9" t="inlineStr">
        <is>
          <t>SFR 25</t>
        </is>
      </c>
      <c r="J161" s="9" t="n">
        <v>106047304</v>
      </c>
      <c r="K161" s="9" t="n">
        <v>25</v>
      </c>
      <c r="L161" s="9" t="n"/>
      <c r="M161" s="9" t="n"/>
      <c r="N161" s="9" t="n"/>
      <c r="O161" s="9" t="n">
        <v>11.6</v>
      </c>
      <c r="P161" s="13" t="n">
        <v>20770</v>
      </c>
      <c r="Q161" s="13" t="n">
        <v>22440</v>
      </c>
      <c r="R161" s="14">
        <f>IFERROR(P161/Q161,"")</f>
        <v/>
      </c>
      <c r="S161" s="15" t="n">
        <v>0.9540000000000001</v>
      </c>
      <c r="T161" s="9">
        <f>IF(R161&gt;1,"A corregir","Válida")</f>
        <v/>
      </c>
      <c r="U161" s="13">
        <f>Q161-P161</f>
        <v/>
      </c>
      <c r="V161" s="13">
        <f>IF(S161="",0,S161*Q161)</f>
        <v/>
      </c>
      <c r="W161" s="9" t="n">
        <v>2026</v>
      </c>
      <c r="X161" s="9" t="n">
        <v>8</v>
      </c>
      <c r="Y161" s="9" t="inlineStr">
        <is>
          <t>2026-S08</t>
        </is>
      </c>
    </row>
    <row r="162">
      <c r="A162" s="9" t="n">
        <v>43046923</v>
      </c>
      <c r="B162" s="11" t="n">
        <v>46069.98006944444</v>
      </c>
      <c r="C162" s="12" t="n">
        <v>46069</v>
      </c>
      <c r="D162" s="9">
        <f>YEAR(C162)</f>
        <v/>
      </c>
      <c r="E162" s="9">
        <f>MONTH(C162)</f>
        <v/>
      </c>
      <c r="F162" s="9" t="inlineStr">
        <is>
          <t>Saferock</t>
        </is>
      </c>
      <c r="G162" s="9" t="inlineStr">
        <is>
          <t>SAFEROCK 25MM 11,96M A520</t>
        </is>
      </c>
      <c r="H162" s="9" t="inlineStr">
        <is>
          <t>SAFEROCK 25MM 11,96M A520</t>
        </is>
      </c>
      <c r="I162" s="9" t="inlineStr">
        <is>
          <t>SFR 25</t>
        </is>
      </c>
      <c r="J162" s="9" t="n">
        <v>119505903</v>
      </c>
      <c r="K162" s="9" t="n">
        <v>25</v>
      </c>
      <c r="L162" s="9" t="n"/>
      <c r="M162" s="9" t="n"/>
      <c r="N162" s="9" t="n"/>
      <c r="O162" s="9" t="n">
        <v>6</v>
      </c>
      <c r="P162" s="13" t="n">
        <v>25881</v>
      </c>
      <c r="Q162" s="13" t="n">
        <v>31864.8</v>
      </c>
      <c r="R162" s="14">
        <f>IFERROR(P162/Q162,"")</f>
        <v/>
      </c>
      <c r="S162" s="15" t="n">
        <v>0.97</v>
      </c>
      <c r="T162" s="9">
        <f>IF(R162&gt;1,"A corregir","Válida")</f>
        <v/>
      </c>
      <c r="U162" s="13">
        <f>Q162-P162</f>
        <v/>
      </c>
      <c r="V162" s="13">
        <f>IF(S162="",0,S162*Q162)</f>
        <v/>
      </c>
      <c r="W162" s="9" t="n">
        <v>2026</v>
      </c>
      <c r="X162" s="9" t="n">
        <v>8</v>
      </c>
      <c r="Y162" s="9" t="inlineStr">
        <is>
          <t>2026-S08</t>
        </is>
      </c>
    </row>
    <row r="163">
      <c r="A163" s="9" t="n">
        <v>43046924</v>
      </c>
      <c r="B163" s="11" t="n">
        <v>46070.04165509259</v>
      </c>
      <c r="C163" s="12" t="n">
        <v>46070</v>
      </c>
      <c r="D163" s="9">
        <f>YEAR(C163)</f>
        <v/>
      </c>
      <c r="E163" s="9">
        <f>MONTH(C163)</f>
        <v/>
      </c>
      <c r="F163" s="9" t="inlineStr">
        <is>
          <t>Saferock</t>
        </is>
      </c>
      <c r="G163" s="9" t="inlineStr">
        <is>
          <t>SAFEROCK 25MM 8,4M A520</t>
        </is>
      </c>
      <c r="H163" s="9" t="inlineStr">
        <is>
          <t>SAFEROCK 25MM 8,4M A520</t>
        </is>
      </c>
      <c r="I163" s="9" t="inlineStr">
        <is>
          <t>SFR 25</t>
        </is>
      </c>
      <c r="J163" s="9" t="n">
        <v>119505906</v>
      </c>
      <c r="K163" s="9" t="n">
        <v>25</v>
      </c>
      <c r="L163" s="9" t="n"/>
      <c r="M163" s="9" t="n"/>
      <c r="N163" s="9" t="n"/>
      <c r="O163" s="9" t="n">
        <v>10.8</v>
      </c>
      <c r="P163" s="13" t="n">
        <v>24855</v>
      </c>
      <c r="Q163" s="13" t="n">
        <v>26479.2</v>
      </c>
      <c r="R163" s="14">
        <f>IFERROR(P163/Q163,"")</f>
        <v/>
      </c>
      <c r="S163" s="15" t="n">
        <v>0.97</v>
      </c>
      <c r="T163" s="9">
        <f>IF(R163&gt;1,"A corregir","Válida")</f>
        <v/>
      </c>
      <c r="U163" s="13">
        <f>Q163-P163</f>
        <v/>
      </c>
      <c r="V163" s="13">
        <f>IF(S163="",0,S163*Q163)</f>
        <v/>
      </c>
      <c r="W163" s="9" t="n">
        <v>2026</v>
      </c>
      <c r="X163" s="9" t="n">
        <v>8</v>
      </c>
      <c r="Y163" s="9" t="inlineStr">
        <is>
          <t>2026-S08</t>
        </is>
      </c>
    </row>
    <row r="164">
      <c r="A164" s="9" t="n">
        <v>43046901</v>
      </c>
      <c r="B164" s="11" t="n">
        <v>46070.25996527778</v>
      </c>
      <c r="C164" s="12" t="n">
        <v>46070</v>
      </c>
      <c r="D164" s="9">
        <f>YEAR(C164)</f>
        <v/>
      </c>
      <c r="E164" s="9">
        <f>MONTH(C164)</f>
        <v/>
      </c>
      <c r="F164" s="9" t="inlineStr">
        <is>
          <t>Plana</t>
        </is>
      </c>
      <c r="G164" s="9" t="inlineStr">
        <is>
          <t>PLANA 50X6MM 6M A270ES (N)</t>
        </is>
      </c>
      <c r="H164" s="9" t="inlineStr">
        <is>
          <t>PLANA 50X6MM 6M A270ES (N)</t>
        </is>
      </c>
      <c r="I164" s="9" t="inlineStr">
        <is>
          <t>PL 50 x 6</t>
        </is>
      </c>
      <c r="J164" s="9" t="n">
        <v>109013901</v>
      </c>
      <c r="K164" s="9" t="n"/>
      <c r="L164" s="9" t="n">
        <v>50</v>
      </c>
      <c r="M164" s="9" t="n">
        <v>6</v>
      </c>
      <c r="N164" s="9" t="n"/>
      <c r="O164" s="9" t="n">
        <v>6</v>
      </c>
      <c r="P164" s="13" t="n">
        <v>86938</v>
      </c>
      <c r="Q164" s="13" t="n">
        <v>96492</v>
      </c>
      <c r="R164" s="14">
        <f>IFERROR(P164/Q164,"")</f>
        <v/>
      </c>
      <c r="S164" s="15" t="n">
        <v>0.96</v>
      </c>
      <c r="T164" s="9">
        <f>IF(R164&gt;1,"A corregir","Válida")</f>
        <v/>
      </c>
      <c r="U164" s="13">
        <f>Q164-P164</f>
        <v/>
      </c>
      <c r="V164" s="13">
        <f>IF(S164="",0,S164*Q164)</f>
        <v/>
      </c>
      <c r="W164" s="9" t="n">
        <v>2026</v>
      </c>
      <c r="X164" s="9" t="n">
        <v>8</v>
      </c>
      <c r="Y164" s="9" t="inlineStr">
        <is>
          <t>2026-S08</t>
        </is>
      </c>
    </row>
    <row r="165">
      <c r="A165" s="9" t="n">
        <v>43046902</v>
      </c>
      <c r="B165" s="11" t="n">
        <v>46070.35549768519</v>
      </c>
      <c r="C165" s="12" t="n">
        <v>46070</v>
      </c>
      <c r="D165" s="9">
        <f>YEAR(C165)</f>
        <v/>
      </c>
      <c r="E165" s="9">
        <f>MONTH(C165)</f>
        <v/>
      </c>
      <c r="F165" s="9" t="inlineStr">
        <is>
          <t>Plana</t>
        </is>
      </c>
      <c r="G165" s="9" t="inlineStr">
        <is>
          <t>PLANA 50X5MM 6M A270ES (N)</t>
        </is>
      </c>
      <c r="H165" s="9" t="inlineStr">
        <is>
          <t>PLANA 50X5MM 6M A270ES (N)</t>
        </is>
      </c>
      <c r="I165" s="9" t="inlineStr">
        <is>
          <t>PL 50 x 5</t>
        </is>
      </c>
      <c r="J165" s="9" t="n">
        <v>109013902</v>
      </c>
      <c r="K165" s="9" t="n"/>
      <c r="L165" s="9" t="n">
        <v>50</v>
      </c>
      <c r="M165" s="9" t="n">
        <v>5</v>
      </c>
      <c r="N165" s="9" t="n"/>
      <c r="O165" s="9" t="n">
        <v>6</v>
      </c>
      <c r="P165" s="13" t="n">
        <v>29760</v>
      </c>
      <c r="Q165" s="13" t="n">
        <v>31864.8</v>
      </c>
      <c r="R165" s="14">
        <f>IFERROR(P165/Q165,"")</f>
        <v/>
      </c>
      <c r="S165" s="15" t="n">
        <v>0.96</v>
      </c>
      <c r="T165" s="9">
        <f>IF(R165&gt;1,"A corregir","Válida")</f>
        <v/>
      </c>
      <c r="U165" s="13">
        <f>Q165-P165</f>
        <v/>
      </c>
      <c r="V165" s="13">
        <f>IF(S165="",0,S165*Q165)</f>
        <v/>
      </c>
      <c r="W165" s="9" t="n">
        <v>2026</v>
      </c>
      <c r="X165" s="9" t="n">
        <v>8</v>
      </c>
      <c r="Y165" s="9" t="inlineStr">
        <is>
          <t>2026-S08</t>
        </is>
      </c>
    </row>
    <row r="166">
      <c r="A166" s="9" t="n">
        <v>43046903</v>
      </c>
      <c r="B166" s="11" t="n">
        <v>46070.5318287037</v>
      </c>
      <c r="C166" s="12" t="n">
        <v>46070</v>
      </c>
      <c r="D166" s="9">
        <f>YEAR(C166)</f>
        <v/>
      </c>
      <c r="E166" s="9">
        <f>MONTH(C166)</f>
        <v/>
      </c>
      <c r="F166" s="9" t="inlineStr">
        <is>
          <t>Ángulo</t>
        </is>
      </c>
      <c r="G166" s="9" t="inlineStr">
        <is>
          <t>ANGULO 40X40X3MM A270ES</t>
        </is>
      </c>
      <c r="H166" s="9" t="inlineStr">
        <is>
          <t>ANGULO SEMI 40X40X3MM A270ES</t>
        </is>
      </c>
      <c r="I166" s="9" t="inlineStr">
        <is>
          <t>ANG 40 x 3</t>
        </is>
      </c>
      <c r="J166" s="9" t="n">
        <v>106501033</v>
      </c>
      <c r="K166" s="9" t="n"/>
      <c r="L166" s="9" t="n">
        <v>40</v>
      </c>
      <c r="M166" s="9" t="n">
        <v>3</v>
      </c>
      <c r="N166" s="9" t="n"/>
      <c r="O166" s="9" t="n">
        <v>6</v>
      </c>
      <c r="P166" s="13" t="n">
        <v>311208</v>
      </c>
      <c r="Q166" s="13" t="n">
        <v>332560.8</v>
      </c>
      <c r="R166" s="14">
        <f>IFERROR(P166/Q166,"")</f>
        <v/>
      </c>
      <c r="S166" s="15" t="n">
        <v>0.9570000000000001</v>
      </c>
      <c r="T166" s="9">
        <f>IF(R166&gt;1,"A corregir","Válida")</f>
        <v/>
      </c>
      <c r="U166" s="13">
        <f>Q166-P166</f>
        <v/>
      </c>
      <c r="V166" s="13">
        <f>IF(S166="",0,S166*Q166)</f>
        <v/>
      </c>
      <c r="W166" s="9" t="n">
        <v>2026</v>
      </c>
      <c r="X166" s="9" t="n">
        <v>8</v>
      </c>
      <c r="Y166" s="9" t="inlineStr">
        <is>
          <t>2026-S08</t>
        </is>
      </c>
    </row>
    <row r="167">
      <c r="A167" s="9" t="n">
        <v>43046945</v>
      </c>
      <c r="B167" s="11" t="n">
        <v>46071.78769675926</v>
      </c>
      <c r="C167" s="12" t="n">
        <v>46071</v>
      </c>
      <c r="D167" s="9">
        <f>YEAR(C167)</f>
        <v/>
      </c>
      <c r="E167" s="9">
        <f>MONTH(C167)</f>
        <v/>
      </c>
      <c r="F167" s="9" t="inlineStr">
        <is>
          <t>Redondo liso</t>
        </is>
      </c>
      <c r="G167" s="9" t="inlineStr">
        <is>
          <t>REDONDO LISO 12MM 6M SAE 1020 (N)</t>
        </is>
      </c>
      <c r="H167" s="9" t="inlineStr">
        <is>
          <t>REDONDO LISO 12MM 6M SAE 1020 (N)</t>
        </is>
      </c>
      <c r="I167" s="9" t="inlineStr">
        <is>
          <t>RED 12</t>
        </is>
      </c>
      <c r="J167" s="9" t="n">
        <v>109007067</v>
      </c>
      <c r="K167" s="9" t="n">
        <v>12</v>
      </c>
      <c r="L167" s="9" t="n"/>
      <c r="M167" s="9" t="n"/>
      <c r="N167" s="9" t="n"/>
      <c r="O167" s="9" t="n">
        <v>6</v>
      </c>
      <c r="P167" s="13" t="n">
        <v>215267</v>
      </c>
      <c r="Q167" s="13" t="n">
        <v>240781.2</v>
      </c>
      <c r="R167" s="14">
        <f>IFERROR(P167/Q167,"")</f>
        <v/>
      </c>
      <c r="S167" s="15" t="n">
        <v>0.9590000000000001</v>
      </c>
      <c r="T167" s="9">
        <f>IF(R167&gt;1,"A corregir","Válida")</f>
        <v/>
      </c>
      <c r="U167" s="13">
        <f>Q167-P167</f>
        <v/>
      </c>
      <c r="V167" s="13">
        <f>IF(S167="",0,S167*Q167)</f>
        <v/>
      </c>
      <c r="W167" s="9" t="n">
        <v>2026</v>
      </c>
      <c r="X167" s="9" t="n">
        <v>8</v>
      </c>
      <c r="Y167" s="9" t="inlineStr">
        <is>
          <t>2026-S08</t>
        </is>
      </c>
    </row>
    <row r="168">
      <c r="A168" s="9" t="n">
        <v>43046958</v>
      </c>
      <c r="B168" s="11" t="n">
        <v>46072.88424768519</v>
      </c>
      <c r="C168" s="12" t="n">
        <v>46072</v>
      </c>
      <c r="D168" s="9">
        <f>YEAR(C168)</f>
        <v/>
      </c>
      <c r="E168" s="9">
        <f>MONTH(C168)</f>
        <v/>
      </c>
      <c r="F168" s="9" t="inlineStr">
        <is>
          <t>Plana</t>
        </is>
      </c>
      <c r="G168" s="9" t="inlineStr">
        <is>
          <t>PLANA 25X5MM 6M A270ES (N)</t>
        </is>
      </c>
      <c r="H168" s="9" t="inlineStr">
        <is>
          <t>PLANA 25X5MM 6M A270ES (N)</t>
        </is>
      </c>
      <c r="I168" s="9" t="inlineStr">
        <is>
          <t>PL 25 x 5</t>
        </is>
      </c>
      <c r="J168" s="9" t="n">
        <v>109013945</v>
      </c>
      <c r="K168" s="9" t="n"/>
      <c r="L168" s="9" t="n">
        <v>25</v>
      </c>
      <c r="M168" s="9" t="n">
        <v>5</v>
      </c>
      <c r="N168" s="9" t="n"/>
      <c r="O168" s="9" t="n">
        <v>6</v>
      </c>
      <c r="P168" s="13" t="n">
        <v>47048</v>
      </c>
      <c r="Q168" s="13" t="n">
        <v>50529.6</v>
      </c>
      <c r="R168" s="14">
        <f>IFERROR(P168/Q168,"")</f>
        <v/>
      </c>
      <c r="S168" s="15" t="n">
        <v>0.965</v>
      </c>
      <c r="T168" s="9">
        <f>IF(R168&gt;1,"A corregir","Válida")</f>
        <v/>
      </c>
      <c r="U168" s="13">
        <f>Q168-P168</f>
        <v/>
      </c>
      <c r="V168" s="13">
        <f>IF(S168="",0,S168*Q168)</f>
        <v/>
      </c>
      <c r="W168" s="9" t="n">
        <v>2026</v>
      </c>
      <c r="X168" s="9" t="n">
        <v>8</v>
      </c>
      <c r="Y168" s="9" t="inlineStr">
        <is>
          <t>2026-S08</t>
        </is>
      </c>
    </row>
    <row r="169">
      <c r="A169" s="9" t="n">
        <v>43046959</v>
      </c>
      <c r="B169" s="11" t="n">
        <v>46073.06846064814</v>
      </c>
      <c r="C169" s="12" t="n">
        <v>46073</v>
      </c>
      <c r="D169" s="9">
        <f>YEAR(C169)</f>
        <v/>
      </c>
      <c r="E169" s="9">
        <f>MONTH(C169)</f>
        <v/>
      </c>
      <c r="F169" s="9" t="inlineStr">
        <is>
          <t>Plana</t>
        </is>
      </c>
      <c r="G169" s="9" t="inlineStr">
        <is>
          <t>PLANA 18X8MM 6M COM (Canto-RED) (N)</t>
        </is>
      </c>
      <c r="H169" s="9" t="inlineStr">
        <is>
          <t>PLANA 18X8MM 6M COM (Canto-RED) (N)</t>
        </is>
      </c>
      <c r="I169" s="9" t="inlineStr">
        <is>
          <t>PL 18 x 8</t>
        </is>
      </c>
      <c r="J169" s="9" t="n">
        <v>119502737</v>
      </c>
      <c r="K169" s="9" t="n"/>
      <c r="L169" s="9" t="n">
        <v>18</v>
      </c>
      <c r="M169" s="9" t="n">
        <v>8</v>
      </c>
      <c r="N169" s="9" t="n"/>
      <c r="O169" s="9" t="n">
        <v>6</v>
      </c>
      <c r="P169" s="13" t="n">
        <v>22412</v>
      </c>
      <c r="Q169" s="13" t="n">
        <v>23733.6</v>
      </c>
      <c r="R169" s="14">
        <f>IFERROR(P169/Q169,"")</f>
        <v/>
      </c>
      <c r="S169" s="15" t="n">
        <v>0.966</v>
      </c>
      <c r="T169" s="9">
        <f>IF(R169&gt;1,"A corregir","Válida")</f>
        <v/>
      </c>
      <c r="U169" s="13">
        <f>Q169-P169</f>
        <v/>
      </c>
      <c r="V169" s="13">
        <f>IF(S169="",0,S169*Q169)</f>
        <v/>
      </c>
      <c r="W169" s="9" t="n">
        <v>2026</v>
      </c>
      <c r="X169" s="9" t="n">
        <v>8</v>
      </c>
      <c r="Y169" s="9" t="inlineStr">
        <is>
          <t>2026-S08</t>
        </is>
      </c>
    </row>
    <row r="170">
      <c r="A170" s="9" t="n">
        <v>43046960</v>
      </c>
      <c r="B170" s="11" t="n">
        <v>46073.15046296296</v>
      </c>
      <c r="C170" s="12" t="n">
        <v>46073</v>
      </c>
      <c r="D170" s="9">
        <f>YEAR(C170)</f>
        <v/>
      </c>
      <c r="E170" s="9">
        <f>MONTH(C170)</f>
        <v/>
      </c>
      <c r="F170" s="9" t="inlineStr">
        <is>
          <t>Plana</t>
        </is>
      </c>
      <c r="G170" s="9" t="inlineStr">
        <is>
          <t>PLANA 18X8MM 6M COMERCIAL (N)</t>
        </is>
      </c>
      <c r="H170" s="9" t="inlineStr">
        <is>
          <t>PLANA 18X8MM 6M COMERCIAL (N)</t>
        </is>
      </c>
      <c r="I170" s="9" t="inlineStr">
        <is>
          <t>PL 18 x 8</t>
        </is>
      </c>
      <c r="J170" s="9" t="n">
        <v>109007087</v>
      </c>
      <c r="K170" s="9" t="n"/>
      <c r="L170" s="9" t="n">
        <v>18</v>
      </c>
      <c r="M170" s="9" t="n">
        <v>8</v>
      </c>
      <c r="N170" s="9" t="n"/>
      <c r="O170" s="9" t="n">
        <v>6</v>
      </c>
      <c r="P170" s="13" t="n">
        <v>22193</v>
      </c>
      <c r="Q170" s="13" t="n">
        <v>23733.6</v>
      </c>
      <c r="R170" s="14">
        <f>IFERROR(P170/Q170,"")</f>
        <v/>
      </c>
      <c r="S170" s="15" t="n">
        <v>0.966</v>
      </c>
      <c r="T170" s="9">
        <f>IF(R170&gt;1,"A corregir","Válida")</f>
        <v/>
      </c>
      <c r="U170" s="13">
        <f>Q170-P170</f>
        <v/>
      </c>
      <c r="V170" s="13">
        <f>IF(S170="",0,S170*Q170)</f>
        <v/>
      </c>
      <c r="W170" s="9" t="n">
        <v>2026</v>
      </c>
      <c r="X170" s="9" t="n">
        <v>8</v>
      </c>
      <c r="Y170" s="9" t="inlineStr">
        <is>
          <t>2026-S08</t>
        </is>
      </c>
    </row>
    <row r="171">
      <c r="A171" s="9" t="n">
        <v>43046979</v>
      </c>
      <c r="B171" s="11" t="n">
        <v>46073.22273148148</v>
      </c>
      <c r="C171" s="12" t="n">
        <v>46073</v>
      </c>
      <c r="D171" s="9">
        <f>YEAR(C171)</f>
        <v/>
      </c>
      <c r="E171" s="9">
        <f>MONTH(C171)</f>
        <v/>
      </c>
      <c r="F171" s="9" t="inlineStr">
        <is>
          <t>Plana</t>
        </is>
      </c>
      <c r="G171" s="9" t="inlineStr">
        <is>
          <t>PLANA 19X7,3MM 6M COMERCIAL (N)</t>
        </is>
      </c>
      <c r="H171" s="9" t="inlineStr">
        <is>
          <t>PLANA 19X7,3MM 6M COMERCIAL (N)</t>
        </is>
      </c>
      <c r="I171" s="9" t="inlineStr">
        <is>
          <t>PL 19 x 7,3</t>
        </is>
      </c>
      <c r="J171" s="9" t="n">
        <v>109007019</v>
      </c>
      <c r="K171" s="9" t="n"/>
      <c r="L171" s="9" t="n">
        <v>19</v>
      </c>
      <c r="M171" s="9" t="n">
        <v>7.3</v>
      </c>
      <c r="N171" s="9" t="n"/>
      <c r="O171" s="9" t="n">
        <v>6</v>
      </c>
      <c r="P171" s="13" t="n">
        <v>31777</v>
      </c>
      <c r="Q171" s="13" t="n">
        <v>33686.4</v>
      </c>
      <c r="R171" s="14">
        <f>IFERROR(P171/Q171,"")</f>
        <v/>
      </c>
      <c r="S171" s="15" t="n">
        <v>0.9670000000000001</v>
      </c>
      <c r="T171" s="9">
        <f>IF(R171&gt;1,"A corregir","Válida")</f>
        <v/>
      </c>
      <c r="U171" s="13">
        <f>Q171-P171</f>
        <v/>
      </c>
      <c r="V171" s="13">
        <f>IF(S171="",0,S171*Q171)</f>
        <v/>
      </c>
      <c r="W171" s="9" t="n">
        <v>2026</v>
      </c>
      <c r="X171" s="9" t="n">
        <v>8</v>
      </c>
      <c r="Y171" s="9" t="inlineStr">
        <is>
          <t>2026-S08</t>
        </is>
      </c>
    </row>
    <row r="172">
      <c r="A172" s="9" t="n">
        <v>43046962</v>
      </c>
      <c r="B172" s="11" t="n">
        <v>46073.40596064815</v>
      </c>
      <c r="C172" s="12" t="n">
        <v>46073</v>
      </c>
      <c r="D172" s="9">
        <f>YEAR(C172)</f>
        <v/>
      </c>
      <c r="E172" s="9">
        <f>MONTH(C172)</f>
        <v/>
      </c>
      <c r="F172" s="9" t="inlineStr">
        <is>
          <t>Plana</t>
        </is>
      </c>
      <c r="G172" s="9" t="inlineStr">
        <is>
          <t>PLANA 32X3MM 6M A270ES (N)</t>
        </is>
      </c>
      <c r="H172" s="9" t="inlineStr">
        <is>
          <t>PLANA 32X3MM 6M A270ES (N)</t>
        </is>
      </c>
      <c r="I172" s="9" t="inlineStr">
        <is>
          <t>PL 32 x 3</t>
        </is>
      </c>
      <c r="J172" s="9" t="n">
        <v>109013879</v>
      </c>
      <c r="K172" s="9" t="n"/>
      <c r="L172" s="9" t="n">
        <v>32</v>
      </c>
      <c r="M172" s="9" t="n">
        <v>3</v>
      </c>
      <c r="N172" s="9" t="n"/>
      <c r="O172" s="9" t="n">
        <v>6</v>
      </c>
      <c r="P172" s="13" t="n">
        <v>55405</v>
      </c>
      <c r="Q172" s="13" t="n">
        <v>59716.8</v>
      </c>
      <c r="R172" s="14">
        <f>IFERROR(P172/Q172,"")</f>
        <v/>
      </c>
      <c r="S172" s="15" t="n">
        <v>0.966</v>
      </c>
      <c r="T172" s="9">
        <f>IF(R172&gt;1,"A corregir","Válida")</f>
        <v/>
      </c>
      <c r="U172" s="13">
        <f>Q172-P172</f>
        <v/>
      </c>
      <c r="V172" s="13">
        <f>IF(S172="",0,S172*Q172)</f>
        <v/>
      </c>
      <c r="W172" s="9" t="n">
        <v>2026</v>
      </c>
      <c r="X172" s="9" t="n">
        <v>8</v>
      </c>
      <c r="Y172" s="9" t="inlineStr">
        <is>
          <t>2026-S08</t>
        </is>
      </c>
    </row>
    <row r="173">
      <c r="A173" s="9" t="n">
        <v>43046978</v>
      </c>
      <c r="B173" s="11" t="n">
        <v>46073.8371412037</v>
      </c>
      <c r="C173" s="12" t="n">
        <v>46073</v>
      </c>
      <c r="D173" s="9">
        <f>YEAR(C173)</f>
        <v/>
      </c>
      <c r="E173" s="9">
        <f>MONTH(C173)</f>
        <v/>
      </c>
      <c r="F173" s="9" t="inlineStr">
        <is>
          <t>Cuadrado</t>
        </is>
      </c>
      <c r="G173" s="9" t="inlineStr">
        <is>
          <t>CUADRADO 12MM 6M COMERCIAL (N)</t>
        </is>
      </c>
      <c r="H173" s="9" t="inlineStr">
        <is>
          <t>CUADRADO 12MM 6M COMERCIAL (N)</t>
        </is>
      </c>
      <c r="I173" s="9" t="inlineStr">
        <is>
          <t>CUAD 12</t>
        </is>
      </c>
      <c r="J173" s="9" t="n">
        <v>109007065</v>
      </c>
      <c r="K173" s="9" t="n"/>
      <c r="L173" s="9" t="n"/>
      <c r="M173" s="9" t="n"/>
      <c r="N173" s="9" t="n">
        <v>12</v>
      </c>
      <c r="O173" s="9" t="n">
        <v>6</v>
      </c>
      <c r="P173" s="13" t="n">
        <v>77364</v>
      </c>
      <c r="Q173" s="13" t="n">
        <v>82790.39999999999</v>
      </c>
      <c r="R173" s="14">
        <f>IFERROR(P173/Q173,"")</f>
        <v/>
      </c>
      <c r="S173" s="15" t="n">
        <v>0.966</v>
      </c>
      <c r="T173" s="9">
        <f>IF(R173&gt;1,"A corregir","Válida")</f>
        <v/>
      </c>
      <c r="U173" s="13">
        <f>Q173-P173</f>
        <v/>
      </c>
      <c r="V173" s="13">
        <f>IF(S173="",0,S173*Q173)</f>
        <v/>
      </c>
      <c r="W173" s="9" t="n">
        <v>2026</v>
      </c>
      <c r="X173" s="9" t="n">
        <v>8</v>
      </c>
      <c r="Y173" s="9" t="inlineStr">
        <is>
          <t>2026-S08</t>
        </is>
      </c>
    </row>
    <row r="174">
      <c r="A174" s="9" t="n">
        <v>43046964</v>
      </c>
      <c r="B174" s="11" t="n">
        <v>46074.18028935185</v>
      </c>
      <c r="C174" s="12" t="n">
        <v>46074</v>
      </c>
      <c r="D174" s="9">
        <f>YEAR(C174)</f>
        <v/>
      </c>
      <c r="E174" s="9">
        <f>MONTH(C174)</f>
        <v/>
      </c>
      <c r="F174" s="9" t="inlineStr">
        <is>
          <t>Plana</t>
        </is>
      </c>
      <c r="G174" s="9" t="inlineStr">
        <is>
          <t>PLANA 32X6MM 6M A270ES (N)</t>
        </is>
      </c>
      <c r="H174" s="9" t="inlineStr">
        <is>
          <t>PLANA 32X6MM 6M A270ES (N)</t>
        </is>
      </c>
      <c r="I174" s="9" t="inlineStr">
        <is>
          <t>PL 32 x 6</t>
        </is>
      </c>
      <c r="J174" s="9" t="n">
        <v>109013916</v>
      </c>
      <c r="K174" s="9" t="n"/>
      <c r="L174" s="9" t="n">
        <v>32</v>
      </c>
      <c r="M174" s="9" t="n">
        <v>6</v>
      </c>
      <c r="N174" s="9" t="n"/>
      <c r="O174" s="9" t="n">
        <v>6</v>
      </c>
      <c r="P174" s="13" t="n">
        <v>29809</v>
      </c>
      <c r="Q174" s="13" t="n">
        <v>32947.2</v>
      </c>
      <c r="R174" s="14">
        <f>IFERROR(P174/Q174,"")</f>
        <v/>
      </c>
      <c r="S174" s="15" t="n">
        <v>0.965</v>
      </c>
      <c r="T174" s="9">
        <f>IF(R174&gt;1,"A corregir","Válida")</f>
        <v/>
      </c>
      <c r="U174" s="13">
        <f>Q174-P174</f>
        <v/>
      </c>
      <c r="V174" s="13">
        <f>IF(S174="",0,S174*Q174)</f>
        <v/>
      </c>
      <c r="W174" s="9" t="n">
        <v>2026</v>
      </c>
      <c r="X174" s="9" t="n">
        <v>8</v>
      </c>
      <c r="Y174" s="9" t="inlineStr">
        <is>
          <t>2026-S08</t>
        </is>
      </c>
    </row>
    <row r="175">
      <c r="A175" s="9" t="n">
        <v>43046965</v>
      </c>
      <c r="B175" s="11" t="n">
        <v>46074.26475694445</v>
      </c>
      <c r="C175" s="12" t="n">
        <v>46074</v>
      </c>
      <c r="D175" s="9">
        <f>YEAR(C175)</f>
        <v/>
      </c>
      <c r="E175" s="9">
        <f>MONTH(C175)</f>
        <v/>
      </c>
      <c r="F175" s="9" t="inlineStr">
        <is>
          <t>Plana</t>
        </is>
      </c>
      <c r="G175" s="9" t="inlineStr">
        <is>
          <t>PLANA 32X5MM 6M A270ES (N)</t>
        </is>
      </c>
      <c r="H175" s="9" t="inlineStr">
        <is>
          <t>PLANA 32X5MM 6M A270ES (N)</t>
        </is>
      </c>
      <c r="I175" s="9" t="inlineStr">
        <is>
          <t>PL 32 x 5</t>
        </is>
      </c>
      <c r="J175" s="9" t="n">
        <v>109013897</v>
      </c>
      <c r="K175" s="9" t="n"/>
      <c r="L175" s="9" t="n">
        <v>32</v>
      </c>
      <c r="M175" s="9" t="n">
        <v>5</v>
      </c>
      <c r="N175" s="9" t="n"/>
      <c r="O175" s="9" t="n">
        <v>6</v>
      </c>
      <c r="P175" s="13" t="n">
        <v>36240</v>
      </c>
      <c r="Q175" s="13" t="n">
        <v>38438.4</v>
      </c>
      <c r="R175" s="14">
        <f>IFERROR(P175/Q175,"")</f>
        <v/>
      </c>
      <c r="S175" s="15" t="n">
        <v>0.966</v>
      </c>
      <c r="T175" s="9">
        <f>IF(R175&gt;1,"A corregir","Válida")</f>
        <v/>
      </c>
      <c r="U175" s="13">
        <f>Q175-P175</f>
        <v/>
      </c>
      <c r="V175" s="13">
        <f>IF(S175="",0,S175*Q175)</f>
        <v/>
      </c>
      <c r="W175" s="9" t="n">
        <v>2026</v>
      </c>
      <c r="X175" s="9" t="n">
        <v>8</v>
      </c>
      <c r="Y175" s="9" t="inlineStr">
        <is>
          <t>2026-S08</t>
        </is>
      </c>
    </row>
    <row r="176">
      <c r="A176" s="9" t="n">
        <v>43046966</v>
      </c>
      <c r="B176" s="11" t="n">
        <v>46074.3794212963</v>
      </c>
      <c r="C176" s="12" t="n">
        <v>46074</v>
      </c>
      <c r="D176" s="9">
        <f>YEAR(C176)</f>
        <v/>
      </c>
      <c r="E176" s="9">
        <f>MONTH(C176)</f>
        <v/>
      </c>
      <c r="F176" s="9" t="inlineStr">
        <is>
          <t>Plana</t>
        </is>
      </c>
      <c r="G176" s="9" t="inlineStr">
        <is>
          <t>PLANA ASERRADA 32X4,85MM 6M A270ES (N)</t>
        </is>
      </c>
      <c r="H176" s="9" t="inlineStr">
        <is>
          <t>PLANA ASERRADA 32X4,85MM 6M A270ES (N)</t>
        </is>
      </c>
      <c r="I176" s="9" t="inlineStr">
        <is>
          <t>PL 32 x 4,85</t>
        </is>
      </c>
      <c r="J176" s="9" t="n">
        <v>109016011</v>
      </c>
      <c r="K176" s="9" t="n"/>
      <c r="L176" s="9" t="n">
        <v>32</v>
      </c>
      <c r="M176" s="9" t="n">
        <v>4.85</v>
      </c>
      <c r="N176" s="9" t="n"/>
      <c r="O176" s="9" t="n">
        <v>6</v>
      </c>
      <c r="P176" s="13" t="n">
        <v>86731</v>
      </c>
      <c r="Q176" s="13" t="n">
        <v>91660.8</v>
      </c>
      <c r="R176" s="14">
        <f>IFERROR(P176/Q176,"")</f>
        <v/>
      </c>
      <c r="S176" s="15" t="n">
        <v>0.965</v>
      </c>
      <c r="T176" s="9">
        <f>IF(R176&gt;1,"A corregir","Válida")</f>
        <v/>
      </c>
      <c r="U176" s="13">
        <f>Q176-P176</f>
        <v/>
      </c>
      <c r="V176" s="13">
        <f>IF(S176="",0,S176*Q176)</f>
        <v/>
      </c>
      <c r="W176" s="9" t="n">
        <v>2026</v>
      </c>
      <c r="X176" s="9" t="n">
        <v>8</v>
      </c>
      <c r="Y176" s="9" t="inlineStr">
        <is>
          <t>2026-S08</t>
        </is>
      </c>
    </row>
    <row r="177">
      <c r="A177" s="9" t="n">
        <v>43046967</v>
      </c>
      <c r="B177" s="11" t="n">
        <v>46076.12409722222</v>
      </c>
      <c r="C177" s="12" t="n">
        <v>46076</v>
      </c>
      <c r="D177" s="9">
        <f>YEAR(C177)</f>
        <v/>
      </c>
      <c r="E177" s="9">
        <f>MONTH(C177)</f>
        <v/>
      </c>
      <c r="F177" s="9" t="inlineStr">
        <is>
          <t>Plana</t>
        </is>
      </c>
      <c r="G177" s="9" t="inlineStr">
        <is>
          <t>PLANA 38X3MM 6M A270ES (N)</t>
        </is>
      </c>
      <c r="H177" s="9" t="inlineStr">
        <is>
          <t>PLANA 38X3MM 6M A270ES (N)</t>
        </is>
      </c>
      <c r="I177" s="9" t="inlineStr">
        <is>
          <t>PL 38 x 3</t>
        </is>
      </c>
      <c r="J177" s="9" t="n">
        <v>109013904</v>
      </c>
      <c r="K177" s="9" t="n"/>
      <c r="L177" s="9" t="n">
        <v>38</v>
      </c>
      <c r="M177" s="9" t="n">
        <v>3</v>
      </c>
      <c r="N177" s="9" t="n"/>
      <c r="O177" s="9" t="n">
        <v>6</v>
      </c>
      <c r="P177" s="13" t="n">
        <v>107368</v>
      </c>
      <c r="Q177" s="13" t="n">
        <v>114470.4</v>
      </c>
      <c r="R177" s="14">
        <f>IFERROR(P177/Q177,"")</f>
        <v/>
      </c>
      <c r="S177" s="15" t="n">
        <v>0.966</v>
      </c>
      <c r="T177" s="9">
        <f>IF(R177&gt;1,"A corregir","Válida")</f>
        <v/>
      </c>
      <c r="U177" s="13">
        <f>Q177-P177</f>
        <v/>
      </c>
      <c r="V177" s="13">
        <f>IF(S177="",0,S177*Q177)</f>
        <v/>
      </c>
      <c r="W177" s="9" t="n">
        <v>2026</v>
      </c>
      <c r="X177" s="9" t="n">
        <v>9</v>
      </c>
      <c r="Y177" s="9" t="inlineStr">
        <is>
          <t>2026-S09</t>
        </is>
      </c>
    </row>
    <row r="178">
      <c r="A178" s="9" t="n">
        <v>43046992</v>
      </c>
      <c r="B178" s="11" t="n">
        <v>46076.5596412037</v>
      </c>
      <c r="C178" s="12" t="n">
        <v>46076</v>
      </c>
      <c r="D178" s="9">
        <f>YEAR(C178)</f>
        <v/>
      </c>
      <c r="E178" s="9">
        <f>MONTH(C178)</f>
        <v/>
      </c>
      <c r="F178" s="9" t="inlineStr">
        <is>
          <t>Ángulo</t>
        </is>
      </c>
      <c r="G178" s="9" t="inlineStr">
        <is>
          <t>ANGULO 25X25X3MM A270ES</t>
        </is>
      </c>
      <c r="H178" s="9" t="inlineStr">
        <is>
          <t>ANGULO SEMI 25X25X3MM A270ES</t>
        </is>
      </c>
      <c r="I178" s="9" t="inlineStr">
        <is>
          <t>ANG 25 x 3</t>
        </is>
      </c>
      <c r="J178" s="9" t="n">
        <v>106501017</v>
      </c>
      <c r="K178" s="9" t="n"/>
      <c r="L178" s="9" t="n">
        <v>25</v>
      </c>
      <c r="M178" s="9" t="n">
        <v>3</v>
      </c>
      <c r="N178" s="9" t="n"/>
      <c r="O178" s="9" t="n">
        <v>12</v>
      </c>
      <c r="P178" s="13" t="n">
        <v>138377</v>
      </c>
      <c r="Q178" s="13" t="n">
        <v>145411.2</v>
      </c>
      <c r="R178" s="14">
        <f>IFERROR(P178/Q178,"")</f>
        <v/>
      </c>
      <c r="S178" s="15" t="n">
        <v>0.963</v>
      </c>
      <c r="T178" s="9">
        <f>IF(R178&gt;1,"A corregir","Válida")</f>
        <v/>
      </c>
      <c r="U178" s="13">
        <f>Q178-P178</f>
        <v/>
      </c>
      <c r="V178" s="13">
        <f>IF(S178="",0,S178*Q178)</f>
        <v/>
      </c>
      <c r="W178" s="9" t="n">
        <v>2026</v>
      </c>
      <c r="X178" s="9" t="n">
        <v>9</v>
      </c>
      <c r="Y178" s="9" t="inlineStr">
        <is>
          <t>2026-S09</t>
        </is>
      </c>
    </row>
    <row r="179">
      <c r="A179" s="9" t="n">
        <v>43046993</v>
      </c>
      <c r="B179" s="11" t="n">
        <v>46077.00055555555</v>
      </c>
      <c r="C179" s="12" t="n">
        <v>46077</v>
      </c>
      <c r="D179" s="9">
        <f>YEAR(C179)</f>
        <v/>
      </c>
      <c r="E179" s="9">
        <f>MONTH(C179)</f>
        <v/>
      </c>
      <c r="F179" s="9" t="inlineStr">
        <is>
          <t>Redondo liso</t>
        </is>
      </c>
      <c r="G179" s="9" t="inlineStr">
        <is>
          <t>REDONDO LISO 16MM 6M SAE 1020 (N)</t>
        </is>
      </c>
      <c r="H179" s="9" t="inlineStr">
        <is>
          <t>REDONDO LISO 16MM 6M SAE 1020 (N)</t>
        </is>
      </c>
      <c r="I179" s="9" t="inlineStr">
        <is>
          <t>RED 16</t>
        </is>
      </c>
      <c r="J179" s="9" t="n">
        <v>119502683</v>
      </c>
      <c r="K179" s="9" t="n">
        <v>16</v>
      </c>
      <c r="L179" s="9" t="n"/>
      <c r="M179" s="9" t="n"/>
      <c r="N179" s="9" t="n"/>
      <c r="O179" s="9" t="n">
        <v>6</v>
      </c>
      <c r="P179" s="13" t="n">
        <v>130843</v>
      </c>
      <c r="Q179" s="13" t="n">
        <v>139576.8</v>
      </c>
      <c r="R179" s="14">
        <f>IFERROR(P179/Q179,"")</f>
        <v/>
      </c>
      <c r="S179" s="15" t="n">
        <v>0.958</v>
      </c>
      <c r="T179" s="9">
        <f>IF(R179&gt;1,"A corregir","Válida")</f>
        <v/>
      </c>
      <c r="U179" s="13">
        <f>Q179-P179</f>
        <v/>
      </c>
      <c r="V179" s="13">
        <f>IF(S179="",0,S179*Q179)</f>
        <v/>
      </c>
      <c r="W179" s="9" t="n">
        <v>2026</v>
      </c>
      <c r="X179" s="9" t="n">
        <v>9</v>
      </c>
      <c r="Y179" s="9" t="inlineStr">
        <is>
          <t>2026-S09</t>
        </is>
      </c>
    </row>
    <row r="180">
      <c r="A180" s="9" t="n">
        <v>43047006</v>
      </c>
      <c r="B180" s="11" t="n">
        <v>46077.26015046296</v>
      </c>
      <c r="C180" s="12" t="n">
        <v>46077</v>
      </c>
      <c r="D180" s="9">
        <f>YEAR(C180)</f>
        <v/>
      </c>
      <c r="E180" s="9">
        <f>MONTH(C180)</f>
        <v/>
      </c>
      <c r="F180" s="9" t="inlineStr">
        <is>
          <t>Redondo liso</t>
        </is>
      </c>
      <c r="G180" s="9" t="inlineStr">
        <is>
          <t>REDONDO LISO 16MM 6M SAE 1020 (N)</t>
        </is>
      </c>
      <c r="H180" s="9" t="inlineStr">
        <is>
          <t>REDONDO LISO 16MM 6M SAE 1020 (N)</t>
        </is>
      </c>
      <c r="I180" s="9" t="inlineStr">
        <is>
          <t>RED 16</t>
        </is>
      </c>
      <c r="J180" s="9" t="n">
        <v>119502683</v>
      </c>
      <c r="K180" s="9" t="n">
        <v>16</v>
      </c>
      <c r="L180" s="9" t="n"/>
      <c r="M180" s="9" t="n"/>
      <c r="N180" s="9" t="n"/>
      <c r="O180" s="9" t="n">
        <v>6</v>
      </c>
      <c r="P180" s="13" t="n">
        <v>33940</v>
      </c>
      <c r="Q180" s="13" t="n">
        <v>35600.4</v>
      </c>
      <c r="R180" s="14">
        <f>IFERROR(P180/Q180,"")</f>
        <v/>
      </c>
      <c r="S180" s="15" t="n">
        <v>0.958</v>
      </c>
      <c r="T180" s="9">
        <f>IF(R180&gt;1,"A corregir","Válida")</f>
        <v/>
      </c>
      <c r="U180" s="13">
        <f>Q180-P180</f>
        <v/>
      </c>
      <c r="V180" s="13">
        <f>IF(S180="",0,S180*Q180)</f>
        <v/>
      </c>
      <c r="W180" s="9" t="n">
        <v>2026</v>
      </c>
      <c r="X180" s="9" t="n">
        <v>9</v>
      </c>
      <c r="Y180" s="9" t="inlineStr">
        <is>
          <t>2026-S09</t>
        </is>
      </c>
    </row>
    <row r="181">
      <c r="A181" s="9" t="n">
        <v>43046997</v>
      </c>
      <c r="B181" s="11" t="n">
        <v>46077.35702546296</v>
      </c>
      <c r="C181" s="12" t="n">
        <v>46077</v>
      </c>
      <c r="D181" s="9">
        <f>YEAR(C181)</f>
        <v/>
      </c>
      <c r="E181" s="9">
        <f>MONTH(C181)</f>
        <v/>
      </c>
      <c r="F181" s="9" t="inlineStr">
        <is>
          <t>Redondo liso</t>
        </is>
      </c>
      <c r="G181" s="9" t="inlineStr">
        <is>
          <t>REDONDO LISO 5/8' 6M SAE 1020 (N)</t>
        </is>
      </c>
      <c r="H181" s="9" t="inlineStr">
        <is>
          <t>REDONDO LISO 5/8' 6M SAE 1020 (N)</t>
        </is>
      </c>
      <c r="I181" s="9" t="inlineStr">
        <is>
          <t>RED 16</t>
        </is>
      </c>
      <c r="J181" s="9" t="n">
        <v>109006913</v>
      </c>
      <c r="K181" s="9" t="n">
        <v>15.9</v>
      </c>
      <c r="L181" s="9" t="n"/>
      <c r="M181" s="9" t="n"/>
      <c r="N181" s="9" t="n"/>
      <c r="O181" s="9" t="n">
        <v>6</v>
      </c>
      <c r="P181" s="13" t="n">
        <v>56962</v>
      </c>
      <c r="Q181" s="13" t="n">
        <v>61485.6</v>
      </c>
      <c r="R181" s="14">
        <f>IFERROR(P181/Q181,"")</f>
        <v/>
      </c>
      <c r="S181" s="15" t="n">
        <v>0.9590000000000001</v>
      </c>
      <c r="T181" s="9">
        <f>IF(R181&gt;1,"A corregir","Válida")</f>
        <v/>
      </c>
      <c r="U181" s="13">
        <f>Q181-P181</f>
        <v/>
      </c>
      <c r="V181" s="13">
        <f>IF(S181="",0,S181*Q181)</f>
        <v/>
      </c>
      <c r="W181" s="9" t="n">
        <v>2026</v>
      </c>
      <c r="X181" s="9" t="n">
        <v>9</v>
      </c>
      <c r="Y181" s="9" t="inlineStr">
        <is>
          <t>2026-S09</t>
        </is>
      </c>
    </row>
    <row r="182">
      <c r="A182" s="9" t="n">
        <v>43046994</v>
      </c>
      <c r="B182" s="11" t="n">
        <v>46077.61137731482</v>
      </c>
      <c r="C182" s="12" t="n">
        <v>46077</v>
      </c>
      <c r="D182" s="9">
        <f>YEAR(C182)</f>
        <v/>
      </c>
      <c r="E182" s="9">
        <f>MONTH(C182)</f>
        <v/>
      </c>
      <c r="F182" s="9" t="inlineStr">
        <is>
          <t>Ángulo</t>
        </is>
      </c>
      <c r="G182" s="9" t="inlineStr">
        <is>
          <t>ANGULO 50X50X6MM A270ES</t>
        </is>
      </c>
      <c r="H182" s="9" t="inlineStr">
        <is>
          <t>ANGULO SEMI 50X50X6MM A270ES</t>
        </is>
      </c>
      <c r="I182" s="9" t="inlineStr">
        <is>
          <t>ANG 50 x 6</t>
        </is>
      </c>
      <c r="J182" s="9" t="n">
        <v>106501044</v>
      </c>
      <c r="K182" s="9" t="n"/>
      <c r="L182" s="9" t="n">
        <v>50</v>
      </c>
      <c r="M182" s="9" t="n">
        <v>6</v>
      </c>
      <c r="N182" s="9" t="n"/>
      <c r="O182" s="9" t="n">
        <v>6</v>
      </c>
      <c r="P182" s="13" t="n">
        <v>87484</v>
      </c>
      <c r="Q182" s="13" t="n">
        <v>94696.8</v>
      </c>
      <c r="R182" s="14">
        <f>IFERROR(P182/Q182,"")</f>
        <v/>
      </c>
      <c r="S182" s="15" t="n">
        <v>0.946</v>
      </c>
      <c r="T182" s="9">
        <f>IF(R182&gt;1,"A corregir","Válida")</f>
        <v/>
      </c>
      <c r="U182" s="13">
        <f>Q182-P182</f>
        <v/>
      </c>
      <c r="V182" s="13">
        <f>IF(S182="",0,S182*Q182)</f>
        <v/>
      </c>
      <c r="W182" s="9" t="n">
        <v>2026</v>
      </c>
      <c r="X182" s="9" t="n">
        <v>9</v>
      </c>
      <c r="Y182" s="9" t="inlineStr">
        <is>
          <t>2026-S09</t>
        </is>
      </c>
    </row>
    <row r="183">
      <c r="A183" s="9" t="n">
        <v>43046995</v>
      </c>
      <c r="B183" s="11" t="n">
        <v>46077.87413194445</v>
      </c>
      <c r="C183" s="12" t="n">
        <v>46077</v>
      </c>
      <c r="D183" s="9">
        <f>YEAR(C183)</f>
        <v/>
      </c>
      <c r="E183" s="9">
        <f>MONTH(C183)</f>
        <v/>
      </c>
      <c r="F183" s="9" t="inlineStr">
        <is>
          <t>Ángulo</t>
        </is>
      </c>
      <c r="G183" s="9" t="inlineStr">
        <is>
          <t>ANGULO 50X50X5MM A270ES</t>
        </is>
      </c>
      <c r="H183" s="9" t="inlineStr">
        <is>
          <t>ANGULO SEMI 50X50X5MM A270ES</t>
        </is>
      </c>
      <c r="I183" s="9" t="inlineStr">
        <is>
          <t>ANG 50 x 5</t>
        </is>
      </c>
      <c r="J183" s="9" t="n">
        <v>106501037</v>
      </c>
      <c r="K183" s="9" t="n"/>
      <c r="L183" s="9" t="n">
        <v>50</v>
      </c>
      <c r="M183" s="9" t="n">
        <v>5</v>
      </c>
      <c r="N183" s="9" t="n"/>
      <c r="O183" s="9" t="n">
        <v>6</v>
      </c>
      <c r="P183" s="13" t="n">
        <v>90205</v>
      </c>
      <c r="Q183" s="13" t="n">
        <v>97389.60000000001</v>
      </c>
      <c r="R183" s="14">
        <f>IFERROR(P183/Q183,"")</f>
        <v/>
      </c>
      <c r="S183" s="15" t="n">
        <v>0.948</v>
      </c>
      <c r="T183" s="9">
        <f>IF(R183&gt;1,"A corregir","Válida")</f>
        <v/>
      </c>
      <c r="U183" s="13">
        <f>Q183-P183</f>
        <v/>
      </c>
      <c r="V183" s="13">
        <f>IF(S183="",0,S183*Q183)</f>
        <v/>
      </c>
      <c r="W183" s="9" t="n">
        <v>2026</v>
      </c>
      <c r="X183" s="9" t="n">
        <v>9</v>
      </c>
      <c r="Y183" s="9" t="inlineStr">
        <is>
          <t>2026-S09</t>
        </is>
      </c>
    </row>
    <row r="184">
      <c r="A184" s="9" t="n">
        <v>43046996</v>
      </c>
      <c r="B184" s="11" t="n">
        <v>46078.10984953704</v>
      </c>
      <c r="C184" s="12" t="n">
        <v>46078</v>
      </c>
      <c r="D184" s="9">
        <f>YEAR(C184)</f>
        <v/>
      </c>
      <c r="E184" s="9">
        <f>MONTH(C184)</f>
        <v/>
      </c>
      <c r="F184" s="9" t="inlineStr">
        <is>
          <t>Ángulo</t>
        </is>
      </c>
      <c r="G184" s="9" t="inlineStr">
        <is>
          <t>ANGULO 50X50X3MM A270ES</t>
        </is>
      </c>
      <c r="H184" s="9" t="inlineStr">
        <is>
          <t>ANGULO SEMI 50X50X3MM A270ES</t>
        </is>
      </c>
      <c r="I184" s="9" t="inlineStr">
        <is>
          <t>ANG 50 x 3</t>
        </is>
      </c>
      <c r="J184" s="9" t="n">
        <v>106501038</v>
      </c>
      <c r="K184" s="9" t="n"/>
      <c r="L184" s="9" t="n">
        <v>50</v>
      </c>
      <c r="M184" s="9" t="n">
        <v>3</v>
      </c>
      <c r="N184" s="9" t="n"/>
      <c r="O184" s="9" t="n">
        <v>6</v>
      </c>
      <c r="P184" s="13" t="n">
        <v>157069</v>
      </c>
      <c r="Q184" s="13" t="n">
        <v>167851.2</v>
      </c>
      <c r="R184" s="14">
        <f>IFERROR(P184/Q184,"")</f>
        <v/>
      </c>
      <c r="S184" s="15" t="n">
        <v>0.953</v>
      </c>
      <c r="T184" s="9">
        <f>IF(R184&gt;1,"A corregir","Válida")</f>
        <v/>
      </c>
      <c r="U184" s="13">
        <f>Q184-P184</f>
        <v/>
      </c>
      <c r="V184" s="13">
        <f>IF(S184="",0,S184*Q184)</f>
        <v/>
      </c>
      <c r="W184" s="9" t="n">
        <v>2026</v>
      </c>
      <c r="X184" s="9" t="n">
        <v>9</v>
      </c>
      <c r="Y184" s="9" t="inlineStr">
        <is>
          <t>2026-S09</t>
        </is>
      </c>
    </row>
    <row r="185">
      <c r="A185" s="9" t="n">
        <v>43047020</v>
      </c>
      <c r="B185" s="11" t="n">
        <v>46078.71657407407</v>
      </c>
      <c r="C185" s="12" t="n">
        <v>46078</v>
      </c>
      <c r="D185" s="9">
        <f>YEAR(C185)</f>
        <v/>
      </c>
      <c r="E185" s="9">
        <f>MONTH(C185)</f>
        <v/>
      </c>
      <c r="F185" s="9" t="inlineStr">
        <is>
          <t>Ángulo</t>
        </is>
      </c>
      <c r="G185" s="9" t="inlineStr">
        <is>
          <t>ANGULO 80X80X10MM A270ES</t>
        </is>
      </c>
      <c r="H185" s="9" t="inlineStr">
        <is>
          <t>ANGULO SEMI 80X80X10MM A270ES</t>
        </is>
      </c>
      <c r="I185" s="9" t="inlineStr">
        <is>
          <t>ANG 80 x 10</t>
        </is>
      </c>
      <c r="J185" s="9" t="n">
        <v>106501048</v>
      </c>
      <c r="K185" s="9" t="n"/>
      <c r="L185" s="9" t="n">
        <v>80</v>
      </c>
      <c r="M185" s="9" t="n">
        <v>10</v>
      </c>
      <c r="N185" s="9" t="n"/>
      <c r="O185" s="9" t="n">
        <v>6</v>
      </c>
      <c r="P185" s="13" t="n">
        <v>30159</v>
      </c>
      <c r="Q185" s="13" t="n">
        <v>33211.2</v>
      </c>
      <c r="R185" s="14">
        <f>IFERROR(P185/Q185,"")</f>
        <v/>
      </c>
      <c r="S185" s="15" t="n">
        <v>0.9409999999999999</v>
      </c>
      <c r="T185" s="9">
        <f>IF(R185&gt;1,"A corregir","Válida")</f>
        <v/>
      </c>
      <c r="U185" s="13">
        <f>Q185-P185</f>
        <v/>
      </c>
      <c r="V185" s="13">
        <f>IF(S185="",0,S185*Q185)</f>
        <v/>
      </c>
      <c r="W185" s="9" t="n">
        <v>2026</v>
      </c>
      <c r="X185" s="9" t="n">
        <v>9</v>
      </c>
      <c r="Y185" s="9" t="inlineStr">
        <is>
          <t>2026-S09</t>
        </is>
      </c>
    </row>
    <row r="186">
      <c r="A186" s="9" t="n">
        <v>43047021</v>
      </c>
      <c r="B186" s="11" t="n">
        <v>46078.83660879629</v>
      </c>
      <c r="C186" s="12" t="n">
        <v>46078</v>
      </c>
      <c r="D186" s="9">
        <f>YEAR(C186)</f>
        <v/>
      </c>
      <c r="E186" s="9">
        <f>MONTH(C186)</f>
        <v/>
      </c>
      <c r="F186" s="9" t="inlineStr">
        <is>
          <t>Ángulo</t>
        </is>
      </c>
      <c r="G186" s="9" t="inlineStr">
        <is>
          <t>ANGULO 80X80X8MM A270ES</t>
        </is>
      </c>
      <c r="H186" s="9" t="inlineStr">
        <is>
          <t>ANGULO SEMI 80X80X8MM A270ES</t>
        </is>
      </c>
      <c r="I186" s="9" t="inlineStr">
        <is>
          <t>ANG 80 x 8</t>
        </is>
      </c>
      <c r="J186" s="9" t="n">
        <v>106501049</v>
      </c>
      <c r="K186" s="9" t="n"/>
      <c r="L186" s="9" t="n">
        <v>80</v>
      </c>
      <c r="M186" s="9" t="n">
        <v>8</v>
      </c>
      <c r="N186" s="9" t="n"/>
      <c r="O186" s="9" t="n">
        <v>6</v>
      </c>
      <c r="P186" s="13" t="n">
        <v>32383</v>
      </c>
      <c r="Q186" s="13" t="n">
        <v>32762.4</v>
      </c>
      <c r="R186" s="14">
        <f>IFERROR(P186/Q186,"")</f>
        <v/>
      </c>
      <c r="S186" s="15" t="n">
        <v>0.9340000000000001</v>
      </c>
      <c r="T186" s="9">
        <f>IF(R186&gt;1,"A corregir","Válida")</f>
        <v/>
      </c>
      <c r="U186" s="13">
        <f>Q186-P186</f>
        <v/>
      </c>
      <c r="V186" s="13">
        <f>IF(S186="",0,S186*Q186)</f>
        <v/>
      </c>
      <c r="W186" s="9" t="n">
        <v>2026</v>
      </c>
      <c r="X186" s="9" t="n">
        <v>9</v>
      </c>
      <c r="Y186" s="9" t="inlineStr">
        <is>
          <t>2026-S09</t>
        </is>
      </c>
    </row>
    <row r="187">
      <c r="A187" s="9" t="n">
        <v>43047022</v>
      </c>
      <c r="B187" s="11" t="n">
        <v>46079.0008912037</v>
      </c>
      <c r="C187" s="12" t="n">
        <v>46079</v>
      </c>
      <c r="D187" s="9">
        <f>YEAR(C187)</f>
        <v/>
      </c>
      <c r="E187" s="9">
        <f>MONTH(C187)</f>
        <v/>
      </c>
      <c r="F187" s="9" t="inlineStr">
        <is>
          <t>Ángulo</t>
        </is>
      </c>
      <c r="G187" s="9" t="inlineStr">
        <is>
          <t>ANGULO 80X80X6MM A270ES</t>
        </is>
      </c>
      <c r="H187" s="9" t="inlineStr">
        <is>
          <t>ANGULO SEMI 80X80X6MM A270ES</t>
        </is>
      </c>
      <c r="I187" s="9" t="inlineStr">
        <is>
          <t>ANG 80 x 6</t>
        </is>
      </c>
      <c r="J187" s="9" t="n">
        <v>106501050</v>
      </c>
      <c r="K187" s="9" t="n"/>
      <c r="L187" s="9" t="n">
        <v>80</v>
      </c>
      <c r="M187" s="9" t="n">
        <v>6</v>
      </c>
      <c r="N187" s="9" t="n"/>
      <c r="O187" s="9" t="n">
        <v>6</v>
      </c>
      <c r="P187" s="13" t="n">
        <v>138572</v>
      </c>
      <c r="Q187" s="13" t="n">
        <v>146308.8</v>
      </c>
      <c r="R187" s="14">
        <f>IFERROR(P187/Q187,"")</f>
        <v/>
      </c>
      <c r="S187" s="15" t="n">
        <v>0.9490000000000001</v>
      </c>
      <c r="T187" s="9">
        <f>IF(R187&gt;1,"A corregir","Válida")</f>
        <v/>
      </c>
      <c r="U187" s="13">
        <f>Q187-P187</f>
        <v/>
      </c>
      <c r="V187" s="13">
        <f>IF(S187="",0,S187*Q187)</f>
        <v/>
      </c>
      <c r="W187" s="9" t="n">
        <v>2026</v>
      </c>
      <c r="X187" s="9" t="n">
        <v>9</v>
      </c>
      <c r="Y187" s="9" t="inlineStr">
        <is>
          <t>2026-S09</t>
        </is>
      </c>
    </row>
    <row r="188">
      <c r="A188" s="9" t="n">
        <v>43047023</v>
      </c>
      <c r="B188" s="11" t="n">
        <v>46079.32193287037</v>
      </c>
      <c r="C188" s="12" t="n">
        <v>46079</v>
      </c>
      <c r="D188" s="9">
        <f>YEAR(C188)</f>
        <v/>
      </c>
      <c r="E188" s="9">
        <f>MONTH(C188)</f>
        <v/>
      </c>
      <c r="F188" s="9" t="inlineStr">
        <is>
          <t>Ángulo</t>
        </is>
      </c>
      <c r="G188" s="9" t="inlineStr">
        <is>
          <t>ANG 80X80X6MM 12M ASTM A572 T2 (N)</t>
        </is>
      </c>
      <c r="H188" s="9" t="inlineStr">
        <is>
          <t>ANG SEMI 80X80X6MM 12M ASTM A572 T2 (N)</t>
        </is>
      </c>
      <c r="I188" s="9" t="inlineStr">
        <is>
          <t>ANG 80 x 6</t>
        </is>
      </c>
      <c r="J188" s="9" t="n">
        <v>119502821</v>
      </c>
      <c r="K188" s="9" t="n"/>
      <c r="L188" s="9" t="n">
        <v>80</v>
      </c>
      <c r="M188" s="9" t="n">
        <v>6</v>
      </c>
      <c r="N188" s="9" t="n"/>
      <c r="O188" s="9" t="n">
        <v>12</v>
      </c>
      <c r="P188" s="13" t="n">
        <v>23651</v>
      </c>
      <c r="Q188" s="13" t="n">
        <v>25132.8</v>
      </c>
      <c r="R188" s="14">
        <f>IFERROR(P188/Q188,"")</f>
        <v/>
      </c>
      <c r="S188" s="15" t="n">
        <v>0.97</v>
      </c>
      <c r="T188" s="9">
        <f>IF(R188&gt;1,"A corregir","Válida")</f>
        <v/>
      </c>
      <c r="U188" s="13">
        <f>Q188-P188</f>
        <v/>
      </c>
      <c r="V188" s="13">
        <f>IF(S188="",0,S188*Q188)</f>
        <v/>
      </c>
      <c r="W188" s="9" t="n">
        <v>2026</v>
      </c>
      <c r="X188" s="9" t="n">
        <v>9</v>
      </c>
      <c r="Y188" s="9" t="inlineStr">
        <is>
          <t>2026-S09</t>
        </is>
      </c>
    </row>
    <row r="189">
      <c r="A189" s="9" t="n">
        <v>43047024</v>
      </c>
      <c r="B189" s="11" t="n">
        <v>46079.46954861111</v>
      </c>
      <c r="C189" s="12" t="n">
        <v>46079</v>
      </c>
      <c r="D189" s="9">
        <f>YEAR(C189)</f>
        <v/>
      </c>
      <c r="E189" s="9">
        <f>MONTH(C189)</f>
        <v/>
      </c>
      <c r="F189" s="9" t="inlineStr">
        <is>
          <t>Redondo liso</t>
        </is>
      </c>
      <c r="G189" s="9" t="inlineStr">
        <is>
          <t>REDONDO LISO 1 3/4' 6M SAE 1045 (N)</t>
        </is>
      </c>
      <c r="H189" s="9" t="inlineStr">
        <is>
          <t>REDONDO LISO 1 3/4' 6M SAE 1045 (N)</t>
        </is>
      </c>
      <c r="I189" s="9" t="inlineStr">
        <is>
          <t>RL 1,3/4</t>
        </is>
      </c>
      <c r="J189" s="9" t="n">
        <v>119502537</v>
      </c>
      <c r="K189" s="9" t="n">
        <v>44.4</v>
      </c>
      <c r="L189" s="9" t="n"/>
      <c r="M189" s="9" t="n"/>
      <c r="N189" s="9" t="n"/>
      <c r="O189" s="9" t="n">
        <v>6</v>
      </c>
      <c r="P189" s="13" t="n">
        <v>15632</v>
      </c>
      <c r="Q189" s="13" t="n">
        <v>18163.2</v>
      </c>
      <c r="R189" s="14">
        <f>IFERROR(P189/Q189,"")</f>
        <v/>
      </c>
      <c r="S189" s="15" t="n">
        <v>0.97</v>
      </c>
      <c r="T189" s="9">
        <f>IF(R189&gt;1,"A corregir","Válida")</f>
        <v/>
      </c>
      <c r="U189" s="13">
        <f>Q189-P189</f>
        <v/>
      </c>
      <c r="V189" s="13">
        <f>IF(S189="",0,S189*Q189)</f>
        <v/>
      </c>
      <c r="W189" s="9" t="n">
        <v>2026</v>
      </c>
      <c r="X189" s="9" t="n">
        <v>9</v>
      </c>
      <c r="Y189" s="9" t="inlineStr">
        <is>
          <t>2026-S09</t>
        </is>
      </c>
    </row>
    <row r="190">
      <c r="A190" s="9" t="n">
        <v>43047052</v>
      </c>
      <c r="B190" s="11" t="n">
        <v>46079.51851851852</v>
      </c>
      <c r="C190" s="12" t="n">
        <v>46079</v>
      </c>
      <c r="D190" s="9">
        <f>YEAR(C190)</f>
        <v/>
      </c>
      <c r="E190" s="9">
        <f>MONTH(C190)</f>
        <v/>
      </c>
      <c r="F190" s="9" t="inlineStr">
        <is>
          <t>Redondo liso</t>
        </is>
      </c>
      <c r="G190" s="9" t="inlineStr">
        <is>
          <t>REDONDO LISO 1 3/4' 6M A36 (N)</t>
        </is>
      </c>
      <c r="H190" s="9" t="inlineStr">
        <is>
          <t>REDONDO LISO 1 3/4' 6M A36 (N)</t>
        </is>
      </c>
      <c r="I190" s="9" t="inlineStr">
        <is>
          <t>RL 1,3/4</t>
        </is>
      </c>
      <c r="J190" s="9" t="n">
        <v>119502538</v>
      </c>
      <c r="K190" s="9" t="n">
        <v>44.4</v>
      </c>
      <c r="L190" s="9" t="n"/>
      <c r="M190" s="9" t="n"/>
      <c r="N190" s="9" t="n"/>
      <c r="O190" s="9" t="n">
        <v>6</v>
      </c>
      <c r="P190" s="13" t="n">
        <v>15630</v>
      </c>
      <c r="Q190" s="13" t="n">
        <v>19298.4</v>
      </c>
      <c r="R190" s="14">
        <f>IFERROR(P190/Q190,"")</f>
        <v/>
      </c>
      <c r="S190" s="15" t="n">
        <v>0.97</v>
      </c>
      <c r="T190" s="9">
        <f>IF(R190&gt;1,"A corregir","Válida")</f>
        <v/>
      </c>
      <c r="U190" s="13">
        <f>Q190-P190</f>
        <v/>
      </c>
      <c r="V190" s="13">
        <f>IF(S190="",0,S190*Q190)</f>
        <v/>
      </c>
      <c r="W190" s="9" t="n">
        <v>2026</v>
      </c>
      <c r="X190" s="9" t="n">
        <v>9</v>
      </c>
      <c r="Y190" s="9" t="inlineStr">
        <is>
          <t>2026-S09</t>
        </is>
      </c>
    </row>
    <row r="191">
      <c r="A191" s="9" t="n">
        <v>43047025</v>
      </c>
      <c r="B191" s="11" t="n">
        <v>46079.72790509259</v>
      </c>
      <c r="C191" s="12" t="n">
        <v>46079</v>
      </c>
      <c r="D191" s="9">
        <f>YEAR(C191)</f>
        <v/>
      </c>
      <c r="E191" s="9">
        <f>MONTH(C191)</f>
        <v/>
      </c>
      <c r="F191" s="9" t="inlineStr">
        <is>
          <t>Redondo liso</t>
        </is>
      </c>
      <c r="G191" s="9" t="inlineStr">
        <is>
          <t>REDONDO LISO 1 1/2' 6M ASTM A 36 (N)</t>
        </is>
      </c>
      <c r="H191" s="9" t="inlineStr">
        <is>
          <t>REDONDO LISO 1 1/2' 6M ASTM A 36 (N)</t>
        </is>
      </c>
      <c r="I191" s="9" t="inlineStr">
        <is>
          <t>RED 1,1/2</t>
        </is>
      </c>
      <c r="J191" s="9" t="n">
        <v>109006963</v>
      </c>
      <c r="K191" s="9" t="n">
        <v>38.1</v>
      </c>
      <c r="L191" s="9" t="n"/>
      <c r="M191" s="9" t="n"/>
      <c r="N191" s="9" t="n"/>
      <c r="O191" s="9" t="n">
        <v>6</v>
      </c>
      <c r="P191" s="13" t="n">
        <v>16997</v>
      </c>
      <c r="Q191" s="13" t="n">
        <v>19298.4</v>
      </c>
      <c r="R191" s="14">
        <f>IFERROR(P191/Q191,"")</f>
        <v/>
      </c>
      <c r="S191" s="15" t="n">
        <v>0.9429999999999999</v>
      </c>
      <c r="T191" s="9">
        <f>IF(R191&gt;1,"A corregir","Válida")</f>
        <v/>
      </c>
      <c r="U191" s="13">
        <f>Q191-P191</f>
        <v/>
      </c>
      <c r="V191" s="13">
        <f>IF(S191="",0,S191*Q191)</f>
        <v/>
      </c>
      <c r="W191" s="9" t="n">
        <v>2026</v>
      </c>
      <c r="X191" s="9" t="n">
        <v>9</v>
      </c>
      <c r="Y191" s="9" t="inlineStr">
        <is>
          <t>2026-S09</t>
        </is>
      </c>
    </row>
    <row r="192">
      <c r="A192" s="9" t="n">
        <v>43047027</v>
      </c>
      <c r="B192" s="11" t="n">
        <v>46079.76527777778</v>
      </c>
      <c r="C192" s="12" t="n">
        <v>46079</v>
      </c>
      <c r="D192" s="9">
        <f>YEAR(C192)</f>
        <v/>
      </c>
      <c r="E192" s="9">
        <f>MONTH(C192)</f>
        <v/>
      </c>
      <c r="F192" s="9" t="inlineStr">
        <is>
          <t>Redondo liso</t>
        </is>
      </c>
      <c r="G192" s="9" t="inlineStr">
        <is>
          <t>REDONDO LISO 1 1/2' 6M SAE 1020 (N)</t>
        </is>
      </c>
      <c r="H192" s="9" t="inlineStr">
        <is>
          <t>REDONDO LISO 1 1/2' 6M SAE 1020 (N)</t>
        </is>
      </c>
      <c r="I192" s="9" t="inlineStr">
        <is>
          <t>RED 1,1/2</t>
        </is>
      </c>
      <c r="J192" s="9" t="n">
        <v>109006908</v>
      </c>
      <c r="K192" s="9" t="n">
        <v>38.1</v>
      </c>
      <c r="L192" s="9" t="n"/>
      <c r="M192" s="9" t="n"/>
      <c r="N192" s="9" t="n"/>
      <c r="O192" s="9" t="n">
        <v>6</v>
      </c>
      <c r="P192" s="13" t="n">
        <v>46143</v>
      </c>
      <c r="Q192" s="13" t="n">
        <v>47572.8</v>
      </c>
      <c r="R192" s="14">
        <f>IFERROR(P192/Q192,"")</f>
        <v/>
      </c>
      <c r="S192" s="15" t="n">
        <v>0.9429999999999999</v>
      </c>
      <c r="T192" s="9">
        <f>IF(R192&gt;1,"A corregir","Válida")</f>
        <v/>
      </c>
      <c r="U192" s="13">
        <f>Q192-P192</f>
        <v/>
      </c>
      <c r="V192" s="13">
        <f>IF(S192="",0,S192*Q192)</f>
        <v/>
      </c>
      <c r="W192" s="9" t="n">
        <v>2026</v>
      </c>
      <c r="X192" s="9" t="n">
        <v>9</v>
      </c>
      <c r="Y192" s="9" t="inlineStr">
        <is>
          <t>2026-S09</t>
        </is>
      </c>
    </row>
    <row r="193">
      <c r="A193" s="9" t="n">
        <v>43047026</v>
      </c>
      <c r="B193" s="11" t="n">
        <v>46079.86402777778</v>
      </c>
      <c r="C193" s="12" t="n">
        <v>46079</v>
      </c>
      <c r="D193" s="9">
        <f>YEAR(C193)</f>
        <v/>
      </c>
      <c r="E193" s="9">
        <f>MONTH(C193)</f>
        <v/>
      </c>
      <c r="F193" s="9" t="inlineStr">
        <is>
          <t>Redondo liso</t>
        </is>
      </c>
      <c r="G193" s="9" t="inlineStr">
        <is>
          <t>REDONDO LISO 1 1/2' 6M SAE 1045 (N)</t>
        </is>
      </c>
      <c r="H193" s="9" t="inlineStr">
        <is>
          <t>REDONDO LISO 1 1/2' 6M SAE 1045 (N)</t>
        </is>
      </c>
      <c r="I193" s="9" t="inlineStr">
        <is>
          <t>RED 1,1/2</t>
        </is>
      </c>
      <c r="J193" s="9" t="n">
        <v>109006885</v>
      </c>
      <c r="K193" s="9" t="n">
        <v>38.1</v>
      </c>
      <c r="L193" s="9" t="n"/>
      <c r="M193" s="9" t="n"/>
      <c r="N193" s="9" t="n"/>
      <c r="O193" s="9" t="n">
        <v>6</v>
      </c>
      <c r="P193" s="13" t="n">
        <v>21354</v>
      </c>
      <c r="Q193" s="13" t="n">
        <v>22440</v>
      </c>
      <c r="R193" s="14">
        <f>IFERROR(P193/Q193,"")</f>
        <v/>
      </c>
      <c r="S193" s="15" t="n">
        <v>0.9429999999999999</v>
      </c>
      <c r="T193" s="9">
        <f>IF(R193&gt;1,"A corregir","Válida")</f>
        <v/>
      </c>
      <c r="U193" s="13">
        <f>Q193-P193</f>
        <v/>
      </c>
      <c r="V193" s="13">
        <f>IF(S193="",0,S193*Q193)</f>
        <v/>
      </c>
      <c r="W193" s="9" t="n">
        <v>2026</v>
      </c>
      <c r="X193" s="9" t="n">
        <v>9</v>
      </c>
      <c r="Y193" s="9" t="inlineStr">
        <is>
          <t>2026-S09</t>
        </is>
      </c>
    </row>
    <row r="194">
      <c r="A194" s="9" t="n">
        <v>43047030</v>
      </c>
      <c r="B194" s="11" t="n">
        <v>46079.96166666667</v>
      </c>
      <c r="C194" s="12" t="n">
        <v>46079</v>
      </c>
      <c r="D194" s="9">
        <f>YEAR(C194)</f>
        <v/>
      </c>
      <c r="E194" s="9">
        <f>MONTH(C194)</f>
        <v/>
      </c>
      <c r="F194" s="9" t="inlineStr">
        <is>
          <t>Redondo liso</t>
        </is>
      </c>
      <c r="G194" s="9" t="inlineStr">
        <is>
          <t>REDONDO LISO 1 1/4' 6M ASTM A 36 (N)</t>
        </is>
      </c>
      <c r="H194" s="9" t="inlineStr">
        <is>
          <t>REDONDO LISO 1 1/4' 6M ASTM A 36 (N)</t>
        </is>
      </c>
      <c r="I194" s="9" t="inlineStr">
        <is>
          <t>RED 1,1/4</t>
        </is>
      </c>
      <c r="J194" s="9" t="n">
        <v>109006933</v>
      </c>
      <c r="K194" s="9" t="n">
        <v>31.8</v>
      </c>
      <c r="L194" s="9" t="n"/>
      <c r="M194" s="9" t="n"/>
      <c r="N194" s="9" t="n"/>
      <c r="O194" s="9" t="n">
        <v>6</v>
      </c>
      <c r="P194" s="13" t="n">
        <v>20819</v>
      </c>
      <c r="Q194" s="13" t="n">
        <v>23232</v>
      </c>
      <c r="R194" s="14">
        <f>IFERROR(P194/Q194,"")</f>
        <v/>
      </c>
      <c r="S194" s="15" t="n">
        <v>0.951</v>
      </c>
      <c r="T194" s="9">
        <f>IF(R194&gt;1,"A corregir","Válida")</f>
        <v/>
      </c>
      <c r="U194" s="13">
        <f>Q194-P194</f>
        <v/>
      </c>
      <c r="V194" s="13">
        <f>IF(S194="",0,S194*Q194)</f>
        <v/>
      </c>
      <c r="W194" s="9" t="n">
        <v>2026</v>
      </c>
      <c r="X194" s="9" t="n">
        <v>9</v>
      </c>
      <c r="Y194" s="9" t="inlineStr">
        <is>
          <t>2026-S09</t>
        </is>
      </c>
    </row>
    <row r="195">
      <c r="A195" s="9" t="n">
        <v>43047031</v>
      </c>
      <c r="B195" s="11" t="n">
        <v>46080.00273148148</v>
      </c>
      <c r="C195" s="12" t="n">
        <v>46080</v>
      </c>
      <c r="D195" s="9">
        <f>YEAR(C195)</f>
        <v/>
      </c>
      <c r="E195" s="9">
        <f>MONTH(C195)</f>
        <v/>
      </c>
      <c r="F195" s="9" t="inlineStr">
        <is>
          <t>Redondo liso</t>
        </is>
      </c>
      <c r="G195" s="9" t="inlineStr">
        <is>
          <t>REDONDO LISO 1 1/4' 6M SAE 1020 (N)</t>
        </is>
      </c>
      <c r="H195" s="9" t="inlineStr">
        <is>
          <t>REDONDO LISO 1 1/4' 6M SAE 1020 (N)</t>
        </is>
      </c>
      <c r="I195" s="9" t="inlineStr">
        <is>
          <t>RED 1,1/4</t>
        </is>
      </c>
      <c r="J195" s="9" t="n">
        <v>109006898</v>
      </c>
      <c r="K195" s="9" t="n">
        <v>31.8</v>
      </c>
      <c r="L195" s="9" t="n"/>
      <c r="M195" s="9" t="n"/>
      <c r="N195" s="9" t="n"/>
      <c r="O195" s="9" t="n">
        <v>6</v>
      </c>
      <c r="P195" s="13" t="n">
        <v>59627</v>
      </c>
      <c r="Q195" s="13" t="n">
        <v>65472</v>
      </c>
      <c r="R195" s="14">
        <f>IFERROR(P195/Q195,"")</f>
        <v/>
      </c>
      <c r="S195" s="15" t="n">
        <v>0.951</v>
      </c>
      <c r="T195" s="9">
        <f>IF(R195&gt;1,"A corregir","Válida")</f>
        <v/>
      </c>
      <c r="U195" s="13">
        <f>Q195-P195</f>
        <v/>
      </c>
      <c r="V195" s="13">
        <f>IF(S195="",0,S195*Q195)</f>
        <v/>
      </c>
      <c r="W195" s="9" t="n">
        <v>2026</v>
      </c>
      <c r="X195" s="9" t="n">
        <v>9</v>
      </c>
      <c r="Y195" s="9" t="inlineStr">
        <is>
          <t>2026-S09</t>
        </is>
      </c>
    </row>
    <row r="196">
      <c r="A196" s="9" t="n">
        <v>43047032</v>
      </c>
      <c r="B196" s="11" t="n">
        <v>46080.12584490741</v>
      </c>
      <c r="C196" s="12" t="n">
        <v>46080</v>
      </c>
      <c r="D196" s="9">
        <f>YEAR(C196)</f>
        <v/>
      </c>
      <c r="E196" s="9">
        <f>MONTH(C196)</f>
        <v/>
      </c>
      <c r="F196" s="9" t="inlineStr">
        <is>
          <t>Redondo liso</t>
        </is>
      </c>
      <c r="G196" s="9" t="inlineStr">
        <is>
          <t>REDONDO LISO 1 1/4' 6M SAE 1045 (N)</t>
        </is>
      </c>
      <c r="H196" s="9" t="inlineStr">
        <is>
          <t>REDONDO LISO 1 1/4' 6M SAE 1045 (N)</t>
        </is>
      </c>
      <c r="I196" s="9" t="inlineStr">
        <is>
          <t>RED 1,1/4</t>
        </is>
      </c>
      <c r="J196" s="9" t="n">
        <v>109006873</v>
      </c>
      <c r="K196" s="9" t="n">
        <v>31.8</v>
      </c>
      <c r="L196" s="9" t="n"/>
      <c r="M196" s="9" t="n"/>
      <c r="N196" s="9" t="n"/>
      <c r="O196" s="9" t="n">
        <v>6</v>
      </c>
      <c r="P196" s="13" t="n">
        <v>30422</v>
      </c>
      <c r="Q196" s="13" t="n">
        <v>32524.8</v>
      </c>
      <c r="R196" s="14">
        <f>IFERROR(P196/Q196,"")</f>
        <v/>
      </c>
      <c r="S196" s="15" t="n">
        <v>0.951</v>
      </c>
      <c r="T196" s="9">
        <f>IF(R196&gt;1,"A corregir","Válida")</f>
        <v/>
      </c>
      <c r="U196" s="13">
        <f>Q196-P196</f>
        <v/>
      </c>
      <c r="V196" s="13">
        <f>IF(S196="",0,S196*Q196)</f>
        <v/>
      </c>
      <c r="W196" s="9" t="n">
        <v>2026</v>
      </c>
      <c r="X196" s="9" t="n">
        <v>9</v>
      </c>
      <c r="Y196" s="9" t="inlineStr">
        <is>
          <t>2026-S09</t>
        </is>
      </c>
    </row>
    <row r="197">
      <c r="A197" s="9" t="n">
        <v>43047033</v>
      </c>
      <c r="B197" s="11" t="n">
        <v>46080.18341435185</v>
      </c>
      <c r="C197" s="12" t="n">
        <v>46080</v>
      </c>
      <c r="D197" s="9">
        <f>YEAR(C197)</f>
        <v/>
      </c>
      <c r="E197" s="9">
        <f>MONTH(C197)</f>
        <v/>
      </c>
      <c r="F197" s="9" t="inlineStr">
        <is>
          <t>Redondo liso</t>
        </is>
      </c>
      <c r="G197" s="9" t="inlineStr">
        <is>
          <t>REDONDO LISO 1 1/4' 6M A615 GR60(P)</t>
        </is>
      </c>
      <c r="H197" s="9" t="inlineStr">
        <is>
          <t>REDONDO LISO 1 1/4' 6M A615 GR60(P)</t>
        </is>
      </c>
      <c r="I197" s="9" t="inlineStr">
        <is>
          <t>RED 1,1/4</t>
        </is>
      </c>
      <c r="J197" s="9" t="n">
        <v>119502541</v>
      </c>
      <c r="K197" s="9" t="n">
        <v>31.8</v>
      </c>
      <c r="L197" s="9" t="n"/>
      <c r="M197" s="9" t="n"/>
      <c r="N197" s="9" t="n"/>
      <c r="O197" s="9" t="n">
        <v>6</v>
      </c>
      <c r="P197" s="13" t="n">
        <v>21266</v>
      </c>
      <c r="Q197" s="13" t="n">
        <v>23232</v>
      </c>
      <c r="R197" s="14">
        <f>IFERROR(P197/Q197,"")</f>
        <v/>
      </c>
      <c r="S197" s="15" t="n">
        <v>0.97</v>
      </c>
      <c r="T197" s="9">
        <f>IF(R197&gt;1,"A corregir","Válida")</f>
        <v/>
      </c>
      <c r="U197" s="13">
        <f>Q197-P197</f>
        <v/>
      </c>
      <c r="V197" s="13">
        <f>IF(S197="",0,S197*Q197)</f>
        <v/>
      </c>
      <c r="W197" s="9" t="n">
        <v>2026</v>
      </c>
      <c r="X197" s="9" t="n">
        <v>9</v>
      </c>
      <c r="Y197" s="9" t="inlineStr">
        <is>
          <t>2026-S09</t>
        </is>
      </c>
    </row>
    <row r="198">
      <c r="A198" s="9" t="n">
        <v>43047035</v>
      </c>
      <c r="B198" s="11" t="n">
        <v>46080.27538194445</v>
      </c>
      <c r="C198" s="12" t="n">
        <v>46080</v>
      </c>
      <c r="D198" s="9">
        <f>YEAR(C198)</f>
        <v/>
      </c>
      <c r="E198" s="9">
        <f>MONTH(C198)</f>
        <v/>
      </c>
      <c r="F198" s="9" t="inlineStr">
        <is>
          <t>Redondo liso</t>
        </is>
      </c>
      <c r="G198" s="9" t="inlineStr">
        <is>
          <t>REDONDO LISO 1 1/8' 6M ASTM A 36 (N)</t>
        </is>
      </c>
      <c r="H198" s="9" t="inlineStr">
        <is>
          <t>REDONDO LISO 1 1/8' 6M ASTM A 36 (N)</t>
        </is>
      </c>
      <c r="I198" s="9" t="inlineStr">
        <is>
          <t>RED 1,1/8L</t>
        </is>
      </c>
      <c r="J198" s="9" t="n">
        <v>109006932</v>
      </c>
      <c r="K198" s="9" t="n">
        <v>28.6</v>
      </c>
      <c r="L198" s="9" t="n"/>
      <c r="M198" s="9" t="n"/>
      <c r="N198" s="9" t="n"/>
      <c r="O198" s="9" t="n">
        <v>6</v>
      </c>
      <c r="P198" s="13" t="n">
        <v>27099</v>
      </c>
      <c r="Q198" s="13" t="n">
        <v>29620.8</v>
      </c>
      <c r="R198" s="14">
        <f>IFERROR(P198/Q198,"")</f>
        <v/>
      </c>
      <c r="S198" s="15" t="n">
        <v>0.953</v>
      </c>
      <c r="T198" s="9">
        <f>IF(R198&gt;1,"A corregir","Válida")</f>
        <v/>
      </c>
      <c r="U198" s="13">
        <f>Q198-P198</f>
        <v/>
      </c>
      <c r="V198" s="13">
        <f>IF(S198="",0,S198*Q198)</f>
        <v/>
      </c>
      <c r="W198" s="9" t="n">
        <v>2026</v>
      </c>
      <c r="X198" s="9" t="n">
        <v>9</v>
      </c>
      <c r="Y198" s="9" t="inlineStr">
        <is>
          <t>2026-S09</t>
        </is>
      </c>
    </row>
    <row r="199">
      <c r="A199" s="9" t="n">
        <v>43047057</v>
      </c>
      <c r="B199" s="11" t="n">
        <v>46080.36752314815</v>
      </c>
      <c r="C199" s="12" t="n">
        <v>46080</v>
      </c>
      <c r="D199" s="9">
        <f>YEAR(C199)</f>
        <v/>
      </c>
      <c r="E199" s="9">
        <f>MONTH(C199)</f>
        <v/>
      </c>
      <c r="F199" s="9" t="inlineStr">
        <is>
          <t>Cuadrado</t>
        </is>
      </c>
      <c r="G199" s="9" t="inlineStr">
        <is>
          <t>CUADRADO 25MM 6M COMERCIAL (N)</t>
        </is>
      </c>
      <c r="H199" s="9" t="inlineStr">
        <is>
          <t>CUADRADO 25MM 6M COMERCIAL (N)</t>
        </is>
      </c>
      <c r="I199" s="9" t="inlineStr">
        <is>
          <t>CUAD 25</t>
        </is>
      </c>
      <c r="J199" s="9" t="n">
        <v>109007061</v>
      </c>
      <c r="K199" s="9" t="n"/>
      <c r="L199" s="9" t="n"/>
      <c r="M199" s="9" t="n"/>
      <c r="N199" s="9" t="n">
        <v>25</v>
      </c>
      <c r="O199" s="9" t="n">
        <v>6</v>
      </c>
      <c r="P199" s="13" t="n">
        <v>30527</v>
      </c>
      <c r="Q199" s="13" t="n">
        <v>32524.8</v>
      </c>
      <c r="R199" s="14">
        <f>IFERROR(P199/Q199,"")</f>
        <v/>
      </c>
      <c r="S199" s="15" t="n">
        <v>0.963</v>
      </c>
      <c r="T199" s="9">
        <f>IF(R199&gt;1,"A corregir","Válida")</f>
        <v/>
      </c>
      <c r="U199" s="13">
        <f>Q199-P199</f>
        <v/>
      </c>
      <c r="V199" s="13">
        <f>IF(S199="",0,S199*Q199)</f>
        <v/>
      </c>
      <c r="W199" s="9" t="n">
        <v>2026</v>
      </c>
      <c r="X199" s="9" t="n">
        <v>9</v>
      </c>
      <c r="Y199" s="9" t="inlineStr">
        <is>
          <t>2026-S09</t>
        </is>
      </c>
    </row>
    <row r="200">
      <c r="A200" s="9" t="n">
        <v>43047062</v>
      </c>
      <c r="B200" s="11" t="n">
        <v>46080.70384259259</v>
      </c>
      <c r="C200" s="12" t="n">
        <v>46080</v>
      </c>
      <c r="D200" s="9">
        <f>YEAR(C200)</f>
        <v/>
      </c>
      <c r="E200" s="9">
        <f>MONTH(C200)</f>
        <v/>
      </c>
      <c r="F200" s="9" t="inlineStr">
        <is>
          <t>B Hormigón</t>
        </is>
      </c>
      <c r="G200" s="9" t="inlineStr">
        <is>
          <t>B HORMIGON 25MM 11M A630-420H (N)</t>
        </is>
      </c>
      <c r="H200" s="9" t="inlineStr">
        <is>
          <t>B HORMIGON 25MM 11M A630-420H (N)</t>
        </is>
      </c>
      <c r="I200" s="9" t="inlineStr">
        <is>
          <t>RED 25 CR</t>
        </is>
      </c>
      <c r="J200" s="9" t="n">
        <v>110002947</v>
      </c>
      <c r="K200" s="9" t="n">
        <v>25</v>
      </c>
      <c r="L200" s="9" t="n"/>
      <c r="M200" s="9" t="n"/>
      <c r="N200" s="9" t="n"/>
      <c r="O200" s="9" t="n">
        <v>11</v>
      </c>
      <c r="P200" s="13" t="n">
        <v>62151</v>
      </c>
      <c r="Q200" s="13" t="n">
        <v>68217.60000000001</v>
      </c>
      <c r="R200" s="14">
        <f>IFERROR(P200/Q200,"")</f>
        <v/>
      </c>
      <c r="S200" s="15" t="n">
        <v>0.95</v>
      </c>
      <c r="T200" s="9">
        <f>IF(R200&gt;1,"A corregir","Válida")</f>
        <v/>
      </c>
      <c r="U200" s="13">
        <f>Q200-P200</f>
        <v/>
      </c>
      <c r="V200" s="13">
        <f>IF(S200="",0,S200*Q200)</f>
        <v/>
      </c>
      <c r="W200" s="9" t="n">
        <v>2026</v>
      </c>
      <c r="X200" s="9" t="n">
        <v>9</v>
      </c>
      <c r="Y200" s="9" t="inlineStr">
        <is>
          <t>2026-S09</t>
        </is>
      </c>
    </row>
    <row r="201">
      <c r="A201" s="9" t="n">
        <v>43047058</v>
      </c>
      <c r="B201" s="11" t="n">
        <v>46080.86133101852</v>
      </c>
      <c r="C201" s="12" t="n">
        <v>46080</v>
      </c>
      <c r="D201" s="9">
        <f>YEAR(C201)</f>
        <v/>
      </c>
      <c r="E201" s="9">
        <f>MONTH(C201)</f>
        <v/>
      </c>
      <c r="F201" s="9" t="inlineStr">
        <is>
          <t>B Hormigón</t>
        </is>
      </c>
      <c r="G201" s="9" t="inlineStr">
        <is>
          <t>B HORMIGON 25MM 10M A630-420H (N)</t>
        </is>
      </c>
      <c r="H201" s="9" t="inlineStr">
        <is>
          <t>B HORMIGON 25MM 10M A630-420H (N)</t>
        </is>
      </c>
      <c r="I201" s="9" t="inlineStr">
        <is>
          <t>RED 25 CR</t>
        </is>
      </c>
      <c r="J201" s="9" t="n">
        <v>110002943</v>
      </c>
      <c r="K201" s="9" t="n">
        <v>25</v>
      </c>
      <c r="L201" s="9" t="n"/>
      <c r="M201" s="9" t="n"/>
      <c r="N201" s="9" t="n"/>
      <c r="O201" s="9" t="n">
        <v>10</v>
      </c>
      <c r="P201" s="13" t="n">
        <v>108508</v>
      </c>
      <c r="Q201" s="13" t="n">
        <v>118483.2</v>
      </c>
      <c r="R201" s="14">
        <f>IFERROR(P201/Q201,"")</f>
        <v/>
      </c>
      <c r="S201" s="15" t="n">
        <v>0.95</v>
      </c>
      <c r="T201" s="9">
        <f>IF(R201&gt;1,"A corregir","Válida")</f>
        <v/>
      </c>
      <c r="U201" s="13">
        <f>Q201-P201</f>
        <v/>
      </c>
      <c r="V201" s="13">
        <f>IF(S201="",0,S201*Q201)</f>
        <v/>
      </c>
      <c r="W201" s="9" t="n">
        <v>2026</v>
      </c>
      <c r="X201" s="9" t="n">
        <v>9</v>
      </c>
      <c r="Y201" s="9" t="inlineStr">
        <is>
          <t>2026-S09</t>
        </is>
      </c>
    </row>
    <row r="202">
      <c r="A202" s="9" t="n">
        <v>43047063</v>
      </c>
      <c r="B202" s="11" t="n">
        <v>46081.06447916666</v>
      </c>
      <c r="C202" s="12" t="n">
        <v>46081</v>
      </c>
      <c r="D202" s="9">
        <f>YEAR(C202)</f>
        <v/>
      </c>
      <c r="E202" s="9">
        <f>MONTH(C202)</f>
        <v/>
      </c>
      <c r="F202" s="9" t="inlineStr">
        <is>
          <t>B Hormigón</t>
        </is>
      </c>
      <c r="G202" s="9" t="inlineStr">
        <is>
          <t>B HORMIGON 25MM 12M A630-420H (N)</t>
        </is>
      </c>
      <c r="H202" s="9" t="inlineStr">
        <is>
          <t>B HORMIGON 25MM 12M A630-420H (N)</t>
        </is>
      </c>
      <c r="I202" s="9" t="inlineStr">
        <is>
          <t>RED 25 CR</t>
        </is>
      </c>
      <c r="J202" s="9" t="n">
        <v>110002941</v>
      </c>
      <c r="K202" s="9" t="n">
        <v>25</v>
      </c>
      <c r="L202" s="9" t="n"/>
      <c r="M202" s="9" t="n"/>
      <c r="N202" s="9" t="n"/>
      <c r="O202" s="9" t="n">
        <v>12</v>
      </c>
      <c r="P202" s="13" t="n">
        <v>22364</v>
      </c>
      <c r="Q202" s="13" t="n">
        <v>24393.6</v>
      </c>
      <c r="R202" s="14">
        <f>IFERROR(P202/Q202,"")</f>
        <v/>
      </c>
      <c r="S202" s="15" t="n">
        <v>0.95</v>
      </c>
      <c r="T202" s="9">
        <f>IF(R202&gt;1,"A corregir","Válida")</f>
        <v/>
      </c>
      <c r="U202" s="13">
        <f>Q202-P202</f>
        <v/>
      </c>
      <c r="V202" s="13">
        <f>IF(S202="",0,S202*Q202)</f>
        <v/>
      </c>
      <c r="W202" s="9" t="n">
        <v>2026</v>
      </c>
      <c r="X202" s="9" t="n">
        <v>9</v>
      </c>
      <c r="Y202" s="9" t="inlineStr">
        <is>
          <t>2026-S09</t>
        </is>
      </c>
    </row>
    <row r="203">
      <c r="A203" s="9" t="n">
        <v>43047067</v>
      </c>
      <c r="B203" s="11" t="n">
        <v>46081.12158564815</v>
      </c>
      <c r="C203" s="12" t="n">
        <v>46081</v>
      </c>
      <c r="D203" s="9">
        <f>YEAR(C203)</f>
        <v/>
      </c>
      <c r="E203" s="9">
        <f>MONTH(C203)</f>
        <v/>
      </c>
      <c r="F203" s="9" t="inlineStr">
        <is>
          <t>B Hormigón</t>
        </is>
      </c>
      <c r="G203" s="9" t="inlineStr">
        <is>
          <t>B HORMIGON 25MM 10M A630-420H (N)</t>
        </is>
      </c>
      <c r="H203" s="9" t="inlineStr">
        <is>
          <t>B HORMIGON 25MM 10M A630-420H (N)</t>
        </is>
      </c>
      <c r="I203" s="9" t="inlineStr">
        <is>
          <t>RED 25 CR</t>
        </is>
      </c>
      <c r="J203" s="9" t="n">
        <v>110002943</v>
      </c>
      <c r="K203" s="9" t="n">
        <v>25</v>
      </c>
      <c r="L203" s="9" t="n"/>
      <c r="M203" s="9" t="n"/>
      <c r="N203" s="9" t="n"/>
      <c r="O203" s="9" t="n">
        <v>10</v>
      </c>
      <c r="P203" s="13" t="n">
        <v>36085</v>
      </c>
      <c r="Q203" s="13" t="n">
        <v>39283.2</v>
      </c>
      <c r="R203" s="14">
        <f>IFERROR(P203/Q203,"")</f>
        <v/>
      </c>
      <c r="S203" s="15" t="n">
        <v>0.95</v>
      </c>
      <c r="T203" s="9">
        <f>IF(R203&gt;1,"A corregir","Válida")</f>
        <v/>
      </c>
      <c r="U203" s="13">
        <f>Q203-P203</f>
        <v/>
      </c>
      <c r="V203" s="13">
        <f>IF(S203="",0,S203*Q203)</f>
        <v/>
      </c>
      <c r="W203" s="9" t="n">
        <v>2026</v>
      </c>
      <c r="X203" s="9" t="n">
        <v>9</v>
      </c>
      <c r="Y203" s="9" t="inlineStr">
        <is>
          <t>2026-S09</t>
        </is>
      </c>
    </row>
    <row r="204">
      <c r="A204" s="9" t="n">
        <v>43047061</v>
      </c>
      <c r="B204" s="11" t="n">
        <v>46081.19635416667</v>
      </c>
      <c r="C204" s="12" t="n">
        <v>46081</v>
      </c>
      <c r="D204" s="9">
        <f>YEAR(C204)</f>
        <v/>
      </c>
      <c r="E204" s="9">
        <f>MONTH(C204)</f>
        <v/>
      </c>
      <c r="F204" s="9" t="inlineStr">
        <is>
          <t>B Hormigón</t>
        </is>
      </c>
      <c r="G204" s="9" t="inlineStr">
        <is>
          <t>B HORMIGON 25MM 9M A630-420H (N)</t>
        </is>
      </c>
      <c r="H204" s="9" t="inlineStr">
        <is>
          <t>B HORMIGON 25MM 9M A630-420H (N)</t>
        </is>
      </c>
      <c r="I204" s="9" t="inlineStr">
        <is>
          <t>RED 25 CR</t>
        </is>
      </c>
      <c r="J204" s="9" t="n">
        <v>110002905</v>
      </c>
      <c r="K204" s="9" t="n">
        <v>25</v>
      </c>
      <c r="L204" s="9" t="n"/>
      <c r="M204" s="9" t="n"/>
      <c r="N204" s="9" t="n"/>
      <c r="O204" s="9" t="n">
        <v>9</v>
      </c>
      <c r="P204" s="13" t="n">
        <v>48436</v>
      </c>
      <c r="Q204" s="13" t="n">
        <v>52272</v>
      </c>
      <c r="R204" s="14">
        <f>IFERROR(P204/Q204,"")</f>
        <v/>
      </c>
      <c r="S204" s="15" t="n">
        <v>0.95</v>
      </c>
      <c r="T204" s="9">
        <f>IF(R204&gt;1,"A corregir","Válida")</f>
        <v/>
      </c>
      <c r="U204" s="13">
        <f>Q204-P204</f>
        <v/>
      </c>
      <c r="V204" s="13">
        <f>IF(S204="",0,S204*Q204)</f>
        <v/>
      </c>
      <c r="W204" s="9" t="n">
        <v>2026</v>
      </c>
      <c r="X204" s="9" t="n">
        <v>9</v>
      </c>
      <c r="Y204" s="9" t="inlineStr">
        <is>
          <t>2026-S09</t>
        </is>
      </c>
    </row>
    <row r="205">
      <c r="A205" s="9" t="n">
        <v>43047059</v>
      </c>
      <c r="B205" s="11" t="n">
        <v>46081.30944444444</v>
      </c>
      <c r="C205" s="12" t="n">
        <v>46081</v>
      </c>
      <c r="D205" s="9">
        <f>YEAR(C205)</f>
        <v/>
      </c>
      <c r="E205" s="9">
        <f>MONTH(C205)</f>
        <v/>
      </c>
      <c r="F205" s="9" t="inlineStr">
        <is>
          <t>B Hormigón</t>
        </is>
      </c>
      <c r="G205" s="9" t="inlineStr">
        <is>
          <t>B HORMIGON 25MM 8M A630-420H (N)</t>
        </is>
      </c>
      <c r="H205" s="9" t="inlineStr">
        <is>
          <t>B HORMIGON 25MM 8M A630-420H (N)</t>
        </is>
      </c>
      <c r="I205" s="9" t="inlineStr">
        <is>
          <t>RED 25 CR</t>
        </is>
      </c>
      <c r="J205" s="9" t="n">
        <v>110002921</v>
      </c>
      <c r="K205" s="9" t="n">
        <v>25</v>
      </c>
      <c r="L205" s="9" t="n"/>
      <c r="M205" s="9" t="n"/>
      <c r="N205" s="9" t="n"/>
      <c r="O205" s="9" t="n">
        <v>8</v>
      </c>
      <c r="P205" s="13" t="n">
        <v>88600</v>
      </c>
      <c r="Q205" s="13" t="n">
        <v>93799.2</v>
      </c>
      <c r="R205" s="14">
        <f>IFERROR(P205/Q205,"")</f>
        <v/>
      </c>
      <c r="S205" s="15" t="n">
        <v>0.95</v>
      </c>
      <c r="T205" s="9">
        <f>IF(R205&gt;1,"A corregir","Válida")</f>
        <v/>
      </c>
      <c r="U205" s="13">
        <f>Q205-P205</f>
        <v/>
      </c>
      <c r="V205" s="13">
        <f>IF(S205="",0,S205*Q205)</f>
        <v/>
      </c>
      <c r="W205" s="9" t="n">
        <v>2026</v>
      </c>
      <c r="X205" s="9" t="n">
        <v>9</v>
      </c>
      <c r="Y205" s="9" t="inlineStr">
        <is>
          <t>2026-S09</t>
        </is>
      </c>
    </row>
    <row r="206">
      <c r="A206" s="9" t="n">
        <v>43047066</v>
      </c>
      <c r="B206" s="11" t="n">
        <v>46081.46706018518</v>
      </c>
      <c r="C206" s="12" t="n">
        <v>46081</v>
      </c>
      <c r="D206" s="9">
        <f>YEAR(C206)</f>
        <v/>
      </c>
      <c r="E206" s="9">
        <f>MONTH(C206)</f>
        <v/>
      </c>
      <c r="F206" s="9" t="inlineStr">
        <is>
          <t>B Hormigón</t>
        </is>
      </c>
      <c r="G206" s="9" t="inlineStr">
        <is>
          <t>B HORMIGON 25MM 7M A630-420H (N)</t>
        </is>
      </c>
      <c r="H206" s="9" t="inlineStr">
        <is>
          <t>B HORMIGON 25MM 7M A630-420H (N)</t>
        </is>
      </c>
      <c r="I206" s="9" t="inlineStr">
        <is>
          <t>RED 25 CR</t>
        </is>
      </c>
      <c r="J206" s="9" t="n">
        <v>110002927</v>
      </c>
      <c r="K206" s="9" t="n">
        <v>25</v>
      </c>
      <c r="L206" s="9" t="n"/>
      <c r="M206" s="9" t="n"/>
      <c r="N206" s="9" t="n"/>
      <c r="O206" s="9" t="n">
        <v>7</v>
      </c>
      <c r="P206" s="13" t="n">
        <v>40304</v>
      </c>
      <c r="Q206" s="13" t="n">
        <v>43784.4</v>
      </c>
      <c r="R206" s="14">
        <f>IFERROR(P206/Q206,"")</f>
        <v/>
      </c>
      <c r="S206" s="15" t="n">
        <v>0.95</v>
      </c>
      <c r="T206" s="9">
        <f>IF(R206&gt;1,"A corregir","Válida")</f>
        <v/>
      </c>
      <c r="U206" s="13">
        <f>Q206-P206</f>
        <v/>
      </c>
      <c r="V206" s="13">
        <f>IF(S206="",0,S206*Q206)</f>
        <v/>
      </c>
      <c r="W206" s="9" t="n">
        <v>2026</v>
      </c>
      <c r="X206" s="9" t="n">
        <v>9</v>
      </c>
      <c r="Y206" s="9" t="inlineStr">
        <is>
          <t>2026-S09</t>
        </is>
      </c>
    </row>
    <row r="207">
      <c r="A207" s="9" t="n">
        <v>43047162</v>
      </c>
      <c r="B207" s="11" t="n">
        <v>46083.06142361111</v>
      </c>
      <c r="C207" s="12" t="n">
        <v>46083</v>
      </c>
      <c r="D207" s="9">
        <f>YEAR(C207)</f>
        <v/>
      </c>
      <c r="E207" s="9">
        <f>MONTH(C207)</f>
        <v/>
      </c>
      <c r="F207" s="9" t="inlineStr">
        <is>
          <t>B Hormigón</t>
        </is>
      </c>
      <c r="G207" s="9" t="inlineStr">
        <is>
          <t>B HORMIGON 25MM 7M A630-420H (N)</t>
        </is>
      </c>
      <c r="H207" s="9" t="inlineStr">
        <is>
          <t>B HORMIGON 25MM 7M A630-420H (N)</t>
        </is>
      </c>
      <c r="I207" s="9" t="inlineStr">
        <is>
          <t>RED 25 CR</t>
        </is>
      </c>
      <c r="J207" s="9" t="n">
        <v>110002927</v>
      </c>
      <c r="K207" s="9" t="n">
        <v>25</v>
      </c>
      <c r="L207" s="9" t="n"/>
      <c r="M207" s="9" t="n"/>
      <c r="N207" s="9" t="n"/>
      <c r="O207" s="9" t="n">
        <v>7</v>
      </c>
      <c r="P207" s="13" t="n">
        <v>36660</v>
      </c>
      <c r="Q207" s="13" t="n">
        <v>39692.4</v>
      </c>
      <c r="R207" s="14">
        <f>IFERROR(P207/Q207,"")</f>
        <v/>
      </c>
      <c r="S207" s="15" t="n">
        <v>0.95</v>
      </c>
      <c r="T207" s="9">
        <f>IF(R207&gt;1,"A corregir","Válida")</f>
        <v/>
      </c>
      <c r="U207" s="13">
        <f>Q207-P207</f>
        <v/>
      </c>
      <c r="V207" s="13">
        <f>IF(S207="",0,S207*Q207)</f>
        <v/>
      </c>
      <c r="W207" s="9" t="n">
        <v>2026</v>
      </c>
      <c r="X207" s="9" t="n">
        <v>10</v>
      </c>
      <c r="Y207" s="9" t="inlineStr">
        <is>
          <t>2026-S10</t>
        </is>
      </c>
    </row>
    <row r="208">
      <c r="A208" s="9" t="n">
        <v>43047161</v>
      </c>
      <c r="B208" s="11" t="n">
        <v>46083.13521990741</v>
      </c>
      <c r="C208" s="12" t="n">
        <v>46083</v>
      </c>
      <c r="D208" s="9">
        <f>YEAR(C208)</f>
        <v/>
      </c>
      <c r="E208" s="9">
        <f>MONTH(C208)</f>
        <v/>
      </c>
      <c r="F208" s="9" t="inlineStr">
        <is>
          <t>B Hormigón</t>
        </is>
      </c>
      <c r="G208" s="9" t="inlineStr">
        <is>
          <t>B HORMIGON 25MM 6M A630-420H (N)</t>
        </is>
      </c>
      <c r="H208" s="9" t="inlineStr">
        <is>
          <t>B HORMIGON 25MM 6M A630-420H (N)</t>
        </is>
      </c>
      <c r="I208" s="9" t="inlineStr">
        <is>
          <t>RED 25 CR</t>
        </is>
      </c>
      <c r="J208" s="9" t="n">
        <v>110002923</v>
      </c>
      <c r="K208" s="9" t="n">
        <v>25</v>
      </c>
      <c r="L208" s="9" t="n"/>
      <c r="M208" s="9" t="n"/>
      <c r="N208" s="9" t="n"/>
      <c r="O208" s="9" t="n">
        <v>6</v>
      </c>
      <c r="P208" s="13" t="n">
        <v>32678</v>
      </c>
      <c r="Q208" s="13" t="n">
        <v>35006.4</v>
      </c>
      <c r="R208" s="14">
        <f>IFERROR(P208/Q208,"")</f>
        <v/>
      </c>
      <c r="S208" s="15" t="n">
        <v>0.95</v>
      </c>
      <c r="T208" s="9">
        <f>IF(R208&gt;1,"A corregir","Válida")</f>
        <v/>
      </c>
      <c r="U208" s="13">
        <f>Q208-P208</f>
        <v/>
      </c>
      <c r="V208" s="13">
        <f>IF(S208="",0,S208*Q208)</f>
        <v/>
      </c>
      <c r="W208" s="9" t="n">
        <v>2026</v>
      </c>
      <c r="X208" s="9" t="n">
        <v>10</v>
      </c>
      <c r="Y208" s="9" t="inlineStr">
        <is>
          <t>2026-S10</t>
        </is>
      </c>
    </row>
    <row r="209">
      <c r="A209" s="9" t="n">
        <v>43047072</v>
      </c>
      <c r="B209" s="11" t="n">
        <v>46083.19967592593</v>
      </c>
      <c r="C209" s="12" t="n">
        <v>46083</v>
      </c>
      <c r="D209" s="9">
        <f>YEAR(C209)</f>
        <v/>
      </c>
      <c r="E209" s="9">
        <f>MONTH(C209)</f>
        <v/>
      </c>
      <c r="F209" s="9" t="inlineStr">
        <is>
          <t>B Hormigón</t>
        </is>
      </c>
      <c r="G209" s="9" t="inlineStr">
        <is>
          <t>B HORMIGON 25MM 12M A630-420H (N)</t>
        </is>
      </c>
      <c r="H209" s="9" t="inlineStr">
        <is>
          <t>B HORMIGON 25MM 12M A630-420H (N)</t>
        </is>
      </c>
      <c r="I209" s="9" t="inlineStr">
        <is>
          <t>RED 25 CR</t>
        </is>
      </c>
      <c r="J209" s="9" t="n">
        <v>110002941</v>
      </c>
      <c r="K209" s="9" t="n">
        <v>25</v>
      </c>
      <c r="L209" s="9" t="n"/>
      <c r="M209" s="9" t="n"/>
      <c r="N209" s="9" t="n"/>
      <c r="O209" s="9" t="n">
        <v>12</v>
      </c>
      <c r="P209" s="13" t="n">
        <v>113893</v>
      </c>
      <c r="Q209" s="13" t="n">
        <v>121968</v>
      </c>
      <c r="R209" s="14">
        <f>IFERROR(P209/Q209,"")</f>
        <v/>
      </c>
      <c r="S209" s="15" t="n">
        <v>0.95</v>
      </c>
      <c r="T209" s="9">
        <f>IF(R209&gt;1,"A corregir","Válida")</f>
        <v/>
      </c>
      <c r="U209" s="13">
        <f>Q209-P209</f>
        <v/>
      </c>
      <c r="V209" s="13">
        <f>IF(S209="",0,S209*Q209)</f>
        <v/>
      </c>
      <c r="W209" s="9" t="n">
        <v>2026</v>
      </c>
      <c r="X209" s="9" t="n">
        <v>10</v>
      </c>
      <c r="Y209" s="9" t="inlineStr">
        <is>
          <t>2026-S10</t>
        </is>
      </c>
    </row>
    <row r="210">
      <c r="A210" s="9" t="n">
        <v>43047073</v>
      </c>
      <c r="B210" s="11" t="n">
        <v>46083.45086805556</v>
      </c>
      <c r="C210" s="12" t="n">
        <v>46083</v>
      </c>
      <c r="D210" s="9">
        <f>YEAR(C210)</f>
        <v/>
      </c>
      <c r="E210" s="9">
        <f>MONTH(C210)</f>
        <v/>
      </c>
      <c r="F210" s="9" t="inlineStr">
        <is>
          <t>B Hormigón</t>
        </is>
      </c>
      <c r="G210" s="9" t="inlineStr">
        <is>
          <t>B HORMIGON 25MM 12M A630-420HS (N)</t>
        </is>
      </c>
      <c r="H210" s="9" t="inlineStr">
        <is>
          <t>B HORMIGON 25MM 12M A630-420HS (N)</t>
        </is>
      </c>
      <c r="I210" s="9" t="inlineStr">
        <is>
          <t>RED 25 CR</t>
        </is>
      </c>
      <c r="J210" s="9" t="n">
        <v>110007122</v>
      </c>
      <c r="K210" s="9" t="n">
        <v>25</v>
      </c>
      <c r="L210" s="9" t="n"/>
      <c r="M210" s="9" t="n"/>
      <c r="N210" s="9" t="n"/>
      <c r="O210" s="9" t="n">
        <v>12</v>
      </c>
      <c r="P210" s="13" t="n">
        <v>63876</v>
      </c>
      <c r="Q210" s="13" t="n">
        <v>69260.39999999999</v>
      </c>
      <c r="R210" s="14">
        <f>IFERROR(P210/Q210,"")</f>
        <v/>
      </c>
      <c r="S210" s="15" t="n">
        <v>0.95</v>
      </c>
      <c r="T210" s="9">
        <f>IF(R210&gt;1,"A corregir","Válida")</f>
        <v/>
      </c>
      <c r="U210" s="13">
        <f>Q210-P210</f>
        <v/>
      </c>
      <c r="V210" s="13">
        <f>IF(S210="",0,S210*Q210)</f>
        <v/>
      </c>
      <c r="W210" s="9" t="n">
        <v>2026</v>
      </c>
      <c r="X210" s="9" t="n">
        <v>10</v>
      </c>
      <c r="Y210" s="9" t="inlineStr">
        <is>
          <t>2026-S10</t>
        </is>
      </c>
    </row>
    <row r="211">
      <c r="A211" s="9" t="n">
        <v>43047074</v>
      </c>
      <c r="B211" s="11" t="n">
        <v>46083.67631944444</v>
      </c>
      <c r="C211" s="12" t="n">
        <v>46083</v>
      </c>
      <c r="D211" s="9">
        <f>YEAR(C211)</f>
        <v/>
      </c>
      <c r="E211" s="9">
        <f>MONTH(C211)</f>
        <v/>
      </c>
      <c r="F211" s="9" t="inlineStr">
        <is>
          <t>B Hormigón</t>
        </is>
      </c>
      <c r="G211" s="9" t="inlineStr">
        <is>
          <t>B HORMIGON 36MM 12M A630-420HS (N)</t>
        </is>
      </c>
      <c r="H211" s="9" t="inlineStr">
        <is>
          <t>B HORMIGON 36MM 12M A630-420HS (N)</t>
        </is>
      </c>
      <c r="I211" s="9" t="inlineStr">
        <is>
          <t>RED 36 CR</t>
        </is>
      </c>
      <c r="J211" s="9" t="n">
        <v>110007600</v>
      </c>
      <c r="K211" s="9" t="n">
        <v>36</v>
      </c>
      <c r="L211" s="9" t="n"/>
      <c r="M211" s="9" t="n"/>
      <c r="N211" s="9" t="n"/>
      <c r="O211" s="9" t="n">
        <v>12</v>
      </c>
      <c r="P211" s="13" t="n">
        <v>53072</v>
      </c>
      <c r="Q211" s="13" t="n">
        <v>58106.4</v>
      </c>
      <c r="R211" s="14">
        <f>IFERROR(P211/Q211,"")</f>
        <v/>
      </c>
      <c r="S211" s="15" t="n">
        <v>0.96</v>
      </c>
      <c r="T211" s="9">
        <f>IF(R211&gt;1,"A corregir","Válida")</f>
        <v/>
      </c>
      <c r="U211" s="13">
        <f>Q211-P211</f>
        <v/>
      </c>
      <c r="V211" s="13">
        <f>IF(S211="",0,S211*Q211)</f>
        <v/>
      </c>
      <c r="W211" s="9" t="n">
        <v>2026</v>
      </c>
      <c r="X211" s="9" t="n">
        <v>10</v>
      </c>
      <c r="Y211" s="9" t="inlineStr">
        <is>
          <t>2026-S10</t>
        </is>
      </c>
    </row>
    <row r="212">
      <c r="A212" s="9" t="n">
        <v>43047075</v>
      </c>
      <c r="B212" s="11" t="n">
        <v>46083.81174768518</v>
      </c>
      <c r="C212" s="12" t="n">
        <v>46083</v>
      </c>
      <c r="D212" s="9">
        <f>YEAR(C212)</f>
        <v/>
      </c>
      <c r="E212" s="9">
        <f>MONTH(C212)</f>
        <v/>
      </c>
      <c r="F212" s="9" t="inlineStr">
        <is>
          <t>B Hormigón</t>
        </is>
      </c>
      <c r="G212" s="9" t="inlineStr">
        <is>
          <t>B HORMIGON 36MM 12M A630-420HS (N)</t>
        </is>
      </c>
      <c r="H212" s="9" t="inlineStr">
        <is>
          <t>B HORMIGON 36MM 12M A630-420HS (N)</t>
        </is>
      </c>
      <c r="I212" s="9" t="inlineStr">
        <is>
          <t>RED 36 CR</t>
        </is>
      </c>
      <c r="J212" s="9" t="n">
        <v>110007600</v>
      </c>
      <c r="K212" s="9" t="n">
        <v>36</v>
      </c>
      <c r="L212" s="9" t="n"/>
      <c r="M212" s="9" t="n"/>
      <c r="N212" s="9" t="n"/>
      <c r="O212" s="9" t="n">
        <v>12</v>
      </c>
      <c r="P212" s="13" t="n">
        <v>21796</v>
      </c>
      <c r="Q212" s="13" t="n">
        <v>23324.4</v>
      </c>
      <c r="R212" s="14">
        <f>IFERROR(P212/Q212,"")</f>
        <v/>
      </c>
      <c r="S212" s="15" t="n">
        <v>0.96</v>
      </c>
      <c r="T212" s="9">
        <f>IF(R212&gt;1,"A corregir","Válida")</f>
        <v/>
      </c>
      <c r="U212" s="13">
        <f>Q212-P212</f>
        <v/>
      </c>
      <c r="V212" s="13">
        <f>IF(S212="",0,S212*Q212)</f>
        <v/>
      </c>
      <c r="W212" s="9" t="n">
        <v>2026</v>
      </c>
      <c r="X212" s="9" t="n">
        <v>10</v>
      </c>
      <c r="Y212" s="9" t="inlineStr">
        <is>
          <t>2026-S10</t>
        </is>
      </c>
    </row>
    <row r="213">
      <c r="A213" s="9" t="n">
        <v>43047076</v>
      </c>
      <c r="B213" s="11" t="n">
        <v>46083.8590625</v>
      </c>
      <c r="C213" s="12" t="n">
        <v>46083</v>
      </c>
      <c r="D213" s="9">
        <f>YEAR(C213)</f>
        <v/>
      </c>
      <c r="E213" s="9">
        <f>MONTH(C213)</f>
        <v/>
      </c>
      <c r="F213" s="9" t="inlineStr">
        <is>
          <t>B Hormigón</t>
        </is>
      </c>
      <c r="G213" s="9" t="inlineStr">
        <is>
          <t>B HORMIGON 36MM 11M A630-420HS (N)</t>
        </is>
      </c>
      <c r="H213" s="9" t="inlineStr">
        <is>
          <t>B HORMIGON 36MM 11M A630-420HS (N)</t>
        </is>
      </c>
      <c r="I213" s="9" t="inlineStr">
        <is>
          <t>RED 36 CR</t>
        </is>
      </c>
      <c r="J213" s="9" t="n">
        <v>110007599</v>
      </c>
      <c r="K213" s="9" t="n">
        <v>36</v>
      </c>
      <c r="L213" s="9" t="n"/>
      <c r="M213" s="9" t="n"/>
      <c r="N213" s="9" t="n"/>
      <c r="O213" s="9" t="n">
        <v>11</v>
      </c>
      <c r="P213" s="13" t="n">
        <v>30534</v>
      </c>
      <c r="Q213" s="13" t="n">
        <v>29858.4</v>
      </c>
      <c r="R213" s="14">
        <f>IFERROR(P213/Q213,"")</f>
        <v/>
      </c>
      <c r="S213" s="15" t="n">
        <v>0.96</v>
      </c>
      <c r="T213" s="9">
        <f>IF(R213&gt;1,"A corregir","Válida")</f>
        <v/>
      </c>
      <c r="U213" s="13">
        <f>Q213-P213</f>
        <v/>
      </c>
      <c r="V213" s="13">
        <f>IF(S213="",0,S213*Q213)</f>
        <v/>
      </c>
      <c r="W213" s="9" t="n">
        <v>2026</v>
      </c>
      <c r="X213" s="9" t="n">
        <v>10</v>
      </c>
      <c r="Y213" s="9" t="inlineStr">
        <is>
          <t>2026-S10</t>
        </is>
      </c>
    </row>
    <row r="214">
      <c r="A214" s="9" t="n">
        <v>43047077</v>
      </c>
      <c r="B214" s="11" t="n">
        <v>46084.03493055556</v>
      </c>
      <c r="C214" s="12" t="n">
        <v>46084</v>
      </c>
      <c r="D214" s="9">
        <f>YEAR(C214)</f>
        <v/>
      </c>
      <c r="E214" s="9">
        <f>MONTH(C214)</f>
        <v/>
      </c>
      <c r="F214" s="9" t="inlineStr">
        <is>
          <t>Redondo liso</t>
        </is>
      </c>
      <c r="G214" s="9" t="inlineStr">
        <is>
          <t>REDONDO LISO 19MM 6M SAE 1020 (N)</t>
        </is>
      </c>
      <c r="H214" s="9" t="inlineStr">
        <is>
          <t>REDONDO LISO 19MM 6M SAE 1020 (N)</t>
        </is>
      </c>
      <c r="I214" s="9" t="inlineStr">
        <is>
          <t>RED 19</t>
        </is>
      </c>
      <c r="J214" s="9" t="n">
        <v>109006918</v>
      </c>
      <c r="K214" s="9" t="n">
        <v>19</v>
      </c>
      <c r="L214" s="9" t="n"/>
      <c r="M214" s="9" t="n"/>
      <c r="N214" s="9" t="n"/>
      <c r="O214" s="9" t="n">
        <v>6</v>
      </c>
      <c r="P214" s="13" t="n">
        <v>88869</v>
      </c>
      <c r="Q214" s="13" t="n">
        <v>95145.60000000001</v>
      </c>
      <c r="R214" s="14">
        <f>IFERROR(P214/Q214,"")</f>
        <v/>
      </c>
      <c r="S214" s="15" t="n">
        <v>0.9520000000000001</v>
      </c>
      <c r="T214" s="9">
        <f>IF(R214&gt;1,"A corregir","Válida")</f>
        <v/>
      </c>
      <c r="U214" s="13">
        <f>Q214-P214</f>
        <v/>
      </c>
      <c r="V214" s="13">
        <f>IF(S214="",0,S214*Q214)</f>
        <v/>
      </c>
      <c r="W214" s="9" t="n">
        <v>2026</v>
      </c>
      <c r="X214" s="9" t="n">
        <v>10</v>
      </c>
      <c r="Y214" s="9" t="inlineStr">
        <is>
          <t>2026-S10</t>
        </is>
      </c>
    </row>
    <row r="215">
      <c r="A215" s="9" t="n">
        <v>43047079</v>
      </c>
      <c r="B215" s="11" t="n">
        <v>46084.2069675926</v>
      </c>
      <c r="C215" s="12" t="n">
        <v>46084</v>
      </c>
      <c r="D215" s="9">
        <f>YEAR(C215)</f>
        <v/>
      </c>
      <c r="E215" s="9">
        <f>MONTH(C215)</f>
        <v/>
      </c>
      <c r="F215" s="9" t="inlineStr">
        <is>
          <t>Redondo liso</t>
        </is>
      </c>
      <c r="G215" s="9" t="inlineStr">
        <is>
          <t>REDONDO LISO 3/4' 6M SAE 1020 (N)</t>
        </is>
      </c>
      <c r="H215" s="9" t="inlineStr">
        <is>
          <t>REDONDO LISO 3/4' 6M SAE 1020 (N)</t>
        </is>
      </c>
      <c r="I215" s="9" t="inlineStr">
        <is>
          <t>RED 19</t>
        </is>
      </c>
      <c r="J215" s="9" t="n">
        <v>109006926</v>
      </c>
      <c r="K215" s="9" t="n">
        <v>19</v>
      </c>
      <c r="L215" s="9" t="n"/>
      <c r="M215" s="9" t="n"/>
      <c r="N215" s="9" t="n"/>
      <c r="O215" s="9" t="n">
        <v>6</v>
      </c>
      <c r="P215" s="13" t="n">
        <v>30217</v>
      </c>
      <c r="Q215" s="13" t="n">
        <v>28723.2</v>
      </c>
      <c r="R215" s="14">
        <f>IFERROR(P215/Q215,"")</f>
        <v/>
      </c>
      <c r="S215" s="15" t="n">
        <v>0.9520000000000001</v>
      </c>
      <c r="T215" s="9">
        <f>IF(R215&gt;1,"A corregir","Válida")</f>
        <v/>
      </c>
      <c r="U215" s="13">
        <f>Q215-P215</f>
        <v/>
      </c>
      <c r="V215" s="13">
        <f>IF(S215="",0,S215*Q215)</f>
        <v/>
      </c>
      <c r="W215" s="9" t="n">
        <v>2026</v>
      </c>
      <c r="X215" s="9" t="n">
        <v>10</v>
      </c>
      <c r="Y215" s="9" t="inlineStr">
        <is>
          <t>2026-S10</t>
        </is>
      </c>
    </row>
    <row r="216">
      <c r="A216" s="9" t="n">
        <v>43047078</v>
      </c>
      <c r="B216" s="11" t="n">
        <v>46084.26431712963</v>
      </c>
      <c r="C216" s="12" t="n">
        <v>46084</v>
      </c>
      <c r="D216" s="9">
        <f>YEAR(C216)</f>
        <v/>
      </c>
      <c r="E216" s="9">
        <f>MONTH(C216)</f>
        <v/>
      </c>
      <c r="F216" s="9" t="inlineStr">
        <is>
          <t>Redondo liso</t>
        </is>
      </c>
      <c r="G216" s="9" t="inlineStr">
        <is>
          <t>REDONDO LISO 3/4' 6M ASTM A 36 (N)</t>
        </is>
      </c>
      <c r="H216" s="9" t="inlineStr">
        <is>
          <t>REDONDO LISO 3/4' 6M ASTM A 36 (N)</t>
        </is>
      </c>
      <c r="I216" s="9" t="inlineStr">
        <is>
          <t>RED 19</t>
        </is>
      </c>
      <c r="J216" s="9" t="n">
        <v>109006937</v>
      </c>
      <c r="K216" s="9" t="n">
        <v>19</v>
      </c>
      <c r="L216" s="9" t="n"/>
      <c r="M216" s="9" t="n"/>
      <c r="N216" s="9" t="n"/>
      <c r="O216" s="9" t="n">
        <v>6</v>
      </c>
      <c r="P216" s="13" t="n">
        <v>20159</v>
      </c>
      <c r="Q216" s="13" t="n">
        <v>21542.4</v>
      </c>
      <c r="R216" s="14">
        <f>IFERROR(P216/Q216,"")</f>
        <v/>
      </c>
      <c r="S216" s="15" t="n">
        <v>0.9520000000000001</v>
      </c>
      <c r="T216" s="9">
        <f>IF(R216&gt;1,"A corregir","Válida")</f>
        <v/>
      </c>
      <c r="U216" s="13">
        <f>Q216-P216</f>
        <v/>
      </c>
      <c r="V216" s="13">
        <f>IF(S216="",0,S216*Q216)</f>
        <v/>
      </c>
      <c r="W216" s="9" t="n">
        <v>2026</v>
      </c>
      <c r="X216" s="9" t="n">
        <v>10</v>
      </c>
      <c r="Y216" s="9" t="inlineStr">
        <is>
          <t>2026-S10</t>
        </is>
      </c>
    </row>
    <row r="217">
      <c r="A217" s="9" t="n">
        <v>43047080</v>
      </c>
      <c r="B217" s="11" t="n">
        <v>46084.30328703704</v>
      </c>
      <c r="C217" s="12" t="n">
        <v>46084</v>
      </c>
      <c r="D217" s="9">
        <f>YEAR(C217)</f>
        <v/>
      </c>
      <c r="E217" s="9">
        <f>MONTH(C217)</f>
        <v/>
      </c>
      <c r="F217" s="9" t="inlineStr">
        <is>
          <t>Redondo liso</t>
        </is>
      </c>
      <c r="G217" s="9" t="inlineStr">
        <is>
          <t>REDONDO LISO 3/4' 6M SAE 1045 (N)</t>
        </is>
      </c>
      <c r="H217" s="9" t="inlineStr">
        <is>
          <t>REDONDO LISO 3/4' 6M SAE 1045 (N)</t>
        </is>
      </c>
      <c r="I217" s="9" t="inlineStr">
        <is>
          <t>RED 19</t>
        </is>
      </c>
      <c r="J217" s="9" t="n">
        <v>109006877</v>
      </c>
      <c r="K217" s="9" t="n">
        <v>19</v>
      </c>
      <c r="L217" s="9" t="n"/>
      <c r="M217" s="9" t="n"/>
      <c r="N217" s="9" t="n"/>
      <c r="O217" s="9" t="n">
        <v>6</v>
      </c>
      <c r="P217" s="13" t="n">
        <v>25128</v>
      </c>
      <c r="Q217" s="13" t="n">
        <v>26928</v>
      </c>
      <c r="R217" s="14">
        <f>IFERROR(P217/Q217,"")</f>
        <v/>
      </c>
      <c r="S217" s="15" t="n">
        <v>0.9520000000000001</v>
      </c>
      <c r="T217" s="9">
        <f>IF(R217&gt;1,"A corregir","Válida")</f>
        <v/>
      </c>
      <c r="U217" s="13">
        <f>Q217-P217</f>
        <v/>
      </c>
      <c r="V217" s="13">
        <f>IF(S217="",0,S217*Q217)</f>
        <v/>
      </c>
      <c r="W217" s="9" t="n">
        <v>2026</v>
      </c>
      <c r="X217" s="9" t="n">
        <v>10</v>
      </c>
      <c r="Y217" s="9" t="inlineStr">
        <is>
          <t>2026-S10</t>
        </is>
      </c>
    </row>
    <row r="218">
      <c r="A218" s="9" t="n">
        <v>43047081</v>
      </c>
      <c r="B218" s="11" t="n">
        <v>46084.40709490741</v>
      </c>
      <c r="C218" s="12" t="n">
        <v>46084</v>
      </c>
      <c r="D218" s="9">
        <f>YEAR(C218)</f>
        <v/>
      </c>
      <c r="E218" s="9">
        <f>MONTH(C218)</f>
        <v/>
      </c>
      <c r="F218" s="9" t="inlineStr">
        <is>
          <t>Redondo liso</t>
        </is>
      </c>
      <c r="G218" s="9" t="inlineStr">
        <is>
          <t>REDONDO LISO 7/8' 6M ASTM A 36 (N)</t>
        </is>
      </c>
      <c r="H218" s="9" t="inlineStr">
        <is>
          <t>REDONDO LISO 7/8' 6M ASTM A 36 (N)</t>
        </is>
      </c>
      <c r="I218" s="9" t="inlineStr">
        <is>
          <t>RED 7/8</t>
        </is>
      </c>
      <c r="J218" s="9" t="n">
        <v>109006936</v>
      </c>
      <c r="K218" s="9" t="n">
        <v>22.2</v>
      </c>
      <c r="L218" s="9" t="n"/>
      <c r="M218" s="9" t="n"/>
      <c r="N218" s="9" t="n"/>
      <c r="O218" s="9" t="n">
        <v>6</v>
      </c>
      <c r="P218" s="13" t="n">
        <v>20800</v>
      </c>
      <c r="Q218" s="13" t="n">
        <v>21542.4</v>
      </c>
      <c r="R218" s="14">
        <f>IFERROR(P218/Q218,"")</f>
        <v/>
      </c>
      <c r="S218" s="15" t="n">
        <v>0.95</v>
      </c>
      <c r="T218" s="9">
        <f>IF(R218&gt;1,"A corregir","Válida")</f>
        <v/>
      </c>
      <c r="U218" s="13">
        <f>Q218-P218</f>
        <v/>
      </c>
      <c r="V218" s="13">
        <f>IF(S218="",0,S218*Q218)</f>
        <v/>
      </c>
      <c r="W218" s="9" t="n">
        <v>2026</v>
      </c>
      <c r="X218" s="9" t="n">
        <v>10</v>
      </c>
      <c r="Y218" s="9" t="inlineStr">
        <is>
          <t>2026-S10</t>
        </is>
      </c>
    </row>
    <row r="219">
      <c r="A219" s="9" t="n">
        <v>43047082</v>
      </c>
      <c r="B219" s="11" t="n">
        <v>46084.44251157407</v>
      </c>
      <c r="C219" s="12" t="n">
        <v>46084</v>
      </c>
      <c r="D219" s="9">
        <f>YEAR(C219)</f>
        <v/>
      </c>
      <c r="E219" s="9">
        <f>MONTH(C219)</f>
        <v/>
      </c>
      <c r="F219" s="9" t="inlineStr">
        <is>
          <t>Redondo liso</t>
        </is>
      </c>
      <c r="G219" s="9" t="inlineStr">
        <is>
          <t>REDONDO LISO 7/8' 6M SAE 1020 (N)</t>
        </is>
      </c>
      <c r="H219" s="9" t="inlineStr">
        <is>
          <t>REDONDO LISO 7/8' 6M SAE 1020 (N)</t>
        </is>
      </c>
      <c r="I219" s="9" t="inlineStr">
        <is>
          <t>RED 7/8</t>
        </is>
      </c>
      <c r="J219" s="9" t="n">
        <v>109006912</v>
      </c>
      <c r="K219" s="9" t="n">
        <v>22.2</v>
      </c>
      <c r="L219" s="9" t="n"/>
      <c r="M219" s="9" t="n"/>
      <c r="N219" s="9" t="n"/>
      <c r="O219" s="9" t="n">
        <v>6</v>
      </c>
      <c r="P219" s="13" t="n">
        <v>93040</v>
      </c>
      <c r="Q219" s="13" t="n">
        <v>98736</v>
      </c>
      <c r="R219" s="14">
        <f>IFERROR(P219/Q219,"")</f>
        <v/>
      </c>
      <c r="S219" s="15" t="n">
        <v>0.95</v>
      </c>
      <c r="T219" s="9">
        <f>IF(R219&gt;1,"A corregir","Válida")</f>
        <v/>
      </c>
      <c r="U219" s="13">
        <f>Q219-P219</f>
        <v/>
      </c>
      <c r="V219" s="13">
        <f>IF(S219="",0,S219*Q219)</f>
        <v/>
      </c>
      <c r="W219" s="9" t="n">
        <v>2026</v>
      </c>
      <c r="X219" s="9" t="n">
        <v>10</v>
      </c>
      <c r="Y219" s="9" t="inlineStr">
        <is>
          <t>2026-S10</t>
        </is>
      </c>
    </row>
    <row r="220">
      <c r="A220" s="9" t="n">
        <v>43047083</v>
      </c>
      <c r="B220" s="11" t="n">
        <v>46084.72923611111</v>
      </c>
      <c r="C220" s="12" t="n">
        <v>46084</v>
      </c>
      <c r="D220" s="9">
        <f>YEAR(C220)</f>
        <v/>
      </c>
      <c r="E220" s="9">
        <f>MONTH(C220)</f>
        <v/>
      </c>
      <c r="F220" s="9" t="inlineStr">
        <is>
          <t>Ángulo</t>
        </is>
      </c>
      <c r="G220" s="9" t="inlineStr">
        <is>
          <t>ANGULO 30X30X3MM A270ES</t>
        </is>
      </c>
      <c r="H220" s="9" t="inlineStr">
        <is>
          <t>ANGULO SEMI 30X30X3MM A270ES</t>
        </is>
      </c>
      <c r="I220" s="9" t="inlineStr">
        <is>
          <t>ANG 30 x 3</t>
        </is>
      </c>
      <c r="J220" s="9" t="n">
        <v>106501029</v>
      </c>
      <c r="K220" s="9" t="n"/>
      <c r="L220" s="9" t="n">
        <v>30</v>
      </c>
      <c r="M220" s="9" t="n">
        <v>3</v>
      </c>
      <c r="N220" s="9" t="n"/>
      <c r="O220" s="9" t="n">
        <v>6</v>
      </c>
      <c r="P220" s="13" t="n">
        <v>241440</v>
      </c>
      <c r="Q220" s="13" t="n">
        <v>258060</v>
      </c>
      <c r="R220" s="14">
        <f>IFERROR(P220/Q220,"")</f>
        <v/>
      </c>
      <c r="S220" s="15" t="n">
        <v>0.96</v>
      </c>
      <c r="T220" s="9">
        <f>IF(R220&gt;1,"A corregir","Válida")</f>
        <v/>
      </c>
      <c r="U220" s="13">
        <f>Q220-P220</f>
        <v/>
      </c>
      <c r="V220" s="13">
        <f>IF(S220="",0,S220*Q220)</f>
        <v/>
      </c>
      <c r="W220" s="9" t="n">
        <v>2026</v>
      </c>
      <c r="X220" s="9" t="n">
        <v>10</v>
      </c>
      <c r="Y220" s="9" t="inlineStr">
        <is>
          <t>2026-S10</t>
        </is>
      </c>
    </row>
    <row r="221">
      <c r="A221" s="9" t="n">
        <v>43047210</v>
      </c>
      <c r="B221" s="11" t="n">
        <v>46085.82126157408</v>
      </c>
      <c r="C221" s="12" t="n">
        <v>46085</v>
      </c>
      <c r="D221" s="9">
        <f>YEAR(C221)</f>
        <v/>
      </c>
      <c r="E221" s="9">
        <f>MONTH(C221)</f>
        <v/>
      </c>
      <c r="F221" s="9" t="inlineStr">
        <is>
          <t>Plana</t>
        </is>
      </c>
      <c r="G221" s="9" t="inlineStr">
        <is>
          <t>PLANA 25X2,85MM 6M A270ES ARR(N)</t>
        </is>
      </c>
      <c r="H221" s="9" t="inlineStr">
        <is>
          <t>PLANA 25X2,85MM 6M A270ES ARR(N)</t>
        </is>
      </c>
      <c r="I221" s="9" t="inlineStr">
        <is>
          <t>PL 25 x 3</t>
        </is>
      </c>
      <c r="J221" s="9" t="n">
        <v>109015693</v>
      </c>
      <c r="K221" s="9" t="n"/>
      <c r="L221" s="9" t="n">
        <v>25</v>
      </c>
      <c r="M221" s="9" t="n">
        <v>2.85</v>
      </c>
      <c r="N221" s="9" t="n"/>
      <c r="O221" s="9" t="n">
        <v>6</v>
      </c>
      <c r="P221" s="13" t="n">
        <v>53613</v>
      </c>
      <c r="Q221" s="13" t="n">
        <v>60099.6</v>
      </c>
      <c r="R221" s="14">
        <f>IFERROR(P221/Q221,"")</f>
        <v/>
      </c>
      <c r="S221" s="15" t="n">
        <v>0.968</v>
      </c>
      <c r="T221" s="9">
        <f>IF(R221&gt;1,"A corregir","Válida")</f>
        <v/>
      </c>
      <c r="U221" s="13">
        <f>Q221-P221</f>
        <v/>
      </c>
      <c r="V221" s="13">
        <f>IF(S221="",0,S221*Q221)</f>
        <v/>
      </c>
      <c r="W221" s="9" t="n">
        <v>2026</v>
      </c>
      <c r="X221" s="9" t="n">
        <v>10</v>
      </c>
      <c r="Y221" s="9" t="inlineStr">
        <is>
          <t>2026-S10</t>
        </is>
      </c>
    </row>
    <row r="222">
      <c r="A222" s="9" t="n">
        <v>43047207</v>
      </c>
      <c r="B222" s="11" t="n">
        <v>46086.10311342592</v>
      </c>
      <c r="C222" s="12" t="n">
        <v>46086</v>
      </c>
      <c r="D222" s="9">
        <f>YEAR(C222)</f>
        <v/>
      </c>
      <c r="E222" s="9">
        <f>MONTH(C222)</f>
        <v/>
      </c>
      <c r="F222" s="9" t="inlineStr">
        <is>
          <t>Plana</t>
        </is>
      </c>
      <c r="G222" s="9" t="inlineStr">
        <is>
          <t>PLANA 25X3MM 6M A270ES (N)</t>
        </is>
      </c>
      <c r="H222" s="9" t="inlineStr">
        <is>
          <t>PLANA 25X3MM 6M A270ES (N)</t>
        </is>
      </c>
      <c r="I222" s="9" t="inlineStr">
        <is>
          <t>PL 25 x 3</t>
        </is>
      </c>
      <c r="J222" s="9" t="n">
        <v>109013858</v>
      </c>
      <c r="K222" s="9" t="n"/>
      <c r="L222" s="9" t="n">
        <v>25</v>
      </c>
      <c r="M222" s="9" t="n">
        <v>3</v>
      </c>
      <c r="N222" s="9" t="n"/>
      <c r="O222" s="9" t="n">
        <v>6</v>
      </c>
      <c r="P222" s="13" t="n">
        <v>102081</v>
      </c>
      <c r="Q222" s="13" t="n">
        <v>107949.6</v>
      </c>
      <c r="R222" s="14">
        <f>IFERROR(P222/Q222,"")</f>
        <v/>
      </c>
      <c r="S222" s="15" t="n">
        <v>0.968</v>
      </c>
      <c r="T222" s="9">
        <f>IF(R222&gt;1,"A corregir","Válida")</f>
        <v/>
      </c>
      <c r="U222" s="13">
        <f>Q222-P222</f>
        <v/>
      </c>
      <c r="V222" s="13">
        <f>IF(S222="",0,S222*Q222)</f>
        <v/>
      </c>
      <c r="W222" s="9" t="n">
        <v>2026</v>
      </c>
      <c r="X222" s="9" t="n">
        <v>10</v>
      </c>
      <c r="Y222" s="9" t="inlineStr">
        <is>
          <t>2026-S10</t>
        </is>
      </c>
    </row>
    <row r="223">
      <c r="A223" s="9" t="n">
        <v>43047245</v>
      </c>
      <c r="B223" s="11" t="n">
        <v>46086.53075231481</v>
      </c>
      <c r="C223" s="12" t="n">
        <v>46086</v>
      </c>
      <c r="D223" s="9">
        <f>YEAR(C223)</f>
        <v/>
      </c>
      <c r="E223" s="9">
        <f>MONTH(C223)</f>
        <v/>
      </c>
      <c r="F223" s="9" t="inlineStr">
        <is>
          <t>Cuadrado</t>
        </is>
      </c>
      <c r="G223" s="9" t="inlineStr">
        <is>
          <t>CUADRADO 10MM 6M COMERCIAL (N)</t>
        </is>
      </c>
      <c r="H223" s="9" t="inlineStr">
        <is>
          <t>CUADRADO 10MM 6M COMERCIAL (N)</t>
        </is>
      </c>
      <c r="I223" s="9" t="inlineStr">
        <is>
          <t>CUAD 10</t>
        </is>
      </c>
      <c r="J223" s="9" t="n">
        <v>109007066</v>
      </c>
      <c r="K223" s="9" t="n"/>
      <c r="L223" s="9" t="n"/>
      <c r="M223" s="9" t="n"/>
      <c r="N223" s="9" t="n">
        <v>10</v>
      </c>
      <c r="O223" s="9" t="n">
        <v>6</v>
      </c>
      <c r="P223" s="13" t="n">
        <v>39968</v>
      </c>
      <c r="Q223" s="13" t="n">
        <v>42108</v>
      </c>
      <c r="R223" s="14">
        <f>IFERROR(P223/Q223,"")</f>
        <v/>
      </c>
      <c r="S223" s="15" t="n">
        <v>0.9670000000000001</v>
      </c>
      <c r="T223" s="9">
        <f>IF(R223&gt;1,"A corregir","Válida")</f>
        <v/>
      </c>
      <c r="U223" s="13">
        <f>Q223-P223</f>
        <v/>
      </c>
      <c r="V223" s="13">
        <f>IF(S223="",0,S223*Q223)</f>
        <v/>
      </c>
      <c r="W223" s="9" t="n">
        <v>2026</v>
      </c>
      <c r="X223" s="9" t="n">
        <v>10</v>
      </c>
      <c r="Y223" s="9" t="inlineStr">
        <is>
          <t>2026-S10</t>
        </is>
      </c>
    </row>
    <row r="224">
      <c r="A224" s="9" t="n">
        <v>43047209</v>
      </c>
      <c r="B224" s="11" t="n">
        <v>46086.67059027778</v>
      </c>
      <c r="C224" s="12" t="n">
        <v>46086</v>
      </c>
      <c r="D224" s="9">
        <f>YEAR(C224)</f>
        <v/>
      </c>
      <c r="E224" s="9">
        <f>MONTH(C224)</f>
        <v/>
      </c>
      <c r="F224" s="9" t="inlineStr">
        <is>
          <t>Plana</t>
        </is>
      </c>
      <c r="G224" s="9" t="inlineStr">
        <is>
          <t>PLANA 20X5MM 6M A270ES (N)</t>
        </is>
      </c>
      <c r="H224" s="9" t="inlineStr">
        <is>
          <t>PLANA 20X5MM 6M A270ES (N)</t>
        </is>
      </c>
      <c r="I224" s="9" t="inlineStr">
        <is>
          <t>PL 20 x 5</t>
        </is>
      </c>
      <c r="J224" s="9" t="n">
        <v>119502244</v>
      </c>
      <c r="K224" s="9" t="n"/>
      <c r="L224" s="9" t="n">
        <v>20</v>
      </c>
      <c r="M224" s="9" t="n">
        <v>5</v>
      </c>
      <c r="N224" s="9" t="n"/>
      <c r="O224" s="9" t="n">
        <v>6</v>
      </c>
      <c r="P224" s="13" t="n">
        <v>54088</v>
      </c>
      <c r="Q224" s="13" t="n">
        <v>57420</v>
      </c>
      <c r="R224" s="14">
        <f>IFERROR(P224/Q224,"")</f>
        <v/>
      </c>
      <c r="S224" s="15" t="n">
        <v>0.9670000000000001</v>
      </c>
      <c r="T224" s="9">
        <f>IF(R224&gt;1,"A corregir","Válida")</f>
        <v/>
      </c>
      <c r="U224" s="13">
        <f>Q224-P224</f>
        <v/>
      </c>
      <c r="V224" s="13">
        <f>IF(S224="",0,S224*Q224)</f>
        <v/>
      </c>
      <c r="W224" s="9" t="n">
        <v>2026</v>
      </c>
      <c r="X224" s="9" t="n">
        <v>10</v>
      </c>
      <c r="Y224" s="9" t="inlineStr">
        <is>
          <t>2026-S10</t>
        </is>
      </c>
    </row>
    <row r="225">
      <c r="A225" s="9" t="n">
        <v>43047211</v>
      </c>
      <c r="B225" s="11" t="n">
        <v>46086.94208333334</v>
      </c>
      <c r="C225" s="12" t="n">
        <v>46086</v>
      </c>
      <c r="D225" s="9">
        <f>YEAR(C225)</f>
        <v/>
      </c>
      <c r="E225" s="9">
        <f>MONTH(C225)</f>
        <v/>
      </c>
      <c r="F225" s="9" t="inlineStr">
        <is>
          <t>Plana</t>
        </is>
      </c>
      <c r="G225" s="9" t="inlineStr">
        <is>
          <t>PLANA ASERRADA 25X4,85MM 6M A270ES (N)</t>
        </is>
      </c>
      <c r="H225" s="9" t="inlineStr">
        <is>
          <t>PLANA ASERRADA 25X4,85MM 6M A270ES (N)</t>
        </is>
      </c>
      <c r="I225" s="9" t="inlineStr">
        <is>
          <t>PL 25 x 4,85</t>
        </is>
      </c>
      <c r="J225" s="9" t="n">
        <v>109016010</v>
      </c>
      <c r="K225" s="9" t="n"/>
      <c r="L225" s="9" t="n">
        <v>25</v>
      </c>
      <c r="M225" s="9" t="n">
        <v>4.85</v>
      </c>
      <c r="N225" s="9" t="n"/>
      <c r="O225" s="9" t="n">
        <v>6</v>
      </c>
      <c r="P225" s="13" t="n">
        <v>33011</v>
      </c>
      <c r="Q225" s="13" t="n">
        <v>35217.6</v>
      </c>
      <c r="R225" s="14">
        <f>IFERROR(P225/Q225,"")</f>
        <v/>
      </c>
      <c r="S225" s="15" t="n">
        <v>0.9670000000000001</v>
      </c>
      <c r="T225" s="9">
        <f>IF(R225&gt;1,"A corregir","Válida")</f>
        <v/>
      </c>
      <c r="U225" s="13">
        <f>Q225-P225</f>
        <v/>
      </c>
      <c r="V225" s="13">
        <f>IF(S225="",0,S225*Q225)</f>
        <v/>
      </c>
      <c r="W225" s="9" t="n">
        <v>2026</v>
      </c>
      <c r="X225" s="9" t="n">
        <v>10</v>
      </c>
      <c r="Y225" s="9" t="inlineStr">
        <is>
          <t>2026-S10</t>
        </is>
      </c>
    </row>
    <row r="226">
      <c r="A226" s="9" t="n">
        <v>43047212</v>
      </c>
      <c r="B226" s="11" t="n">
        <v>46087.07479166667</v>
      </c>
      <c r="C226" s="12" t="n">
        <v>46087</v>
      </c>
      <c r="D226" s="9">
        <f>YEAR(C226)</f>
        <v/>
      </c>
      <c r="E226" s="9">
        <f>MONTH(C226)</f>
        <v/>
      </c>
      <c r="F226" s="9" t="inlineStr">
        <is>
          <t>Plana</t>
        </is>
      </c>
      <c r="G226" s="9" t="inlineStr">
        <is>
          <t>PLANA 18X8MM 6M COM (Canto-RED) (N)</t>
        </is>
      </c>
      <c r="H226" s="9" t="inlineStr">
        <is>
          <t>PLANA 18X8MM 6M COM (Canto-RED) (N)</t>
        </is>
      </c>
      <c r="I226" s="9" t="inlineStr">
        <is>
          <t>PL 18 x 8</t>
        </is>
      </c>
      <c r="J226" s="9" t="n">
        <v>119502737</v>
      </c>
      <c r="K226" s="9" t="n"/>
      <c r="L226" s="9" t="n">
        <v>18</v>
      </c>
      <c r="M226" s="9" t="n">
        <v>8</v>
      </c>
      <c r="N226" s="9" t="n"/>
      <c r="O226" s="9" t="n">
        <v>6</v>
      </c>
      <c r="P226" s="13" t="n">
        <v>43039</v>
      </c>
      <c r="Q226" s="13" t="n">
        <v>45553.2</v>
      </c>
      <c r="R226" s="14">
        <f>IFERROR(P226/Q226,"")</f>
        <v/>
      </c>
      <c r="S226" s="15" t="n">
        <v>0.966</v>
      </c>
      <c r="T226" s="9">
        <f>IF(R226&gt;1,"A corregir","Válida")</f>
        <v/>
      </c>
      <c r="U226" s="13">
        <f>Q226-P226</f>
        <v/>
      </c>
      <c r="V226" s="13">
        <f>IF(S226="",0,S226*Q226)</f>
        <v/>
      </c>
      <c r="W226" s="9" t="n">
        <v>2026</v>
      </c>
      <c r="X226" s="9" t="n">
        <v>10</v>
      </c>
      <c r="Y226" s="9" t="inlineStr">
        <is>
          <t>2026-S10</t>
        </is>
      </c>
    </row>
    <row r="227">
      <c r="A227" s="9" t="n">
        <v>43047213</v>
      </c>
      <c r="B227" s="11" t="n">
        <v>46087.22170138889</v>
      </c>
      <c r="C227" s="12" t="n">
        <v>46087</v>
      </c>
      <c r="D227" s="9">
        <f>YEAR(C227)</f>
        <v/>
      </c>
      <c r="E227" s="9">
        <f>MONTH(C227)</f>
        <v/>
      </c>
      <c r="F227" s="9" t="inlineStr">
        <is>
          <t>Plana</t>
        </is>
      </c>
      <c r="G227" s="9" t="inlineStr">
        <is>
          <t>PLANA 32X3MM 6M A270ES (N)</t>
        </is>
      </c>
      <c r="H227" s="9" t="inlineStr">
        <is>
          <t>PLANA 32X3MM 6M A270ES (N)</t>
        </is>
      </c>
      <c r="I227" s="9" t="inlineStr">
        <is>
          <t>PL 32 x 3</t>
        </is>
      </c>
      <c r="J227" s="9" t="n">
        <v>109013879</v>
      </c>
      <c r="K227" s="9" t="n"/>
      <c r="L227" s="9" t="n">
        <v>32</v>
      </c>
      <c r="M227" s="9" t="n">
        <v>3</v>
      </c>
      <c r="N227" s="9" t="n"/>
      <c r="O227" s="9" t="n">
        <v>6</v>
      </c>
      <c r="P227" s="13" t="n">
        <v>160520</v>
      </c>
      <c r="Q227" s="13" t="n">
        <v>168432</v>
      </c>
      <c r="R227" s="14">
        <f>IFERROR(P227/Q227,"")</f>
        <v/>
      </c>
      <c r="S227" s="15" t="n">
        <v>0.966</v>
      </c>
      <c r="T227" s="9">
        <f>IF(R227&gt;1,"A corregir","Válida")</f>
        <v/>
      </c>
      <c r="U227" s="13">
        <f>Q227-P227</f>
        <v/>
      </c>
      <c r="V227" s="13">
        <f>IF(S227="",0,S227*Q227)</f>
        <v/>
      </c>
      <c r="W227" s="9" t="n">
        <v>2026</v>
      </c>
      <c r="X227" s="9" t="n">
        <v>10</v>
      </c>
      <c r="Y227" s="9" t="inlineStr">
        <is>
          <t>2026-S10</t>
        </is>
      </c>
    </row>
    <row r="228">
      <c r="A228" s="9" t="n">
        <v>43047214</v>
      </c>
      <c r="B228" s="11" t="n">
        <v>46087.71408564815</v>
      </c>
      <c r="C228" s="12" t="n">
        <v>46087</v>
      </c>
      <c r="D228" s="9">
        <f>YEAR(C228)</f>
        <v/>
      </c>
      <c r="E228" s="9">
        <f>MONTH(C228)</f>
        <v/>
      </c>
      <c r="F228" s="9" t="inlineStr">
        <is>
          <t>Plana</t>
        </is>
      </c>
      <c r="G228" s="9" t="inlineStr">
        <is>
          <t>PLANA 32x2,85mm 6m A270ES ARR(N)</t>
        </is>
      </c>
      <c r="H228" s="9" t="inlineStr">
        <is>
          <t>PLANA 32x2,85mm 6m A270ES ARR(N)</t>
        </is>
      </c>
      <c r="I228" s="9" t="inlineStr">
        <is>
          <t>PL 32 x 3</t>
        </is>
      </c>
      <c r="J228" s="9" t="n">
        <v>109015695</v>
      </c>
      <c r="K228" s="9" t="n"/>
      <c r="L228" s="9" t="n">
        <v>32</v>
      </c>
      <c r="M228" s="9" t="n">
        <v>2.85</v>
      </c>
      <c r="N228" s="9" t="n"/>
      <c r="O228" s="9" t="n">
        <v>6</v>
      </c>
      <c r="P228" s="13" t="n">
        <v>23839</v>
      </c>
      <c r="Q228" s="13" t="n">
        <v>24882</v>
      </c>
      <c r="R228" s="14">
        <f>IFERROR(P228/Q228,"")</f>
        <v/>
      </c>
      <c r="S228" s="15" t="n">
        <v>0.9670000000000001</v>
      </c>
      <c r="T228" s="9">
        <f>IF(R228&gt;1,"A corregir","Válida")</f>
        <v/>
      </c>
      <c r="U228" s="13">
        <f>Q228-P228</f>
        <v/>
      </c>
      <c r="V228" s="13">
        <f>IF(S228="",0,S228*Q228)</f>
        <v/>
      </c>
      <c r="W228" s="9" t="n">
        <v>2026</v>
      </c>
      <c r="X228" s="9" t="n">
        <v>10</v>
      </c>
      <c r="Y228" s="9" t="inlineStr">
        <is>
          <t>2026-S10</t>
        </is>
      </c>
    </row>
    <row r="229">
      <c r="A229" s="9" t="n">
        <v>43047260</v>
      </c>
      <c r="B229" s="11" t="n">
        <v>46087.90087962963</v>
      </c>
      <c r="C229" s="12" t="n">
        <v>46087</v>
      </c>
      <c r="D229" s="9">
        <f>YEAR(C229)</f>
        <v/>
      </c>
      <c r="E229" s="9">
        <f>MONTH(C229)</f>
        <v/>
      </c>
      <c r="F229" s="9" t="inlineStr">
        <is>
          <t>Plana</t>
        </is>
      </c>
      <c r="G229" s="9" t="inlineStr">
        <is>
          <t>PLANA 32X5MM 6M A270ES (N)</t>
        </is>
      </c>
      <c r="H229" s="9" t="inlineStr">
        <is>
          <t>PLANA 32X5MM 6M A270ES (N)</t>
        </is>
      </c>
      <c r="I229" s="9" t="inlineStr">
        <is>
          <t>PL 32 x 5</t>
        </is>
      </c>
      <c r="J229" s="9" t="n">
        <v>109013897</v>
      </c>
      <c r="K229" s="9" t="n"/>
      <c r="L229" s="9" t="n">
        <v>32</v>
      </c>
      <c r="M229" s="9" t="n">
        <v>5</v>
      </c>
      <c r="N229" s="9" t="n"/>
      <c r="O229" s="9" t="n">
        <v>6</v>
      </c>
      <c r="P229" s="13" t="n">
        <v>73474</v>
      </c>
      <c r="Q229" s="13" t="n">
        <v>78988.8</v>
      </c>
      <c r="R229" s="14">
        <f>IFERROR(P229/Q229,"")</f>
        <v/>
      </c>
      <c r="S229" s="15" t="n">
        <v>0.966</v>
      </c>
      <c r="T229" s="9">
        <f>IF(R229&gt;1,"A corregir","Válida")</f>
        <v/>
      </c>
      <c r="U229" s="13">
        <f>Q229-P229</f>
        <v/>
      </c>
      <c r="V229" s="13">
        <f>IF(S229="",0,S229*Q229)</f>
        <v/>
      </c>
      <c r="W229" s="9" t="n">
        <v>2026</v>
      </c>
      <c r="X229" s="9" t="n">
        <v>10</v>
      </c>
      <c r="Y229" s="9" t="inlineStr">
        <is>
          <t>2026-S10</t>
        </is>
      </c>
    </row>
    <row r="230">
      <c r="A230" s="9" t="n">
        <v>43047261</v>
      </c>
      <c r="B230" s="11" t="n">
        <v>46088.12811342593</v>
      </c>
      <c r="C230" s="12" t="n">
        <v>46088</v>
      </c>
      <c r="D230" s="9">
        <f>YEAR(C230)</f>
        <v/>
      </c>
      <c r="E230" s="9">
        <f>MONTH(C230)</f>
        <v/>
      </c>
      <c r="F230" s="9" t="inlineStr">
        <is>
          <t>Plana</t>
        </is>
      </c>
      <c r="G230" s="9" t="inlineStr">
        <is>
          <t>PLANA ASERRADA 32X4,85MM 6M A270ES (N)</t>
        </is>
      </c>
      <c r="H230" s="9" t="inlineStr">
        <is>
          <t>PLANA ASERRADA 32X4,85MM 6M A270ES (N)</t>
        </is>
      </c>
      <c r="I230" s="9" t="inlineStr">
        <is>
          <t>PL 32 x 4,85</t>
        </is>
      </c>
      <c r="J230" s="9" t="n">
        <v>109016011</v>
      </c>
      <c r="K230" s="9" t="n"/>
      <c r="L230" s="9" t="n">
        <v>32</v>
      </c>
      <c r="M230" s="9" t="n">
        <v>4.85</v>
      </c>
      <c r="N230" s="9" t="n"/>
      <c r="O230" s="9" t="n">
        <v>6</v>
      </c>
      <c r="P230" s="13" t="n">
        <v>39865</v>
      </c>
      <c r="Q230" s="13" t="n">
        <v>42240</v>
      </c>
      <c r="R230" s="14">
        <f>IFERROR(P230/Q230,"")</f>
        <v/>
      </c>
      <c r="S230" s="15" t="n">
        <v>0.965</v>
      </c>
      <c r="T230" s="9">
        <f>IF(R230&gt;1,"A corregir","Válida")</f>
        <v/>
      </c>
      <c r="U230" s="13">
        <f>Q230-P230</f>
        <v/>
      </c>
      <c r="V230" s="13">
        <f>IF(S230="",0,S230*Q230)</f>
        <v/>
      </c>
      <c r="W230" s="9" t="n">
        <v>2026</v>
      </c>
      <c r="X230" s="9" t="n">
        <v>10</v>
      </c>
      <c r="Y230" s="9" t="inlineStr">
        <is>
          <t>2026-S10</t>
        </is>
      </c>
    </row>
    <row r="231">
      <c r="A231" s="9" t="n">
        <v>43047297</v>
      </c>
      <c r="B231" s="11" t="n">
        <v>46090.26891203703</v>
      </c>
      <c r="C231" s="12" t="n">
        <v>46090</v>
      </c>
      <c r="D231" s="9">
        <f>YEAR(C231)</f>
        <v/>
      </c>
      <c r="E231" s="9">
        <f>MONTH(C231)</f>
        <v/>
      </c>
      <c r="F231" s="9" t="inlineStr">
        <is>
          <t>Plana</t>
        </is>
      </c>
      <c r="G231" s="9" t="inlineStr">
        <is>
          <t>PLANA 38X3MM 6M A270ES (N)</t>
        </is>
      </c>
      <c r="H231" s="9" t="inlineStr">
        <is>
          <t>PLANA 38X3MM 6M A270ES (N)</t>
        </is>
      </c>
      <c r="I231" s="9" t="inlineStr">
        <is>
          <t>PL 38 x 3</t>
        </is>
      </c>
      <c r="J231" s="9" t="n">
        <v>109013904</v>
      </c>
      <c r="K231" s="9" t="n"/>
      <c r="L231" s="9" t="n">
        <v>38</v>
      </c>
      <c r="M231" s="9" t="n">
        <v>3</v>
      </c>
      <c r="N231" s="9" t="n"/>
      <c r="O231" s="9" t="n">
        <v>6</v>
      </c>
      <c r="P231" s="13" t="n">
        <v>101510</v>
      </c>
      <c r="Q231" s="13" t="n">
        <v>114048</v>
      </c>
      <c r="R231" s="14">
        <f>IFERROR(P231/Q231,"")</f>
        <v/>
      </c>
      <c r="S231" s="15" t="n">
        <v>0.966</v>
      </c>
      <c r="T231" s="9">
        <f>IF(R231&gt;1,"A corregir","Válida")</f>
        <v/>
      </c>
      <c r="U231" s="13">
        <f>Q231-P231</f>
        <v/>
      </c>
      <c r="V231" s="13">
        <f>IF(S231="",0,S231*Q231)</f>
        <v/>
      </c>
      <c r="W231" s="9" t="n">
        <v>2026</v>
      </c>
      <c r="X231" s="9" t="n">
        <v>11</v>
      </c>
      <c r="Y231" s="9" t="inlineStr">
        <is>
          <t>2026-S11</t>
        </is>
      </c>
    </row>
    <row r="232">
      <c r="A232" s="9" t="n">
        <v>43047263</v>
      </c>
      <c r="B232" s="11" t="n">
        <v>46090.38751157407</v>
      </c>
      <c r="C232" s="12" t="n">
        <v>46090</v>
      </c>
      <c r="D232" s="9">
        <f>YEAR(C232)</f>
        <v/>
      </c>
      <c r="E232" s="9">
        <f>MONTH(C232)</f>
        <v/>
      </c>
      <c r="F232" s="9" t="inlineStr">
        <is>
          <t>Ángulo</t>
        </is>
      </c>
      <c r="G232" s="9" t="inlineStr">
        <is>
          <t>ANGULO 20X20X3MM A270ES</t>
        </is>
      </c>
      <c r="H232" s="9" t="inlineStr">
        <is>
          <t>ANGULO SEMI 20X20X3MM A270ES</t>
        </is>
      </c>
      <c r="I232" s="9" t="inlineStr">
        <is>
          <t>ANG 20 x 3</t>
        </is>
      </c>
      <c r="J232" s="9" t="n">
        <v>106501016</v>
      </c>
      <c r="K232" s="9" t="n"/>
      <c r="L232" s="9" t="n">
        <v>20</v>
      </c>
      <c r="M232" s="9" t="n">
        <v>3</v>
      </c>
      <c r="N232" s="9" t="n"/>
      <c r="O232" s="9" t="n">
        <v>12</v>
      </c>
      <c r="P232" s="13" t="n">
        <v>152797</v>
      </c>
      <c r="Q232" s="13" t="n">
        <v>158400</v>
      </c>
      <c r="R232" s="14">
        <f>IFERROR(P232/Q232,"")</f>
        <v/>
      </c>
      <c r="S232" s="15" t="n">
        <v>0.963</v>
      </c>
      <c r="T232" s="9">
        <f>IF(R232&gt;1,"A corregir","Válida")</f>
        <v/>
      </c>
      <c r="U232" s="13">
        <f>Q232-P232</f>
        <v/>
      </c>
      <c r="V232" s="13">
        <f>IF(S232="",0,S232*Q232)</f>
        <v/>
      </c>
      <c r="W232" s="9" t="n">
        <v>2026</v>
      </c>
      <c r="X232" s="9" t="n">
        <v>11</v>
      </c>
      <c r="Y232" s="9" t="inlineStr">
        <is>
          <t>2026-S11</t>
        </is>
      </c>
    </row>
    <row r="233">
      <c r="A233" s="9" t="n">
        <v>43047288</v>
      </c>
      <c r="B233" s="11" t="n">
        <v>46091.00133101852</v>
      </c>
      <c r="C233" s="12" t="n">
        <v>46091</v>
      </c>
      <c r="D233" s="9">
        <f>YEAR(C233)</f>
        <v/>
      </c>
      <c r="E233" s="9">
        <f>MONTH(C233)</f>
        <v/>
      </c>
      <c r="F233" s="9" t="inlineStr">
        <is>
          <t>Saferock</t>
        </is>
      </c>
      <c r="G233" s="9" t="inlineStr">
        <is>
          <t>SAFEROCK 22MM 12M A280</t>
        </is>
      </c>
      <c r="H233" s="9" t="inlineStr">
        <is>
          <t>SAFEROCK 22MM 12M A280</t>
        </is>
      </c>
      <c r="I233" s="9" t="inlineStr">
        <is>
          <t>SFRCK 22</t>
        </is>
      </c>
      <c r="J233" s="9" t="n">
        <v>106025569</v>
      </c>
      <c r="K233" s="9" t="n">
        <v>22</v>
      </c>
      <c r="L233" s="9" t="n"/>
      <c r="M233" s="9" t="n"/>
      <c r="N233" s="9" t="n"/>
      <c r="O233" s="9" t="n">
        <v>12</v>
      </c>
      <c r="P233" s="13" t="n">
        <v>58884</v>
      </c>
      <c r="Q233" s="13" t="n">
        <v>64627.2</v>
      </c>
      <c r="R233" s="14">
        <f>IFERROR(P233/Q233,"")</f>
        <v/>
      </c>
      <c r="S233" s="15" t="n">
        <v>0.9590000000000001</v>
      </c>
      <c r="T233" s="9">
        <f>IF(R233&gt;1,"A corregir","Válida")</f>
        <v/>
      </c>
      <c r="U233" s="13">
        <f>Q233-P233</f>
        <v/>
      </c>
      <c r="V233" s="13">
        <f>IF(S233="",0,S233*Q233)</f>
        <v/>
      </c>
      <c r="W233" s="9" t="n">
        <v>2026</v>
      </c>
      <c r="X233" s="9" t="n">
        <v>11</v>
      </c>
      <c r="Y233" s="9" t="inlineStr">
        <is>
          <t>2026-S11</t>
        </is>
      </c>
    </row>
    <row r="234">
      <c r="A234" s="9" t="n">
        <v>43047289</v>
      </c>
      <c r="B234" s="11" t="n">
        <v>46091.12550925926</v>
      </c>
      <c r="C234" s="12" t="n">
        <v>46091</v>
      </c>
      <c r="D234" s="9">
        <f>YEAR(C234)</f>
        <v/>
      </c>
      <c r="E234" s="9">
        <f>MONTH(C234)</f>
        <v/>
      </c>
      <c r="F234" s="9" t="inlineStr">
        <is>
          <t>Saferock</t>
        </is>
      </c>
      <c r="G234" s="9" t="inlineStr">
        <is>
          <t>SAFEROCK 22MM 12M A280</t>
        </is>
      </c>
      <c r="H234" s="9" t="inlineStr">
        <is>
          <t>SAFEROCK SEMI 22MM 12M A280</t>
        </is>
      </c>
      <c r="I234" s="9" t="inlineStr">
        <is>
          <t>SFRCK 22</t>
        </is>
      </c>
      <c r="J234" s="9" t="n">
        <v>106025569</v>
      </c>
      <c r="K234" s="9" t="n">
        <v>22</v>
      </c>
      <c r="L234" s="9" t="n"/>
      <c r="M234" s="9" t="n"/>
      <c r="N234" s="9" t="n"/>
      <c r="O234" s="9" t="n">
        <v>12</v>
      </c>
      <c r="P234" s="13" t="n">
        <v>100634</v>
      </c>
      <c r="Q234" s="13" t="n">
        <v>105600</v>
      </c>
      <c r="R234" s="14">
        <f>IFERROR(P234/Q234,"")</f>
        <v/>
      </c>
      <c r="S234" s="15" t="n">
        <v>0.9590000000000001</v>
      </c>
      <c r="T234" s="9">
        <f>IF(R234&gt;1,"A corregir","Válida")</f>
        <v/>
      </c>
      <c r="U234" s="13">
        <f>Q234-P234</f>
        <v/>
      </c>
      <c r="V234" s="13">
        <f>IF(S234="",0,S234*Q234)</f>
        <v/>
      </c>
      <c r="W234" s="9" t="n">
        <v>2026</v>
      </c>
      <c r="X234" s="9" t="n">
        <v>11</v>
      </c>
      <c r="Y234" s="9" t="inlineStr">
        <is>
          <t>2026-S11</t>
        </is>
      </c>
    </row>
    <row r="235">
      <c r="A235" s="9" t="n">
        <v>43047290</v>
      </c>
      <c r="B235" s="11" t="n">
        <v>46091.35056712963</v>
      </c>
      <c r="C235" s="12" t="n">
        <v>46091</v>
      </c>
      <c r="D235" s="9">
        <f>YEAR(C235)</f>
        <v/>
      </c>
      <c r="E235" s="9">
        <f>MONTH(C235)</f>
        <v/>
      </c>
      <c r="F235" s="9" t="inlineStr">
        <is>
          <t>Saferock</t>
        </is>
      </c>
      <c r="G235" s="9" t="inlineStr">
        <is>
          <t>SAFEROCK 22MM 12M A420</t>
        </is>
      </c>
      <c r="H235" s="9" t="inlineStr">
        <is>
          <t>SAFEROCK 22MM 12M A420</t>
        </is>
      </c>
      <c r="I235" s="9" t="inlineStr">
        <is>
          <t>SFRCK 22</t>
        </is>
      </c>
      <c r="J235" s="9" t="n">
        <v>106025567</v>
      </c>
      <c r="K235" s="9" t="n">
        <v>22</v>
      </c>
      <c r="L235" s="9" t="n"/>
      <c r="M235" s="9" t="n"/>
      <c r="N235" s="9" t="n"/>
      <c r="O235" s="9" t="n">
        <v>12</v>
      </c>
      <c r="P235" s="13" t="n">
        <v>47277</v>
      </c>
      <c r="Q235" s="13" t="n">
        <v>50688</v>
      </c>
      <c r="R235" s="14">
        <f>IFERROR(P235/Q235,"")</f>
        <v/>
      </c>
      <c r="S235" s="15" t="n">
        <v>0.9590000000000001</v>
      </c>
      <c r="T235" s="9">
        <f>IF(R235&gt;1,"A corregir","Válida")</f>
        <v/>
      </c>
      <c r="U235" s="13">
        <f>Q235-P235</f>
        <v/>
      </c>
      <c r="V235" s="13">
        <f>IF(S235="",0,S235*Q235)</f>
        <v/>
      </c>
      <c r="W235" s="9" t="n">
        <v>2026</v>
      </c>
      <c r="X235" s="9" t="n">
        <v>11</v>
      </c>
      <c r="Y235" s="9" t="inlineStr">
        <is>
          <t>2026-S11</t>
        </is>
      </c>
    </row>
    <row r="236">
      <c r="A236" s="9" t="n">
        <v>43047291</v>
      </c>
      <c r="B236" s="11" t="n">
        <v>46091.44809027778</v>
      </c>
      <c r="C236" s="12" t="n">
        <v>46091</v>
      </c>
      <c r="D236" s="9">
        <f>YEAR(C236)</f>
        <v/>
      </c>
      <c r="E236" s="9">
        <f>MONTH(C236)</f>
        <v/>
      </c>
      <c r="F236" s="9" t="inlineStr">
        <is>
          <t>Saferock</t>
        </is>
      </c>
      <c r="G236" s="9" t="inlineStr">
        <is>
          <t>SAFEROCK 22MM 12M A420</t>
        </is>
      </c>
      <c r="H236" s="9" t="inlineStr">
        <is>
          <t>SAFEROCK SEMI 22MM 12M A420</t>
        </is>
      </c>
      <c r="I236" s="9" t="inlineStr">
        <is>
          <t>SFRCK 22</t>
        </is>
      </c>
      <c r="J236" s="9" t="n">
        <v>106025567</v>
      </c>
      <c r="K236" s="9" t="n">
        <v>22</v>
      </c>
      <c r="L236" s="9" t="n"/>
      <c r="M236" s="9" t="n"/>
      <c r="N236" s="9" t="n"/>
      <c r="O236" s="9" t="n">
        <v>12</v>
      </c>
      <c r="P236" s="13" t="n">
        <v>23680</v>
      </c>
      <c r="Q236" s="13" t="n">
        <v>24921.6</v>
      </c>
      <c r="R236" s="14">
        <f>IFERROR(P236/Q236,"")</f>
        <v/>
      </c>
      <c r="S236" s="15" t="n">
        <v>0.9590000000000001</v>
      </c>
      <c r="T236" s="9">
        <f>IF(R236&gt;1,"A corregir","Válida")</f>
        <v/>
      </c>
      <c r="U236" s="13">
        <f>Q236-P236</f>
        <v/>
      </c>
      <c r="V236" s="13">
        <f>IF(S236="",0,S236*Q236)</f>
        <v/>
      </c>
      <c r="W236" s="9" t="n">
        <v>2026</v>
      </c>
      <c r="X236" s="9" t="n">
        <v>11</v>
      </c>
      <c r="Y236" s="9" t="inlineStr">
        <is>
          <t>2026-S11</t>
        </is>
      </c>
    </row>
    <row r="237">
      <c r="A237" s="9" t="n">
        <v>43047293</v>
      </c>
      <c r="B237" s="11" t="n">
        <v>46091.51128472222</v>
      </c>
      <c r="C237" s="12" t="n">
        <v>46091</v>
      </c>
      <c r="D237" s="9">
        <f>YEAR(C237)</f>
        <v/>
      </c>
      <c r="E237" s="9">
        <f>MONTH(C237)</f>
        <v/>
      </c>
      <c r="F237" s="9" t="inlineStr">
        <is>
          <t>Saferock</t>
        </is>
      </c>
      <c r="G237" s="9" t="inlineStr">
        <is>
          <t>SAFEROCK 22MM 10M A280</t>
        </is>
      </c>
      <c r="H237" s="9" t="inlineStr">
        <is>
          <t>SAFEROCK SEMI 22MM 10M A280</t>
        </is>
      </c>
      <c r="I237" s="9" t="inlineStr">
        <is>
          <t>SFRCK 22</t>
        </is>
      </c>
      <c r="J237" s="9" t="n">
        <v>106043322</v>
      </c>
      <c r="K237" s="9" t="n">
        <v>22</v>
      </c>
      <c r="L237" s="9" t="n"/>
      <c r="M237" s="9" t="n"/>
      <c r="N237" s="9" t="n"/>
      <c r="O237" s="9" t="n">
        <v>10</v>
      </c>
      <c r="P237" s="13" t="n">
        <v>64652</v>
      </c>
      <c r="Q237" s="13" t="n">
        <v>67320</v>
      </c>
      <c r="R237" s="14">
        <f>IFERROR(P237/Q237,"")</f>
        <v/>
      </c>
      <c r="S237" s="15" t="n">
        <v>0.953</v>
      </c>
      <c r="T237" s="9">
        <f>IF(R237&gt;1,"A corregir","Válida")</f>
        <v/>
      </c>
      <c r="U237" s="13">
        <f>Q237-P237</f>
        <v/>
      </c>
      <c r="V237" s="13">
        <f>IF(S237="",0,S237*Q237)</f>
        <v/>
      </c>
      <c r="W237" s="9" t="n">
        <v>2026</v>
      </c>
      <c r="X237" s="9" t="n">
        <v>11</v>
      </c>
      <c r="Y237" s="9" t="inlineStr">
        <is>
          <t>2026-S11</t>
        </is>
      </c>
    </row>
    <row r="238">
      <c r="A238" s="9" t="n">
        <v>43047294</v>
      </c>
      <c r="B238" s="11" t="n">
        <v>46091.62769675926</v>
      </c>
      <c r="C238" s="12" t="n">
        <v>46091</v>
      </c>
      <c r="D238" s="9">
        <f>YEAR(C238)</f>
        <v/>
      </c>
      <c r="E238" s="9">
        <f>MONTH(C238)</f>
        <v/>
      </c>
      <c r="F238" s="9" t="inlineStr">
        <is>
          <t>Saferock</t>
        </is>
      </c>
      <c r="G238" s="9" t="inlineStr">
        <is>
          <t>SAFEROCK 22MM 9,6M A280</t>
        </is>
      </c>
      <c r="H238" s="9" t="inlineStr">
        <is>
          <t>SAFEROCK SEMI 22MM 9,6M A280</t>
        </is>
      </c>
      <c r="I238" s="9" t="inlineStr">
        <is>
          <t>SFRCK 22</t>
        </is>
      </c>
      <c r="J238" s="9" t="n">
        <v>106503248</v>
      </c>
      <c r="K238" s="9" t="n">
        <v>22</v>
      </c>
      <c r="L238" s="9" t="n"/>
      <c r="M238" s="9" t="n"/>
      <c r="N238" s="9" t="n"/>
      <c r="O238" s="9" t="n">
        <v>9.6</v>
      </c>
      <c r="P238" s="13" t="n">
        <v>51036</v>
      </c>
      <c r="Q238" s="13" t="n">
        <v>53856</v>
      </c>
      <c r="R238" s="14">
        <f>IFERROR(P238/Q238,"")</f>
        <v/>
      </c>
      <c r="S238" s="15" t="n">
        <v>0.9570000000000001</v>
      </c>
      <c r="T238" s="9">
        <f>IF(R238&gt;1,"A corregir","Válida")</f>
        <v/>
      </c>
      <c r="U238" s="13">
        <f>Q238-P238</f>
        <v/>
      </c>
      <c r="V238" s="13">
        <f>IF(S238="",0,S238*Q238)</f>
        <v/>
      </c>
      <c r="W238" s="9" t="n">
        <v>2026</v>
      </c>
      <c r="X238" s="9" t="n">
        <v>11</v>
      </c>
      <c r="Y238" s="9" t="inlineStr">
        <is>
          <t>2026-S11</t>
        </is>
      </c>
    </row>
    <row r="239">
      <c r="A239" s="9" t="n">
        <v>43047296</v>
      </c>
      <c r="B239" s="11" t="n">
        <v>46091.73609953704</v>
      </c>
      <c r="C239" s="12" t="n">
        <v>46091</v>
      </c>
      <c r="D239" s="9">
        <f>YEAR(C239)</f>
        <v/>
      </c>
      <c r="E239" s="9">
        <f>MONTH(C239)</f>
        <v/>
      </c>
      <c r="F239" s="9" t="inlineStr">
        <is>
          <t>Saferock</t>
        </is>
      </c>
      <c r="G239" s="9" t="inlineStr">
        <is>
          <t>SAFEROCK 22MM 10,5M A280D</t>
        </is>
      </c>
      <c r="H239" s="9" t="inlineStr">
        <is>
          <t>SAFEROCK SEMI 22MM 10,5M A280D</t>
        </is>
      </c>
      <c r="I239" s="9" t="inlineStr">
        <is>
          <t>SFRCK 22</t>
        </is>
      </c>
      <c r="J239" s="9" t="n">
        <v>119506836</v>
      </c>
      <c r="K239" s="9" t="n">
        <v>22</v>
      </c>
      <c r="L239" s="9" t="n"/>
      <c r="M239" s="9" t="n"/>
      <c r="N239" s="9" t="n"/>
      <c r="O239" s="9" t="n">
        <v>10.5</v>
      </c>
      <c r="P239" s="13" t="n">
        <v>14481</v>
      </c>
      <c r="Q239" s="13" t="n">
        <v>15259.2</v>
      </c>
      <c r="R239" s="14">
        <f>IFERROR(P239/Q239,"")</f>
        <v/>
      </c>
      <c r="S239" s="15" t="n">
        <v>0.97</v>
      </c>
      <c r="T239" s="9">
        <f>IF(R239&gt;1,"A corregir","Válida")</f>
        <v/>
      </c>
      <c r="U239" s="13">
        <f>Q239-P239</f>
        <v/>
      </c>
      <c r="V239" s="13">
        <f>IF(S239="",0,S239*Q239)</f>
        <v/>
      </c>
      <c r="W239" s="9" t="n">
        <v>2026</v>
      </c>
      <c r="X239" s="9" t="n">
        <v>11</v>
      </c>
      <c r="Y239" s="9" t="inlineStr">
        <is>
          <t>2026-S11</t>
        </is>
      </c>
    </row>
    <row r="240">
      <c r="A240" s="9" t="n">
        <v>43047305</v>
      </c>
      <c r="B240" s="11" t="n">
        <v>46091.93466435185</v>
      </c>
      <c r="C240" s="12" t="n">
        <v>46091</v>
      </c>
      <c r="D240" s="9">
        <f>YEAR(C240)</f>
        <v/>
      </c>
      <c r="E240" s="9">
        <f>MONTH(C240)</f>
        <v/>
      </c>
      <c r="F240" s="9" t="inlineStr">
        <is>
          <t>Plana</t>
        </is>
      </c>
      <c r="G240" s="9" t="inlineStr">
        <is>
          <t>PLANA 75X10MM 6M A270ES (N)</t>
        </is>
      </c>
      <c r="H240" s="9" t="inlineStr">
        <is>
          <t>PLANA 75X10MM 6M A270ES (N)</t>
        </is>
      </c>
      <c r="I240" s="9" t="inlineStr">
        <is>
          <t>PL 75 x 10</t>
        </is>
      </c>
      <c r="J240" s="9" t="n">
        <v>109013907</v>
      </c>
      <c r="K240" s="9" t="n"/>
      <c r="L240" s="9" t="n">
        <v>75</v>
      </c>
      <c r="M240" s="9" t="n">
        <v>10</v>
      </c>
      <c r="N240" s="9" t="n"/>
      <c r="O240" s="9" t="n">
        <v>6</v>
      </c>
      <c r="P240" s="13" t="n">
        <v>27215</v>
      </c>
      <c r="Q240" s="13" t="n">
        <v>33660</v>
      </c>
      <c r="R240" s="14">
        <f>IFERROR(P240/Q240,"")</f>
        <v/>
      </c>
      <c r="S240" s="15" t="n">
        <v>0.9470000000000001</v>
      </c>
      <c r="T240" s="9">
        <f>IF(R240&gt;1,"A corregir","Válida")</f>
        <v/>
      </c>
      <c r="U240" s="13">
        <f>Q240-P240</f>
        <v/>
      </c>
      <c r="V240" s="13">
        <f>IF(S240="",0,S240*Q240)</f>
        <v/>
      </c>
      <c r="W240" s="9" t="n">
        <v>2026</v>
      </c>
      <c r="X240" s="9" t="n">
        <v>11</v>
      </c>
      <c r="Y240" s="9" t="inlineStr">
        <is>
          <t>2026-S11</t>
        </is>
      </c>
    </row>
    <row r="241">
      <c r="A241" s="9" t="n">
        <v>43047306</v>
      </c>
      <c r="B241" s="11" t="n">
        <v>46092.11952546296</v>
      </c>
      <c r="C241" s="12" t="n">
        <v>46092</v>
      </c>
      <c r="D241" s="9">
        <f>YEAR(C241)</f>
        <v/>
      </c>
      <c r="E241" s="9">
        <f>MONTH(C241)</f>
        <v/>
      </c>
      <c r="F241" s="9" t="inlineStr">
        <is>
          <t>Plana</t>
        </is>
      </c>
      <c r="G241" s="9" t="inlineStr">
        <is>
          <t>PLANA 75X8MM 6M A270ES (N)</t>
        </is>
      </c>
      <c r="H241" s="9" t="inlineStr">
        <is>
          <t>PLANA 75X8MM 6M A270ES (N)</t>
        </is>
      </c>
      <c r="I241" s="9" t="inlineStr">
        <is>
          <t>PL 75 x 8</t>
        </is>
      </c>
      <c r="J241" s="9" t="n">
        <v>109013909</v>
      </c>
      <c r="K241" s="9" t="n"/>
      <c r="L241" s="9" t="n">
        <v>75</v>
      </c>
      <c r="M241" s="9" t="n">
        <v>8</v>
      </c>
      <c r="N241" s="9" t="n"/>
      <c r="O241" s="9" t="n">
        <v>6</v>
      </c>
      <c r="P241" s="13" t="n">
        <v>96736</v>
      </c>
      <c r="Q241" s="13" t="n">
        <v>103224</v>
      </c>
      <c r="R241" s="14">
        <f>IFERROR(P241/Q241,"")</f>
        <v/>
      </c>
      <c r="S241" s="15" t="n">
        <v>0.951</v>
      </c>
      <c r="T241" s="9">
        <f>IF(R241&gt;1,"A corregir","Válida")</f>
        <v/>
      </c>
      <c r="U241" s="13">
        <f>Q241-P241</f>
        <v/>
      </c>
      <c r="V241" s="13">
        <f>IF(S241="",0,S241*Q241)</f>
        <v/>
      </c>
      <c r="W241" s="9" t="n">
        <v>2026</v>
      </c>
      <c r="X241" s="9" t="n">
        <v>11</v>
      </c>
      <c r="Y241" s="9" t="inlineStr">
        <is>
          <t>2026-S11</t>
        </is>
      </c>
    </row>
    <row r="242">
      <c r="A242" s="9" t="n">
        <v>43047309</v>
      </c>
      <c r="B242" s="11" t="n">
        <v>46092.82325231482</v>
      </c>
      <c r="C242" s="12" t="n">
        <v>46092</v>
      </c>
      <c r="D242" s="9">
        <f>YEAR(C242)</f>
        <v/>
      </c>
      <c r="E242" s="9">
        <f>MONTH(C242)</f>
        <v/>
      </c>
      <c r="F242" s="9" t="inlineStr">
        <is>
          <t>Saferock</t>
        </is>
      </c>
      <c r="G242" s="9" t="inlineStr">
        <is>
          <t>SAFEROCK 25MM 12M A520D</t>
        </is>
      </c>
      <c r="H242" s="9" t="inlineStr">
        <is>
          <t>SAFEROCK 25MM 12M A520D</t>
        </is>
      </c>
      <c r="I242" s="9" t="inlineStr">
        <is>
          <t>SFR 25</t>
        </is>
      </c>
      <c r="J242" s="9" t="n">
        <v>119506719</v>
      </c>
      <c r="K242" s="9" t="n">
        <v>25</v>
      </c>
      <c r="L242" s="9" t="n"/>
      <c r="M242" s="9" t="n"/>
      <c r="N242" s="9" t="n"/>
      <c r="O242" s="9" t="n">
        <v>12</v>
      </c>
      <c r="P242" s="13" t="n">
        <v>134192</v>
      </c>
      <c r="Q242" s="13" t="n">
        <v>143167.2</v>
      </c>
      <c r="R242" s="14">
        <f>IFERROR(P242/Q242,"")</f>
        <v/>
      </c>
      <c r="S242" s="15" t="n">
        <v>0.97</v>
      </c>
      <c r="T242" s="9">
        <f>IF(R242&gt;1,"A corregir","Válida")</f>
        <v/>
      </c>
      <c r="U242" s="13">
        <f>Q242-P242</f>
        <v/>
      </c>
      <c r="V242" s="13">
        <f>IF(S242="",0,S242*Q242)</f>
        <v/>
      </c>
      <c r="W242" s="9" t="n">
        <v>2026</v>
      </c>
      <c r="X242" s="9" t="n">
        <v>11</v>
      </c>
      <c r="Y242" s="9" t="inlineStr">
        <is>
          <t>2026-S11</t>
        </is>
      </c>
    </row>
    <row r="243">
      <c r="A243" s="9" t="n">
        <v>43047311</v>
      </c>
      <c r="B243" s="11" t="n">
        <v>46093.07765046296</v>
      </c>
      <c r="C243" s="12" t="n">
        <v>46093</v>
      </c>
      <c r="D243" s="9">
        <f>YEAR(C243)</f>
        <v/>
      </c>
      <c r="E243" s="9">
        <f>MONTH(C243)</f>
        <v/>
      </c>
      <c r="F243" s="9" t="inlineStr">
        <is>
          <t>Saferock</t>
        </is>
      </c>
      <c r="G243" s="9" t="inlineStr">
        <is>
          <t>SAFEROCK 25MM 11,96M A520</t>
        </is>
      </c>
      <c r="H243" s="9" t="inlineStr">
        <is>
          <t>SAFEROCK 25MM 11,96M A520</t>
        </is>
      </c>
      <c r="I243" s="9" t="inlineStr">
        <is>
          <t>SFR 25</t>
        </is>
      </c>
      <c r="J243" s="9" t="n">
        <v>119505903</v>
      </c>
      <c r="K243" s="9" t="n">
        <v>25</v>
      </c>
      <c r="L243" s="9" t="n"/>
      <c r="M243" s="9" t="n"/>
      <c r="N243" s="9" t="n"/>
      <c r="O243" s="9" t="n">
        <v>6</v>
      </c>
      <c r="P243" s="13" t="n">
        <v>12595</v>
      </c>
      <c r="Q243" s="13" t="n">
        <v>13464</v>
      </c>
      <c r="R243" s="14">
        <f>IFERROR(P243/Q243,"")</f>
        <v/>
      </c>
      <c r="S243" s="15" t="n">
        <v>0.97</v>
      </c>
      <c r="T243" s="9">
        <f>IF(R243&gt;1,"A corregir","Válida")</f>
        <v/>
      </c>
      <c r="U243" s="13">
        <f>Q243-P243</f>
        <v/>
      </c>
      <c r="V243" s="13">
        <f>IF(S243="",0,S243*Q243)</f>
        <v/>
      </c>
      <c r="W243" s="9" t="n">
        <v>2026</v>
      </c>
      <c r="X243" s="9" t="n">
        <v>11</v>
      </c>
      <c r="Y243" s="9" t="inlineStr">
        <is>
          <t>2026-S11</t>
        </is>
      </c>
    </row>
    <row r="244">
      <c r="A244" s="9" t="n">
        <v>43047310</v>
      </c>
      <c r="B244" s="11" t="n">
        <v>46093.11896990741</v>
      </c>
      <c r="C244" s="12" t="n">
        <v>46093</v>
      </c>
      <c r="D244" s="9">
        <f>YEAR(C244)</f>
        <v/>
      </c>
      <c r="E244" s="9">
        <f>MONTH(C244)</f>
        <v/>
      </c>
      <c r="F244" s="9" t="inlineStr">
        <is>
          <t>Saferock</t>
        </is>
      </c>
      <c r="G244" s="9" t="inlineStr">
        <is>
          <t>SAFEROCK 25MM 12M A420</t>
        </is>
      </c>
      <c r="H244" s="9" t="inlineStr">
        <is>
          <t>SAFEROCK SEMI 25MM 12M A420</t>
        </is>
      </c>
      <c r="I244" s="9" t="inlineStr">
        <is>
          <t>SFR 25</t>
        </is>
      </c>
      <c r="J244" s="9" t="n">
        <v>106025583</v>
      </c>
      <c r="K244" s="9" t="n">
        <v>25</v>
      </c>
      <c r="L244" s="9" t="n"/>
      <c r="M244" s="9" t="n"/>
      <c r="N244" s="9" t="n"/>
      <c r="O244" s="9" t="n">
        <v>12</v>
      </c>
      <c r="P244" s="13" t="n">
        <v>21437</v>
      </c>
      <c r="Q244" s="13" t="n">
        <v>22440</v>
      </c>
      <c r="R244" s="14">
        <f>IFERROR(P244/Q244,"")</f>
        <v/>
      </c>
      <c r="S244" s="15" t="n">
        <v>0.953</v>
      </c>
      <c r="T244" s="9">
        <f>IF(R244&gt;1,"A corregir","Válida")</f>
        <v/>
      </c>
      <c r="U244" s="13">
        <f>Q244-P244</f>
        <v/>
      </c>
      <c r="V244" s="13">
        <f>IF(S244="",0,S244*Q244)</f>
        <v/>
      </c>
      <c r="W244" s="9" t="n">
        <v>2026</v>
      </c>
      <c r="X244" s="9" t="n">
        <v>11</v>
      </c>
      <c r="Y244" s="9" t="inlineStr">
        <is>
          <t>2026-S11</t>
        </is>
      </c>
    </row>
    <row r="245">
      <c r="A245" s="9" t="n">
        <v>43047312</v>
      </c>
      <c r="B245" s="11" t="n">
        <v>46093.16327546296</v>
      </c>
      <c r="C245" s="12" t="n">
        <v>46093</v>
      </c>
      <c r="D245" s="9">
        <f>YEAR(C245)</f>
        <v/>
      </c>
      <c r="E245" s="9">
        <f>MONTH(C245)</f>
        <v/>
      </c>
      <c r="F245" s="9" t="inlineStr">
        <is>
          <t>Saferock</t>
        </is>
      </c>
      <c r="G245" s="9" t="inlineStr">
        <is>
          <t>SAFEROCK 25MM 11,6M A420</t>
        </is>
      </c>
      <c r="H245" s="9" t="inlineStr">
        <is>
          <t>SAFEROCK SEMI 25MM 11,6M A420</t>
        </is>
      </c>
      <c r="I245" s="9" t="inlineStr">
        <is>
          <t>SFR 25</t>
        </is>
      </c>
      <c r="J245" s="9" t="n">
        <v>106047304</v>
      </c>
      <c r="K245" s="9" t="n">
        <v>25</v>
      </c>
      <c r="L245" s="9" t="n"/>
      <c r="M245" s="9" t="n"/>
      <c r="N245" s="9" t="n"/>
      <c r="O245" s="9" t="n">
        <v>11.6</v>
      </c>
      <c r="P245" s="13" t="n">
        <v>13866</v>
      </c>
      <c r="Q245" s="13" t="n">
        <v>17054.4</v>
      </c>
      <c r="R245" s="14">
        <f>IFERROR(P245/Q245,"")</f>
        <v/>
      </c>
      <c r="S245" s="15" t="n">
        <v>0.9540000000000001</v>
      </c>
      <c r="T245" s="9">
        <f>IF(R245&gt;1,"A corregir","Válida")</f>
        <v/>
      </c>
      <c r="U245" s="13">
        <f>Q245-P245</f>
        <v/>
      </c>
      <c r="V245" s="13">
        <f>IF(S245="",0,S245*Q245)</f>
        <v/>
      </c>
      <c r="W245" s="9" t="n">
        <v>2026</v>
      </c>
      <c r="X245" s="9" t="n">
        <v>11</v>
      </c>
      <c r="Y245" s="9" t="inlineStr">
        <is>
          <t>2026-S11</t>
        </is>
      </c>
    </row>
    <row r="246">
      <c r="A246" s="9" t="n">
        <v>43047313</v>
      </c>
      <c r="B246" s="11" t="n">
        <v>46093.19332175926</v>
      </c>
      <c r="C246" s="12" t="n">
        <v>46093</v>
      </c>
      <c r="D246" s="9">
        <f>YEAR(C246)</f>
        <v/>
      </c>
      <c r="E246" s="9">
        <f>MONTH(C246)</f>
        <v/>
      </c>
      <c r="F246" s="9" t="inlineStr">
        <is>
          <t>Saferock</t>
        </is>
      </c>
      <c r="G246" s="9" t="inlineStr">
        <is>
          <t>SAFEROCK 25MM 10,8M A420</t>
        </is>
      </c>
      <c r="H246" s="9" t="inlineStr">
        <is>
          <t>SAFEROCK SEMI 25MM 10,8M A420</t>
        </is>
      </c>
      <c r="I246" s="9" t="inlineStr">
        <is>
          <t>SFR 25</t>
        </is>
      </c>
      <c r="J246" s="9" t="n">
        <v>106047303</v>
      </c>
      <c r="K246" s="9" t="n">
        <v>25</v>
      </c>
      <c r="L246" s="9" t="n"/>
      <c r="M246" s="9" t="n"/>
      <c r="N246" s="9" t="n"/>
      <c r="O246" s="9" t="n">
        <v>10.8</v>
      </c>
      <c r="P246" s="13" t="n">
        <v>51274</v>
      </c>
      <c r="Q246" s="13" t="n">
        <v>53856</v>
      </c>
      <c r="R246" s="14">
        <f>IFERROR(P246/Q246,"")</f>
        <v/>
      </c>
      <c r="S246" s="15" t="n">
        <v>0.953</v>
      </c>
      <c r="T246" s="9">
        <f>IF(R246&gt;1,"A corregir","Válida")</f>
        <v/>
      </c>
      <c r="U246" s="13">
        <f>Q246-P246</f>
        <v/>
      </c>
      <c r="V246" s="13">
        <f>IF(S246="",0,S246*Q246)</f>
        <v/>
      </c>
      <c r="W246" s="9" t="n">
        <v>2026</v>
      </c>
      <c r="X246" s="9" t="n">
        <v>11</v>
      </c>
      <c r="Y246" s="9" t="inlineStr">
        <is>
          <t>2026-S11</t>
        </is>
      </c>
    </row>
    <row r="247">
      <c r="A247" s="9" t="n">
        <v>43047314</v>
      </c>
      <c r="B247" s="11" t="n">
        <v>46093.29560185185</v>
      </c>
      <c r="C247" s="12" t="n">
        <v>46093</v>
      </c>
      <c r="D247" s="9">
        <f>YEAR(C247)</f>
        <v/>
      </c>
      <c r="E247" s="9">
        <f>MONTH(C247)</f>
        <v/>
      </c>
      <c r="F247" s="9" t="inlineStr">
        <is>
          <t>Saferock</t>
        </is>
      </c>
      <c r="G247" s="9" t="inlineStr">
        <is>
          <t>SAFEROCK 25MM 10,5M A420</t>
        </is>
      </c>
      <c r="H247" s="9" t="inlineStr">
        <is>
          <t>SAFEROCK SEMI 25MM 10,5M A420</t>
        </is>
      </c>
      <c r="I247" s="9" t="inlineStr">
        <is>
          <t>SFR 25</t>
        </is>
      </c>
      <c r="J247" s="9" t="n">
        <v>106503243</v>
      </c>
      <c r="K247" s="9" t="n">
        <v>25</v>
      </c>
      <c r="L247" s="9" t="n"/>
      <c r="M247" s="9" t="n"/>
      <c r="N247" s="9" t="n"/>
      <c r="O247" s="9" t="n">
        <v>10.5</v>
      </c>
      <c r="P247" s="13" t="n">
        <v>44070</v>
      </c>
      <c r="Q247" s="13" t="n">
        <v>47572.8</v>
      </c>
      <c r="R247" s="14">
        <f>IFERROR(P247/Q247,"")</f>
        <v/>
      </c>
      <c r="S247" s="15" t="n">
        <v>0.95</v>
      </c>
      <c r="T247" s="9">
        <f>IF(R247&gt;1,"A corregir","Válida")</f>
        <v/>
      </c>
      <c r="U247" s="13">
        <f>Q247-P247</f>
        <v/>
      </c>
      <c r="V247" s="13">
        <f>IF(S247="",0,S247*Q247)</f>
        <v/>
      </c>
      <c r="W247" s="9" t="n">
        <v>2026</v>
      </c>
      <c r="X247" s="9" t="n">
        <v>11</v>
      </c>
      <c r="Y247" s="9" t="inlineStr">
        <is>
          <t>2026-S11</t>
        </is>
      </c>
    </row>
    <row r="248">
      <c r="A248" s="9" t="n">
        <v>43047315</v>
      </c>
      <c r="B248" s="11" t="n">
        <v>46093.38773148148</v>
      </c>
      <c r="C248" s="12" t="n">
        <v>46093</v>
      </c>
      <c r="D248" s="9">
        <f>YEAR(C248)</f>
        <v/>
      </c>
      <c r="E248" s="9">
        <f>MONTH(C248)</f>
        <v/>
      </c>
      <c r="F248" s="9" t="inlineStr">
        <is>
          <t>Saferock</t>
        </is>
      </c>
      <c r="G248" s="9" t="inlineStr">
        <is>
          <t>SAFEROCK 25MM 10M A420</t>
        </is>
      </c>
      <c r="H248" s="9" t="inlineStr">
        <is>
          <t>SAFEROCK SEMI 25MM 10M A420</t>
        </is>
      </c>
      <c r="I248" s="9" t="inlineStr">
        <is>
          <t>SFR 25</t>
        </is>
      </c>
      <c r="J248" s="9" t="n">
        <v>106043671</v>
      </c>
      <c r="K248" s="9" t="n">
        <v>25</v>
      </c>
      <c r="L248" s="9" t="n"/>
      <c r="M248" s="9" t="n"/>
      <c r="N248" s="9" t="n"/>
      <c r="O248" s="9" t="n">
        <v>10</v>
      </c>
      <c r="P248" s="13" t="n">
        <v>49374</v>
      </c>
      <c r="Q248" s="13" t="n">
        <v>51612</v>
      </c>
      <c r="R248" s="14">
        <f>IFERROR(P248/Q248,"")</f>
        <v/>
      </c>
      <c r="S248" s="15" t="n">
        <v>0.9540000000000001</v>
      </c>
      <c r="T248" s="9">
        <f>IF(R248&gt;1,"A corregir","Válida")</f>
        <v/>
      </c>
      <c r="U248" s="13">
        <f>Q248-P248</f>
        <v/>
      </c>
      <c r="V248" s="13">
        <f>IF(S248="",0,S248*Q248)</f>
        <v/>
      </c>
      <c r="W248" s="9" t="n">
        <v>2026</v>
      </c>
      <c r="X248" s="9" t="n">
        <v>11</v>
      </c>
      <c r="Y248" s="9" t="inlineStr">
        <is>
          <t>2026-S11</t>
        </is>
      </c>
    </row>
    <row r="249">
      <c r="A249" s="9" t="n">
        <v>43047369</v>
      </c>
      <c r="B249" s="11" t="n">
        <v>46093.57103009259</v>
      </c>
      <c r="C249" s="12" t="n">
        <v>46093</v>
      </c>
      <c r="D249" s="9">
        <f>YEAR(C249)</f>
        <v/>
      </c>
      <c r="E249" s="9">
        <f>MONTH(C249)</f>
        <v/>
      </c>
      <c r="F249" s="9" t="inlineStr">
        <is>
          <t>Plana</t>
        </is>
      </c>
      <c r="G249" s="9" t="inlineStr">
        <is>
          <t>PLANA 100X12MM 6M A270ES (N)</t>
        </is>
      </c>
      <c r="H249" s="9" t="inlineStr">
        <is>
          <t>PLANA 100X12MM 6M A270ES (N)</t>
        </is>
      </c>
      <c r="I249" s="9" t="inlineStr">
        <is>
          <t>PL 100 x 12</t>
        </is>
      </c>
      <c r="J249" s="9" t="n">
        <v>109007135</v>
      </c>
      <c r="K249" s="9" t="n"/>
      <c r="L249" s="9" t="n">
        <v>100</v>
      </c>
      <c r="M249" s="9" t="n">
        <v>12</v>
      </c>
      <c r="N249" s="9" t="n"/>
      <c r="O249" s="9" t="n">
        <v>6</v>
      </c>
      <c r="P249" s="13" t="n">
        <v>31813</v>
      </c>
      <c r="Q249" s="13" t="n">
        <v>33660</v>
      </c>
      <c r="R249" s="14">
        <f>IFERROR(P249/Q249,"")</f>
        <v/>
      </c>
      <c r="S249" s="15" t="n">
        <v>0.951</v>
      </c>
      <c r="T249" s="9">
        <f>IF(R249&gt;1,"A corregir","Válida")</f>
        <v/>
      </c>
      <c r="U249" s="13">
        <f>Q249-P249</f>
        <v/>
      </c>
      <c r="V249" s="13">
        <f>IF(S249="",0,S249*Q249)</f>
        <v/>
      </c>
      <c r="W249" s="9" t="n">
        <v>2026</v>
      </c>
      <c r="X249" s="9" t="n">
        <v>11</v>
      </c>
      <c r="Y249" s="9" t="inlineStr">
        <is>
          <t>2026-S11</t>
        </is>
      </c>
    </row>
    <row r="250">
      <c r="A250" s="9" t="n">
        <v>43047370</v>
      </c>
      <c r="B250" s="11" t="n">
        <v>46093.67056712963</v>
      </c>
      <c r="C250" s="12" t="n">
        <v>46093</v>
      </c>
      <c r="D250" s="9">
        <f>YEAR(C250)</f>
        <v/>
      </c>
      <c r="E250" s="9">
        <f>MONTH(C250)</f>
        <v/>
      </c>
      <c r="F250" s="9" t="inlineStr">
        <is>
          <t>Plana</t>
        </is>
      </c>
      <c r="G250" s="9" t="inlineStr">
        <is>
          <t>PLANA 100X10MM 6M A270ES (N)</t>
        </is>
      </c>
      <c r="H250" s="9" t="inlineStr">
        <is>
          <t>PLANA 100X10MM 6M A270ES (N)</t>
        </is>
      </c>
      <c r="I250" s="9" t="inlineStr">
        <is>
          <t>PL 100 x 10</t>
        </is>
      </c>
      <c r="J250" s="9" t="n">
        <v>109007136</v>
      </c>
      <c r="K250" s="9" t="n"/>
      <c r="L250" s="9" t="n">
        <v>100</v>
      </c>
      <c r="M250" s="9" t="n">
        <v>10</v>
      </c>
      <c r="N250" s="9" t="n"/>
      <c r="O250" s="9" t="n">
        <v>6</v>
      </c>
      <c r="P250" s="13" t="n">
        <v>140111</v>
      </c>
      <c r="Q250" s="13" t="n">
        <v>147840</v>
      </c>
      <c r="R250" s="14">
        <f>IFERROR(P250/Q250,"")</f>
        <v/>
      </c>
      <c r="S250" s="15" t="n">
        <v>0.955</v>
      </c>
      <c r="T250" s="9">
        <f>IF(R250&gt;1,"A corregir","Válida")</f>
        <v/>
      </c>
      <c r="U250" s="13">
        <f>Q250-P250</f>
        <v/>
      </c>
      <c r="V250" s="13">
        <f>IF(S250="",0,S250*Q250)</f>
        <v/>
      </c>
      <c r="W250" s="9" t="n">
        <v>2026</v>
      </c>
      <c r="X250" s="9" t="n">
        <v>11</v>
      </c>
      <c r="Y250" s="9" t="inlineStr">
        <is>
          <t>2026-S11</t>
        </is>
      </c>
    </row>
    <row r="251">
      <c r="A251" s="9" t="n">
        <v>43047371</v>
      </c>
      <c r="B251" s="11" t="n">
        <v>46094.01126157407</v>
      </c>
      <c r="C251" s="12" t="n">
        <v>46094</v>
      </c>
      <c r="D251" s="9">
        <f>YEAR(C251)</f>
        <v/>
      </c>
      <c r="E251" s="9">
        <f>MONTH(C251)</f>
        <v/>
      </c>
      <c r="F251" s="9" t="inlineStr">
        <is>
          <t>Plana</t>
        </is>
      </c>
      <c r="G251" s="9" t="inlineStr">
        <is>
          <t>PLANA 100X6MM 6M A270ES (N)</t>
        </is>
      </c>
      <c r="H251" s="9" t="inlineStr">
        <is>
          <t>PLANA 100X6MM 6M A270ES (N)</t>
        </is>
      </c>
      <c r="I251" s="9" t="inlineStr">
        <is>
          <t>PL 100 x 6</t>
        </is>
      </c>
      <c r="J251" s="9" t="n">
        <v>109007138</v>
      </c>
      <c r="K251" s="9" t="n"/>
      <c r="L251" s="9" t="n">
        <v>100</v>
      </c>
      <c r="M251" s="9" t="n">
        <v>6</v>
      </c>
      <c r="N251" s="9" t="n"/>
      <c r="O251" s="9" t="n">
        <v>6</v>
      </c>
      <c r="P251" s="13" t="n">
        <v>32575</v>
      </c>
      <c r="Q251" s="13" t="n">
        <v>35006.4</v>
      </c>
      <c r="R251" s="14">
        <f>IFERROR(P251/Q251,"")</f>
        <v/>
      </c>
      <c r="S251" s="15" t="n">
        <v>0.9570000000000001</v>
      </c>
      <c r="T251" s="9">
        <f>IF(R251&gt;1,"A corregir","Válida")</f>
        <v/>
      </c>
      <c r="U251" s="13">
        <f>Q251-P251</f>
        <v/>
      </c>
      <c r="V251" s="13">
        <f>IF(S251="",0,S251*Q251)</f>
        <v/>
      </c>
      <c r="W251" s="9" t="n">
        <v>2026</v>
      </c>
      <c r="X251" s="9" t="n">
        <v>11</v>
      </c>
      <c r="Y251" s="9" t="inlineStr">
        <is>
          <t>2026-S11</t>
        </is>
      </c>
    </row>
    <row r="252">
      <c r="A252" s="9" t="n">
        <v>43047372</v>
      </c>
      <c r="B252" s="11" t="n">
        <v>46094.14565972222</v>
      </c>
      <c r="C252" s="12" t="n">
        <v>46094</v>
      </c>
      <c r="D252" s="9">
        <f>YEAR(C252)</f>
        <v/>
      </c>
      <c r="E252" s="9">
        <f>MONTH(C252)</f>
        <v/>
      </c>
      <c r="F252" s="9" t="inlineStr">
        <is>
          <t>Plana</t>
        </is>
      </c>
      <c r="G252" s="9" t="inlineStr">
        <is>
          <t>PLANA 100X5MM 6M A270ES (N)</t>
        </is>
      </c>
      <c r="H252" s="9" t="inlineStr">
        <is>
          <t>PLANA 100X5MM 6M A270ES (N)</t>
        </is>
      </c>
      <c r="I252" s="9" t="inlineStr">
        <is>
          <t>PL 100 x 5</t>
        </is>
      </c>
      <c r="J252" s="9" t="n">
        <v>109007139</v>
      </c>
      <c r="K252" s="9" t="n"/>
      <c r="L252" s="9" t="n">
        <v>100</v>
      </c>
      <c r="M252" s="9" t="n">
        <v>5</v>
      </c>
      <c r="N252" s="9" t="n"/>
      <c r="O252" s="9" t="n">
        <v>6</v>
      </c>
      <c r="P252" s="13" t="n">
        <v>261941</v>
      </c>
      <c r="Q252" s="13" t="n">
        <v>278256</v>
      </c>
      <c r="R252" s="14">
        <f>IFERROR(P252/Q252,"")</f>
        <v/>
      </c>
      <c r="S252" s="15" t="n">
        <v>0.96</v>
      </c>
      <c r="T252" s="9">
        <f>IF(R252&gt;1,"A corregir","Válida")</f>
        <v/>
      </c>
      <c r="U252" s="13">
        <f>Q252-P252</f>
        <v/>
      </c>
      <c r="V252" s="13">
        <f>IF(S252="",0,S252*Q252)</f>
        <v/>
      </c>
      <c r="W252" s="9" t="n">
        <v>2026</v>
      </c>
      <c r="X252" s="9" t="n">
        <v>11</v>
      </c>
      <c r="Y252" s="9" t="inlineStr">
        <is>
          <t>2026-S11</t>
        </is>
      </c>
    </row>
    <row r="253">
      <c r="A253" s="9" t="n">
        <v>43047373</v>
      </c>
      <c r="B253" s="11" t="n">
        <v>46094.86732638889</v>
      </c>
      <c r="C253" s="12" t="n">
        <v>46094</v>
      </c>
      <c r="D253" s="9">
        <f>YEAR(C253)</f>
        <v/>
      </c>
      <c r="E253" s="9">
        <f>MONTH(C253)</f>
        <v/>
      </c>
      <c r="F253" s="9" t="inlineStr">
        <is>
          <t>B Hormigón</t>
        </is>
      </c>
      <c r="G253" s="9" t="inlineStr">
        <is>
          <t>B HORMIGON 18MM 12M A630-420H (N)</t>
        </is>
      </c>
      <c r="H253" s="9" t="inlineStr">
        <is>
          <t>B HORMIGON 18MM 12M A630-420H (N)</t>
        </is>
      </c>
      <c r="I253" s="9" t="inlineStr">
        <is>
          <t>RED 18 CR</t>
        </is>
      </c>
      <c r="J253" s="9" t="n">
        <v>110002938</v>
      </c>
      <c r="K253" s="9" t="n">
        <v>18</v>
      </c>
      <c r="L253" s="9" t="n"/>
      <c r="M253" s="9" t="n"/>
      <c r="N253" s="9" t="n"/>
      <c r="O253" s="9" t="n">
        <v>12</v>
      </c>
      <c r="P253" s="13" t="n">
        <v>400657</v>
      </c>
      <c r="Q253" s="13" t="n">
        <v>424564.8</v>
      </c>
      <c r="R253" s="14">
        <f>IFERROR(P253/Q253,"")</f>
        <v/>
      </c>
      <c r="S253" s="15" t="n">
        <v>0.96</v>
      </c>
      <c r="T253" s="9">
        <f>IF(R253&gt;1,"A corregir","Válida")</f>
        <v/>
      </c>
      <c r="U253" s="13">
        <f>Q253-P253</f>
        <v/>
      </c>
      <c r="V253" s="13">
        <f>IF(S253="",0,S253*Q253)</f>
        <v/>
      </c>
      <c r="W253" s="9" t="n">
        <v>2026</v>
      </c>
      <c r="X253" s="9" t="n">
        <v>11</v>
      </c>
      <c r="Y253" s="9" t="inlineStr">
        <is>
          <t>2026-S11</t>
        </is>
      </c>
    </row>
    <row r="254">
      <c r="A254" s="9" t="n">
        <v>43047374</v>
      </c>
      <c r="B254" s="11" t="n">
        <v>46095.70924768518</v>
      </c>
      <c r="C254" s="12" t="n">
        <v>46095</v>
      </c>
      <c r="D254" s="9">
        <f>YEAR(C254)</f>
        <v/>
      </c>
      <c r="E254" s="9">
        <f>MONTH(C254)</f>
        <v/>
      </c>
      <c r="F254" s="9" t="inlineStr">
        <is>
          <t>B Hormigón</t>
        </is>
      </c>
      <c r="G254" s="9" t="inlineStr">
        <is>
          <t>B HORMIGON 18MM 10M A630-420H (N)</t>
        </is>
      </c>
      <c r="H254" s="9" t="inlineStr">
        <is>
          <t>B HORMIGON 18MM 10M A630-420H (N)</t>
        </is>
      </c>
      <c r="I254" s="9" t="inlineStr">
        <is>
          <t>RED 18 CR</t>
        </is>
      </c>
      <c r="J254" s="9" t="n">
        <v>110002924</v>
      </c>
      <c r="K254" s="9" t="n">
        <v>18</v>
      </c>
      <c r="L254" s="9" t="n"/>
      <c r="M254" s="9" t="n"/>
      <c r="N254" s="9" t="n"/>
      <c r="O254" s="9" t="n">
        <v>10</v>
      </c>
      <c r="P254" s="13" t="n">
        <v>22728</v>
      </c>
      <c r="Q254" s="13" t="n">
        <v>24235.2</v>
      </c>
      <c r="R254" s="14">
        <f>IFERROR(P254/Q254,"")</f>
        <v/>
      </c>
      <c r="S254" s="15" t="n">
        <v>0.96</v>
      </c>
      <c r="T254" s="9">
        <f>IF(R254&gt;1,"A corregir","Válida")</f>
        <v/>
      </c>
      <c r="U254" s="13">
        <f>Q254-P254</f>
        <v/>
      </c>
      <c r="V254" s="13">
        <f>IF(S254="",0,S254*Q254)</f>
        <v/>
      </c>
      <c r="W254" s="9" t="n">
        <v>2026</v>
      </c>
      <c r="X254" s="9" t="n">
        <v>11</v>
      </c>
      <c r="Y254" s="9" t="inlineStr">
        <is>
          <t>2026-S11</t>
        </is>
      </c>
    </row>
    <row r="255">
      <c r="A255" s="9" t="n">
        <v>43047375</v>
      </c>
      <c r="B255" s="11" t="n">
        <v>46095.75671296296</v>
      </c>
      <c r="C255" s="12" t="n">
        <v>46095</v>
      </c>
      <c r="D255" s="9">
        <f>YEAR(C255)</f>
        <v/>
      </c>
      <c r="E255" s="9">
        <f>MONTH(C255)</f>
        <v/>
      </c>
      <c r="F255" s="9" t="inlineStr">
        <is>
          <t>B Hormigón</t>
        </is>
      </c>
      <c r="G255" s="9" t="inlineStr">
        <is>
          <t>B HORMIGON 18MM 9M A630-420H (N)</t>
        </is>
      </c>
      <c r="H255" s="9" t="inlineStr">
        <is>
          <t>B HORMIGON 18MM 9M A630-420H (N)</t>
        </is>
      </c>
      <c r="I255" s="9" t="inlineStr">
        <is>
          <t>RED 18 CR</t>
        </is>
      </c>
      <c r="J255" s="9" t="n">
        <v>110002951</v>
      </c>
      <c r="K255" s="9" t="n">
        <v>18</v>
      </c>
      <c r="L255" s="9" t="n"/>
      <c r="M255" s="9" t="n"/>
      <c r="N255" s="9" t="n"/>
      <c r="O255" s="9" t="n">
        <v>9</v>
      </c>
      <c r="P255" s="13" t="n">
        <v>36833</v>
      </c>
      <c r="Q255" s="13" t="n">
        <v>39045.6</v>
      </c>
      <c r="R255" s="14">
        <f>IFERROR(P255/Q255,"")</f>
        <v/>
      </c>
      <c r="S255" s="15" t="n">
        <v>0.9590000000000001</v>
      </c>
      <c r="T255" s="9">
        <f>IF(R255&gt;1,"A corregir","Válida")</f>
        <v/>
      </c>
      <c r="U255" s="13">
        <f>Q255-P255</f>
        <v/>
      </c>
      <c r="V255" s="13">
        <f>IF(S255="",0,S255*Q255)</f>
        <v/>
      </c>
      <c r="W255" s="9" t="n">
        <v>2026</v>
      </c>
      <c r="X255" s="9" t="n">
        <v>11</v>
      </c>
      <c r="Y255" s="9" t="inlineStr">
        <is>
          <t>2026-S11</t>
        </is>
      </c>
    </row>
    <row r="256">
      <c r="A256" s="9" t="n">
        <v>43047376</v>
      </c>
      <c r="B256" s="11" t="n">
        <v>46095.84532407407</v>
      </c>
      <c r="C256" s="12" t="n">
        <v>46095</v>
      </c>
      <c r="D256" s="9">
        <f>YEAR(C256)</f>
        <v/>
      </c>
      <c r="E256" s="9">
        <f>MONTH(C256)</f>
        <v/>
      </c>
      <c r="F256" s="9" t="inlineStr">
        <is>
          <t>B Hormigón</t>
        </is>
      </c>
      <c r="G256" s="9" t="inlineStr">
        <is>
          <t>B HORMIGON 18MM 8M A630-420H (N)</t>
        </is>
      </c>
      <c r="H256" s="9" t="inlineStr">
        <is>
          <t>B HORMIGON 18MM 8M A630-420H (N)</t>
        </is>
      </c>
      <c r="I256" s="9" t="inlineStr">
        <is>
          <t>RED 18 CR</t>
        </is>
      </c>
      <c r="J256" s="9" t="n">
        <v>110002952</v>
      </c>
      <c r="K256" s="9" t="n">
        <v>18</v>
      </c>
      <c r="L256" s="9" t="n"/>
      <c r="M256" s="9" t="n"/>
      <c r="N256" s="9" t="n"/>
      <c r="O256" s="9" t="n">
        <v>8</v>
      </c>
      <c r="P256" s="13" t="n">
        <v>30682</v>
      </c>
      <c r="Q256" s="13" t="n">
        <v>32313.6</v>
      </c>
      <c r="R256" s="14">
        <f>IFERROR(P256/Q256,"")</f>
        <v/>
      </c>
      <c r="S256" s="15" t="n">
        <v>0.96</v>
      </c>
      <c r="T256" s="9">
        <f>IF(R256&gt;1,"A corregir","Válida")</f>
        <v/>
      </c>
      <c r="U256" s="13">
        <f>Q256-P256</f>
        <v/>
      </c>
      <c r="V256" s="13">
        <f>IF(S256="",0,S256*Q256)</f>
        <v/>
      </c>
      <c r="W256" s="9" t="n">
        <v>2026</v>
      </c>
      <c r="X256" s="9" t="n">
        <v>11</v>
      </c>
      <c r="Y256" s="9" t="inlineStr">
        <is>
          <t>2026-S11</t>
        </is>
      </c>
    </row>
    <row r="257">
      <c r="A257" s="9" t="n">
        <v>43047378</v>
      </c>
      <c r="B257" s="11" t="n">
        <v>46095.91157407407</v>
      </c>
      <c r="C257" s="12" t="n">
        <v>46095</v>
      </c>
      <c r="D257" s="9">
        <f>YEAR(C257)</f>
        <v/>
      </c>
      <c r="E257" s="9">
        <f>MONTH(C257)</f>
        <v/>
      </c>
      <c r="F257" s="9" t="inlineStr">
        <is>
          <t>B Hormigón</t>
        </is>
      </c>
      <c r="G257" s="9" t="inlineStr">
        <is>
          <t>B HORMIGON 18MM 7M A630-420H (N)</t>
        </is>
      </c>
      <c r="H257" s="9" t="inlineStr">
        <is>
          <t>B HORMIGON 18MM 7M A630-420H (N)</t>
        </is>
      </c>
      <c r="I257" s="9" t="inlineStr">
        <is>
          <t>RED 18 CR</t>
        </is>
      </c>
      <c r="J257" s="9" t="n">
        <v>110002940</v>
      </c>
      <c r="K257" s="9" t="n">
        <v>18</v>
      </c>
      <c r="L257" s="9" t="n"/>
      <c r="M257" s="9" t="n"/>
      <c r="N257" s="9" t="n"/>
      <c r="O257" s="9" t="n">
        <v>7</v>
      </c>
      <c r="P257" s="13" t="n">
        <v>99635</v>
      </c>
      <c r="Q257" s="13" t="n">
        <v>105916.8</v>
      </c>
      <c r="R257" s="14">
        <f>IFERROR(P257/Q257,"")</f>
        <v/>
      </c>
      <c r="S257" s="15" t="n">
        <v>0.9590000000000001</v>
      </c>
      <c r="T257" s="9">
        <f>IF(R257&gt;1,"A corregir","Válida")</f>
        <v/>
      </c>
      <c r="U257" s="13">
        <f>Q257-P257</f>
        <v/>
      </c>
      <c r="V257" s="13">
        <f>IF(S257="",0,S257*Q257)</f>
        <v/>
      </c>
      <c r="W257" s="9" t="n">
        <v>2026</v>
      </c>
      <c r="X257" s="9" t="n">
        <v>11</v>
      </c>
      <c r="Y257" s="9" t="inlineStr">
        <is>
          <t>2026-S11</t>
        </is>
      </c>
    </row>
    <row r="258">
      <c r="A258" s="9" t="n">
        <v>43047377</v>
      </c>
      <c r="B258" s="11" t="n">
        <v>46096.13484953704</v>
      </c>
      <c r="C258" s="12" t="n">
        <v>46096</v>
      </c>
      <c r="D258" s="9">
        <f>YEAR(C258)</f>
        <v/>
      </c>
      <c r="E258" s="9">
        <f>MONTH(C258)</f>
        <v/>
      </c>
      <c r="F258" s="9" t="inlineStr">
        <is>
          <t>B Hormigón</t>
        </is>
      </c>
      <c r="G258" s="9" t="inlineStr">
        <is>
          <t>B HORMIGON 18MM 6M A630-420H (N)</t>
        </is>
      </c>
      <c r="H258" s="9" t="inlineStr">
        <is>
          <t>B HORMIGON 18MM 6M A630-420H (N)</t>
        </is>
      </c>
      <c r="I258" s="9" t="inlineStr">
        <is>
          <t>RED 18 CR</t>
        </is>
      </c>
      <c r="J258" s="9" t="n">
        <v>110002942</v>
      </c>
      <c r="K258" s="9" t="n">
        <v>18</v>
      </c>
      <c r="L258" s="9" t="n"/>
      <c r="M258" s="9" t="n"/>
      <c r="N258" s="9" t="n"/>
      <c r="O258" s="9" t="n">
        <v>6</v>
      </c>
      <c r="P258" s="13" t="n">
        <v>28176</v>
      </c>
      <c r="Q258" s="13" t="n">
        <v>30069.6</v>
      </c>
      <c r="R258" s="14">
        <f>IFERROR(P258/Q258,"")</f>
        <v/>
      </c>
      <c r="S258" s="15" t="n">
        <v>0.96</v>
      </c>
      <c r="T258" s="9">
        <f>IF(R258&gt;1,"A corregir","Válida")</f>
        <v/>
      </c>
      <c r="U258" s="13">
        <f>Q258-P258</f>
        <v/>
      </c>
      <c r="V258" s="13">
        <f>IF(S258="",0,S258*Q258)</f>
        <v/>
      </c>
      <c r="W258" s="9" t="n">
        <v>2026</v>
      </c>
      <c r="X258" s="9" t="n">
        <v>11</v>
      </c>
      <c r="Y258" s="9" t="inlineStr">
        <is>
          <t>2026-S11</t>
        </is>
      </c>
    </row>
    <row r="259">
      <c r="A259" s="9" t="n">
        <v>43047277</v>
      </c>
      <c r="B259" s="11" t="n">
        <v>46096.19409722222</v>
      </c>
      <c r="C259" s="12" t="n">
        <v>46096</v>
      </c>
      <c r="D259" s="9">
        <f>YEAR(C259)</f>
        <v/>
      </c>
      <c r="E259" s="9">
        <f>MONTH(C259)</f>
        <v/>
      </c>
      <c r="F259" s="9" t="inlineStr">
        <is>
          <t>B Hormigón</t>
        </is>
      </c>
      <c r="G259" s="9" t="inlineStr">
        <is>
          <t>B HORMIGON 18MM 6M A630-420H (N)</t>
        </is>
      </c>
      <c r="H259" s="9" t="inlineStr">
        <is>
          <t>B HORMIGON 18MM 6M A630-420H (N)</t>
        </is>
      </c>
      <c r="I259" s="9" t="inlineStr">
        <is>
          <t>RED 18 CR</t>
        </is>
      </c>
      <c r="J259" s="9" t="n">
        <v>110002942</v>
      </c>
      <c r="K259" s="9" t="n">
        <v>18</v>
      </c>
      <c r="L259" s="9" t="n"/>
      <c r="M259" s="9" t="n"/>
      <c r="N259" s="9" t="n"/>
      <c r="O259" s="9" t="n">
        <v>6</v>
      </c>
      <c r="P259" s="13" t="n">
        <v>20698</v>
      </c>
      <c r="Q259" s="13" t="n">
        <v>21780</v>
      </c>
      <c r="R259" s="14">
        <f>IFERROR(P259/Q259,"")</f>
        <v/>
      </c>
      <c r="S259" s="15" t="n">
        <v>0.96</v>
      </c>
      <c r="T259" s="9">
        <f>IF(R259&gt;1,"A corregir","Válida")</f>
        <v/>
      </c>
      <c r="U259" s="13">
        <f>Q259-P259</f>
        <v/>
      </c>
      <c r="V259" s="13">
        <f>IF(S259="",0,S259*Q259)</f>
        <v/>
      </c>
      <c r="W259" s="9" t="n">
        <v>2026</v>
      </c>
      <c r="X259" s="9" t="n">
        <v>11</v>
      </c>
      <c r="Y259" s="9" t="inlineStr">
        <is>
          <t>2026-S11</t>
        </is>
      </c>
    </row>
    <row r="260">
      <c r="A260" s="9" t="n">
        <v>43047379</v>
      </c>
      <c r="B260" s="11" t="n">
        <v>46097.04774305555</v>
      </c>
      <c r="C260" s="12" t="n">
        <v>46097</v>
      </c>
      <c r="D260" s="9">
        <f>YEAR(C260)</f>
        <v/>
      </c>
      <c r="E260" s="9">
        <f>MONTH(C260)</f>
        <v/>
      </c>
      <c r="F260" s="9" t="inlineStr">
        <is>
          <t>B Hormigón</t>
        </is>
      </c>
      <c r="G260" s="9" t="inlineStr">
        <is>
          <t>B HORMIGON 22MM 12M A630-420H (N)</t>
        </is>
      </c>
      <c r="H260" s="9" t="inlineStr">
        <is>
          <t>B HORMIGON 22MM 12M A630-420H (N)</t>
        </is>
      </c>
      <c r="I260" s="9" t="inlineStr">
        <is>
          <t>RED 22 CR</t>
        </is>
      </c>
      <c r="J260" s="9" t="n">
        <v>110002948</v>
      </c>
      <c r="K260" s="9" t="n">
        <v>22</v>
      </c>
      <c r="L260" s="9" t="n"/>
      <c r="M260" s="9" t="n"/>
      <c r="N260" s="9" t="n"/>
      <c r="O260" s="9" t="n">
        <v>12</v>
      </c>
      <c r="P260" s="13" t="n">
        <v>198095</v>
      </c>
      <c r="Q260" s="13" t="n">
        <v>208692</v>
      </c>
      <c r="R260" s="14">
        <f>IFERROR(P260/Q260,"")</f>
        <v/>
      </c>
      <c r="S260" s="15" t="n">
        <v>0.9740000000000001</v>
      </c>
      <c r="T260" s="9">
        <f>IF(R260&gt;1,"A corregir","Válida")</f>
        <v/>
      </c>
      <c r="U260" s="13">
        <f>Q260-P260</f>
        <v/>
      </c>
      <c r="V260" s="13">
        <f>IF(S260="",0,S260*Q260)</f>
        <v/>
      </c>
      <c r="W260" s="9" t="n">
        <v>2026</v>
      </c>
      <c r="X260" s="9" t="n">
        <v>12</v>
      </c>
      <c r="Y260" s="9" t="inlineStr">
        <is>
          <t>2026-S12</t>
        </is>
      </c>
    </row>
    <row r="261">
      <c r="A261" s="9" t="n">
        <v>43047380</v>
      </c>
      <c r="B261" s="11" t="n">
        <v>46097.44289351852</v>
      </c>
      <c r="C261" s="12" t="n">
        <v>46097</v>
      </c>
      <c r="D261" s="9">
        <f>YEAR(C261)</f>
        <v/>
      </c>
      <c r="E261" s="9">
        <f>MONTH(C261)</f>
        <v/>
      </c>
      <c r="F261" s="9" t="inlineStr">
        <is>
          <t>B Hormigón</t>
        </is>
      </c>
      <c r="G261" s="9" t="inlineStr">
        <is>
          <t>B HORMIGON 22MM 11M A630-420H (N)</t>
        </is>
      </c>
      <c r="H261" s="9" t="inlineStr">
        <is>
          <t>B HORMIGON 22MM 11M A630-420H (N)</t>
        </is>
      </c>
      <c r="I261" s="9" t="inlineStr">
        <is>
          <t>RED 22 CR</t>
        </is>
      </c>
      <c r="J261" s="9" t="n">
        <v>110002949</v>
      </c>
      <c r="K261" s="9" t="n">
        <v>22</v>
      </c>
      <c r="L261" s="9" t="n"/>
      <c r="M261" s="9" t="n"/>
      <c r="N261" s="9" t="n"/>
      <c r="O261" s="9" t="n">
        <v>11</v>
      </c>
      <c r="P261" s="13" t="n">
        <v>33562</v>
      </c>
      <c r="Q261" s="13" t="n">
        <v>35191.2</v>
      </c>
      <c r="R261" s="14">
        <f>IFERROR(P261/Q261,"")</f>
        <v/>
      </c>
      <c r="S261" s="15" t="n">
        <v>0.9740000000000001</v>
      </c>
      <c r="T261" s="9">
        <f>IF(R261&gt;1,"A corregir","Válida")</f>
        <v/>
      </c>
      <c r="U261" s="13">
        <f>Q261-P261</f>
        <v/>
      </c>
      <c r="V261" s="13">
        <f>IF(S261="",0,S261*Q261)</f>
        <v/>
      </c>
      <c r="W261" s="9" t="n">
        <v>2026</v>
      </c>
      <c r="X261" s="9" t="n">
        <v>12</v>
      </c>
      <c r="Y261" s="9" t="inlineStr">
        <is>
          <t>2026-S12</t>
        </is>
      </c>
    </row>
    <row r="262">
      <c r="A262" s="9" t="n">
        <v>43047381</v>
      </c>
      <c r="B262" s="11" t="n">
        <v>46097.51403935185</v>
      </c>
      <c r="C262" s="12" t="n">
        <v>46097</v>
      </c>
      <c r="D262" s="9">
        <f>YEAR(C262)</f>
        <v/>
      </c>
      <c r="E262" s="9">
        <f>MONTH(C262)</f>
        <v/>
      </c>
      <c r="F262" s="9" t="inlineStr">
        <is>
          <t>B Hormigón</t>
        </is>
      </c>
      <c r="G262" s="9" t="inlineStr">
        <is>
          <t>B HORMIGON 22MM 10M A630-420H (N)</t>
        </is>
      </c>
      <c r="H262" s="9" t="inlineStr">
        <is>
          <t>B HORMIGON 22MM 10M A630-420H (N)</t>
        </is>
      </c>
      <c r="I262" s="9" t="inlineStr">
        <is>
          <t>RED 22 CR</t>
        </is>
      </c>
      <c r="J262" s="9" t="n">
        <v>110002950</v>
      </c>
      <c r="K262" s="9" t="n">
        <v>22</v>
      </c>
      <c r="L262" s="9" t="n"/>
      <c r="M262" s="9" t="n"/>
      <c r="N262" s="9" t="n"/>
      <c r="O262" s="9" t="n">
        <v>10</v>
      </c>
      <c r="P262" s="13" t="n">
        <v>60666</v>
      </c>
      <c r="Q262" s="13" t="n">
        <v>64033.2</v>
      </c>
      <c r="R262" s="14">
        <f>IFERROR(P262/Q262,"")</f>
        <v/>
      </c>
      <c r="S262" s="15" t="n">
        <v>0.9740000000000001</v>
      </c>
      <c r="T262" s="9">
        <f>IF(R262&gt;1,"A corregir","Válida")</f>
        <v/>
      </c>
      <c r="U262" s="13">
        <f>Q262-P262</f>
        <v/>
      </c>
      <c r="V262" s="13">
        <f>IF(S262="",0,S262*Q262)</f>
        <v/>
      </c>
      <c r="W262" s="9" t="n">
        <v>2026</v>
      </c>
      <c r="X262" s="9" t="n">
        <v>12</v>
      </c>
      <c r="Y262" s="9" t="inlineStr">
        <is>
          <t>2026-S12</t>
        </is>
      </c>
    </row>
    <row r="263">
      <c r="A263" s="9" t="n">
        <v>43047382</v>
      </c>
      <c r="B263" s="11" t="n">
        <v>46097.62578703704</v>
      </c>
      <c r="C263" s="12" t="n">
        <v>46097</v>
      </c>
      <c r="D263" s="9">
        <f>YEAR(C263)</f>
        <v/>
      </c>
      <c r="E263" s="9">
        <f>MONTH(C263)</f>
        <v/>
      </c>
      <c r="F263" s="9" t="inlineStr">
        <is>
          <t>B Hormigón</t>
        </is>
      </c>
      <c r="G263" s="9" t="inlineStr">
        <is>
          <t>B HORMIGON 22MM 9M A630-420H (N)</t>
        </is>
      </c>
      <c r="H263" s="9" t="inlineStr">
        <is>
          <t>B HORMIGON 22MM 9M A630-420H (N)</t>
        </is>
      </c>
      <c r="I263" s="9" t="inlineStr">
        <is>
          <t>RED 22 CR</t>
        </is>
      </c>
      <c r="J263" s="9" t="n">
        <v>110002944</v>
      </c>
      <c r="K263" s="9" t="n">
        <v>22</v>
      </c>
      <c r="L263" s="9" t="n"/>
      <c r="M263" s="9" t="n"/>
      <c r="N263" s="9" t="n"/>
      <c r="O263" s="9" t="n">
        <v>9</v>
      </c>
      <c r="P263" s="13" t="n">
        <v>41979</v>
      </c>
      <c r="Q263" s="13" t="n">
        <v>44431.2</v>
      </c>
      <c r="R263" s="14">
        <f>IFERROR(P263/Q263,"")</f>
        <v/>
      </c>
      <c r="S263" s="15" t="n">
        <v>0.9740000000000001</v>
      </c>
      <c r="T263" s="9">
        <f>IF(R263&gt;1,"A corregir","Válida")</f>
        <v/>
      </c>
      <c r="U263" s="13">
        <f>Q263-P263</f>
        <v/>
      </c>
      <c r="V263" s="13">
        <f>IF(S263="",0,S263*Q263)</f>
        <v/>
      </c>
      <c r="W263" s="9" t="n">
        <v>2026</v>
      </c>
      <c r="X263" s="9" t="n">
        <v>12</v>
      </c>
      <c r="Y263" s="9" t="inlineStr">
        <is>
          <t>2026-S12</t>
        </is>
      </c>
    </row>
    <row r="264">
      <c r="A264" s="9" t="n">
        <v>43047420</v>
      </c>
      <c r="B264" s="11" t="n">
        <v>46097.70930555555</v>
      </c>
      <c r="C264" s="12" t="n">
        <v>46097</v>
      </c>
      <c r="D264" s="9">
        <f>YEAR(C264)</f>
        <v/>
      </c>
      <c r="E264" s="9">
        <f>MONTH(C264)</f>
        <v/>
      </c>
      <c r="F264" s="9" t="inlineStr">
        <is>
          <t>B Hormigón</t>
        </is>
      </c>
      <c r="G264" s="9" t="inlineStr">
        <is>
          <t>B HORMIGON 22MM 8M A630-420H (N)</t>
        </is>
      </c>
      <c r="H264" s="9" t="inlineStr">
        <is>
          <t>B HORMIGON 22MM 8M A630-420H (N)</t>
        </is>
      </c>
      <c r="I264" s="9" t="inlineStr">
        <is>
          <t>RED 22 CR</t>
        </is>
      </c>
      <c r="J264" s="9" t="n">
        <v>110002945</v>
      </c>
      <c r="K264" s="9" t="n">
        <v>22</v>
      </c>
      <c r="L264" s="9" t="n"/>
      <c r="M264" s="9" t="n"/>
      <c r="N264" s="9" t="n"/>
      <c r="O264" s="9" t="n">
        <v>8</v>
      </c>
      <c r="P264" s="13" t="n">
        <v>29704</v>
      </c>
      <c r="Q264" s="13" t="n">
        <v>31680</v>
      </c>
      <c r="R264" s="14">
        <f>IFERROR(P264/Q264,"")</f>
        <v/>
      </c>
      <c r="S264" s="15" t="n">
        <v>0.9740000000000001</v>
      </c>
      <c r="T264" s="9">
        <f>IF(R264&gt;1,"A corregir","Válida")</f>
        <v/>
      </c>
      <c r="U264" s="13">
        <f>Q264-P264</f>
        <v/>
      </c>
      <c r="V264" s="13">
        <f>IF(S264="",0,S264*Q264)</f>
        <v/>
      </c>
      <c r="W264" s="9" t="n">
        <v>2026</v>
      </c>
      <c r="X264" s="9" t="n">
        <v>12</v>
      </c>
      <c r="Y264" s="9" t="inlineStr">
        <is>
          <t>2026-S12</t>
        </is>
      </c>
    </row>
    <row r="265">
      <c r="A265" s="9" t="n">
        <v>43047384</v>
      </c>
      <c r="B265" s="11" t="n">
        <v>46097.78561342593</v>
      </c>
      <c r="C265" s="12" t="n">
        <v>46097</v>
      </c>
      <c r="D265" s="9">
        <f>YEAR(C265)</f>
        <v/>
      </c>
      <c r="E265" s="9">
        <f>MONTH(C265)</f>
        <v/>
      </c>
      <c r="F265" s="9" t="inlineStr">
        <is>
          <t>B Hormigón</t>
        </is>
      </c>
      <c r="G265" s="9" t="inlineStr">
        <is>
          <t>B HORMIGON 22MM 11M A630-420HS (N)</t>
        </is>
      </c>
      <c r="H265" s="9" t="inlineStr">
        <is>
          <t>B HORMIGON 22MM 11M A630-420HS (N)</t>
        </is>
      </c>
      <c r="I265" s="9" t="inlineStr">
        <is>
          <t>RED 22 CR</t>
        </is>
      </c>
      <c r="J265" s="9" t="n">
        <v>110007127</v>
      </c>
      <c r="K265" s="9" t="n">
        <v>22</v>
      </c>
      <c r="L265" s="9" t="n"/>
      <c r="M265" s="9" t="n"/>
      <c r="N265" s="9" t="n"/>
      <c r="O265" s="9" t="n">
        <v>11</v>
      </c>
      <c r="P265" s="13" t="n">
        <v>22196</v>
      </c>
      <c r="Q265" s="13" t="n">
        <v>23733.6</v>
      </c>
      <c r="R265" s="14">
        <f>IFERROR(P265/Q265,"")</f>
        <v/>
      </c>
      <c r="S265" s="15" t="n">
        <v>0.97</v>
      </c>
      <c r="T265" s="9">
        <f>IF(R265&gt;1,"A corregir","Válida")</f>
        <v/>
      </c>
      <c r="U265" s="13">
        <f>Q265-P265</f>
        <v/>
      </c>
      <c r="V265" s="13">
        <f>IF(S265="",0,S265*Q265)</f>
        <v/>
      </c>
      <c r="W265" s="9" t="n">
        <v>2026</v>
      </c>
      <c r="X265" s="9" t="n">
        <v>12</v>
      </c>
      <c r="Y265" s="9" t="inlineStr">
        <is>
          <t>2026-S12</t>
        </is>
      </c>
    </row>
    <row r="266">
      <c r="A266" s="9" t="n">
        <v>43047385</v>
      </c>
      <c r="B266" s="11" t="n">
        <v>46097.94050925926</v>
      </c>
      <c r="C266" s="12" t="n">
        <v>46097</v>
      </c>
      <c r="D266" s="9">
        <f>YEAR(C266)</f>
        <v/>
      </c>
      <c r="E266" s="9">
        <f>MONTH(C266)</f>
        <v/>
      </c>
      <c r="F266" s="9" t="inlineStr">
        <is>
          <t>Ángulo</t>
        </is>
      </c>
      <c r="G266" s="9" t="inlineStr">
        <is>
          <t>ANGULO 65X65X8MM A270ES</t>
        </is>
      </c>
      <c r="H266" s="9" t="inlineStr">
        <is>
          <t>ANGULO SEMI 65X65X8MM A270ES</t>
        </is>
      </c>
      <c r="I266" s="9" t="inlineStr">
        <is>
          <t>ANG 65 x 8</t>
        </is>
      </c>
      <c r="J266" s="9" t="n">
        <v>106501051</v>
      </c>
      <c r="K266" s="9" t="n"/>
      <c r="L266" s="9" t="n">
        <v>65</v>
      </c>
      <c r="M266" s="9" t="n">
        <v>8</v>
      </c>
      <c r="N266" s="9" t="n"/>
      <c r="O266" s="9" t="n">
        <v>6</v>
      </c>
      <c r="P266" s="13" t="n">
        <v>30176</v>
      </c>
      <c r="Q266" s="13" t="n">
        <v>34108.8</v>
      </c>
      <c r="R266" s="14">
        <f>IFERROR(P266/Q266,"")</f>
        <v/>
      </c>
      <c r="S266" s="15" t="n">
        <v>0.9540000000000001</v>
      </c>
      <c r="T266" s="9">
        <f>IF(R266&gt;1,"A corregir","Válida")</f>
        <v/>
      </c>
      <c r="U266" s="13">
        <f>Q266-P266</f>
        <v/>
      </c>
      <c r="V266" s="13">
        <f>IF(S266="",0,S266*Q266)</f>
        <v/>
      </c>
      <c r="W266" s="9" t="n">
        <v>2026</v>
      </c>
      <c r="X266" s="9" t="n">
        <v>12</v>
      </c>
      <c r="Y266" s="9" t="inlineStr">
        <is>
          <t>2026-S12</t>
        </is>
      </c>
    </row>
    <row r="267">
      <c r="A267" s="9" t="n">
        <v>43047386</v>
      </c>
      <c r="B267" s="11" t="n">
        <v>46098.09443287037</v>
      </c>
      <c r="C267" s="12" t="n">
        <v>46098</v>
      </c>
      <c r="D267" s="9">
        <f>YEAR(C267)</f>
        <v/>
      </c>
      <c r="E267" s="9">
        <f>MONTH(C267)</f>
        <v/>
      </c>
      <c r="F267" s="9" t="inlineStr">
        <is>
          <t>Ángulo</t>
        </is>
      </c>
      <c r="G267" s="9" t="inlineStr">
        <is>
          <t>ANGULO 65X65X6MM A270ES</t>
        </is>
      </c>
      <c r="H267" s="9" t="inlineStr">
        <is>
          <t>ANGULO SEMI 65X65X6MM A270ES</t>
        </is>
      </c>
      <c r="I267" s="9" t="inlineStr">
        <is>
          <t>ANG 65 x 6</t>
        </is>
      </c>
      <c r="J267" s="9" t="n">
        <v>106501057</v>
      </c>
      <c r="K267" s="9" t="n"/>
      <c r="L267" s="9" t="n">
        <v>65</v>
      </c>
      <c r="M267" s="9" t="n">
        <v>6</v>
      </c>
      <c r="N267" s="9" t="n"/>
      <c r="O267" s="9" t="n">
        <v>6</v>
      </c>
      <c r="P267" s="13" t="n">
        <v>31430</v>
      </c>
      <c r="Q267" s="13" t="n">
        <v>35006.4</v>
      </c>
      <c r="R267" s="14">
        <f>IFERROR(P267/Q267,"")</f>
        <v/>
      </c>
      <c r="S267" s="15" t="n">
        <v>0.951</v>
      </c>
      <c r="T267" s="9">
        <f>IF(R267&gt;1,"A corregir","Válida")</f>
        <v/>
      </c>
      <c r="U267" s="13">
        <f>Q267-P267</f>
        <v/>
      </c>
      <c r="V267" s="13">
        <f>IF(S267="",0,S267*Q267)</f>
        <v/>
      </c>
      <c r="W267" s="9" t="n">
        <v>2026</v>
      </c>
      <c r="X267" s="9" t="n">
        <v>12</v>
      </c>
      <c r="Y267" s="9" t="inlineStr">
        <is>
          <t>2026-S12</t>
        </is>
      </c>
    </row>
    <row r="268">
      <c r="A268" s="9" t="n">
        <v>43047387</v>
      </c>
      <c r="B268" s="11" t="n">
        <v>46098.21710648148</v>
      </c>
      <c r="C268" s="12" t="n">
        <v>46098</v>
      </c>
      <c r="D268" s="9">
        <f>YEAR(C268)</f>
        <v/>
      </c>
      <c r="E268" s="9">
        <f>MONTH(C268)</f>
        <v/>
      </c>
      <c r="F268" s="9" t="inlineStr">
        <is>
          <t>Ángulo</t>
        </is>
      </c>
      <c r="G268" s="9" t="inlineStr">
        <is>
          <t>ANGULO 65X65X5MM A270ES</t>
        </is>
      </c>
      <c r="H268" s="9" t="inlineStr">
        <is>
          <t>ANGULO SEMI 65X65X5MM A270ES</t>
        </is>
      </c>
      <c r="I268" s="9" t="inlineStr">
        <is>
          <t>ANG 65 x 5</t>
        </is>
      </c>
      <c r="J268" s="9" t="n">
        <v>106501053</v>
      </c>
      <c r="K268" s="9" t="n"/>
      <c r="L268" s="9" t="n">
        <v>65</v>
      </c>
      <c r="M268" s="9" t="n">
        <v>5</v>
      </c>
      <c r="N268" s="9" t="n"/>
      <c r="O268" s="9" t="n">
        <v>6</v>
      </c>
      <c r="P268" s="13" t="n">
        <v>131222</v>
      </c>
      <c r="Q268" s="13" t="n">
        <v>138230.4</v>
      </c>
      <c r="R268" s="14">
        <f>IFERROR(P268/Q268,"")</f>
        <v/>
      </c>
      <c r="S268" s="15" t="n">
        <v>0.951</v>
      </c>
      <c r="T268" s="9">
        <f>IF(R268&gt;1,"A corregir","Válida")</f>
        <v/>
      </c>
      <c r="U268" s="13">
        <f>Q268-P268</f>
        <v/>
      </c>
      <c r="V268" s="13">
        <f>IF(S268="",0,S268*Q268)</f>
        <v/>
      </c>
      <c r="W268" s="9" t="n">
        <v>2026</v>
      </c>
      <c r="X268" s="9" t="n">
        <v>12</v>
      </c>
      <c r="Y268" s="9" t="inlineStr">
        <is>
          <t>2026-S12</t>
        </is>
      </c>
    </row>
    <row r="269">
      <c r="A269" s="9" t="n">
        <v>43047388</v>
      </c>
      <c r="B269" s="11" t="n">
        <v>46098.52721064815</v>
      </c>
      <c r="C269" s="12" t="n">
        <v>46098</v>
      </c>
      <c r="D269" s="9">
        <f>YEAR(C269)</f>
        <v/>
      </c>
      <c r="E269" s="9">
        <f>MONTH(C269)</f>
        <v/>
      </c>
      <c r="F269" s="9" t="inlineStr">
        <is>
          <t>Ángulo</t>
        </is>
      </c>
      <c r="G269" s="9" t="inlineStr">
        <is>
          <t>ANG 65X65X5MM 12M ASTM A572 T2 (N)</t>
        </is>
      </c>
      <c r="H269" s="9" t="inlineStr">
        <is>
          <t>ANG SEMI 65X65X5MM 12M ASTM A572 T2 (N)</t>
        </is>
      </c>
      <c r="I269" s="9" t="inlineStr">
        <is>
          <t>ANG 65 x 5</t>
        </is>
      </c>
      <c r="J269" s="9" t="n">
        <v>119502817</v>
      </c>
      <c r="K269" s="9" t="n"/>
      <c r="L269" s="9" t="n">
        <v>65</v>
      </c>
      <c r="M269" s="9" t="n">
        <v>5</v>
      </c>
      <c r="N269" s="9" t="n"/>
      <c r="O269" s="9" t="n">
        <v>12</v>
      </c>
      <c r="P269" s="13" t="n">
        <v>21826</v>
      </c>
      <c r="Q269" s="13" t="n">
        <v>24235.2</v>
      </c>
      <c r="R269" s="14">
        <f>IFERROR(P269/Q269,"")</f>
        <v/>
      </c>
      <c r="S269" s="15" t="n">
        <v>0.97</v>
      </c>
      <c r="T269" s="9">
        <f>IF(R269&gt;1,"A corregir","Válida")</f>
        <v/>
      </c>
      <c r="U269" s="13">
        <f>Q269-P269</f>
        <v/>
      </c>
      <c r="V269" s="13">
        <f>IF(S269="",0,S269*Q269)</f>
        <v/>
      </c>
      <c r="W269" s="9" t="n">
        <v>2026</v>
      </c>
      <c r="X269" s="9" t="n">
        <v>12</v>
      </c>
      <c r="Y269" s="9" t="inlineStr">
        <is>
          <t>2026-S12</t>
        </is>
      </c>
    </row>
    <row r="270">
      <c r="A270" s="9" t="n">
        <v>43047389</v>
      </c>
      <c r="B270" s="11" t="n">
        <v>46098.67171296296</v>
      </c>
      <c r="C270" s="12" t="n">
        <v>46098</v>
      </c>
      <c r="D270" s="9">
        <f>YEAR(C270)</f>
        <v/>
      </c>
      <c r="E270" s="9">
        <f>MONTH(C270)</f>
        <v/>
      </c>
      <c r="F270" s="9" t="inlineStr">
        <is>
          <t>Ángulo</t>
        </is>
      </c>
      <c r="G270" s="9" t="inlineStr">
        <is>
          <t>ANG 60X60X6MM 12M ASTM A572 T2 (N)</t>
        </is>
      </c>
      <c r="H270" s="9" t="inlineStr">
        <is>
          <t>ANG SEMI 60X60X6MM 12M ASTM A572 T2 (N)</t>
        </is>
      </c>
      <c r="I270" s="9" t="inlineStr">
        <is>
          <t>ANG 60 x 6</t>
        </is>
      </c>
      <c r="J270" s="9" t="n">
        <v>119502944</v>
      </c>
      <c r="K270" s="9" t="n"/>
      <c r="L270" s="9" t="n">
        <v>60</v>
      </c>
      <c r="M270" s="9" t="n">
        <v>6</v>
      </c>
      <c r="N270" s="9" t="n"/>
      <c r="O270" s="9" t="n">
        <v>12</v>
      </c>
      <c r="P270" s="13" t="n">
        <v>32612</v>
      </c>
      <c r="Q270" s="13" t="n">
        <v>34108.8</v>
      </c>
      <c r="R270" s="14">
        <f>IFERROR(P270/Q270,"")</f>
        <v/>
      </c>
      <c r="S270" s="15" t="n">
        <v>0.97</v>
      </c>
      <c r="T270" s="9">
        <f>IF(R270&gt;1,"A corregir","Válida")</f>
        <v/>
      </c>
      <c r="U270" s="13">
        <f>Q270-P270</f>
        <v/>
      </c>
      <c r="V270" s="13">
        <f>IF(S270="",0,S270*Q270)</f>
        <v/>
      </c>
      <c r="W270" s="9" t="n">
        <v>2026</v>
      </c>
      <c r="X270" s="9" t="n">
        <v>12</v>
      </c>
      <c r="Y270" s="9" t="inlineStr">
        <is>
          <t>2026-S12</t>
        </is>
      </c>
    </row>
    <row r="271">
      <c r="A271" s="9" t="n">
        <v>43047390</v>
      </c>
      <c r="B271" s="11" t="n">
        <v>46098.78203703704</v>
      </c>
      <c r="C271" s="12" t="n">
        <v>46098</v>
      </c>
      <c r="D271" s="9">
        <f>YEAR(C271)</f>
        <v/>
      </c>
      <c r="E271" s="9">
        <f>MONTH(C271)</f>
        <v/>
      </c>
      <c r="F271" s="9" t="inlineStr">
        <is>
          <t>Ángulo</t>
        </is>
      </c>
      <c r="G271" s="9" t="inlineStr">
        <is>
          <t>ANG 60X60X5MM 12M ASTM A572 T2 (N)</t>
        </is>
      </c>
      <c r="H271" s="9" t="inlineStr">
        <is>
          <t>ANG SEMI 60X60X5MM 12M ASTM A572 T2 (N)</t>
        </is>
      </c>
      <c r="I271" s="9" t="inlineStr">
        <is>
          <t>ANG 60 x 5</t>
        </is>
      </c>
      <c r="J271" s="9" t="n">
        <v>119502816</v>
      </c>
      <c r="K271" s="9" t="n"/>
      <c r="L271" s="9" t="n">
        <v>60</v>
      </c>
      <c r="M271" s="9" t="n">
        <v>5</v>
      </c>
      <c r="N271" s="9" t="n"/>
      <c r="O271" s="9" t="n">
        <v>12</v>
      </c>
      <c r="P271" s="13" t="n">
        <v>33628</v>
      </c>
      <c r="Q271" s="13" t="n">
        <v>35006.4</v>
      </c>
      <c r="R271" s="14">
        <f>IFERROR(P271/Q271,"")</f>
        <v/>
      </c>
      <c r="S271" s="15" t="n">
        <v>0.97</v>
      </c>
      <c r="T271" s="9">
        <f>IF(R271&gt;1,"A corregir","Válida")</f>
        <v/>
      </c>
      <c r="U271" s="13">
        <f>Q271-P271</f>
        <v/>
      </c>
      <c r="V271" s="13">
        <f>IF(S271="",0,S271*Q271)</f>
        <v/>
      </c>
      <c r="W271" s="9" t="n">
        <v>2026</v>
      </c>
      <c r="X271" s="9" t="n">
        <v>12</v>
      </c>
      <c r="Y271" s="9" t="inlineStr">
        <is>
          <t>2026-S12</t>
        </is>
      </c>
    </row>
    <row r="272">
      <c r="A272" s="9" t="n">
        <v>43047422</v>
      </c>
      <c r="B272" s="11" t="n">
        <v>46098.97738425926</v>
      </c>
      <c r="C272" s="12" t="n">
        <v>46098</v>
      </c>
      <c r="D272" s="9">
        <f>YEAR(C272)</f>
        <v/>
      </c>
      <c r="E272" s="9">
        <f>MONTH(C272)</f>
        <v/>
      </c>
      <c r="F272" s="9" t="inlineStr">
        <is>
          <t>Ángulo</t>
        </is>
      </c>
      <c r="G272" s="9" t="inlineStr">
        <is>
          <t>ANGULO 80X80X12MM A270ES</t>
        </is>
      </c>
      <c r="H272" s="9" t="inlineStr">
        <is>
          <t>ANGULO SEMI 80X80X12MM A270ES</t>
        </is>
      </c>
      <c r="I272" s="9" t="inlineStr">
        <is>
          <t>ANG 80 x 12</t>
        </is>
      </c>
      <c r="J272" s="9" t="n">
        <v>106501046</v>
      </c>
      <c r="K272" s="9" t="n"/>
      <c r="L272" s="9" t="n">
        <v>80</v>
      </c>
      <c r="M272" s="9" t="n">
        <v>12</v>
      </c>
      <c r="N272" s="9" t="n"/>
      <c r="O272" s="9" t="n">
        <v>6</v>
      </c>
      <c r="P272" s="13" t="n">
        <v>31181</v>
      </c>
      <c r="Q272" s="13" t="n">
        <v>34108.8</v>
      </c>
      <c r="R272" s="14">
        <f>IFERROR(P272/Q272,"")</f>
        <v/>
      </c>
      <c r="S272" s="15" t="n">
        <v>0.9350000000000001</v>
      </c>
      <c r="T272" s="9">
        <f>IF(R272&gt;1,"A corregir","Válida")</f>
        <v/>
      </c>
      <c r="U272" s="13">
        <f>Q272-P272</f>
        <v/>
      </c>
      <c r="V272" s="13">
        <f>IF(S272="",0,S272*Q272)</f>
        <v/>
      </c>
      <c r="W272" s="9" t="n">
        <v>2026</v>
      </c>
      <c r="X272" s="9" t="n">
        <v>12</v>
      </c>
      <c r="Y272" s="9" t="inlineStr">
        <is>
          <t>2026-S12</t>
        </is>
      </c>
    </row>
    <row r="273">
      <c r="A273" s="9" t="n">
        <v>43047423</v>
      </c>
      <c r="B273" s="11" t="n">
        <v>46099.11265046296</v>
      </c>
      <c r="C273" s="12" t="n">
        <v>46099</v>
      </c>
      <c r="D273" s="9">
        <f>YEAR(C273)</f>
        <v/>
      </c>
      <c r="E273" s="9">
        <f>MONTH(C273)</f>
        <v/>
      </c>
      <c r="F273" s="9" t="inlineStr">
        <is>
          <t>Ángulo</t>
        </is>
      </c>
      <c r="G273" s="9" t="inlineStr">
        <is>
          <t>ANGULO 80X80X8MM A270ES</t>
        </is>
      </c>
      <c r="H273" s="9" t="inlineStr">
        <is>
          <t>ANGULO SEMI 80X80X8MM A270ES</t>
        </is>
      </c>
      <c r="I273" s="9" t="inlineStr">
        <is>
          <t>ANG 80 x 8</t>
        </is>
      </c>
      <c r="J273" s="9" t="n">
        <v>106501049</v>
      </c>
      <c r="K273" s="9" t="n"/>
      <c r="L273" s="9" t="n">
        <v>80</v>
      </c>
      <c r="M273" s="9" t="n">
        <v>8</v>
      </c>
      <c r="N273" s="9" t="n"/>
      <c r="O273" s="9" t="n">
        <v>6</v>
      </c>
      <c r="P273" s="13" t="n">
        <v>64080</v>
      </c>
      <c r="Q273" s="13" t="n">
        <v>69564</v>
      </c>
      <c r="R273" s="14">
        <f>IFERROR(P273/Q273,"")</f>
        <v/>
      </c>
      <c r="S273" s="15" t="n">
        <v>0.9340000000000001</v>
      </c>
      <c r="T273" s="9">
        <f>IF(R273&gt;1,"A corregir","Válida")</f>
        <v/>
      </c>
      <c r="U273" s="13">
        <f>Q273-P273</f>
        <v/>
      </c>
      <c r="V273" s="13">
        <f>IF(S273="",0,S273*Q273)</f>
        <v/>
      </c>
      <c r="W273" s="9" t="n">
        <v>2026</v>
      </c>
      <c r="X273" s="9" t="n">
        <v>12</v>
      </c>
      <c r="Y273" s="9" t="inlineStr">
        <is>
          <t>2026-S12</t>
        </is>
      </c>
    </row>
    <row r="274">
      <c r="A274" s="9" t="n">
        <v>43047425</v>
      </c>
      <c r="B274" s="11" t="n">
        <v>46099.30263888889</v>
      </c>
      <c r="C274" s="12" t="n">
        <v>46099</v>
      </c>
      <c r="D274" s="9">
        <f>YEAR(C274)</f>
        <v/>
      </c>
      <c r="E274" s="9">
        <f>MONTH(C274)</f>
        <v/>
      </c>
      <c r="F274" s="9" t="inlineStr">
        <is>
          <t>Ángulo</t>
        </is>
      </c>
      <c r="G274" s="9" t="inlineStr">
        <is>
          <t>ANGULO 80X80X6MM A270ES</t>
        </is>
      </c>
      <c r="H274" s="9" t="inlineStr">
        <is>
          <t>ANGULO SEMI 80X80X6MM A270ES</t>
        </is>
      </c>
      <c r="I274" s="9" t="inlineStr">
        <is>
          <t>ANG 80 x 6</t>
        </is>
      </c>
      <c r="J274" s="9" t="n">
        <v>106501050</v>
      </c>
      <c r="K274" s="9" t="n"/>
      <c r="L274" s="9" t="n">
        <v>80</v>
      </c>
      <c r="M274" s="9" t="n">
        <v>6</v>
      </c>
      <c r="N274" s="9" t="n"/>
      <c r="O274" s="9" t="n">
        <v>6</v>
      </c>
      <c r="P274" s="13" t="n">
        <v>28796</v>
      </c>
      <c r="Q274" s="13" t="n">
        <v>30967.2</v>
      </c>
      <c r="R274" s="14">
        <f>IFERROR(P274/Q274,"")</f>
        <v/>
      </c>
      <c r="S274" s="15" t="n">
        <v>0.9490000000000001</v>
      </c>
      <c r="T274" s="9">
        <f>IF(R274&gt;1,"A corregir","Válida")</f>
        <v/>
      </c>
      <c r="U274" s="13">
        <f>Q274-P274</f>
        <v/>
      </c>
      <c r="V274" s="13">
        <f>IF(S274="",0,S274*Q274)</f>
        <v/>
      </c>
      <c r="W274" s="9" t="n">
        <v>2026</v>
      </c>
      <c r="X274" s="9" t="n">
        <v>12</v>
      </c>
      <c r="Y274" s="9" t="inlineStr">
        <is>
          <t>2026-S12</t>
        </is>
      </c>
    </row>
    <row r="275">
      <c r="A275" s="9" t="n">
        <v>43047442</v>
      </c>
      <c r="B275" s="11" t="n">
        <v>46099.80873842593</v>
      </c>
      <c r="C275" s="12" t="n">
        <v>46099</v>
      </c>
      <c r="D275" s="9">
        <f>YEAR(C275)</f>
        <v/>
      </c>
      <c r="E275" s="9">
        <f>MONTH(C275)</f>
        <v/>
      </c>
      <c r="F275" s="9" t="inlineStr">
        <is>
          <t>Plana</t>
        </is>
      </c>
      <c r="G275" s="9" t="inlineStr">
        <is>
          <t>PLANA 50X8MM 6M A270ES (N)</t>
        </is>
      </c>
      <c r="H275" s="9" t="inlineStr">
        <is>
          <t>PLANA 50X8MM 6M A270ES (N)</t>
        </is>
      </c>
      <c r="I275" s="9" t="inlineStr">
        <is>
          <t>PL 50 x 8</t>
        </is>
      </c>
      <c r="J275" s="9" t="n">
        <v>109013900</v>
      </c>
      <c r="K275" s="9" t="n"/>
      <c r="L275" s="9" t="n">
        <v>50</v>
      </c>
      <c r="M275" s="9" t="n">
        <v>8</v>
      </c>
      <c r="N275" s="9" t="n"/>
      <c r="O275" s="9" t="n">
        <v>6</v>
      </c>
      <c r="P275" s="13" t="n">
        <v>77243</v>
      </c>
      <c r="Q275" s="13" t="n">
        <v>82579.2</v>
      </c>
      <c r="R275" s="14">
        <f>IFERROR(P275/Q275,"")</f>
        <v/>
      </c>
      <c r="S275" s="15" t="n">
        <v>0.9570000000000001</v>
      </c>
      <c r="T275" s="9">
        <f>IF(R275&gt;1,"A corregir","Válida")</f>
        <v/>
      </c>
      <c r="U275" s="13">
        <f>Q275-P275</f>
        <v/>
      </c>
      <c r="V275" s="13">
        <f>IF(S275="",0,S275*Q275)</f>
        <v/>
      </c>
      <c r="W275" s="9" t="n">
        <v>2026</v>
      </c>
      <c r="X275" s="9" t="n">
        <v>12</v>
      </c>
      <c r="Y275" s="9" t="inlineStr">
        <is>
          <t>2026-S12</t>
        </is>
      </c>
    </row>
    <row r="276">
      <c r="A276" s="9" t="n">
        <v>43047443</v>
      </c>
      <c r="B276" s="11" t="n">
        <v>46100.01640046296</v>
      </c>
      <c r="C276" s="12" t="n">
        <v>46100</v>
      </c>
      <c r="D276" s="9">
        <f>YEAR(C276)</f>
        <v/>
      </c>
      <c r="E276" s="9">
        <f>MONTH(C276)</f>
        <v/>
      </c>
      <c r="F276" s="9" t="inlineStr">
        <is>
          <t>Plana</t>
        </is>
      </c>
      <c r="G276" s="9" t="inlineStr">
        <is>
          <t>PLANA 50X5MM 6M A270ES (N)</t>
        </is>
      </c>
      <c r="H276" s="9" t="inlineStr">
        <is>
          <t>PLANA 50X5MM 6M A270ES (N)</t>
        </is>
      </c>
      <c r="I276" s="9" t="inlineStr">
        <is>
          <t>PL 50 x 5</t>
        </is>
      </c>
      <c r="J276" s="9" t="n">
        <v>109013902</v>
      </c>
      <c r="K276" s="9" t="n"/>
      <c r="L276" s="9" t="n">
        <v>50</v>
      </c>
      <c r="M276" s="9" t="n">
        <v>5</v>
      </c>
      <c r="N276" s="9" t="n"/>
      <c r="O276" s="9" t="n">
        <v>6</v>
      </c>
      <c r="P276" s="13" t="n">
        <v>218768</v>
      </c>
      <c r="Q276" s="13" t="n">
        <v>233376</v>
      </c>
      <c r="R276" s="14">
        <f>IFERROR(P276/Q276,"")</f>
        <v/>
      </c>
      <c r="S276" s="15" t="n">
        <v>0.96</v>
      </c>
      <c r="T276" s="9">
        <f>IF(R276&gt;1,"A corregir","Válida")</f>
        <v/>
      </c>
      <c r="U276" s="13">
        <f>Q276-P276</f>
        <v/>
      </c>
      <c r="V276" s="13">
        <f>IF(S276="",0,S276*Q276)</f>
        <v/>
      </c>
      <c r="W276" s="9" t="n">
        <v>2026</v>
      </c>
      <c r="X276" s="9" t="n">
        <v>12</v>
      </c>
      <c r="Y276" s="9" t="inlineStr">
        <is>
          <t>2026-S12</t>
        </is>
      </c>
    </row>
    <row r="277">
      <c r="A277" s="9" t="n">
        <v>43047444</v>
      </c>
      <c r="B277" s="11" t="n">
        <v>46100.74673611111</v>
      </c>
      <c r="C277" s="12" t="n">
        <v>46100</v>
      </c>
      <c r="D277" s="9">
        <f>YEAR(C277)</f>
        <v/>
      </c>
      <c r="E277" s="9">
        <f>MONTH(C277)</f>
        <v/>
      </c>
      <c r="F277" s="9" t="inlineStr">
        <is>
          <t>Ángulo</t>
        </is>
      </c>
      <c r="G277" s="9" t="inlineStr">
        <is>
          <t>ANGULO 50X50X5MM A270ES</t>
        </is>
      </c>
      <c r="H277" s="9" t="inlineStr">
        <is>
          <t>ANGULO SEMI 50X50X5MM A270ES</t>
        </is>
      </c>
      <c r="I277" s="9" t="inlineStr">
        <is>
          <t>ANG 50 x 5</t>
        </is>
      </c>
      <c r="J277" s="9" t="n">
        <v>106501037</v>
      </c>
      <c r="K277" s="9" t="n"/>
      <c r="L277" s="9" t="n">
        <v>50</v>
      </c>
      <c r="M277" s="9" t="n">
        <v>5</v>
      </c>
      <c r="N277" s="9" t="n"/>
      <c r="O277" s="9" t="n">
        <v>6</v>
      </c>
      <c r="P277" s="13" t="n">
        <v>96728</v>
      </c>
      <c r="Q277" s="13" t="n">
        <v>103672.8</v>
      </c>
      <c r="R277" s="14">
        <f>IFERROR(P277/Q277,"")</f>
        <v/>
      </c>
      <c r="S277" s="15" t="n">
        <v>0.948</v>
      </c>
      <c r="T277" s="9">
        <f>IF(R277&gt;1,"A corregir","Válida")</f>
        <v/>
      </c>
      <c r="U277" s="13">
        <f>Q277-P277</f>
        <v/>
      </c>
      <c r="V277" s="13">
        <f>IF(S277="",0,S277*Q277)</f>
        <v/>
      </c>
      <c r="W277" s="9" t="n">
        <v>2026</v>
      </c>
      <c r="X277" s="9" t="n">
        <v>12</v>
      </c>
      <c r="Y277" s="9" t="inlineStr">
        <is>
          <t>2026-S12</t>
        </is>
      </c>
    </row>
    <row r="278">
      <c r="A278" s="9" t="n">
        <v>43047445</v>
      </c>
      <c r="B278" s="11" t="n">
        <v>46101.10631944444</v>
      </c>
      <c r="C278" s="12" t="n">
        <v>46101</v>
      </c>
      <c r="D278" s="9">
        <f>YEAR(C278)</f>
        <v/>
      </c>
      <c r="E278" s="9">
        <f>MONTH(C278)</f>
        <v/>
      </c>
      <c r="F278" s="9" t="inlineStr">
        <is>
          <t>Ángulo</t>
        </is>
      </c>
      <c r="G278" s="9" t="inlineStr">
        <is>
          <t>ANG 50X50X5MM 12M ASTM A572 T2 (N)</t>
        </is>
      </c>
      <c r="H278" s="9" t="inlineStr">
        <is>
          <t>ANG SEMI 50X50X5MM 12M ASTM A572 T2 (N)</t>
        </is>
      </c>
      <c r="I278" s="9" t="inlineStr">
        <is>
          <t>ANG 50 x 5</t>
        </is>
      </c>
      <c r="J278" s="9" t="n">
        <v>119502815</v>
      </c>
      <c r="K278" s="9" t="n"/>
      <c r="L278" s="9" t="n">
        <v>50</v>
      </c>
      <c r="M278" s="9" t="n">
        <v>5</v>
      </c>
      <c r="N278" s="9" t="n"/>
      <c r="O278" s="9" t="n">
        <v>12</v>
      </c>
      <c r="P278" s="13" t="n">
        <v>23219</v>
      </c>
      <c r="Q278" s="13" t="n">
        <v>24235.2</v>
      </c>
      <c r="R278" s="14">
        <f>IFERROR(P278/Q278,"")</f>
        <v/>
      </c>
      <c r="S278" s="15" t="n">
        <v>0.97</v>
      </c>
      <c r="T278" s="9">
        <f>IF(R278&gt;1,"A corregir","Válida")</f>
        <v/>
      </c>
      <c r="U278" s="13">
        <f>Q278-P278</f>
        <v/>
      </c>
      <c r="V278" s="13">
        <f>IF(S278="",0,S278*Q278)</f>
        <v/>
      </c>
      <c r="W278" s="9" t="n">
        <v>2026</v>
      </c>
      <c r="X278" s="9" t="n">
        <v>12</v>
      </c>
      <c r="Y278" s="9" t="inlineStr">
        <is>
          <t>2026-S12</t>
        </is>
      </c>
    </row>
    <row r="279">
      <c r="A279" s="9" t="n">
        <v>43047446</v>
      </c>
      <c r="B279" s="11" t="n">
        <v>46101.18620370371</v>
      </c>
      <c r="C279" s="12" t="n">
        <v>46101</v>
      </c>
      <c r="D279" s="9">
        <f>YEAR(C279)</f>
        <v/>
      </c>
      <c r="E279" s="9">
        <f>MONTH(C279)</f>
        <v/>
      </c>
      <c r="F279" s="9" t="inlineStr">
        <is>
          <t>Ángulo</t>
        </is>
      </c>
      <c r="G279" s="9" t="inlineStr">
        <is>
          <t>ANG 50X50X4MM 12M ASTM A572 T2 (N)</t>
        </is>
      </c>
      <c r="H279" s="9" t="inlineStr">
        <is>
          <t>ANG SEMI 50X50X4MM 12M ASTM A572 T2 (N)</t>
        </is>
      </c>
      <c r="I279" s="9" t="inlineStr">
        <is>
          <t>ANG 50 x 4</t>
        </is>
      </c>
      <c r="J279" s="9" t="n">
        <v>119502814</v>
      </c>
      <c r="K279" s="9" t="n"/>
      <c r="L279" s="9" t="n">
        <v>50</v>
      </c>
      <c r="M279" s="9" t="n">
        <v>4</v>
      </c>
      <c r="N279" s="9" t="n"/>
      <c r="O279" s="9" t="n">
        <v>12</v>
      </c>
      <c r="P279" s="13" t="n">
        <v>31956</v>
      </c>
      <c r="Q279" s="13" t="n">
        <v>34108.8</v>
      </c>
      <c r="R279" s="14">
        <f>IFERROR(P279/Q279,"")</f>
        <v/>
      </c>
      <c r="S279" s="15" t="n">
        <v>0.97</v>
      </c>
      <c r="T279" s="9">
        <f>IF(R279&gt;1,"A corregir","Válida")</f>
        <v/>
      </c>
      <c r="U279" s="13">
        <f>Q279-P279</f>
        <v/>
      </c>
      <c r="V279" s="13">
        <f>IF(S279="",0,S279*Q279)</f>
        <v/>
      </c>
      <c r="W279" s="9" t="n">
        <v>2026</v>
      </c>
      <c r="X279" s="9" t="n">
        <v>12</v>
      </c>
      <c r="Y279" s="9" t="inlineStr">
        <is>
          <t>2026-S12</t>
        </is>
      </c>
    </row>
    <row r="280">
      <c r="A280" s="9" t="n">
        <v>43047441</v>
      </c>
      <c r="B280" s="11" t="n">
        <v>46101.24960648148</v>
      </c>
      <c r="C280" s="12" t="n">
        <v>46101</v>
      </c>
      <c r="D280" s="9">
        <f>YEAR(C280)</f>
        <v/>
      </c>
      <c r="E280" s="9">
        <f>MONTH(C280)</f>
        <v/>
      </c>
      <c r="F280" s="9" t="inlineStr">
        <is>
          <t>Ángulo</t>
        </is>
      </c>
      <c r="G280" s="9" t="inlineStr">
        <is>
          <t>ANGULO 50X50X4MM A270ES</t>
        </is>
      </c>
      <c r="H280" s="9" t="inlineStr">
        <is>
          <t>ANGULO SEMI 50X50X4MM A270ES</t>
        </is>
      </c>
      <c r="I280" s="9" t="inlineStr">
        <is>
          <t>ANG 50 x 4</t>
        </is>
      </c>
      <c r="J280" s="9" t="n">
        <v>106501036</v>
      </c>
      <c r="K280" s="9" t="n"/>
      <c r="L280" s="9" t="n">
        <v>50</v>
      </c>
      <c r="M280" s="9" t="n">
        <v>4</v>
      </c>
      <c r="N280" s="9" t="n"/>
      <c r="O280" s="9" t="n">
        <v>6</v>
      </c>
      <c r="P280" s="13" t="n">
        <v>60189</v>
      </c>
      <c r="Q280" s="13" t="n">
        <v>64627.2</v>
      </c>
      <c r="R280" s="14">
        <f>IFERROR(P280/Q280,"")</f>
        <v/>
      </c>
      <c r="S280" s="15" t="n">
        <v>0.948</v>
      </c>
      <c r="T280" s="9">
        <f>IF(R280&gt;1,"A corregir","Válida")</f>
        <v/>
      </c>
      <c r="U280" s="13">
        <f>Q280-P280</f>
        <v/>
      </c>
      <c r="V280" s="13">
        <f>IF(S280="",0,S280*Q280)</f>
        <v/>
      </c>
      <c r="W280" s="9" t="n">
        <v>2026</v>
      </c>
      <c r="X280" s="9" t="n">
        <v>12</v>
      </c>
      <c r="Y280" s="9" t="inlineStr">
        <is>
          <t>2026-S12</t>
        </is>
      </c>
    </row>
    <row r="281">
      <c r="A281" s="9" t="n">
        <v>43047447</v>
      </c>
      <c r="B281" s="11" t="n">
        <v>46101.52292824074</v>
      </c>
      <c r="C281" s="12" t="n">
        <v>46101</v>
      </c>
      <c r="D281" s="9">
        <f>YEAR(C281)</f>
        <v/>
      </c>
      <c r="E281" s="9">
        <f>MONTH(C281)</f>
        <v/>
      </c>
      <c r="F281" s="9" t="inlineStr">
        <is>
          <t>Ángulo</t>
        </is>
      </c>
      <c r="G281" s="9" t="inlineStr">
        <is>
          <t>ANGULO 50X50X3MM A270ES</t>
        </is>
      </c>
      <c r="H281" s="9" t="inlineStr">
        <is>
          <t>ANGULO SEMI 50X50X3MM A270ES</t>
        </is>
      </c>
      <c r="I281" s="9" t="inlineStr">
        <is>
          <t>ANG 50 x 3</t>
        </is>
      </c>
      <c r="J281" s="9" t="n">
        <v>106501038</v>
      </c>
      <c r="K281" s="9" t="n"/>
      <c r="L281" s="9" t="n">
        <v>50</v>
      </c>
      <c r="M281" s="9" t="n">
        <v>3</v>
      </c>
      <c r="N281" s="9" t="n"/>
      <c r="O281" s="9" t="n">
        <v>6</v>
      </c>
      <c r="P281" s="13" t="n">
        <v>70581</v>
      </c>
      <c r="Q281" s="13" t="n">
        <v>76744.8</v>
      </c>
      <c r="R281" s="14">
        <f>IFERROR(P281/Q281,"")</f>
        <v/>
      </c>
      <c r="S281" s="15" t="n">
        <v>0.953</v>
      </c>
      <c r="T281" s="9">
        <f>IF(R281&gt;1,"A corregir","Válida")</f>
        <v/>
      </c>
      <c r="U281" s="13">
        <f>Q281-P281</f>
        <v/>
      </c>
      <c r="V281" s="13">
        <f>IF(S281="",0,S281*Q281)</f>
        <v/>
      </c>
      <c r="W281" s="9" t="n">
        <v>2026</v>
      </c>
      <c r="X281" s="9" t="n">
        <v>12</v>
      </c>
      <c r="Y281" s="9" t="inlineStr">
        <is>
          <t>2026-S12</t>
        </is>
      </c>
    </row>
    <row r="282">
      <c r="A282" s="9" t="n">
        <v>43047448</v>
      </c>
      <c r="B282" s="11" t="n">
        <v>46101.76207175926</v>
      </c>
      <c r="C282" s="12" t="n">
        <v>46101</v>
      </c>
      <c r="D282" s="9">
        <f>YEAR(C282)</f>
        <v/>
      </c>
      <c r="E282" s="9">
        <f>MONTH(C282)</f>
        <v/>
      </c>
      <c r="F282" s="9" t="inlineStr">
        <is>
          <t>Ángulo</t>
        </is>
      </c>
      <c r="G282" s="9" t="inlineStr">
        <is>
          <t>ANG 45X45X4MM 12M ASTM A572 T2 (N)</t>
        </is>
      </c>
      <c r="H282" s="9" t="inlineStr">
        <is>
          <t>ANG SEMI 45X45X4MM 12M ASTM A572 T2 (N)</t>
        </is>
      </c>
      <c r="I282" s="9" t="inlineStr">
        <is>
          <t>ANG 45 x 5</t>
        </is>
      </c>
      <c r="J282" s="9" t="n">
        <v>119502813</v>
      </c>
      <c r="K282" s="9" t="n"/>
      <c r="L282" s="9" t="n">
        <v>45</v>
      </c>
      <c r="M282" s="9" t="n">
        <v>4</v>
      </c>
      <c r="N282" s="9" t="n"/>
      <c r="O282" s="9" t="n">
        <v>12</v>
      </c>
      <c r="P282" s="13" t="n">
        <v>37413</v>
      </c>
      <c r="Q282" s="13" t="n">
        <v>39494.4</v>
      </c>
      <c r="R282" s="14">
        <f>IFERROR(P282/Q282,"")</f>
        <v/>
      </c>
      <c r="S282" s="15" t="n">
        <v>0.97</v>
      </c>
      <c r="T282" s="9">
        <f>IF(R282&gt;1,"A corregir","Válida")</f>
        <v/>
      </c>
      <c r="U282" s="13">
        <f>Q282-P282</f>
        <v/>
      </c>
      <c r="V282" s="13">
        <f>IF(S282="",0,S282*Q282)</f>
        <v/>
      </c>
      <c r="W282" s="9" t="n">
        <v>2026</v>
      </c>
      <c r="X282" s="9" t="n">
        <v>12</v>
      </c>
      <c r="Y282" s="9" t="inlineStr">
        <is>
          <t>2026-S12</t>
        </is>
      </c>
    </row>
    <row r="283">
      <c r="A283" s="9" t="n">
        <v>43047449</v>
      </c>
      <c r="B283" s="11" t="n">
        <v>46101.90064814815</v>
      </c>
      <c r="C283" s="12" t="n">
        <v>46101</v>
      </c>
      <c r="D283" s="9">
        <f>YEAR(C283)</f>
        <v/>
      </c>
      <c r="E283" s="9">
        <f>MONTH(C283)</f>
        <v/>
      </c>
      <c r="F283" s="9" t="inlineStr">
        <is>
          <t>Plana</t>
        </is>
      </c>
      <c r="G283" s="9" t="inlineStr">
        <is>
          <t>PLANA 75X8MM 6M A270ES (N)</t>
        </is>
      </c>
      <c r="H283" s="9" t="inlineStr">
        <is>
          <t>PLANA 75X8MM 6M A270ES (N)</t>
        </is>
      </c>
      <c r="I283" s="9" t="inlineStr">
        <is>
          <t>PL 75 x 8</t>
        </is>
      </c>
      <c r="J283" s="9" t="n">
        <v>109013909</v>
      </c>
      <c r="K283" s="9" t="n"/>
      <c r="L283" s="9" t="n">
        <v>75</v>
      </c>
      <c r="M283" s="9" t="n">
        <v>8</v>
      </c>
      <c r="N283" s="9" t="n"/>
      <c r="O283" s="9" t="n">
        <v>6</v>
      </c>
      <c r="P283" s="13" t="n">
        <v>79697</v>
      </c>
      <c r="Q283" s="13" t="n">
        <v>85272</v>
      </c>
      <c r="R283" s="14">
        <f>IFERROR(P283/Q283,"")</f>
        <v/>
      </c>
      <c r="S283" s="15" t="n">
        <v>0.951</v>
      </c>
      <c r="T283" s="9">
        <f>IF(R283&gt;1,"A corregir","Válida")</f>
        <v/>
      </c>
      <c r="U283" s="13">
        <f>Q283-P283</f>
        <v/>
      </c>
      <c r="V283" s="13">
        <f>IF(S283="",0,S283*Q283)</f>
        <v/>
      </c>
      <c r="W283" s="9" t="n">
        <v>2026</v>
      </c>
      <c r="X283" s="9" t="n">
        <v>12</v>
      </c>
      <c r="Y283" s="9" t="inlineStr">
        <is>
          <t>2026-S12</t>
        </is>
      </c>
    </row>
    <row r="284">
      <c r="A284" s="9" t="n">
        <v>43047450</v>
      </c>
      <c r="B284" s="11" t="n">
        <v>46102.16090277778</v>
      </c>
      <c r="C284" s="12" t="n">
        <v>46102</v>
      </c>
      <c r="D284" s="9">
        <f>YEAR(C284)</f>
        <v/>
      </c>
      <c r="E284" s="9">
        <f>MONTH(C284)</f>
        <v/>
      </c>
      <c r="F284" s="9" t="inlineStr">
        <is>
          <t>Plana</t>
        </is>
      </c>
      <c r="G284" s="9" t="inlineStr">
        <is>
          <t>PLANA 75X6MM 6M A270ES (N)</t>
        </is>
      </c>
      <c r="H284" s="9" t="inlineStr">
        <is>
          <t>PLANA 75X6MM 6M A270ES (N)</t>
        </is>
      </c>
      <c r="I284" s="9" t="inlineStr">
        <is>
          <t>PL 75 x 6</t>
        </is>
      </c>
      <c r="J284" s="9" t="n">
        <v>109013911</v>
      </c>
      <c r="K284" s="9" t="n"/>
      <c r="L284" s="9" t="n">
        <v>75</v>
      </c>
      <c r="M284" s="9" t="n">
        <v>6</v>
      </c>
      <c r="N284" s="9" t="n"/>
      <c r="O284" s="9" t="n">
        <v>6</v>
      </c>
      <c r="P284" s="13" t="n">
        <v>29390</v>
      </c>
      <c r="Q284" s="13" t="n">
        <v>33660</v>
      </c>
      <c r="R284" s="14">
        <f>IFERROR(P284/Q284,"")</f>
        <v/>
      </c>
      <c r="S284" s="15" t="n">
        <v>0.9540000000000001</v>
      </c>
      <c r="T284" s="9">
        <f>IF(R284&gt;1,"A corregir","Válida")</f>
        <v/>
      </c>
      <c r="U284" s="13">
        <f>Q284-P284</f>
        <v/>
      </c>
      <c r="V284" s="13">
        <f>IF(S284="",0,S284*Q284)</f>
        <v/>
      </c>
      <c r="W284" s="9" t="n">
        <v>2026</v>
      </c>
      <c r="X284" s="9" t="n">
        <v>12</v>
      </c>
      <c r="Y284" s="9" t="inlineStr">
        <is>
          <t>2026-S12</t>
        </is>
      </c>
    </row>
    <row r="285">
      <c r="A285" s="9" t="n">
        <v>43047451</v>
      </c>
      <c r="B285" s="11" t="n">
        <v>46102.23912037037</v>
      </c>
      <c r="C285" s="12" t="n">
        <v>46102</v>
      </c>
      <c r="D285" s="9">
        <f>YEAR(C285)</f>
        <v/>
      </c>
      <c r="E285" s="9">
        <f>MONTH(C285)</f>
        <v/>
      </c>
      <c r="F285" s="9" t="inlineStr">
        <is>
          <t>Plana</t>
        </is>
      </c>
      <c r="G285" s="9" t="inlineStr">
        <is>
          <t>PLANA 75X5MM 6M A270ES (N)</t>
        </is>
      </c>
      <c r="H285" s="9" t="inlineStr">
        <is>
          <t>PLANA 75X5MM 6M A270ES (N)</t>
        </is>
      </c>
      <c r="I285" s="9" t="inlineStr">
        <is>
          <t>PL 75 x 5</t>
        </is>
      </c>
      <c r="J285" s="9" t="n">
        <v>109013908</v>
      </c>
      <c r="K285" s="9" t="n"/>
      <c r="L285" s="9" t="n">
        <v>75</v>
      </c>
      <c r="M285" s="9" t="n">
        <v>5</v>
      </c>
      <c r="N285" s="9" t="n"/>
      <c r="O285" s="9" t="n">
        <v>6</v>
      </c>
      <c r="P285" s="13" t="n">
        <v>138442</v>
      </c>
      <c r="Q285" s="13" t="n">
        <v>147206.4</v>
      </c>
      <c r="R285" s="14">
        <f>IFERROR(P285/Q285,"")</f>
        <v/>
      </c>
      <c r="S285" s="15" t="n">
        <v>0.956</v>
      </c>
      <c r="T285" s="9">
        <f>IF(R285&gt;1,"A corregir","Válida")</f>
        <v/>
      </c>
      <c r="U285" s="13">
        <f>Q285-P285</f>
        <v/>
      </c>
      <c r="V285" s="13">
        <f>IF(S285="",0,S285*Q285)</f>
        <v/>
      </c>
      <c r="W285" s="9" t="n">
        <v>2026</v>
      </c>
      <c r="X285" s="9" t="n">
        <v>12</v>
      </c>
      <c r="Y285" s="9" t="inlineStr">
        <is>
          <t>2026-S12</t>
        </is>
      </c>
    </row>
    <row r="286">
      <c r="A286" s="9" t="n">
        <v>43047504</v>
      </c>
      <c r="B286" s="11" t="n">
        <v>46102.67853009259</v>
      </c>
      <c r="C286" s="12" t="n">
        <v>46102</v>
      </c>
      <c r="D286" s="9">
        <f>YEAR(C286)</f>
        <v/>
      </c>
      <c r="E286" s="9">
        <f>MONTH(C286)</f>
        <v/>
      </c>
      <c r="F286" s="9" t="inlineStr">
        <is>
          <t>B Hormigón</t>
        </is>
      </c>
      <c r="G286" s="9" t="inlineStr">
        <is>
          <t>B HORMIGON 25MM 12M A630-420H (N)</t>
        </is>
      </c>
      <c r="H286" s="9" t="inlineStr">
        <is>
          <t>B HORMIGON 25MM 12M A630-420H (N)</t>
        </is>
      </c>
      <c r="I286" s="9" t="inlineStr">
        <is>
          <t>RED 25 CR</t>
        </is>
      </c>
      <c r="J286" s="9" t="n">
        <v>110002941</v>
      </c>
      <c r="K286" s="9" t="n">
        <v>25</v>
      </c>
      <c r="L286" s="9" t="n"/>
      <c r="M286" s="9" t="n"/>
      <c r="N286" s="9" t="n"/>
      <c r="O286" s="9" t="n">
        <v>12</v>
      </c>
      <c r="P286" s="13" t="n">
        <v>116019</v>
      </c>
      <c r="Q286" s="13" t="n">
        <v>124581.6</v>
      </c>
      <c r="R286" s="14">
        <f>IFERROR(P286/Q286,"")</f>
        <v/>
      </c>
      <c r="S286" s="15" t="n">
        <v>0.95</v>
      </c>
      <c r="T286" s="9">
        <f>IF(R286&gt;1,"A corregir","Válida")</f>
        <v/>
      </c>
      <c r="U286" s="13">
        <f>Q286-P286</f>
        <v/>
      </c>
      <c r="V286" s="13">
        <f>IF(S286="",0,S286*Q286)</f>
        <v/>
      </c>
      <c r="W286" s="9" t="n">
        <v>2026</v>
      </c>
      <c r="X286" s="9" t="n">
        <v>12</v>
      </c>
      <c r="Y286" s="9" t="inlineStr">
        <is>
          <t>2026-S12</t>
        </is>
      </c>
    </row>
    <row r="287">
      <c r="A287" s="9" t="n">
        <v>43047505</v>
      </c>
      <c r="B287" s="11" t="n">
        <v>46102.90637731482</v>
      </c>
      <c r="C287" s="12" t="n">
        <v>46102</v>
      </c>
      <c r="D287" s="9">
        <f>YEAR(C287)</f>
        <v/>
      </c>
      <c r="E287" s="9">
        <f>MONTH(C287)</f>
        <v/>
      </c>
      <c r="F287" s="9" t="inlineStr">
        <is>
          <t>B Hormigón</t>
        </is>
      </c>
      <c r="G287" s="9" t="inlineStr">
        <is>
          <t>B HORMIGON 25MM 11M A630-420H (N)</t>
        </is>
      </c>
      <c r="H287" s="9" t="inlineStr">
        <is>
          <t>B HORMIGON 25MM 11M A630-420H (N)</t>
        </is>
      </c>
      <c r="I287" s="9" t="inlineStr">
        <is>
          <t>RED 25 CR</t>
        </is>
      </c>
      <c r="J287" s="9" t="n">
        <v>110002947</v>
      </c>
      <c r="K287" s="9" t="n">
        <v>25</v>
      </c>
      <c r="L287" s="9" t="n"/>
      <c r="M287" s="9" t="n"/>
      <c r="N287" s="9" t="n"/>
      <c r="O287" s="9" t="n">
        <v>11</v>
      </c>
      <c r="P287" s="13" t="n">
        <v>28894</v>
      </c>
      <c r="Q287" s="13" t="n">
        <v>30492</v>
      </c>
      <c r="R287" s="14">
        <f>IFERROR(P287/Q287,"")</f>
        <v/>
      </c>
      <c r="S287" s="15" t="n">
        <v>0.95</v>
      </c>
      <c r="T287" s="9">
        <f>IF(R287&gt;1,"A corregir","Válida")</f>
        <v/>
      </c>
      <c r="U287" s="13">
        <f>Q287-P287</f>
        <v/>
      </c>
      <c r="V287" s="13">
        <f>IF(S287="",0,S287*Q287)</f>
        <v/>
      </c>
      <c r="W287" s="9" t="n">
        <v>2026</v>
      </c>
      <c r="X287" s="9" t="n">
        <v>12</v>
      </c>
      <c r="Y287" s="9" t="inlineStr">
        <is>
          <t>2026-S12</t>
        </is>
      </c>
    </row>
    <row r="288">
      <c r="A288" s="9" t="n">
        <v>43047506</v>
      </c>
      <c r="B288" s="11" t="n">
        <v>46102.96381944444</v>
      </c>
      <c r="C288" s="12" t="n">
        <v>46102</v>
      </c>
      <c r="D288" s="9">
        <f>YEAR(C288)</f>
        <v/>
      </c>
      <c r="E288" s="9">
        <f>MONTH(C288)</f>
        <v/>
      </c>
      <c r="F288" s="9" t="inlineStr">
        <is>
          <t>B Hormigón</t>
        </is>
      </c>
      <c r="G288" s="9" t="inlineStr">
        <is>
          <t>B HORMIGON 25MM 10M A630-420H (N)</t>
        </is>
      </c>
      <c r="H288" s="9" t="inlineStr">
        <is>
          <t>B HORMIGON 25MM 10M A630-420H (N)</t>
        </is>
      </c>
      <c r="I288" s="9" t="inlineStr">
        <is>
          <t>RED 25 CR</t>
        </is>
      </c>
      <c r="J288" s="9" t="n">
        <v>110002943</v>
      </c>
      <c r="K288" s="9" t="n">
        <v>25</v>
      </c>
      <c r="L288" s="9" t="n"/>
      <c r="M288" s="9" t="n"/>
      <c r="N288" s="9" t="n"/>
      <c r="O288" s="9" t="n">
        <v>10</v>
      </c>
      <c r="P288" s="13" t="n">
        <v>43632</v>
      </c>
      <c r="Q288" s="13" t="n">
        <v>46173.6</v>
      </c>
      <c r="R288" s="14">
        <f>IFERROR(P288/Q288,"")</f>
        <v/>
      </c>
      <c r="S288" s="15" t="n">
        <v>0.95</v>
      </c>
      <c r="T288" s="9">
        <f>IF(R288&gt;1,"A corregir","Válida")</f>
        <v/>
      </c>
      <c r="U288" s="13">
        <f>Q288-P288</f>
        <v/>
      </c>
      <c r="V288" s="13">
        <f>IF(S288="",0,S288*Q288)</f>
        <v/>
      </c>
      <c r="W288" s="9" t="n">
        <v>2026</v>
      </c>
      <c r="X288" s="9" t="n">
        <v>12</v>
      </c>
      <c r="Y288" s="9" t="inlineStr">
        <is>
          <t>2026-S12</t>
        </is>
      </c>
    </row>
    <row r="289">
      <c r="A289" s="9" t="n">
        <v>43047507</v>
      </c>
      <c r="B289" s="11" t="n">
        <v>46103.05046296296</v>
      </c>
      <c r="C289" s="12" t="n">
        <v>46103</v>
      </c>
      <c r="D289" s="9">
        <f>YEAR(C289)</f>
        <v/>
      </c>
      <c r="E289" s="9">
        <f>MONTH(C289)</f>
        <v/>
      </c>
      <c r="F289" s="9" t="inlineStr">
        <is>
          <t>B Hormigón</t>
        </is>
      </c>
      <c r="G289" s="9" t="inlineStr">
        <is>
          <t>B HORMIGON 25MM 9M A630-420H (N)</t>
        </is>
      </c>
      <c r="H289" s="9" t="inlineStr">
        <is>
          <t>B HORMIGON 25MM 9M A630-420H (N)</t>
        </is>
      </c>
      <c r="I289" s="9" t="inlineStr">
        <is>
          <t>RED 25 CR</t>
        </is>
      </c>
      <c r="J289" s="9" t="n">
        <v>110002905</v>
      </c>
      <c r="K289" s="9" t="n">
        <v>25</v>
      </c>
      <c r="L289" s="9" t="n"/>
      <c r="M289" s="9" t="n"/>
      <c r="N289" s="9" t="n"/>
      <c r="O289" s="9" t="n">
        <v>9</v>
      </c>
      <c r="P289" s="13" t="n">
        <v>46409</v>
      </c>
      <c r="Q289" s="13" t="n">
        <v>49104</v>
      </c>
      <c r="R289" s="14">
        <f>IFERROR(P289/Q289,"")</f>
        <v/>
      </c>
      <c r="S289" s="15" t="n">
        <v>0.95</v>
      </c>
      <c r="T289" s="9">
        <f>IF(R289&gt;1,"A corregir","Válida")</f>
        <v/>
      </c>
      <c r="U289" s="13">
        <f>Q289-P289</f>
        <v/>
      </c>
      <c r="V289" s="13">
        <f>IF(S289="",0,S289*Q289)</f>
        <v/>
      </c>
      <c r="W289" s="9" t="n">
        <v>2026</v>
      </c>
      <c r="X289" s="9" t="n">
        <v>12</v>
      </c>
      <c r="Y289" s="9" t="inlineStr">
        <is>
          <t>2026-S12</t>
        </is>
      </c>
    </row>
    <row r="290">
      <c r="A290" s="9" t="n">
        <v>43047509</v>
      </c>
      <c r="B290" s="11" t="n">
        <v>46103.18222222223</v>
      </c>
      <c r="C290" s="12" t="n">
        <v>46103</v>
      </c>
      <c r="D290" s="9">
        <f>YEAR(C290)</f>
        <v/>
      </c>
      <c r="E290" s="9">
        <f>MONTH(C290)</f>
        <v/>
      </c>
      <c r="F290" s="9" t="inlineStr">
        <is>
          <t>Redondo liso</t>
        </is>
      </c>
      <c r="G290" s="9" t="inlineStr">
        <is>
          <t>REDONDO LISO 1' 6M SAE 1020 (N)</t>
        </is>
      </c>
      <c r="H290" s="9" t="inlineStr">
        <is>
          <t>REDONDO LISO 1' 6M SAE 1020 (N)</t>
        </is>
      </c>
      <c r="I290" s="9" t="inlineStr">
        <is>
          <t>RED 1</t>
        </is>
      </c>
      <c r="J290" s="9" t="n">
        <v>109006911</v>
      </c>
      <c r="K290" s="9" t="n">
        <v>25.4</v>
      </c>
      <c r="L290" s="9" t="n"/>
      <c r="M290" s="9" t="n"/>
      <c r="N290" s="9" t="n"/>
      <c r="O290" s="9" t="n">
        <v>6</v>
      </c>
      <c r="P290" s="13" t="n">
        <v>85103</v>
      </c>
      <c r="Q290" s="13" t="n">
        <v>90657.60000000001</v>
      </c>
      <c r="R290" s="14">
        <f>IFERROR(P290/Q290,"")</f>
        <v/>
      </c>
      <c r="S290" s="15" t="n">
        <v>0.9470000000000001</v>
      </c>
      <c r="T290" s="9">
        <f>IF(R290&gt;1,"A corregir","Válida")</f>
        <v/>
      </c>
      <c r="U290" s="13">
        <f>Q290-P290</f>
        <v/>
      </c>
      <c r="V290" s="13">
        <f>IF(S290="",0,S290*Q290)</f>
        <v/>
      </c>
      <c r="W290" s="9" t="n">
        <v>2026</v>
      </c>
      <c r="X290" s="9" t="n">
        <v>12</v>
      </c>
      <c r="Y290" s="9" t="inlineStr">
        <is>
          <t>2026-S12</t>
        </is>
      </c>
    </row>
    <row r="291">
      <c r="A291" s="9" t="n">
        <v>43047508</v>
      </c>
      <c r="B291" s="11" t="n">
        <v>46104.09929398148</v>
      </c>
      <c r="C291" s="12" t="n">
        <v>46104</v>
      </c>
      <c r="D291" s="9">
        <f>YEAR(C291)</f>
        <v/>
      </c>
      <c r="E291" s="9">
        <f>MONTH(C291)</f>
        <v/>
      </c>
      <c r="F291" s="9" t="inlineStr">
        <is>
          <t>Redondo liso</t>
        </is>
      </c>
      <c r="G291" s="9" t="inlineStr">
        <is>
          <t>REDONDO LISO 1' 6M ASTM A 36 (N)</t>
        </is>
      </c>
      <c r="H291" s="9" t="inlineStr">
        <is>
          <t>REDONDO LISO 1' 6M ASTM A 36 (N)</t>
        </is>
      </c>
      <c r="I291" s="9" t="inlineStr">
        <is>
          <t>RED 1</t>
        </is>
      </c>
      <c r="J291" s="9" t="n">
        <v>109006880</v>
      </c>
      <c r="K291" s="9" t="n">
        <v>25.4</v>
      </c>
      <c r="L291" s="9" t="n"/>
      <c r="M291" s="9" t="n"/>
      <c r="N291" s="9" t="n"/>
      <c r="O291" s="9" t="n">
        <v>6</v>
      </c>
      <c r="P291" s="13" t="n">
        <v>36931</v>
      </c>
      <c r="Q291" s="13" t="n">
        <v>39494.4</v>
      </c>
      <c r="R291" s="14">
        <f>IFERROR(P291/Q291,"")</f>
        <v/>
      </c>
      <c r="S291" s="15" t="n">
        <v>0.9470000000000001</v>
      </c>
      <c r="T291" s="9">
        <f>IF(R291&gt;1,"A corregir","Válida")</f>
        <v/>
      </c>
      <c r="U291" s="13">
        <f>Q291-P291</f>
        <v/>
      </c>
      <c r="V291" s="13">
        <f>IF(S291="",0,S291*Q291)</f>
        <v/>
      </c>
      <c r="W291" s="9" t="n">
        <v>2026</v>
      </c>
      <c r="X291" s="9" t="n">
        <v>13</v>
      </c>
      <c r="Y291" s="9" t="inlineStr">
        <is>
          <t>2026-S13</t>
        </is>
      </c>
    </row>
    <row r="292">
      <c r="A292" s="9" t="n">
        <v>43047510</v>
      </c>
      <c r="B292" s="11" t="n">
        <v>46104.22494212963</v>
      </c>
      <c r="C292" s="12" t="n">
        <v>46104</v>
      </c>
      <c r="D292" s="9">
        <f>YEAR(C292)</f>
        <v/>
      </c>
      <c r="E292" s="9">
        <f>MONTH(C292)</f>
        <v/>
      </c>
      <c r="F292" s="9" t="inlineStr">
        <is>
          <t>Saferock</t>
        </is>
      </c>
      <c r="G292" s="9" t="inlineStr">
        <is>
          <t>SAFEROCK 25MM 12M A420</t>
        </is>
      </c>
      <c r="H292" s="9" t="inlineStr">
        <is>
          <t>SAFEROCK SEMI 25MM 12M A420</t>
        </is>
      </c>
      <c r="I292" s="9" t="inlineStr">
        <is>
          <t>SFR 25</t>
        </is>
      </c>
      <c r="J292" s="9" t="n">
        <v>106025583</v>
      </c>
      <c r="K292" s="9" t="n">
        <v>25</v>
      </c>
      <c r="L292" s="9" t="n"/>
      <c r="M292" s="9" t="n"/>
      <c r="N292" s="9" t="n"/>
      <c r="O292" s="9" t="n">
        <v>12</v>
      </c>
      <c r="P292" s="13" t="n">
        <v>37754</v>
      </c>
      <c r="Q292" s="13" t="n">
        <v>39494.4</v>
      </c>
      <c r="R292" s="14">
        <f>IFERROR(P292/Q292,"")</f>
        <v/>
      </c>
      <c r="S292" s="15" t="n">
        <v>0.953</v>
      </c>
      <c r="T292" s="9">
        <f>IF(R292&gt;1,"A corregir","Válida")</f>
        <v/>
      </c>
      <c r="U292" s="13">
        <f>Q292-P292</f>
        <v/>
      </c>
      <c r="V292" s="13">
        <f>IF(S292="",0,S292*Q292)</f>
        <v/>
      </c>
      <c r="W292" s="9" t="n">
        <v>2026</v>
      </c>
      <c r="X292" s="9" t="n">
        <v>13</v>
      </c>
      <c r="Y292" s="9" t="inlineStr">
        <is>
          <t>2026-S13</t>
        </is>
      </c>
    </row>
    <row r="293">
      <c r="A293" s="9" t="n">
        <v>43047511</v>
      </c>
      <c r="B293" s="11" t="n">
        <v>46104.30912037037</v>
      </c>
      <c r="C293" s="12" t="n">
        <v>46104</v>
      </c>
      <c r="D293" s="9">
        <f>YEAR(C293)</f>
        <v/>
      </c>
      <c r="E293" s="9">
        <f>MONTH(C293)</f>
        <v/>
      </c>
      <c r="F293" s="9" t="inlineStr">
        <is>
          <t>Saferock</t>
        </is>
      </c>
      <c r="G293" s="9" t="inlineStr">
        <is>
          <t>SAFEROCK 25MM 11,6M A420</t>
        </is>
      </c>
      <c r="H293" s="9" t="inlineStr">
        <is>
          <t>SAFEROCK SEMI 25MM 11,6M A420</t>
        </is>
      </c>
      <c r="I293" s="9" t="inlineStr">
        <is>
          <t>SFR 25</t>
        </is>
      </c>
      <c r="J293" s="9" t="n">
        <v>106047304</v>
      </c>
      <c r="K293" s="9" t="n">
        <v>25</v>
      </c>
      <c r="L293" s="9" t="n"/>
      <c r="M293" s="9" t="n"/>
      <c r="N293" s="9" t="n"/>
      <c r="O293" s="9" t="n">
        <v>11.6</v>
      </c>
      <c r="P293" s="13" t="n">
        <v>15796</v>
      </c>
      <c r="Q293" s="13" t="n">
        <v>17054.4</v>
      </c>
      <c r="R293" s="14">
        <f>IFERROR(P293/Q293,"")</f>
        <v/>
      </c>
      <c r="S293" s="15" t="n">
        <v>0.9540000000000001</v>
      </c>
      <c r="T293" s="9">
        <f>IF(R293&gt;1,"A corregir","Válida")</f>
        <v/>
      </c>
      <c r="U293" s="13">
        <f>Q293-P293</f>
        <v/>
      </c>
      <c r="V293" s="13">
        <f>IF(S293="",0,S293*Q293)</f>
        <v/>
      </c>
      <c r="W293" s="9" t="n">
        <v>2026</v>
      </c>
      <c r="X293" s="9" t="n">
        <v>13</v>
      </c>
      <c r="Y293" s="9" t="inlineStr">
        <is>
          <t>2026-S13</t>
        </is>
      </c>
    </row>
    <row r="294">
      <c r="A294" s="9" t="n">
        <v>43047512</v>
      </c>
      <c r="B294" s="11" t="n">
        <v>46104.34159722222</v>
      </c>
      <c r="C294" s="12" t="n">
        <v>46104</v>
      </c>
      <c r="D294" s="9">
        <f>YEAR(C294)</f>
        <v/>
      </c>
      <c r="E294" s="9">
        <f>MONTH(C294)</f>
        <v/>
      </c>
      <c r="F294" s="9" t="inlineStr">
        <is>
          <t>Saferock</t>
        </is>
      </c>
      <c r="G294" s="9" t="inlineStr">
        <is>
          <t>SAFEROCK 25MM 10,8M A420</t>
        </is>
      </c>
      <c r="H294" s="9" t="inlineStr">
        <is>
          <t>SAFEROCK SEMI 25MM 10,8M A420</t>
        </is>
      </c>
      <c r="I294" s="9" t="inlineStr">
        <is>
          <t>SFR 25</t>
        </is>
      </c>
      <c r="J294" s="9" t="n">
        <v>106047303</v>
      </c>
      <c r="K294" s="9" t="n">
        <v>25</v>
      </c>
      <c r="L294" s="9" t="n"/>
      <c r="M294" s="9" t="n"/>
      <c r="N294" s="9" t="n"/>
      <c r="O294" s="9" t="n">
        <v>10.8</v>
      </c>
      <c r="P294" s="13" t="n">
        <v>41001</v>
      </c>
      <c r="Q294" s="13" t="n">
        <v>43533.6</v>
      </c>
      <c r="R294" s="14">
        <f>IFERROR(P294/Q294,"")</f>
        <v/>
      </c>
      <c r="S294" s="15" t="n">
        <v>0.953</v>
      </c>
      <c r="T294" s="9">
        <f>IF(R294&gt;1,"A corregir","Válida")</f>
        <v/>
      </c>
      <c r="U294" s="13">
        <f>Q294-P294</f>
        <v/>
      </c>
      <c r="V294" s="13">
        <f>IF(S294="",0,S294*Q294)</f>
        <v/>
      </c>
      <c r="W294" s="9" t="n">
        <v>2026</v>
      </c>
      <c r="X294" s="9" t="n">
        <v>13</v>
      </c>
      <c r="Y294" s="9" t="inlineStr">
        <is>
          <t>2026-S13</t>
        </is>
      </c>
    </row>
    <row r="295">
      <c r="A295" s="9" t="n">
        <v>43047513</v>
      </c>
      <c r="B295" s="11" t="n">
        <v>46104.43763888889</v>
      </c>
      <c r="C295" s="12" t="n">
        <v>46104</v>
      </c>
      <c r="D295" s="9">
        <f>YEAR(C295)</f>
        <v/>
      </c>
      <c r="E295" s="9">
        <f>MONTH(C295)</f>
        <v/>
      </c>
      <c r="F295" s="9" t="inlineStr">
        <is>
          <t>Saferock</t>
        </is>
      </c>
      <c r="G295" s="9" t="inlineStr">
        <is>
          <t>SAFEROCK 25MM 10,5M A420</t>
        </is>
      </c>
      <c r="H295" s="9" t="inlineStr">
        <is>
          <t>SAFEROCK SEMI 25MM 10,5M A420</t>
        </is>
      </c>
      <c r="I295" s="9" t="inlineStr">
        <is>
          <t>SFR 25</t>
        </is>
      </c>
      <c r="J295" s="9" t="n">
        <v>106503243</v>
      </c>
      <c r="K295" s="9" t="n">
        <v>25</v>
      </c>
      <c r="L295" s="9" t="n"/>
      <c r="M295" s="9" t="n"/>
      <c r="N295" s="9" t="n"/>
      <c r="O295" s="9" t="n">
        <v>10.5</v>
      </c>
      <c r="P295" s="13" t="n">
        <v>27169</v>
      </c>
      <c r="Q295" s="13" t="n">
        <v>28274.4</v>
      </c>
      <c r="R295" s="14">
        <f>IFERROR(P295/Q295,"")</f>
        <v/>
      </c>
      <c r="S295" s="15" t="n">
        <v>0.95</v>
      </c>
      <c r="T295" s="9">
        <f>IF(R295&gt;1,"A corregir","Válida")</f>
        <v/>
      </c>
      <c r="U295" s="13">
        <f>Q295-P295</f>
        <v/>
      </c>
      <c r="V295" s="13">
        <f>IF(S295="",0,S295*Q295)</f>
        <v/>
      </c>
      <c r="W295" s="9" t="n">
        <v>2026</v>
      </c>
      <c r="X295" s="9" t="n">
        <v>13</v>
      </c>
      <c r="Y295" s="9" t="inlineStr">
        <is>
          <t>2026-S13</t>
        </is>
      </c>
    </row>
    <row r="296">
      <c r="A296" s="9" t="n">
        <v>43047514</v>
      </c>
      <c r="B296" s="11" t="n">
        <v>46104.49608796297</v>
      </c>
      <c r="C296" s="12" t="n">
        <v>46104</v>
      </c>
      <c r="D296" s="9">
        <f>YEAR(C296)</f>
        <v/>
      </c>
      <c r="E296" s="9">
        <f>MONTH(C296)</f>
        <v/>
      </c>
      <c r="F296" s="9" t="inlineStr">
        <is>
          <t>Saferock</t>
        </is>
      </c>
      <c r="G296" s="9" t="inlineStr">
        <is>
          <t>SAFEROCK 25MM 10M A420</t>
        </is>
      </c>
      <c r="H296" s="9" t="inlineStr">
        <is>
          <t>SAFEROCK SEMI 25MM 10M A420</t>
        </is>
      </c>
      <c r="I296" s="9" t="inlineStr">
        <is>
          <t>SFR 25</t>
        </is>
      </c>
      <c r="J296" s="9" t="n">
        <v>106043671</v>
      </c>
      <c r="K296" s="9" t="n">
        <v>25</v>
      </c>
      <c r="L296" s="9" t="n"/>
      <c r="M296" s="9" t="n"/>
      <c r="N296" s="9" t="n"/>
      <c r="O296" s="9" t="n">
        <v>10</v>
      </c>
      <c r="P296" s="13" t="n">
        <v>41920</v>
      </c>
      <c r="Q296" s="13" t="n">
        <v>44431.2</v>
      </c>
      <c r="R296" s="14">
        <f>IFERROR(P296/Q296,"")</f>
        <v/>
      </c>
      <c r="S296" s="15" t="n">
        <v>0.9540000000000001</v>
      </c>
      <c r="T296" s="9">
        <f>IF(R296&gt;1,"A corregir","Válida")</f>
        <v/>
      </c>
      <c r="U296" s="13">
        <f>Q296-P296</f>
        <v/>
      </c>
      <c r="V296" s="13">
        <f>IF(S296="",0,S296*Q296)</f>
        <v/>
      </c>
      <c r="W296" s="9" t="n">
        <v>2026</v>
      </c>
      <c r="X296" s="9" t="n">
        <v>13</v>
      </c>
      <c r="Y296" s="9" t="inlineStr">
        <is>
          <t>2026-S13</t>
        </is>
      </c>
    </row>
    <row r="297">
      <c r="A297" s="9" t="n">
        <v>43047515</v>
      </c>
      <c r="B297" s="11" t="n">
        <v>46104.7306712963</v>
      </c>
      <c r="C297" s="12" t="n">
        <v>46104</v>
      </c>
      <c r="D297" s="9">
        <f>YEAR(C297)</f>
        <v/>
      </c>
      <c r="E297" s="9">
        <f>MONTH(C297)</f>
        <v/>
      </c>
      <c r="F297" s="9" t="inlineStr">
        <is>
          <t>Redondo liso</t>
        </is>
      </c>
      <c r="G297" s="9" t="inlineStr">
        <is>
          <t>REDONDO LISO 1 3/8'' 6M SAE 1020 (N)</t>
        </is>
      </c>
      <c r="H297" s="9" t="inlineStr">
        <is>
          <t>REDONDO LISO 1 3/8'' 6M SAE 1020 (N)</t>
        </is>
      </c>
      <c r="I297" s="9" t="inlineStr">
        <is>
          <t>RL 1,3/8</t>
        </is>
      </c>
      <c r="J297" s="9" t="n">
        <v>119502803</v>
      </c>
      <c r="K297" s="9" t="n">
        <v>34.9</v>
      </c>
      <c r="L297" s="9" t="n"/>
      <c r="M297" s="9" t="n"/>
      <c r="N297" s="9" t="n"/>
      <c r="O297" s="9" t="n">
        <v>6</v>
      </c>
      <c r="P297" s="13" t="n">
        <v>29430</v>
      </c>
      <c r="Q297" s="13" t="n">
        <v>34557.6</v>
      </c>
      <c r="R297" s="14">
        <f>IFERROR(P297/Q297,"")</f>
        <v/>
      </c>
      <c r="S297" s="15" t="n">
        <v>0.97</v>
      </c>
      <c r="T297" s="9">
        <f>IF(R297&gt;1,"A corregir","Válida")</f>
        <v/>
      </c>
      <c r="U297" s="13">
        <f>Q297-P297</f>
        <v/>
      </c>
      <c r="V297" s="13">
        <f>IF(S297="",0,S297*Q297)</f>
        <v/>
      </c>
      <c r="W297" s="9" t="n">
        <v>2026</v>
      </c>
      <c r="X297" s="9" t="n">
        <v>13</v>
      </c>
      <c r="Y297" s="9" t="inlineStr">
        <is>
          <t>2026-S13</t>
        </is>
      </c>
    </row>
    <row r="298">
      <c r="A298" s="9" t="n">
        <v>43047516</v>
      </c>
      <c r="B298" s="11" t="n">
        <v>46104.87881944444</v>
      </c>
      <c r="C298" s="12" t="n">
        <v>46104</v>
      </c>
      <c r="D298" s="9">
        <f>YEAR(C298)</f>
        <v/>
      </c>
      <c r="E298" s="9">
        <f>MONTH(C298)</f>
        <v/>
      </c>
      <c r="F298" s="9" t="inlineStr">
        <is>
          <t>Redondo liso</t>
        </is>
      </c>
      <c r="G298" s="9" t="inlineStr">
        <is>
          <t>REDONDO LISO 1 1/2' 6M SAE 1020 (N)</t>
        </is>
      </c>
      <c r="H298" s="9" t="inlineStr">
        <is>
          <t>REDONDO LISO 1 1/2' 6M SAE 1020 (N)</t>
        </is>
      </c>
      <c r="I298" s="9" t="inlineStr">
        <is>
          <t>RED 1,1/2</t>
        </is>
      </c>
      <c r="J298" s="9" t="n">
        <v>109006908</v>
      </c>
      <c r="K298" s="9" t="n">
        <v>38.1</v>
      </c>
      <c r="L298" s="9" t="n"/>
      <c r="M298" s="9" t="n"/>
      <c r="N298" s="9" t="n"/>
      <c r="O298" s="9" t="n">
        <v>6</v>
      </c>
      <c r="P298" s="13" t="n">
        <v>73505</v>
      </c>
      <c r="Q298" s="13" t="n">
        <v>78988.8</v>
      </c>
      <c r="R298" s="14">
        <f>IFERROR(P298/Q298,"")</f>
        <v/>
      </c>
      <c r="S298" s="15" t="n">
        <v>0.9429999999999999</v>
      </c>
      <c r="T298" s="9">
        <f>IF(R298&gt;1,"A corregir","Válida")</f>
        <v/>
      </c>
      <c r="U298" s="13">
        <f>Q298-P298</f>
        <v/>
      </c>
      <c r="V298" s="13">
        <f>IF(S298="",0,S298*Q298)</f>
        <v/>
      </c>
      <c r="W298" s="9" t="n">
        <v>2026</v>
      </c>
      <c r="X298" s="9" t="n">
        <v>13</v>
      </c>
      <c r="Y298" s="9" t="inlineStr">
        <is>
          <t>2026-S13</t>
        </is>
      </c>
    </row>
    <row r="299">
      <c r="A299" s="9" t="n">
        <v>43047517</v>
      </c>
      <c r="B299" s="11" t="n">
        <v>46105.07778935185</v>
      </c>
      <c r="C299" s="12" t="n">
        <v>46105</v>
      </c>
      <c r="D299" s="9">
        <f>YEAR(C299)</f>
        <v/>
      </c>
      <c r="E299" s="9">
        <f>MONTH(C299)</f>
        <v/>
      </c>
      <c r="F299" s="9" t="inlineStr">
        <is>
          <t>Redondo liso</t>
        </is>
      </c>
      <c r="G299" s="9" t="inlineStr">
        <is>
          <t>REDONDO LISO 1 1/2' 6M SAE 1045 (N)</t>
        </is>
      </c>
      <c r="H299" s="9" t="inlineStr">
        <is>
          <t>REDONDO LISO 1 1/2' 6M SAE 1045 (N)</t>
        </is>
      </c>
      <c r="I299" s="9" t="inlineStr">
        <is>
          <t>RED 1,1/2</t>
        </is>
      </c>
      <c r="J299" s="9" t="n">
        <v>109006885</v>
      </c>
      <c r="K299" s="9" t="n">
        <v>38.1</v>
      </c>
      <c r="L299" s="9" t="n"/>
      <c r="M299" s="9" t="n"/>
      <c r="N299" s="9" t="n"/>
      <c r="O299" s="9" t="n">
        <v>6</v>
      </c>
      <c r="P299" s="13" t="n">
        <v>32266</v>
      </c>
      <c r="Q299" s="13" t="n">
        <v>34108.8</v>
      </c>
      <c r="R299" s="14">
        <f>IFERROR(P299/Q299,"")</f>
        <v/>
      </c>
      <c r="S299" s="15" t="n">
        <v>0.9429999999999999</v>
      </c>
      <c r="T299" s="9">
        <f>IF(R299&gt;1,"A corregir","Válida")</f>
        <v/>
      </c>
      <c r="U299" s="13">
        <f>Q299-P299</f>
        <v/>
      </c>
      <c r="V299" s="13">
        <f>IF(S299="",0,S299*Q299)</f>
        <v/>
      </c>
      <c r="W299" s="9" t="n">
        <v>2026</v>
      </c>
      <c r="X299" s="9" t="n">
        <v>13</v>
      </c>
      <c r="Y299" s="9" t="inlineStr">
        <is>
          <t>2026-S13</t>
        </is>
      </c>
    </row>
    <row r="300">
      <c r="A300" s="9" t="n">
        <v>43047518</v>
      </c>
      <c r="B300" s="11" t="n">
        <v>46105.20435185185</v>
      </c>
      <c r="C300" s="12" t="n">
        <v>46105</v>
      </c>
      <c r="D300" s="9">
        <f>YEAR(C300)</f>
        <v/>
      </c>
      <c r="E300" s="9">
        <f>MONTH(C300)</f>
        <v/>
      </c>
      <c r="F300" s="9" t="inlineStr">
        <is>
          <t>Redondo liso</t>
        </is>
      </c>
      <c r="G300" s="9" t="inlineStr">
        <is>
          <t>REDONDO LISO 1 1/4' 6M ASTM A 36 (N)</t>
        </is>
      </c>
      <c r="H300" s="9" t="inlineStr">
        <is>
          <t>REDONDO LISO 1 1/4' 6M ASTM A 36 (N)</t>
        </is>
      </c>
      <c r="I300" s="9" t="inlineStr">
        <is>
          <t>RED 1,1/4</t>
        </is>
      </c>
      <c r="J300" s="9" t="n">
        <v>109006933</v>
      </c>
      <c r="K300" s="9" t="n">
        <v>31.8</v>
      </c>
      <c r="L300" s="9" t="n"/>
      <c r="M300" s="9" t="n"/>
      <c r="N300" s="9" t="n"/>
      <c r="O300" s="9" t="n">
        <v>6</v>
      </c>
      <c r="P300" s="13" t="n">
        <v>30612</v>
      </c>
      <c r="Q300" s="13" t="n">
        <v>33792</v>
      </c>
      <c r="R300" s="14">
        <f>IFERROR(P300/Q300,"")</f>
        <v/>
      </c>
      <c r="S300" s="15" t="n">
        <v>0.951</v>
      </c>
      <c r="T300" s="9">
        <f>IF(R300&gt;1,"A corregir","Válida")</f>
        <v/>
      </c>
      <c r="U300" s="13">
        <f>Q300-P300</f>
        <v/>
      </c>
      <c r="V300" s="13">
        <f>IF(S300="",0,S300*Q300)</f>
        <v/>
      </c>
      <c r="W300" s="9" t="n">
        <v>2026</v>
      </c>
      <c r="X300" s="9" t="n">
        <v>13</v>
      </c>
      <c r="Y300" s="9" t="inlineStr">
        <is>
          <t>2026-S13</t>
        </is>
      </c>
    </row>
    <row r="301">
      <c r="A301" s="9" t="n">
        <v>43047519</v>
      </c>
      <c r="B301" s="11" t="n">
        <v>46105.27675925926</v>
      </c>
      <c r="C301" s="12" t="n">
        <v>46105</v>
      </c>
      <c r="D301" s="9">
        <f>YEAR(C301)</f>
        <v/>
      </c>
      <c r="E301" s="9">
        <f>MONTH(C301)</f>
        <v/>
      </c>
      <c r="F301" s="9" t="inlineStr">
        <is>
          <t>Redondo liso</t>
        </is>
      </c>
      <c r="G301" s="9" t="inlineStr">
        <is>
          <t>REDONDO LISO 1 1/4' 6M SAE 1020 (N)</t>
        </is>
      </c>
      <c r="H301" s="9" t="inlineStr">
        <is>
          <t>REDONDO LISO 1 1/4' 6M SAE 1020 (N)</t>
        </is>
      </c>
      <c r="I301" s="9" t="inlineStr">
        <is>
          <t>RED 1,1/4</t>
        </is>
      </c>
      <c r="J301" s="9" t="n">
        <v>109006898</v>
      </c>
      <c r="K301" s="9" t="n">
        <v>31.8</v>
      </c>
      <c r="L301" s="9" t="n"/>
      <c r="M301" s="9" t="n"/>
      <c r="N301" s="9" t="n"/>
      <c r="O301" s="9" t="n">
        <v>6</v>
      </c>
      <c r="P301" s="13" t="n">
        <v>51514</v>
      </c>
      <c r="Q301" s="13" t="n">
        <v>55334.4</v>
      </c>
      <c r="R301" s="14">
        <f>IFERROR(P301/Q301,"")</f>
        <v/>
      </c>
      <c r="S301" s="15" t="n">
        <v>0.951</v>
      </c>
      <c r="T301" s="9">
        <f>IF(R301&gt;1,"A corregir","Válida")</f>
        <v/>
      </c>
      <c r="U301" s="13">
        <f>Q301-P301</f>
        <v/>
      </c>
      <c r="V301" s="13">
        <f>IF(S301="",0,S301*Q301)</f>
        <v/>
      </c>
      <c r="W301" s="9" t="n">
        <v>2026</v>
      </c>
      <c r="X301" s="9" t="n">
        <v>13</v>
      </c>
      <c r="Y301" s="9" t="inlineStr">
        <is>
          <t>2026-S13</t>
        </is>
      </c>
    </row>
    <row r="302">
      <c r="A302" s="9" t="n">
        <v>43047520</v>
      </c>
      <c r="B302" s="11" t="n">
        <v>46105.38783564815</v>
      </c>
      <c r="C302" s="12" t="n">
        <v>46105</v>
      </c>
      <c r="D302" s="9">
        <f>YEAR(C302)</f>
        <v/>
      </c>
      <c r="E302" s="9">
        <f>MONTH(C302)</f>
        <v/>
      </c>
      <c r="F302" s="9" t="inlineStr">
        <is>
          <t>Redondo liso</t>
        </is>
      </c>
      <c r="G302" s="9" t="inlineStr">
        <is>
          <t>REDONDO LISO 1 1/4' 6M SAE 1045 (N)</t>
        </is>
      </c>
      <c r="H302" s="9" t="inlineStr">
        <is>
          <t>REDONDO LISO 1 1/4' 6M SAE 1045 (N)</t>
        </is>
      </c>
      <c r="I302" s="9" t="inlineStr">
        <is>
          <t>RED 1,1/4</t>
        </is>
      </c>
      <c r="J302" s="9" t="n">
        <v>109006873</v>
      </c>
      <c r="K302" s="9" t="n">
        <v>31.8</v>
      </c>
      <c r="L302" s="9" t="n"/>
      <c r="M302" s="9" t="n"/>
      <c r="N302" s="9" t="n"/>
      <c r="O302" s="9" t="n">
        <v>6</v>
      </c>
      <c r="P302" s="13" t="n">
        <v>32531</v>
      </c>
      <c r="Q302" s="13" t="n">
        <v>33792</v>
      </c>
      <c r="R302" s="14">
        <f>IFERROR(P302/Q302,"")</f>
        <v/>
      </c>
      <c r="S302" s="15" t="n">
        <v>0.951</v>
      </c>
      <c r="T302" s="9">
        <f>IF(R302&gt;1,"A corregir","Válida")</f>
        <v/>
      </c>
      <c r="U302" s="13">
        <f>Q302-P302</f>
        <v/>
      </c>
      <c r="V302" s="13">
        <f>IF(S302="",0,S302*Q302)</f>
        <v/>
      </c>
      <c r="W302" s="9" t="n">
        <v>2026</v>
      </c>
      <c r="X302" s="9" t="n">
        <v>13</v>
      </c>
      <c r="Y302" s="9" t="inlineStr">
        <is>
          <t>2026-S13</t>
        </is>
      </c>
    </row>
    <row r="303">
      <c r="A303" s="9" t="n">
        <v>43047528</v>
      </c>
      <c r="B303" s="11" t="n">
        <v>46105.49932870371</v>
      </c>
      <c r="C303" s="12" t="n">
        <v>46105</v>
      </c>
      <c r="D303" s="9">
        <f>YEAR(C303)</f>
        <v/>
      </c>
      <c r="E303" s="9">
        <f>MONTH(C303)</f>
        <v/>
      </c>
      <c r="F303" s="9" t="inlineStr">
        <is>
          <t>Hexágono</t>
        </is>
      </c>
      <c r="G303" s="9" t="inlineStr">
        <is>
          <t>HEXAGONO 1 1/8' 8MM SAE 1045 (N)</t>
        </is>
      </c>
      <c r="H303" s="9" t="inlineStr">
        <is>
          <t>HEXAGONO SEMI 1 1/8' 8MM SAE 1045 (N)</t>
        </is>
      </c>
      <c r="I303" s="9" t="n"/>
      <c r="J303" s="9" t="n"/>
      <c r="K303" s="9" t="n">
        <v>28.6</v>
      </c>
      <c r="L303" s="9" t="n"/>
      <c r="M303" s="9" t="n"/>
      <c r="N303" s="9" t="n"/>
      <c r="O303" s="9" t="n">
        <v>8</v>
      </c>
      <c r="P303" s="13" t="n">
        <v>18825</v>
      </c>
      <c r="Q303" s="13" t="n">
        <v>20644.8</v>
      </c>
      <c r="R303" s="14">
        <f>IFERROR(P303/Q303,"")</f>
        <v/>
      </c>
      <c r="S303" s="15" t="n">
        <v>0.9540000000000001</v>
      </c>
      <c r="T303" s="9">
        <f>IF(R303&gt;1,"A corregir","Válida")</f>
        <v/>
      </c>
      <c r="U303" s="13">
        <f>Q303-P303</f>
        <v/>
      </c>
      <c r="V303" s="13">
        <f>IF(S303="",0,S303*Q303)</f>
        <v/>
      </c>
      <c r="W303" s="9" t="n">
        <v>2026</v>
      </c>
      <c r="X303" s="9" t="n">
        <v>13</v>
      </c>
      <c r="Y303" s="9" t="inlineStr">
        <is>
          <t>2026-S13</t>
        </is>
      </c>
    </row>
    <row r="304">
      <c r="A304" s="9" t="n">
        <v>43047521</v>
      </c>
      <c r="B304" s="11" t="n">
        <v>46105.53237268519</v>
      </c>
      <c r="C304" s="12" t="n">
        <v>46105</v>
      </c>
      <c r="D304" s="9">
        <f>YEAR(C304)</f>
        <v/>
      </c>
      <c r="E304" s="9">
        <f>MONTH(C304)</f>
        <v/>
      </c>
      <c r="F304" s="9" t="inlineStr">
        <is>
          <t>Hexágono</t>
        </is>
      </c>
      <c r="G304" s="9" t="inlineStr">
        <is>
          <t>HEXAGONO 1 1/8' 8MM SAE 1045 (N)</t>
        </is>
      </c>
      <c r="H304" s="9" t="inlineStr">
        <is>
          <t>HEXAGONO SEMI 1 1/8' 8MM SAE 1045 (N)</t>
        </is>
      </c>
      <c r="I304" s="9" t="n"/>
      <c r="J304" s="9" t="n"/>
      <c r="K304" s="9" t="n">
        <v>28.6</v>
      </c>
      <c r="L304" s="9" t="n"/>
      <c r="M304" s="9" t="n"/>
      <c r="N304" s="9" t="n"/>
      <c r="O304" s="9" t="n">
        <v>8</v>
      </c>
      <c r="P304" s="13" t="n">
        <v>21485</v>
      </c>
      <c r="Q304" s="13" t="n">
        <v>21964.8</v>
      </c>
      <c r="R304" s="14">
        <f>IFERROR(P304/Q304,"")</f>
        <v/>
      </c>
      <c r="S304" s="15" t="n">
        <v>0.9540000000000001</v>
      </c>
      <c r="T304" s="9">
        <f>IF(R304&gt;1,"A corregir","Válida")</f>
        <v/>
      </c>
      <c r="U304" s="13">
        <f>Q304-P304</f>
        <v/>
      </c>
      <c r="V304" s="13">
        <f>IF(S304="",0,S304*Q304)</f>
        <v/>
      </c>
      <c r="W304" s="9" t="n">
        <v>2026</v>
      </c>
      <c r="X304" s="9" t="n">
        <v>13</v>
      </c>
      <c r="Y304" s="9" t="inlineStr">
        <is>
          <t>2026-S13</t>
        </is>
      </c>
    </row>
    <row r="305">
      <c r="A305" s="9" t="n">
        <v>43047522</v>
      </c>
      <c r="B305" s="11" t="n">
        <v>46105.75439814815</v>
      </c>
      <c r="C305" s="12" t="n">
        <v>46105</v>
      </c>
      <c r="D305" s="9">
        <f>YEAR(C305)</f>
        <v/>
      </c>
      <c r="E305" s="9">
        <f>MONTH(C305)</f>
        <v/>
      </c>
      <c r="F305" s="9" t="inlineStr">
        <is>
          <t>Ángulo</t>
        </is>
      </c>
      <c r="G305" s="9" t="inlineStr">
        <is>
          <t>ANGULO 30X30X3MM A270ES</t>
        </is>
      </c>
      <c r="H305" s="9" t="inlineStr">
        <is>
          <t>ANGULO SEMI 30X30X3MM A270ES</t>
        </is>
      </c>
      <c r="I305" s="9" t="inlineStr">
        <is>
          <t>ANG 30 x 3</t>
        </is>
      </c>
      <c r="J305" s="9" t="n">
        <v>106501029</v>
      </c>
      <c r="K305" s="9" t="n"/>
      <c r="L305" s="9" t="n">
        <v>30</v>
      </c>
      <c r="M305" s="9" t="n">
        <v>3</v>
      </c>
      <c r="N305" s="9" t="n"/>
      <c r="O305" s="9" t="n">
        <v>6</v>
      </c>
      <c r="P305" s="13" t="n">
        <v>309972</v>
      </c>
      <c r="Q305" s="13" t="n">
        <v>327624</v>
      </c>
      <c r="R305" s="14">
        <f>IFERROR(P305/Q305,"")</f>
        <v/>
      </c>
      <c r="S305" s="15" t="n">
        <v>0.96</v>
      </c>
      <c r="T305" s="9">
        <f>IF(R305&gt;1,"A corregir","Válida")</f>
        <v/>
      </c>
      <c r="U305" s="13">
        <f>Q305-P305</f>
        <v/>
      </c>
      <c r="V305" s="13">
        <f>IF(S305="",0,S305*Q305)</f>
        <v/>
      </c>
      <c r="W305" s="9" t="n">
        <v>2026</v>
      </c>
      <c r="X305" s="9" t="n">
        <v>13</v>
      </c>
      <c r="Y305" s="9" t="inlineStr">
        <is>
          <t>2026-S13</t>
        </is>
      </c>
    </row>
    <row r="306">
      <c r="A306" s="9" t="n">
        <v>43047555</v>
      </c>
      <c r="B306" s="11" t="n">
        <v>46106.71623842593</v>
      </c>
      <c r="C306" s="12" t="n">
        <v>46106</v>
      </c>
      <c r="D306" s="9">
        <f>YEAR(C306)</f>
        <v/>
      </c>
      <c r="E306" s="9">
        <f>MONTH(C306)</f>
        <v/>
      </c>
      <c r="F306" s="9" t="inlineStr">
        <is>
          <t>Ángulo</t>
        </is>
      </c>
      <c r="G306" s="9" t="inlineStr">
        <is>
          <t>ANGULO 40X40X5MM A270ES</t>
        </is>
      </c>
      <c r="H306" s="9" t="inlineStr">
        <is>
          <t>ANGULO SEMI 40X40X5MM A270ES</t>
        </is>
      </c>
      <c r="I306" s="9" t="inlineStr">
        <is>
          <t>ANG 40 x 5</t>
        </is>
      </c>
      <c r="J306" s="9" t="n">
        <v>106501035</v>
      </c>
      <c r="K306" s="9" t="n"/>
      <c r="L306" s="9" t="n">
        <v>40</v>
      </c>
      <c r="M306" s="9" t="n">
        <v>5</v>
      </c>
      <c r="N306" s="9" t="n"/>
      <c r="O306" s="9" t="n">
        <v>6</v>
      </c>
      <c r="P306" s="13" t="n">
        <v>59427</v>
      </c>
      <c r="Q306" s="13" t="n">
        <v>63729.6</v>
      </c>
      <c r="R306" s="14">
        <f>IFERROR(P306/Q306,"")</f>
        <v/>
      </c>
      <c r="S306" s="15" t="n">
        <v>0.9540000000000001</v>
      </c>
      <c r="T306" s="9">
        <f>IF(R306&gt;1,"A corregir","Válida")</f>
        <v/>
      </c>
      <c r="U306" s="13">
        <f>Q306-P306</f>
        <v/>
      </c>
      <c r="V306" s="13">
        <f>IF(S306="",0,S306*Q306)</f>
        <v/>
      </c>
      <c r="W306" s="9" t="n">
        <v>2026</v>
      </c>
      <c r="X306" s="9" t="n">
        <v>13</v>
      </c>
      <c r="Y306" s="9" t="inlineStr">
        <is>
          <t>2026-S13</t>
        </is>
      </c>
    </row>
    <row r="307">
      <c r="A307" s="9" t="n">
        <v>43047561</v>
      </c>
      <c r="B307" s="11" t="n">
        <v>46106.90121527778</v>
      </c>
      <c r="C307" s="12" t="n">
        <v>46106</v>
      </c>
      <c r="D307" s="9">
        <f>YEAR(C307)</f>
        <v/>
      </c>
      <c r="E307" s="9">
        <f>MONTH(C307)</f>
        <v/>
      </c>
      <c r="F307" s="9" t="inlineStr">
        <is>
          <t>Ángulo</t>
        </is>
      </c>
      <c r="G307" s="9" t="inlineStr">
        <is>
          <t>ANGULO 40X40X4MM A270ES</t>
        </is>
      </c>
      <c r="H307" s="9" t="inlineStr">
        <is>
          <t>ANGULO SEMI 40X40X4MM A270ES</t>
        </is>
      </c>
      <c r="I307" s="9" t="inlineStr">
        <is>
          <t>ANG 40 x 4</t>
        </is>
      </c>
      <c r="J307" s="9" t="n">
        <v>106501034</v>
      </c>
      <c r="K307" s="9" t="n"/>
      <c r="L307" s="9" t="n">
        <v>40</v>
      </c>
      <c r="M307" s="9" t="n">
        <v>4</v>
      </c>
      <c r="N307" s="9" t="n"/>
      <c r="O307" s="9" t="n">
        <v>6</v>
      </c>
      <c r="P307" s="13" t="n">
        <v>44839</v>
      </c>
      <c r="Q307" s="13" t="n">
        <v>48470.4</v>
      </c>
      <c r="R307" s="14">
        <f>IFERROR(P307/Q307,"")</f>
        <v/>
      </c>
      <c r="S307" s="15" t="n">
        <v>0.953</v>
      </c>
      <c r="T307" s="9">
        <f>IF(R307&gt;1,"A corregir","Válida")</f>
        <v/>
      </c>
      <c r="U307" s="13">
        <f>Q307-P307</f>
        <v/>
      </c>
      <c r="V307" s="13">
        <f>IF(S307="",0,S307*Q307)</f>
        <v/>
      </c>
      <c r="W307" s="9" t="n">
        <v>2026</v>
      </c>
      <c r="X307" s="9" t="n">
        <v>13</v>
      </c>
      <c r="Y307" s="9" t="inlineStr">
        <is>
          <t>2026-S13</t>
        </is>
      </c>
    </row>
    <row r="308">
      <c r="A308" s="9" t="n">
        <v>43047548</v>
      </c>
      <c r="B308" s="11" t="n">
        <v>46107.03975694445</v>
      </c>
      <c r="C308" s="12" t="n">
        <v>46107</v>
      </c>
      <c r="D308" s="9">
        <f>YEAR(C308)</f>
        <v/>
      </c>
      <c r="E308" s="9">
        <f>MONTH(C308)</f>
        <v/>
      </c>
      <c r="F308" s="9" t="inlineStr">
        <is>
          <t>Ángulo</t>
        </is>
      </c>
      <c r="G308" s="9" t="inlineStr">
        <is>
          <t>ANGULO 40X40X3MM A270ES</t>
        </is>
      </c>
      <c r="H308" s="9" t="inlineStr">
        <is>
          <t>ANGULO SEMI 40X40X3MM A270ES</t>
        </is>
      </c>
      <c r="I308" s="9" t="inlineStr">
        <is>
          <t>ANG 40 x 3</t>
        </is>
      </c>
      <c r="J308" s="9" t="n">
        <v>106501033</v>
      </c>
      <c r="K308" s="9" t="n"/>
      <c r="L308" s="9" t="n">
        <v>40</v>
      </c>
      <c r="M308" s="9" t="n">
        <v>3</v>
      </c>
      <c r="N308" s="9" t="n"/>
      <c r="O308" s="9" t="n">
        <v>6</v>
      </c>
      <c r="P308" s="13" t="n">
        <v>211956</v>
      </c>
      <c r="Q308" s="13" t="n">
        <v>225746.4</v>
      </c>
      <c r="R308" s="14">
        <f>IFERROR(P308/Q308,"")</f>
        <v/>
      </c>
      <c r="S308" s="15" t="n">
        <v>0.9570000000000001</v>
      </c>
      <c r="T308" s="9">
        <f>IF(R308&gt;1,"A corregir","Válida")</f>
        <v/>
      </c>
      <c r="U308" s="13">
        <f>Q308-P308</f>
        <v/>
      </c>
      <c r="V308" s="13">
        <f>IF(S308="",0,S308*Q308)</f>
        <v/>
      </c>
      <c r="W308" s="9" t="n">
        <v>2026</v>
      </c>
      <c r="X308" s="9" t="n">
        <v>13</v>
      </c>
      <c r="Y308" s="9" t="inlineStr">
        <is>
          <t>2026-S13</t>
        </is>
      </c>
    </row>
    <row r="309">
      <c r="A309" s="9" t="n">
        <v>43047549</v>
      </c>
      <c r="B309" s="11" t="n">
        <v>46107.68127314815</v>
      </c>
      <c r="C309" s="12" t="n">
        <v>46107</v>
      </c>
      <c r="D309" s="9">
        <f>YEAR(C309)</f>
        <v/>
      </c>
      <c r="E309" s="9">
        <f>MONTH(C309)</f>
        <v/>
      </c>
      <c r="F309" s="9" t="inlineStr">
        <is>
          <t>Ángulo</t>
        </is>
      </c>
      <c r="G309" s="9" t="inlineStr">
        <is>
          <t>ANGULO 50X50X5MM A270ES</t>
        </is>
      </c>
      <c r="H309" s="9" t="inlineStr">
        <is>
          <t>ANGULO SEMI 50X50X5MM A270ES</t>
        </is>
      </c>
      <c r="I309" s="9" t="inlineStr">
        <is>
          <t>ANG 50 x 5</t>
        </is>
      </c>
      <c r="J309" s="9" t="n">
        <v>106501037</v>
      </c>
      <c r="K309" s="9" t="n"/>
      <c r="L309" s="9" t="n">
        <v>50</v>
      </c>
      <c r="M309" s="9" t="n">
        <v>5</v>
      </c>
      <c r="N309" s="9" t="n"/>
      <c r="O309" s="9" t="n">
        <v>6</v>
      </c>
      <c r="P309" s="13" t="n">
        <v>121083</v>
      </c>
      <c r="Q309" s="13" t="n">
        <v>128805.6</v>
      </c>
      <c r="R309" s="14">
        <f>IFERROR(P309/Q309,"")</f>
        <v/>
      </c>
      <c r="S309" s="15" t="n">
        <v>0.948</v>
      </c>
      <c r="T309" s="9">
        <f>IF(R309&gt;1,"A corregir","Válida")</f>
        <v/>
      </c>
      <c r="U309" s="13">
        <f>Q309-P309</f>
        <v/>
      </c>
      <c r="V309" s="13">
        <f>IF(S309="",0,S309*Q309)</f>
        <v/>
      </c>
      <c r="W309" s="9" t="n">
        <v>2026</v>
      </c>
      <c r="X309" s="9" t="n">
        <v>13</v>
      </c>
      <c r="Y309" s="9" t="inlineStr">
        <is>
          <t>2026-S13</t>
        </is>
      </c>
    </row>
    <row r="310">
      <c r="A310" s="9" t="n">
        <v>43047550</v>
      </c>
      <c r="B310" s="11" t="n">
        <v>46108.00550925926</v>
      </c>
      <c r="C310" s="12" t="n">
        <v>46108</v>
      </c>
      <c r="D310" s="9">
        <f>YEAR(C310)</f>
        <v/>
      </c>
      <c r="E310" s="9">
        <f>MONTH(C310)</f>
        <v/>
      </c>
      <c r="F310" s="9" t="inlineStr">
        <is>
          <t>Ángulo</t>
        </is>
      </c>
      <c r="G310" s="9" t="inlineStr">
        <is>
          <t>ANGULO 50X50X4MM A270ES</t>
        </is>
      </c>
      <c r="H310" s="9" t="inlineStr">
        <is>
          <t>ANGULO SEMI 50X50X4MM A270ES</t>
        </is>
      </c>
      <c r="I310" s="9" t="inlineStr">
        <is>
          <t>ANG 50 x 4</t>
        </is>
      </c>
      <c r="J310" s="9" t="n">
        <v>106501036</v>
      </c>
      <c r="K310" s="9" t="n"/>
      <c r="L310" s="9" t="n">
        <v>50</v>
      </c>
      <c r="M310" s="9" t="n">
        <v>4</v>
      </c>
      <c r="N310" s="9" t="n"/>
      <c r="O310" s="9" t="n">
        <v>6</v>
      </c>
      <c r="P310" s="13" t="n">
        <v>61451</v>
      </c>
      <c r="Q310" s="13" t="n">
        <v>65076</v>
      </c>
      <c r="R310" s="14">
        <f>IFERROR(P310/Q310,"")</f>
        <v/>
      </c>
      <c r="S310" s="15" t="n">
        <v>0.948</v>
      </c>
      <c r="T310" s="9">
        <f>IF(R310&gt;1,"A corregir","Válida")</f>
        <v/>
      </c>
      <c r="U310" s="13">
        <f>Q310-P310</f>
        <v/>
      </c>
      <c r="V310" s="13">
        <f>IF(S310="",0,S310*Q310)</f>
        <v/>
      </c>
      <c r="W310" s="9" t="n">
        <v>2026</v>
      </c>
      <c r="X310" s="9" t="n">
        <v>13</v>
      </c>
      <c r="Y310" s="9" t="inlineStr">
        <is>
          <t>2026-S13</t>
        </is>
      </c>
    </row>
    <row r="311">
      <c r="A311" s="9" t="n">
        <v>43047551</v>
      </c>
      <c r="B311" s="11" t="n">
        <v>46108.23797453703</v>
      </c>
      <c r="C311" s="12" t="n">
        <v>46108</v>
      </c>
      <c r="D311" s="9">
        <f>YEAR(C311)</f>
        <v/>
      </c>
      <c r="E311" s="9">
        <f>MONTH(C311)</f>
        <v/>
      </c>
      <c r="F311" s="9" t="inlineStr">
        <is>
          <t>Ángulo</t>
        </is>
      </c>
      <c r="G311" s="9" t="inlineStr">
        <is>
          <t>ANGULO 50X50X3MM A270ES</t>
        </is>
      </c>
      <c r="H311" s="9" t="inlineStr">
        <is>
          <t>ANGULO SEMI 50X50X3MM A270ES</t>
        </is>
      </c>
      <c r="I311" s="9" t="inlineStr">
        <is>
          <t>ANG 50 x 3</t>
        </is>
      </c>
      <c r="J311" s="9" t="n">
        <v>106501038</v>
      </c>
      <c r="K311" s="9" t="n"/>
      <c r="L311" s="9" t="n">
        <v>50</v>
      </c>
      <c r="M311" s="9" t="n">
        <v>3</v>
      </c>
      <c r="N311" s="9" t="n"/>
      <c r="O311" s="9" t="n">
        <v>6</v>
      </c>
      <c r="P311" s="13" t="n">
        <v>110244</v>
      </c>
      <c r="Q311" s="13" t="n">
        <v>117136.8</v>
      </c>
      <c r="R311" s="14">
        <f>IFERROR(P311/Q311,"")</f>
        <v/>
      </c>
      <c r="S311" s="15" t="n">
        <v>0.953</v>
      </c>
      <c r="T311" s="9">
        <f>IF(R311&gt;1,"A corregir","Válida")</f>
        <v/>
      </c>
      <c r="U311" s="13">
        <f>Q311-P311</f>
        <v/>
      </c>
      <c r="V311" s="13">
        <f>IF(S311="",0,S311*Q311)</f>
        <v/>
      </c>
      <c r="W311" s="9" t="n">
        <v>2026</v>
      </c>
      <c r="X311" s="9" t="n">
        <v>13</v>
      </c>
      <c r="Y311" s="9" t="inlineStr">
        <is>
          <t>2026-S13</t>
        </is>
      </c>
    </row>
    <row r="312">
      <c r="A312" s="9" t="n">
        <v>43047562</v>
      </c>
      <c r="B312" s="11" t="n">
        <v>46108.63967592592</v>
      </c>
      <c r="C312" s="12" t="n">
        <v>46108</v>
      </c>
      <c r="D312" s="9">
        <f>YEAR(C312)</f>
        <v/>
      </c>
      <c r="E312" s="9">
        <f>MONTH(C312)</f>
        <v/>
      </c>
      <c r="F312" s="9" t="inlineStr">
        <is>
          <t>Plana</t>
        </is>
      </c>
      <c r="G312" s="9" t="inlineStr">
        <is>
          <t>PLANA RESALTE 50X4 MM 11M A345 ES (N)</t>
        </is>
      </c>
      <c r="H312" s="9" t="inlineStr">
        <is>
          <t>PLANA RESALTE 50X4 MM 11M A345 ES (N)</t>
        </is>
      </c>
      <c r="I312" s="9" t="inlineStr">
        <is>
          <t>PL CR 50 x 4</t>
        </is>
      </c>
      <c r="J312" s="9" t="n">
        <v>119507263</v>
      </c>
      <c r="K312" s="9" t="n"/>
      <c r="L312" s="9" t="n">
        <v>50</v>
      </c>
      <c r="M312" s="9" t="n">
        <v>4</v>
      </c>
      <c r="N312" s="9" t="n"/>
      <c r="O312" s="9" t="n">
        <v>11</v>
      </c>
      <c r="P312" s="13" t="n">
        <v>54634</v>
      </c>
      <c r="Q312" s="13" t="n">
        <v>64178.4</v>
      </c>
      <c r="R312" s="14">
        <f>IFERROR(P312/Q312,"")</f>
        <v/>
      </c>
      <c r="S312" s="15" t="n">
        <v>0.97</v>
      </c>
      <c r="T312" s="9">
        <f>IF(R312&gt;1,"A corregir","Válida")</f>
        <v/>
      </c>
      <c r="U312" s="13">
        <f>Q312-P312</f>
        <v/>
      </c>
      <c r="V312" s="13">
        <f>IF(S312="",0,S312*Q312)</f>
        <v/>
      </c>
      <c r="W312" s="9" t="n">
        <v>2026</v>
      </c>
      <c r="X312" s="9" t="n">
        <v>13</v>
      </c>
      <c r="Y312" s="9" t="inlineStr">
        <is>
          <t>2026-S13</t>
        </is>
      </c>
    </row>
    <row r="313">
      <c r="A313" s="9" t="n">
        <v>43047566</v>
      </c>
      <c r="B313" s="11" t="n">
        <v>46109.08736111111</v>
      </c>
      <c r="C313" s="12" t="n">
        <v>46109</v>
      </c>
      <c r="D313" s="9">
        <f>YEAR(C313)</f>
        <v/>
      </c>
      <c r="E313" s="9">
        <f>MONTH(C313)</f>
        <v/>
      </c>
      <c r="F313" s="9" t="inlineStr">
        <is>
          <t>Saferock</t>
        </is>
      </c>
      <c r="G313" s="9" t="inlineStr">
        <is>
          <t>SAFEROCK 22MM 12M A280</t>
        </is>
      </c>
      <c r="H313" s="9" t="inlineStr">
        <is>
          <t>SAFEROCK 22MM 12M A280</t>
        </is>
      </c>
      <c r="I313" s="9" t="inlineStr">
        <is>
          <t>SFRCK 22</t>
        </is>
      </c>
      <c r="J313" s="9" t="n">
        <v>106025569</v>
      </c>
      <c r="K313" s="9" t="n">
        <v>22</v>
      </c>
      <c r="L313" s="9" t="n"/>
      <c r="M313" s="9" t="n"/>
      <c r="N313" s="9" t="n"/>
      <c r="O313" s="9" t="n">
        <v>12</v>
      </c>
      <c r="P313" s="13" t="n">
        <v>116140</v>
      </c>
      <c r="Q313" s="13" t="n">
        <v>119961.6</v>
      </c>
      <c r="R313" s="14">
        <f>IFERROR(P313/Q313,"")</f>
        <v/>
      </c>
      <c r="S313" s="15" t="n">
        <v>0.9590000000000001</v>
      </c>
      <c r="T313" s="9">
        <f>IF(R313&gt;1,"A corregir","Válida")</f>
        <v/>
      </c>
      <c r="U313" s="13">
        <f>Q313-P313</f>
        <v/>
      </c>
      <c r="V313" s="13">
        <f>IF(S313="",0,S313*Q313)</f>
        <v/>
      </c>
      <c r="W313" s="9" t="n">
        <v>2026</v>
      </c>
      <c r="X313" s="9" t="n">
        <v>13</v>
      </c>
      <c r="Y313" s="9" t="inlineStr">
        <is>
          <t>2026-S13</t>
        </is>
      </c>
    </row>
    <row r="314">
      <c r="A314" s="9" t="n">
        <v>43047565</v>
      </c>
      <c r="B314" s="11" t="n">
        <v>46109.34927083334</v>
      </c>
      <c r="C314" s="12" t="n">
        <v>46109</v>
      </c>
      <c r="D314" s="9">
        <f>YEAR(C314)</f>
        <v/>
      </c>
      <c r="E314" s="9">
        <f>MONTH(C314)</f>
        <v/>
      </c>
      <c r="F314" s="9" t="inlineStr">
        <is>
          <t>Saferock</t>
        </is>
      </c>
      <c r="G314" s="9" t="inlineStr">
        <is>
          <t>SAFEROCK 22MM 12M A420</t>
        </is>
      </c>
      <c r="H314" s="9" t="inlineStr">
        <is>
          <t>SAFEROCK 22MM 12M A420</t>
        </is>
      </c>
      <c r="I314" s="9" t="inlineStr">
        <is>
          <t>SFRCK 22</t>
        </is>
      </c>
      <c r="J314" s="9" t="n">
        <v>106025567</v>
      </c>
      <c r="K314" s="9" t="n">
        <v>22</v>
      </c>
      <c r="L314" s="9" t="n"/>
      <c r="M314" s="9" t="n"/>
      <c r="N314" s="9" t="n"/>
      <c r="O314" s="9" t="n">
        <v>12</v>
      </c>
      <c r="P314" s="13" t="n">
        <v>113162</v>
      </c>
      <c r="Q314" s="13" t="n">
        <v>120806.4</v>
      </c>
      <c r="R314" s="14">
        <f>IFERROR(P314/Q314,"")</f>
        <v/>
      </c>
      <c r="S314" s="15" t="n">
        <v>0.9590000000000001</v>
      </c>
      <c r="T314" s="9">
        <f>IF(R314&gt;1,"A corregir","Válida")</f>
        <v/>
      </c>
      <c r="U314" s="13">
        <f>Q314-P314</f>
        <v/>
      </c>
      <c r="V314" s="13">
        <f>IF(S314="",0,S314*Q314)</f>
        <v/>
      </c>
      <c r="W314" s="9" t="n">
        <v>2026</v>
      </c>
      <c r="X314" s="9" t="n">
        <v>13</v>
      </c>
      <c r="Y314" s="9" t="inlineStr">
        <is>
          <t>2026-S13</t>
        </is>
      </c>
    </row>
    <row r="315">
      <c r="A315" s="9" t="n">
        <v>43047567</v>
      </c>
      <c r="B315" s="11" t="n">
        <v>46109.60805555555</v>
      </c>
      <c r="C315" s="12" t="n">
        <v>46109</v>
      </c>
      <c r="D315" s="9">
        <f>YEAR(C315)</f>
        <v/>
      </c>
      <c r="E315" s="9">
        <f>MONTH(C315)</f>
        <v/>
      </c>
      <c r="F315" s="9" t="inlineStr">
        <is>
          <t>Saferock</t>
        </is>
      </c>
      <c r="G315" s="9" t="inlineStr">
        <is>
          <t>SAFEROCK 22MM 12M A280</t>
        </is>
      </c>
      <c r="H315" s="9" t="inlineStr">
        <is>
          <t>SAFEROCK SEMI 22MM 12M A280</t>
        </is>
      </c>
      <c r="I315" s="9" t="inlineStr">
        <is>
          <t>SFRCK 22</t>
        </is>
      </c>
      <c r="J315" s="9" t="n">
        <v>106025569</v>
      </c>
      <c r="K315" s="9" t="n">
        <v>22</v>
      </c>
      <c r="L315" s="9" t="n"/>
      <c r="M315" s="9" t="n"/>
      <c r="N315" s="9" t="n"/>
      <c r="O315" s="9" t="n">
        <v>12</v>
      </c>
      <c r="P315" s="13" t="n">
        <v>147323</v>
      </c>
      <c r="Q315" s="13" t="n">
        <v>155020.8</v>
      </c>
      <c r="R315" s="14">
        <f>IFERROR(P315/Q315,"")</f>
        <v/>
      </c>
      <c r="S315" s="15" t="n">
        <v>0.9590000000000001</v>
      </c>
      <c r="T315" s="9">
        <f>IF(R315&gt;1,"A corregir","Válida")</f>
        <v/>
      </c>
      <c r="U315" s="13">
        <f>Q315-P315</f>
        <v/>
      </c>
      <c r="V315" s="13">
        <f>IF(S315="",0,S315*Q315)</f>
        <v/>
      </c>
      <c r="W315" s="9" t="n">
        <v>2026</v>
      </c>
      <c r="X315" s="9" t="n">
        <v>13</v>
      </c>
      <c r="Y315" s="9" t="inlineStr">
        <is>
          <t>2026-S13</t>
        </is>
      </c>
    </row>
    <row r="316">
      <c r="A316" s="9" t="n">
        <v>43047564</v>
      </c>
      <c r="B316" s="11" t="n">
        <v>46109.93081018519</v>
      </c>
      <c r="C316" s="12" t="n">
        <v>46109</v>
      </c>
      <c r="D316" s="9">
        <f>YEAR(C316)</f>
        <v/>
      </c>
      <c r="E316" s="9">
        <f>MONTH(C316)</f>
        <v/>
      </c>
      <c r="F316" s="9" t="inlineStr">
        <is>
          <t>Saferock</t>
        </is>
      </c>
      <c r="G316" s="9" t="inlineStr">
        <is>
          <t>SAFEROCK 22MM 10.5M A280</t>
        </is>
      </c>
      <c r="H316" s="9" t="inlineStr">
        <is>
          <t>SAFEROCK 22MM 10.5M A280</t>
        </is>
      </c>
      <c r="I316" s="9" t="inlineStr">
        <is>
          <t>SFRCK 22</t>
        </is>
      </c>
      <c r="J316" s="9" t="n">
        <v>106043321</v>
      </c>
      <c r="K316" s="9" t="n">
        <v>22</v>
      </c>
      <c r="L316" s="9" t="n"/>
      <c r="M316" s="9" t="n"/>
      <c r="N316" s="9" t="n"/>
      <c r="O316" s="9" t="n">
        <v>10.5</v>
      </c>
      <c r="P316" s="13" t="n">
        <v>111978</v>
      </c>
      <c r="Q316" s="13" t="n">
        <v>125452.8</v>
      </c>
      <c r="R316" s="14">
        <f>IFERROR(P316/Q316,"")</f>
        <v/>
      </c>
      <c r="S316" s="15" t="n">
        <v>0.97</v>
      </c>
      <c r="T316" s="9">
        <f>IF(R316&gt;1,"A corregir","Válida")</f>
        <v/>
      </c>
      <c r="U316" s="13">
        <f>Q316-P316</f>
        <v/>
      </c>
      <c r="V316" s="13">
        <f>IF(S316="",0,S316*Q316)</f>
        <v/>
      </c>
      <c r="W316" s="9" t="n">
        <v>2026</v>
      </c>
      <c r="X316" s="9" t="n">
        <v>13</v>
      </c>
      <c r="Y316" s="9" t="inlineStr">
        <is>
          <t>2026-S13</t>
        </is>
      </c>
    </row>
    <row r="317">
      <c r="A317" s="9" t="n">
        <v>43047625</v>
      </c>
      <c r="B317" s="11" t="n">
        <v>46111.10586805556</v>
      </c>
      <c r="C317" s="12" t="n">
        <v>46111</v>
      </c>
      <c r="D317" s="9">
        <f>YEAR(C317)</f>
        <v/>
      </c>
      <c r="E317" s="9">
        <f>MONTH(C317)</f>
        <v/>
      </c>
      <c r="F317" s="9" t="inlineStr">
        <is>
          <t>Saferock</t>
        </is>
      </c>
      <c r="G317" s="9" t="inlineStr">
        <is>
          <t>SAFEROCK 22MM 10M A280</t>
        </is>
      </c>
      <c r="H317" s="9" t="inlineStr">
        <is>
          <t>SAFEROCK 22MM 10M A280</t>
        </is>
      </c>
      <c r="I317" s="9" t="inlineStr">
        <is>
          <t>SFRCK 22</t>
        </is>
      </c>
      <c r="J317" s="9" t="n">
        <v>106043322</v>
      </c>
      <c r="K317" s="9" t="n">
        <v>22</v>
      </c>
      <c r="L317" s="9" t="n"/>
      <c r="M317" s="9" t="n"/>
      <c r="N317" s="9" t="n"/>
      <c r="O317" s="9" t="n">
        <v>10</v>
      </c>
      <c r="P317" s="13" t="n">
        <v>75622</v>
      </c>
      <c r="Q317" s="13" t="n">
        <v>80143.39999999999</v>
      </c>
      <c r="R317" s="14">
        <f>IFERROR(P317/Q317,"")</f>
        <v/>
      </c>
      <c r="S317" s="15" t="n">
        <v>0.953</v>
      </c>
      <c r="T317" s="9">
        <f>IF(R317&gt;1,"A corregir","Válida")</f>
        <v/>
      </c>
      <c r="U317" s="13">
        <f>Q317-P317</f>
        <v/>
      </c>
      <c r="V317" s="13">
        <f>IF(S317="",0,S317*Q317)</f>
        <v/>
      </c>
      <c r="W317" s="9" t="n">
        <v>2026</v>
      </c>
      <c r="X317" s="9" t="n">
        <v>14</v>
      </c>
      <c r="Y317" s="9" t="inlineStr">
        <is>
          <t>2026-S14</t>
        </is>
      </c>
    </row>
    <row r="318">
      <c r="A318" s="9" t="n">
        <v>43047623</v>
      </c>
      <c r="B318" s="11" t="n">
        <v>46111.25393518519</v>
      </c>
      <c r="C318" s="12" t="n">
        <v>46111</v>
      </c>
      <c r="D318" s="9">
        <f>YEAR(C318)</f>
        <v/>
      </c>
      <c r="E318" s="9">
        <f>MONTH(C318)</f>
        <v/>
      </c>
      <c r="F318" s="9" t="inlineStr">
        <is>
          <t>Saferock</t>
        </is>
      </c>
      <c r="G318" s="9" t="inlineStr">
        <is>
          <t>SAFEROCK 22MM 10M A280</t>
        </is>
      </c>
      <c r="H318" s="9" t="inlineStr">
        <is>
          <t>SAFEROCK 22MM 10M A280</t>
        </is>
      </c>
      <c r="I318" s="9" t="inlineStr">
        <is>
          <t>SFRCK 22</t>
        </is>
      </c>
      <c r="J318" s="9" t="n">
        <v>106043322</v>
      </c>
      <c r="K318" s="9" t="n">
        <v>22</v>
      </c>
      <c r="L318" s="9" t="n"/>
      <c r="M318" s="9" t="n"/>
      <c r="N318" s="9" t="n"/>
      <c r="O318" s="9" t="n">
        <v>10</v>
      </c>
      <c r="P318" s="13" t="n">
        <v>4045</v>
      </c>
      <c r="Q318" s="13" t="n">
        <v>4488</v>
      </c>
      <c r="R318" s="14">
        <f>IFERROR(P318/Q318,"")</f>
        <v/>
      </c>
      <c r="S318" s="15" t="n">
        <v>0.953</v>
      </c>
      <c r="T318" s="9">
        <f>IF(R318&gt;1,"A corregir","Válida")</f>
        <v/>
      </c>
      <c r="U318" s="13">
        <f>Q318-P318</f>
        <v/>
      </c>
      <c r="V318" s="13">
        <f>IF(S318="",0,S318*Q318)</f>
        <v/>
      </c>
      <c r="W318" s="9" t="n">
        <v>2026</v>
      </c>
      <c r="X318" s="9" t="n">
        <v>14</v>
      </c>
      <c r="Y318" s="9" t="inlineStr">
        <is>
          <t>2026-S14</t>
        </is>
      </c>
    </row>
    <row r="319">
      <c r="A319" s="9" t="n">
        <v>43047610</v>
      </c>
      <c r="B319" s="11" t="n">
        <v>46111.30924768518</v>
      </c>
      <c r="C319" s="12" t="n">
        <v>46111</v>
      </c>
      <c r="D319" s="9">
        <f>YEAR(C319)</f>
        <v/>
      </c>
      <c r="E319" s="9">
        <f>MONTH(C319)</f>
        <v/>
      </c>
      <c r="F319" s="9" t="inlineStr">
        <is>
          <t>Saferock</t>
        </is>
      </c>
      <c r="G319" s="9" t="inlineStr">
        <is>
          <t>SAFEROCK 22MM 10,5M A280</t>
        </is>
      </c>
      <c r="H319" s="9" t="inlineStr">
        <is>
          <t>SAFEROCK SEMI 22MM 10,5M A280</t>
        </is>
      </c>
      <c r="I319" s="9" t="inlineStr">
        <is>
          <t>SFRCK 22</t>
        </is>
      </c>
      <c r="J319" s="9" t="n">
        <v>106501802</v>
      </c>
      <c r="K319" s="9" t="n">
        <v>22</v>
      </c>
      <c r="L319" s="9" t="n"/>
      <c r="M319" s="9" t="n"/>
      <c r="N319" s="9" t="n"/>
      <c r="O319" s="9" t="n">
        <v>10.5</v>
      </c>
      <c r="P319" s="13" t="n">
        <v>43198</v>
      </c>
      <c r="Q319" s="13" t="n">
        <v>45080.6</v>
      </c>
      <c r="R319" s="14">
        <f>IFERROR(P319/Q319,"")</f>
        <v/>
      </c>
      <c r="S319" s="15" t="n">
        <v>0.958</v>
      </c>
      <c r="T319" s="9">
        <f>IF(R319&gt;1,"A corregir","Válida")</f>
        <v/>
      </c>
      <c r="U319" s="13">
        <f>Q319-P319</f>
        <v/>
      </c>
      <c r="V319" s="13">
        <f>IF(S319="",0,S319*Q319)</f>
        <v/>
      </c>
      <c r="W319" s="9" t="n">
        <v>2026</v>
      </c>
      <c r="X319" s="9" t="n">
        <v>14</v>
      </c>
      <c r="Y319" s="9" t="inlineStr">
        <is>
          <t>2026-S14</t>
        </is>
      </c>
    </row>
    <row r="320">
      <c r="A320" s="9" t="n">
        <v>43047292</v>
      </c>
      <c r="B320" s="11" t="n">
        <v>46111.39222222222</v>
      </c>
      <c r="C320" s="12" t="n">
        <v>46111</v>
      </c>
      <c r="D320" s="9">
        <f>YEAR(C320)</f>
        <v/>
      </c>
      <c r="E320" s="9">
        <f>MONTH(C320)</f>
        <v/>
      </c>
      <c r="F320" s="9" t="inlineStr">
        <is>
          <t>Saferock</t>
        </is>
      </c>
      <c r="G320" s="9" t="inlineStr">
        <is>
          <t>SAFEROCK 22MM 10,5M A280</t>
        </is>
      </c>
      <c r="H320" s="9" t="inlineStr">
        <is>
          <t>SAFEROCK SEMI 22MM 10,5M A280</t>
        </is>
      </c>
      <c r="I320" s="9" t="inlineStr">
        <is>
          <t>SFRCK 22</t>
        </is>
      </c>
      <c r="J320" s="9" t="n">
        <v>106501802</v>
      </c>
      <c r="K320" s="9" t="n">
        <v>22</v>
      </c>
      <c r="L320" s="9" t="n"/>
      <c r="M320" s="9" t="n"/>
      <c r="N320" s="9" t="n"/>
      <c r="O320" s="9" t="n">
        <v>10.5</v>
      </c>
      <c r="P320" s="13" t="n">
        <v>9176</v>
      </c>
      <c r="Q320" s="13" t="n">
        <v>9873.6</v>
      </c>
      <c r="R320" s="14">
        <f>IFERROR(P320/Q320,"")</f>
        <v/>
      </c>
      <c r="S320" s="15" t="n">
        <v>0.958</v>
      </c>
      <c r="T320" s="9">
        <f>IF(R320&gt;1,"A corregir","Válida")</f>
        <v/>
      </c>
      <c r="U320" s="13">
        <f>Q320-P320</f>
        <v/>
      </c>
      <c r="V320" s="13">
        <f>IF(S320="",0,S320*Q320)</f>
        <v/>
      </c>
      <c r="W320" s="9" t="n">
        <v>2026</v>
      </c>
      <c r="X320" s="9" t="n">
        <v>14</v>
      </c>
      <c r="Y320" s="9" t="inlineStr">
        <is>
          <t>2026-S14</t>
        </is>
      </c>
    </row>
    <row r="321">
      <c r="A321" s="9" t="n">
        <v>43047626</v>
      </c>
      <c r="B321" s="11" t="n">
        <v>46111.41444444445</v>
      </c>
      <c r="C321" s="12" t="n">
        <v>46111</v>
      </c>
      <c r="D321" s="9">
        <f>YEAR(C321)</f>
        <v/>
      </c>
      <c r="E321" s="9">
        <f>MONTH(C321)</f>
        <v/>
      </c>
      <c r="F321" s="9" t="inlineStr">
        <is>
          <t>Saferock</t>
        </is>
      </c>
      <c r="G321" s="9" t="inlineStr">
        <is>
          <t>SAFEROCK 22MM 10M A280</t>
        </is>
      </c>
      <c r="H321" s="9" t="inlineStr">
        <is>
          <t>SAFEROCK SEMI 22MM 10M A280</t>
        </is>
      </c>
      <c r="I321" s="9" t="inlineStr">
        <is>
          <t>SFRCK 22</t>
        </is>
      </c>
      <c r="J321" s="9" t="n">
        <v>106043322</v>
      </c>
      <c r="K321" s="9" t="n">
        <v>22</v>
      </c>
      <c r="L321" s="9" t="n"/>
      <c r="M321" s="9" t="n"/>
      <c r="N321" s="9" t="n"/>
      <c r="O321" s="9" t="n">
        <v>10</v>
      </c>
      <c r="P321" s="13" t="n">
        <v>93664</v>
      </c>
      <c r="Q321" s="13" t="n">
        <v>99184.8</v>
      </c>
      <c r="R321" s="14">
        <f>IFERROR(P321/Q321,"")</f>
        <v/>
      </c>
      <c r="S321" s="15" t="n">
        <v>0.953</v>
      </c>
      <c r="T321" s="9">
        <f>IF(R321&gt;1,"A corregir","Válida")</f>
        <v/>
      </c>
      <c r="U321" s="13">
        <f>Q321-P321</f>
        <v/>
      </c>
      <c r="V321" s="13">
        <f>IF(S321="",0,S321*Q321)</f>
        <v/>
      </c>
      <c r="W321" s="9" t="n">
        <v>2026</v>
      </c>
      <c r="X321" s="9" t="n">
        <v>14</v>
      </c>
      <c r="Y321" s="9" t="inlineStr">
        <is>
          <t>2026-S14</t>
        </is>
      </c>
    </row>
    <row r="322">
      <c r="A322" s="9" t="n">
        <v>43047612</v>
      </c>
      <c r="B322" s="11" t="n">
        <v>46111.73841435185</v>
      </c>
      <c r="C322" s="12" t="n">
        <v>46111</v>
      </c>
      <c r="D322" s="9">
        <f>YEAR(C322)</f>
        <v/>
      </c>
      <c r="E322" s="9">
        <f>MONTH(C322)</f>
        <v/>
      </c>
      <c r="F322" s="9" t="inlineStr">
        <is>
          <t>Ángulo</t>
        </is>
      </c>
      <c r="G322" s="9" t="inlineStr">
        <is>
          <t>ANGULO 30X30X5MM A270ES</t>
        </is>
      </c>
      <c r="H322" s="9" t="inlineStr">
        <is>
          <t>ANGULO SEMI 30X30X5MM A270ES</t>
        </is>
      </c>
      <c r="I322" s="9" t="inlineStr">
        <is>
          <t>ANG 30 x 5</t>
        </is>
      </c>
      <c r="J322" s="9" t="n">
        <v>106501813</v>
      </c>
      <c r="K322" s="9" t="n"/>
      <c r="L322" s="9" t="n">
        <v>30</v>
      </c>
      <c r="M322" s="9" t="n">
        <v>5</v>
      </c>
      <c r="N322" s="9" t="n"/>
      <c r="O322" s="9" t="n">
        <v>6</v>
      </c>
      <c r="P322" s="13" t="n">
        <v>31785</v>
      </c>
      <c r="Q322" s="13" t="n">
        <v>33625.6</v>
      </c>
      <c r="R322" s="14">
        <f>IFERROR(P322/Q322,"")</f>
        <v/>
      </c>
      <c r="S322" s="15" t="n">
        <v>0.958</v>
      </c>
      <c r="T322" s="9">
        <f>IF(R322&gt;1,"A corregir","Válida")</f>
        <v/>
      </c>
      <c r="U322" s="13">
        <f>Q322-P322</f>
        <v/>
      </c>
      <c r="V322" s="13">
        <f>IF(S322="",0,S322*Q322)</f>
        <v/>
      </c>
      <c r="W322" s="9" t="n">
        <v>2026</v>
      </c>
      <c r="X322" s="9" t="n">
        <v>14</v>
      </c>
      <c r="Y322" s="9" t="inlineStr">
        <is>
          <t>2026-S14</t>
        </is>
      </c>
    </row>
    <row r="323">
      <c r="A323" s="9" t="n">
        <v>43047609</v>
      </c>
      <c r="B323" s="11" t="n">
        <v>46111.84928240741</v>
      </c>
      <c r="C323" s="12" t="n">
        <v>46111</v>
      </c>
      <c r="D323" s="9">
        <f>YEAR(C323)</f>
        <v/>
      </c>
      <c r="E323" s="9">
        <f>MONTH(C323)</f>
        <v/>
      </c>
      <c r="F323" s="9" t="inlineStr">
        <is>
          <t>Ángulo</t>
        </is>
      </c>
      <c r="G323" s="9" t="inlineStr">
        <is>
          <t>ANGULO 30X30X3MM A270ES</t>
        </is>
      </c>
      <c r="H323" s="9" t="inlineStr">
        <is>
          <t>ANGULO SEMI 30X30X3MM A270ES</t>
        </is>
      </c>
      <c r="I323" s="9" t="inlineStr">
        <is>
          <t>ANG 30 x 3</t>
        </is>
      </c>
      <c r="J323" s="9" t="n">
        <v>106501029</v>
      </c>
      <c r="K323" s="9" t="n"/>
      <c r="L323" s="9" t="n">
        <v>30</v>
      </c>
      <c r="M323" s="9" t="n">
        <v>3</v>
      </c>
      <c r="N323" s="9" t="n"/>
      <c r="O323" s="9" t="n">
        <v>6</v>
      </c>
      <c r="P323" s="13" t="n">
        <v>236617</v>
      </c>
      <c r="Q323" s="13" t="n">
        <v>244467.2</v>
      </c>
      <c r="R323" s="14">
        <f>IFERROR(P323/Q323,"")</f>
        <v/>
      </c>
      <c r="S323" s="15" t="n">
        <v>0.96</v>
      </c>
      <c r="T323" s="9">
        <f>IF(R323&gt;1,"A corregir","Válida")</f>
        <v/>
      </c>
      <c r="U323" s="13">
        <f>Q323-P323</f>
        <v/>
      </c>
      <c r="V323" s="13">
        <f>IF(S323="",0,S323*Q323)</f>
        <v/>
      </c>
      <c r="W323" s="9" t="n">
        <v>2026</v>
      </c>
      <c r="X323" s="9" t="n">
        <v>14</v>
      </c>
      <c r="Y323" s="9" t="inlineStr">
        <is>
          <t>2026-S14</t>
        </is>
      </c>
    </row>
    <row r="324">
      <c r="A324" s="9" t="n">
        <v>43047640</v>
      </c>
      <c r="B324" s="11" t="n">
        <v>46111.9405787037</v>
      </c>
      <c r="C324" s="12" t="n">
        <v>46111</v>
      </c>
      <c r="D324" s="9">
        <f>YEAR(C324)</f>
        <v/>
      </c>
      <c r="E324" s="9">
        <f>MONTH(C324)</f>
        <v/>
      </c>
      <c r="F324" s="9" t="inlineStr">
        <is>
          <t>Ángulo</t>
        </is>
      </c>
      <c r="G324" s="9" t="inlineStr">
        <is>
          <t>ANGULO 30X30X3MM A270ES</t>
        </is>
      </c>
      <c r="H324" s="9" t="inlineStr">
        <is>
          <t>ANGULO SEMI 30X30X3MM A270ES</t>
        </is>
      </c>
      <c r="I324" s="9" t="inlineStr">
        <is>
          <t>ANG 30 x 3</t>
        </is>
      </c>
      <c r="J324" s="9" t="n">
        <v>106501029</v>
      </c>
      <c r="K324" s="9" t="n"/>
      <c r="L324" s="9" t="n">
        <v>30</v>
      </c>
      <c r="M324" s="9" t="n">
        <v>3</v>
      </c>
      <c r="N324" s="9" t="n"/>
      <c r="O324" s="9" t="n">
        <v>6</v>
      </c>
      <c r="P324" s="13" t="n">
        <v>62230</v>
      </c>
      <c r="Q324" s="13" t="n">
        <v>64524.8</v>
      </c>
      <c r="R324" s="14">
        <f>IFERROR(P324/Q324,"")</f>
        <v/>
      </c>
      <c r="S324" s="15" t="n">
        <v>0.96</v>
      </c>
      <c r="T324" s="9">
        <f>IF(R324&gt;1,"A corregir","Válida")</f>
        <v/>
      </c>
      <c r="U324" s="13">
        <f>Q324-P324</f>
        <v/>
      </c>
      <c r="V324" s="13">
        <f>IF(S324="",0,S324*Q324)</f>
        <v/>
      </c>
      <c r="W324" s="9" t="n">
        <v>2026</v>
      </c>
      <c r="X324" s="9" t="n">
        <v>14</v>
      </c>
      <c r="Y324" s="9" t="inlineStr">
        <is>
          <t>2026-S14</t>
        </is>
      </c>
    </row>
    <row r="325">
      <c r="A325" s="9" t="n">
        <v>43047673</v>
      </c>
      <c r="B325" s="11" t="n">
        <v>46112.58759259259</v>
      </c>
      <c r="C325" s="12" t="n">
        <v>46112</v>
      </c>
      <c r="D325" s="9">
        <f>YEAR(C325)</f>
        <v/>
      </c>
      <c r="E325" s="9">
        <f>MONTH(C325)</f>
        <v/>
      </c>
      <c r="F325" s="9" t="inlineStr">
        <is>
          <t>Saferock</t>
        </is>
      </c>
      <c r="G325" s="9" t="inlineStr">
        <is>
          <t>SAFEROCK 22MM 10M A280</t>
        </is>
      </c>
      <c r="H325" s="9" t="inlineStr">
        <is>
          <t>SAFEROCK 22MM 10M A280</t>
        </is>
      </c>
      <c r="I325" s="9" t="inlineStr">
        <is>
          <t>SFRCK 22</t>
        </is>
      </c>
      <c r="J325" s="9" t="n">
        <v>106043322</v>
      </c>
      <c r="K325" s="9" t="n">
        <v>22</v>
      </c>
      <c r="L325" s="9" t="n"/>
      <c r="M325" s="9" t="n"/>
      <c r="N325" s="9" t="n"/>
      <c r="O325" s="9" t="n">
        <v>10</v>
      </c>
      <c r="P325" s="13" t="n">
        <v>29671</v>
      </c>
      <c r="Q325" s="13" t="n">
        <v>33369.6</v>
      </c>
      <c r="R325" s="14">
        <f>IFERROR(P325/Q325,"")</f>
        <v/>
      </c>
      <c r="S325" s="15" t="n">
        <v>0.953</v>
      </c>
      <c r="T325" s="9">
        <f>IF(R325&gt;1,"A corregir","Válida")</f>
        <v/>
      </c>
      <c r="U325" s="13">
        <f>Q325-P325</f>
        <v/>
      </c>
      <c r="V325" s="13">
        <f>IF(S325="",0,S325*Q325)</f>
        <v/>
      </c>
      <c r="W325" s="9" t="n">
        <v>2026</v>
      </c>
      <c r="X325" s="9" t="n">
        <v>14</v>
      </c>
      <c r="Y325" s="9" t="inlineStr">
        <is>
          <t>2026-S14</t>
        </is>
      </c>
    </row>
    <row r="326">
      <c r="A326" s="9" t="n">
        <v>43047613</v>
      </c>
      <c r="B326" s="11" t="n">
        <v>46112.67010416667</v>
      </c>
      <c r="C326" s="12" t="n">
        <v>46112</v>
      </c>
      <c r="D326" s="9">
        <f>YEAR(C326)</f>
        <v/>
      </c>
      <c r="E326" s="9">
        <f>MONTH(C326)</f>
        <v/>
      </c>
      <c r="F326" s="9" t="inlineStr">
        <is>
          <t>Plana</t>
        </is>
      </c>
      <c r="G326" s="9" t="inlineStr">
        <is>
          <t>PLANA 19X7,3MM 6M COMERCIAL (N)</t>
        </is>
      </c>
      <c r="H326" s="9" t="inlineStr">
        <is>
          <t>PLANA 19X7,3MM 6M COMERCIAL (N)</t>
        </is>
      </c>
      <c r="I326" s="9" t="inlineStr">
        <is>
          <t>PL 19 x 7,3</t>
        </is>
      </c>
      <c r="J326" s="9" t="n">
        <v>109007019</v>
      </c>
      <c r="K326" s="9" t="n"/>
      <c r="L326" s="9" t="n">
        <v>19</v>
      </c>
      <c r="M326" s="9" t="n">
        <v>7.3</v>
      </c>
      <c r="N326" s="9" t="n"/>
      <c r="O326" s="9" t="n">
        <v>6</v>
      </c>
      <c r="P326" s="13" t="n">
        <v>31918</v>
      </c>
      <c r="Q326" s="13" t="n">
        <v>33739.2</v>
      </c>
      <c r="R326" s="14">
        <f>IFERROR(P326/Q326,"")</f>
        <v/>
      </c>
      <c r="S326" s="15" t="n">
        <v>0.9670000000000001</v>
      </c>
      <c r="T326" s="9">
        <f>IF(R326&gt;1,"A corregir","Válida")</f>
        <v/>
      </c>
      <c r="U326" s="13">
        <f>Q326-P326</f>
        <v/>
      </c>
      <c r="V326" s="13">
        <f>IF(S326="",0,S326*Q326)</f>
        <v/>
      </c>
      <c r="W326" s="9" t="n">
        <v>2026</v>
      </c>
      <c r="X326" s="9" t="n">
        <v>14</v>
      </c>
      <c r="Y326" s="9" t="inlineStr">
        <is>
          <t>2026-S14</t>
        </is>
      </c>
    </row>
    <row r="327">
      <c r="A327" s="9" t="n">
        <v>43047614</v>
      </c>
      <c r="B327" s="11" t="n">
        <v>46112.81652777778</v>
      </c>
      <c r="C327" s="12" t="n">
        <v>46112</v>
      </c>
      <c r="D327" s="9">
        <f>YEAR(C327)</f>
        <v/>
      </c>
      <c r="E327" s="9">
        <f>MONTH(C327)</f>
        <v/>
      </c>
      <c r="F327" s="9" t="inlineStr">
        <is>
          <t>Redondo liso</t>
        </is>
      </c>
      <c r="G327" s="9" t="inlineStr">
        <is>
          <t>REDONDO LISO 1/2' 6M SAE 1020 (N)</t>
        </is>
      </c>
      <c r="H327" s="9" t="inlineStr">
        <is>
          <t>REDONDO LISO 1/2' 6M SAE 1020 (N)</t>
        </is>
      </c>
      <c r="I327" s="9" t="inlineStr">
        <is>
          <t>RED 1/2"</t>
        </is>
      </c>
      <c r="J327" s="9" t="n">
        <v>109006915</v>
      </c>
      <c r="K327" s="9" t="n">
        <v>12.7</v>
      </c>
      <c r="L327" s="9" t="n"/>
      <c r="M327" s="9" t="n"/>
      <c r="N327" s="9" t="n"/>
      <c r="O327" s="9" t="n">
        <v>6</v>
      </c>
      <c r="P327" s="13" t="n">
        <v>37383</v>
      </c>
      <c r="Q327" s="13" t="n">
        <v>39106.8</v>
      </c>
      <c r="R327" s="14">
        <f>IFERROR(P327/Q327,"")</f>
        <v/>
      </c>
      <c r="S327" s="15" t="n">
        <v>0.96</v>
      </c>
      <c r="T327" s="9">
        <f>IF(R327&gt;1,"A corregir","Válida")</f>
        <v/>
      </c>
      <c r="U327" s="13">
        <f>Q327-P327</f>
        <v/>
      </c>
      <c r="V327" s="13">
        <f>IF(S327="",0,S327*Q327)</f>
        <v/>
      </c>
      <c r="W327" s="9" t="n">
        <v>2026</v>
      </c>
      <c r="X327" s="9" t="n">
        <v>14</v>
      </c>
      <c r="Y327" s="9" t="inlineStr">
        <is>
          <t>2026-S14</t>
        </is>
      </c>
    </row>
    <row r="328">
      <c r="A328" s="9" t="n">
        <v>43047615</v>
      </c>
      <c r="B328" s="11" t="n">
        <v>46112.96835648148</v>
      </c>
      <c r="C328" s="12" t="n">
        <v>46112</v>
      </c>
      <c r="D328" s="9">
        <f>YEAR(C328)</f>
        <v/>
      </c>
      <c r="E328" s="9">
        <f>MONTH(C328)</f>
        <v/>
      </c>
      <c r="F328" s="9" t="inlineStr">
        <is>
          <t>Redondo liso</t>
        </is>
      </c>
      <c r="G328" s="9" t="inlineStr">
        <is>
          <t>REDONDO LISO 12MM 6M SAE 1020 (N)</t>
        </is>
      </c>
      <c r="H328" s="9" t="inlineStr">
        <is>
          <t>REDONDO LISO 12MM 6M SAE 1020 (N)</t>
        </is>
      </c>
      <c r="I328" s="9" t="inlineStr">
        <is>
          <t>RED 12</t>
        </is>
      </c>
      <c r="J328" s="9" t="n">
        <v>109007067</v>
      </c>
      <c r="K328" s="9" t="n">
        <v>12</v>
      </c>
      <c r="L328" s="9" t="n"/>
      <c r="M328" s="9" t="n"/>
      <c r="N328" s="9" t="n"/>
      <c r="O328" s="9" t="n">
        <v>6</v>
      </c>
      <c r="P328" s="13" t="n">
        <v>18890</v>
      </c>
      <c r="Q328" s="13" t="n">
        <v>27221.4</v>
      </c>
      <c r="R328" s="14">
        <f>IFERROR(P328/Q328,"")</f>
        <v/>
      </c>
      <c r="S328" s="15" t="n">
        <v>0.9590000000000001</v>
      </c>
      <c r="T328" s="9">
        <f>IF(R328&gt;1,"A corregir","Válida")</f>
        <v/>
      </c>
      <c r="U328" s="13">
        <f>Q328-P328</f>
        <v/>
      </c>
      <c r="V328" s="13">
        <f>IF(S328="",0,S328*Q328)</f>
        <v/>
      </c>
      <c r="W328" s="9" t="n">
        <v>2026</v>
      </c>
      <c r="X328" s="9" t="n">
        <v>14</v>
      </c>
      <c r="Y328" s="9" t="inlineStr">
        <is>
          <t>2026-S14</t>
        </is>
      </c>
    </row>
    <row r="329">
      <c r="A329" s="9" t="n">
        <v>43047713</v>
      </c>
      <c r="B329" s="11" t="n">
        <v>46113.48100694444</v>
      </c>
      <c r="C329" s="12" t="n">
        <v>46113</v>
      </c>
      <c r="D329" s="9">
        <f>YEAR(C329)</f>
        <v/>
      </c>
      <c r="E329" s="9">
        <f>MONTH(C329)</f>
        <v/>
      </c>
      <c r="F329" s="9" t="inlineStr">
        <is>
          <t>Plana</t>
        </is>
      </c>
      <c r="G329" s="9" t="inlineStr">
        <is>
          <t>PLANA 32X3MM 6M A270ES (N)</t>
        </is>
      </c>
      <c r="H329" s="9" t="inlineStr">
        <is>
          <t>PLANA 32X3MM 6M A270ES (N)</t>
        </is>
      </c>
      <c r="I329" s="9" t="inlineStr">
        <is>
          <t>PL 32 x 3</t>
        </is>
      </c>
      <c r="J329" s="9" t="n">
        <v>109013879</v>
      </c>
      <c r="K329" s="9" t="n"/>
      <c r="L329" s="9" t="n">
        <v>32</v>
      </c>
      <c r="M329" s="9" t="n">
        <v>3</v>
      </c>
      <c r="N329" s="9" t="n"/>
      <c r="O329" s="9" t="n">
        <v>6</v>
      </c>
      <c r="P329" s="13" t="n">
        <v>57965</v>
      </c>
      <c r="Q329" s="13" t="n">
        <v>59810.4</v>
      </c>
      <c r="R329" s="14">
        <f>IFERROR(P329/Q329,"")</f>
        <v/>
      </c>
      <c r="S329" s="15" t="n">
        <v>0.966</v>
      </c>
      <c r="T329" s="9">
        <f>IF(R329&gt;1,"A corregir","Válida")</f>
        <v/>
      </c>
      <c r="U329" s="13">
        <f>Q329-P329</f>
        <v/>
      </c>
      <c r="V329" s="13">
        <f>IF(S329="",0,S329*Q329)</f>
        <v/>
      </c>
      <c r="W329" s="9" t="n">
        <v>2026</v>
      </c>
      <c r="X329" s="9" t="n">
        <v>14</v>
      </c>
      <c r="Y329" s="9" t="inlineStr">
        <is>
          <t>2026-S14</t>
        </is>
      </c>
    </row>
    <row r="330">
      <c r="A330" s="9" t="n">
        <v>43047741</v>
      </c>
      <c r="B330" s="11" t="n">
        <v>46113.64233796296</v>
      </c>
      <c r="C330" s="12" t="n">
        <v>46113</v>
      </c>
      <c r="D330" s="9">
        <f>YEAR(C330)</f>
        <v/>
      </c>
      <c r="E330" s="9">
        <f>MONTH(C330)</f>
        <v/>
      </c>
      <c r="F330" s="9" t="inlineStr">
        <is>
          <t>Plana</t>
        </is>
      </c>
      <c r="G330" s="9" t="inlineStr">
        <is>
          <t>PLANA 32X3MM 6M A270ES (N)</t>
        </is>
      </c>
      <c r="H330" s="9" t="inlineStr">
        <is>
          <t>PLANA 32X3MM 6M A270ES (N)</t>
        </is>
      </c>
      <c r="I330" s="9" t="inlineStr">
        <is>
          <t>PL 32 x 3</t>
        </is>
      </c>
      <c r="J330" s="9" t="n">
        <v>109013879</v>
      </c>
      <c r="K330" s="9" t="n"/>
      <c r="L330" s="9" t="n">
        <v>32</v>
      </c>
      <c r="M330" s="9" t="n">
        <v>3</v>
      </c>
      <c r="N330" s="9" t="n"/>
      <c r="O330" s="9" t="n">
        <v>6</v>
      </c>
      <c r="P330" s="13" t="n">
        <v>23694</v>
      </c>
      <c r="Q330" s="13" t="n">
        <v>26413.2</v>
      </c>
      <c r="R330" s="14">
        <f>IFERROR(P330/Q330,"")</f>
        <v/>
      </c>
      <c r="S330" s="15" t="n">
        <v>0.966</v>
      </c>
      <c r="T330" s="9">
        <f>IF(R330&gt;1,"A corregir","Válida")</f>
        <v/>
      </c>
      <c r="U330" s="13">
        <f>Q330-P330</f>
        <v/>
      </c>
      <c r="V330" s="13">
        <f>IF(S330="",0,S330*Q330)</f>
        <v/>
      </c>
      <c r="W330" s="9" t="n">
        <v>2026</v>
      </c>
      <c r="X330" s="9" t="n">
        <v>14</v>
      </c>
      <c r="Y330" s="9" t="inlineStr">
        <is>
          <t>2026-S14</t>
        </is>
      </c>
    </row>
    <row r="331">
      <c r="A331" s="9" t="n">
        <v>43047712</v>
      </c>
      <c r="B331" s="11" t="n">
        <v>46113.87902777778</v>
      </c>
      <c r="C331" s="12" t="n">
        <v>46113</v>
      </c>
      <c r="D331" s="9">
        <f>YEAR(C331)</f>
        <v/>
      </c>
      <c r="E331" s="9">
        <f>MONTH(C331)</f>
        <v/>
      </c>
      <c r="F331" s="9" t="inlineStr">
        <is>
          <t>Redondo liso</t>
        </is>
      </c>
      <c r="G331" s="9" t="inlineStr">
        <is>
          <t>REDONDO LISO 12MM 6M SAE 1020 (N)</t>
        </is>
      </c>
      <c r="H331" s="9" t="inlineStr">
        <is>
          <t>REDONDO LISO 12MM 6M SAE 1020 (N)</t>
        </is>
      </c>
      <c r="I331" s="9" t="inlineStr">
        <is>
          <t>RED 12</t>
        </is>
      </c>
      <c r="J331" s="9" t="n">
        <v>109007067</v>
      </c>
      <c r="K331" s="9" t="n">
        <v>12</v>
      </c>
      <c r="L331" s="9" t="n"/>
      <c r="M331" s="9" t="n"/>
      <c r="N331" s="9" t="n"/>
      <c r="O331" s="9" t="n">
        <v>6</v>
      </c>
      <c r="P331" s="13" t="n">
        <v>122809</v>
      </c>
      <c r="Q331" s="13" t="n">
        <v>114636.6</v>
      </c>
      <c r="R331" s="14">
        <f>IFERROR(P331/Q331,"")</f>
        <v/>
      </c>
      <c r="S331" s="15" t="n">
        <v>0.9590000000000001</v>
      </c>
      <c r="T331" s="9">
        <f>IF(R331&gt;1,"A corregir","Válida")</f>
        <v/>
      </c>
      <c r="U331" s="13">
        <f>Q331-P331</f>
        <v/>
      </c>
      <c r="V331" s="13">
        <f>IF(S331="",0,S331*Q331)</f>
        <v/>
      </c>
      <c r="W331" s="9" t="n">
        <v>2026</v>
      </c>
      <c r="X331" s="9" t="n">
        <v>14</v>
      </c>
      <c r="Y331" s="9" t="inlineStr">
        <is>
          <t>2026-S14</t>
        </is>
      </c>
    </row>
    <row r="332">
      <c r="A332" s="9" t="n">
        <v>43047717</v>
      </c>
      <c r="B332" s="11" t="n">
        <v>46113.9737037037</v>
      </c>
      <c r="C332" s="12" t="n">
        <v>46113</v>
      </c>
      <c r="D332" s="9">
        <f>YEAR(C332)</f>
        <v/>
      </c>
      <c r="E332" s="9">
        <f>MONTH(C332)</f>
        <v/>
      </c>
      <c r="F332" s="9" t="inlineStr">
        <is>
          <t>Plana</t>
        </is>
      </c>
      <c r="G332" s="9" t="inlineStr">
        <is>
          <t>PLANA 32X10MM 6M A270ES (N)</t>
        </is>
      </c>
      <c r="H332" s="9" t="inlineStr">
        <is>
          <t>PLANA 32X10MM 6M A270ES (N)</t>
        </is>
      </c>
      <c r="I332" s="9" t="inlineStr">
        <is>
          <t>PL 32 x 10</t>
        </is>
      </c>
      <c r="J332" s="9" t="n">
        <v>109013877</v>
      </c>
      <c r="K332" s="9" t="n"/>
      <c r="L332" s="9" t="n">
        <v>32</v>
      </c>
      <c r="M332" s="9" t="n">
        <v>10</v>
      </c>
      <c r="N332" s="9" t="n"/>
      <c r="O332" s="9" t="n">
        <v>6</v>
      </c>
      <c r="P332" s="13" t="n">
        <v>48423</v>
      </c>
      <c r="Q332" s="13" t="n">
        <v>53164.8</v>
      </c>
      <c r="R332" s="14">
        <f>IFERROR(P332/Q332,"")</f>
        <v/>
      </c>
      <c r="S332" s="15" t="n">
        <v>0.963</v>
      </c>
      <c r="T332" s="9">
        <f>IF(R332&gt;1,"A corregir","Válida")</f>
        <v/>
      </c>
      <c r="U332" s="13">
        <f>Q332-P332</f>
        <v/>
      </c>
      <c r="V332" s="13">
        <f>IF(S332="",0,S332*Q332)</f>
        <v/>
      </c>
      <c r="W332" s="9" t="n">
        <v>2026</v>
      </c>
      <c r="X332" s="9" t="n">
        <v>14</v>
      </c>
      <c r="Y332" s="9" t="inlineStr">
        <is>
          <t>2026-S14</t>
        </is>
      </c>
    </row>
    <row r="333">
      <c r="A333" s="9" t="n">
        <v>43047718</v>
      </c>
      <c r="B333" s="11" t="n">
        <v>46114.18331018519</v>
      </c>
      <c r="C333" s="12" t="n">
        <v>46114</v>
      </c>
      <c r="D333" s="9">
        <f>YEAR(C333)</f>
        <v/>
      </c>
      <c r="E333" s="9">
        <f>MONTH(C333)</f>
        <v/>
      </c>
      <c r="F333" s="9" t="inlineStr">
        <is>
          <t>Plana</t>
        </is>
      </c>
      <c r="G333" s="9" t="inlineStr">
        <is>
          <t>PLANA 32X8MM 6M A270ES (N)</t>
        </is>
      </c>
      <c r="H333" s="9" t="inlineStr">
        <is>
          <t>PLANA 32X8MM 6M A270ES (N)</t>
        </is>
      </c>
      <c r="I333" s="9" t="inlineStr">
        <is>
          <t>PL 32 x 8</t>
        </is>
      </c>
      <c r="J333" s="9" t="n">
        <v>109013915</v>
      </c>
      <c r="K333" s="9" t="n"/>
      <c r="L333" s="9" t="n">
        <v>32</v>
      </c>
      <c r="M333" s="9" t="n">
        <v>8</v>
      </c>
      <c r="N333" s="9" t="n"/>
      <c r="O333" s="9" t="n">
        <v>6</v>
      </c>
      <c r="P333" s="13" t="n">
        <v>31842</v>
      </c>
      <c r="Q333" s="13" t="n">
        <v>33625.6</v>
      </c>
      <c r="R333" s="14">
        <f>IFERROR(P333/Q333,"")</f>
        <v/>
      </c>
      <c r="S333" s="15" t="n">
        <v>0.9640000000000001</v>
      </c>
      <c r="T333" s="9">
        <f>IF(R333&gt;1,"A corregir","Válida")</f>
        <v/>
      </c>
      <c r="U333" s="13">
        <f>Q333-P333</f>
        <v/>
      </c>
      <c r="V333" s="13">
        <f>IF(S333="",0,S333*Q333)</f>
        <v/>
      </c>
      <c r="W333" s="9" t="n">
        <v>2026</v>
      </c>
      <c r="X333" s="9" t="n">
        <v>14</v>
      </c>
      <c r="Y333" s="9" t="inlineStr">
        <is>
          <t>2026-S14</t>
        </is>
      </c>
    </row>
    <row r="334">
      <c r="A334" s="9" t="n">
        <v>43047719</v>
      </c>
      <c r="B334" s="11" t="n">
        <v>46114.31518518519</v>
      </c>
      <c r="C334" s="12" t="n">
        <v>46114</v>
      </c>
      <c r="D334" s="9">
        <f>YEAR(C334)</f>
        <v/>
      </c>
      <c r="E334" s="9">
        <f>MONTH(C334)</f>
        <v/>
      </c>
      <c r="F334" s="9" t="inlineStr">
        <is>
          <t>Plana</t>
        </is>
      </c>
      <c r="G334" s="9" t="inlineStr">
        <is>
          <t>PLANA 38X5MM 6M A270ES (N)</t>
        </is>
      </c>
      <c r="H334" s="9" t="inlineStr">
        <is>
          <t>PLANA 38X5MM 6M A270ES (N)</t>
        </is>
      </c>
      <c r="I334" s="9" t="inlineStr">
        <is>
          <t>PL 38 x 5</t>
        </is>
      </c>
      <c r="J334" s="9" t="n">
        <v>109013914</v>
      </c>
      <c r="K334" s="9" t="n"/>
      <c r="L334" s="9" t="n">
        <v>38</v>
      </c>
      <c r="M334" s="9" t="n">
        <v>5</v>
      </c>
      <c r="N334" s="9" t="n"/>
      <c r="O334" s="9" t="n">
        <v>6</v>
      </c>
      <c r="P334" s="13" t="n">
        <v>101118</v>
      </c>
      <c r="Q334" s="13" t="n">
        <v>101785.6</v>
      </c>
      <c r="R334" s="14">
        <f>IFERROR(P334/Q334,"")</f>
        <v/>
      </c>
      <c r="S334" s="15" t="n">
        <v>0.965</v>
      </c>
      <c r="T334" s="9">
        <f>IF(R334&gt;1,"A corregir","Válida")</f>
        <v/>
      </c>
      <c r="U334" s="13">
        <f>Q334-P334</f>
        <v/>
      </c>
      <c r="V334" s="13">
        <f>IF(S334="",0,S334*Q334)</f>
        <v/>
      </c>
      <c r="W334" s="9" t="n">
        <v>2026</v>
      </c>
      <c r="X334" s="9" t="n">
        <v>14</v>
      </c>
      <c r="Y334" s="9" t="inlineStr">
        <is>
          <t>2026-S14</t>
        </is>
      </c>
    </row>
    <row r="335">
      <c r="A335" s="9" t="n">
        <v>43047850</v>
      </c>
      <c r="B335" s="11" t="n">
        <v>46129.60018518518</v>
      </c>
      <c r="C335" s="12" t="n">
        <v>46129</v>
      </c>
      <c r="D335" s="9">
        <f>YEAR(C335)</f>
        <v/>
      </c>
      <c r="E335" s="9">
        <f>MONTH(C335)</f>
        <v/>
      </c>
      <c r="F335" s="9" t="inlineStr">
        <is>
          <t>B Hormigón</t>
        </is>
      </c>
      <c r="G335" s="9" t="inlineStr">
        <is>
          <t>B HORMIGON 18MM 6M A630-420H (N)</t>
        </is>
      </c>
      <c r="H335" s="9" t="inlineStr">
        <is>
          <t>B HORMIGON 18MM 6M A630-420H (N)</t>
        </is>
      </c>
      <c r="I335" s="9" t="inlineStr">
        <is>
          <t>RED 18 CR</t>
        </is>
      </c>
      <c r="J335" s="9" t="n">
        <v>110002942</v>
      </c>
      <c r="K335" s="9" t="n">
        <v>18</v>
      </c>
      <c r="L335" s="9" t="n"/>
      <c r="M335" s="9" t="n"/>
      <c r="N335" s="9" t="n"/>
      <c r="O335" s="9" t="n">
        <v>6</v>
      </c>
      <c r="P335" s="13" t="n">
        <v>28090</v>
      </c>
      <c r="Q335" s="13" t="n">
        <v>16156.8</v>
      </c>
      <c r="R335" s="14">
        <f>IFERROR(P335/Q335,"")</f>
        <v/>
      </c>
      <c r="S335" s="15" t="n">
        <v>0.96</v>
      </c>
      <c r="T335" s="9">
        <f>IF(R335&gt;1,"A corregir","Válida")</f>
        <v/>
      </c>
      <c r="U335" s="13">
        <f>Q335-P335</f>
        <v/>
      </c>
      <c r="V335" s="13">
        <f>IF(S335="",0,S335*Q335)</f>
        <v/>
      </c>
      <c r="W335" s="9" t="n">
        <v>2026</v>
      </c>
      <c r="X335" s="9" t="n">
        <v>16</v>
      </c>
      <c r="Y335" s="9" t="inlineStr">
        <is>
          <t>2026-S16</t>
        </is>
      </c>
    </row>
    <row r="336">
      <c r="A336" s="9" t="n">
        <v>43047859</v>
      </c>
      <c r="B336" s="11" t="n">
        <v>46130.30887731481</v>
      </c>
      <c r="C336" s="12" t="n">
        <v>46130</v>
      </c>
      <c r="D336" s="9">
        <f>YEAR(C336)</f>
        <v/>
      </c>
      <c r="E336" s="9">
        <f>MONTH(C336)</f>
        <v/>
      </c>
      <c r="F336" s="9" t="inlineStr">
        <is>
          <t>B Hormigón</t>
        </is>
      </c>
      <c r="G336" s="9" t="inlineStr">
        <is>
          <t>B HORMIGON 28MM 7M A630-420H (N)</t>
        </is>
      </c>
      <c r="H336" s="9" t="inlineStr">
        <is>
          <t>B HORMIGON 28MM 7M A630-420H (N)</t>
        </is>
      </c>
      <c r="I336" s="9" t="inlineStr">
        <is>
          <t>RED 28 CR</t>
        </is>
      </c>
      <c r="J336" s="9" t="n">
        <v>110002895</v>
      </c>
      <c r="K336" s="9" t="n">
        <v>28</v>
      </c>
      <c r="L336" s="9" t="n"/>
      <c r="M336" s="9" t="n"/>
      <c r="N336" s="9" t="n"/>
      <c r="O336" s="9" t="n">
        <v>7</v>
      </c>
      <c r="P336" s="13" t="n">
        <v>133381</v>
      </c>
      <c r="Q336" s="13" t="n">
        <v>156710.4</v>
      </c>
      <c r="R336" s="14">
        <f>IFERROR(P336/Q336,"")</f>
        <v/>
      </c>
      <c r="S336" s="15" t="n">
        <v>0.96</v>
      </c>
      <c r="T336" s="9">
        <f>IF(R336&gt;1,"A corregir","Válida")</f>
        <v/>
      </c>
      <c r="U336" s="13">
        <f>Q336-P336</f>
        <v/>
      </c>
      <c r="V336" s="13">
        <f>IF(S336="",0,S336*Q336)</f>
        <v/>
      </c>
      <c r="W336" s="9" t="n">
        <v>2026</v>
      </c>
      <c r="X336" s="9" t="n">
        <v>16</v>
      </c>
      <c r="Y336" s="9" t="inlineStr">
        <is>
          <t>2026-S16</t>
        </is>
      </c>
    </row>
    <row r="337">
      <c r="A337" s="9" t="n">
        <v>43047863</v>
      </c>
      <c r="B337" s="11" t="n">
        <v>46130.62171296297</v>
      </c>
      <c r="C337" s="12" t="n">
        <v>46130</v>
      </c>
      <c r="D337" s="9">
        <f>YEAR(C337)</f>
        <v/>
      </c>
      <c r="E337" s="9">
        <f>MONTH(C337)</f>
        <v/>
      </c>
      <c r="F337" s="9" t="inlineStr">
        <is>
          <t>B Hormigón</t>
        </is>
      </c>
      <c r="G337" s="9" t="inlineStr">
        <is>
          <t>B HORMIGON 28MM 12M A630-420H (N)</t>
        </is>
      </c>
      <c r="H337" s="9" t="inlineStr">
        <is>
          <t>B HORMIGON 28MM 12M A630-420H (N)</t>
        </is>
      </c>
      <c r="I337" s="9" t="inlineStr">
        <is>
          <t>RED 28 CR</t>
        </is>
      </c>
      <c r="J337" s="9" t="n">
        <v>110002894</v>
      </c>
      <c r="K337" s="9" t="n">
        <v>28</v>
      </c>
      <c r="L337" s="9" t="n"/>
      <c r="M337" s="9" t="n"/>
      <c r="N337" s="9" t="n"/>
      <c r="O337" s="9" t="n">
        <v>12</v>
      </c>
      <c r="P337" s="13" t="n">
        <v>301362</v>
      </c>
      <c r="Q337" s="13" t="n">
        <v>344678.4</v>
      </c>
      <c r="R337" s="14">
        <f>IFERROR(P337/Q337,"")</f>
        <v/>
      </c>
      <c r="S337" s="15" t="n">
        <v>0.96</v>
      </c>
      <c r="T337" s="9">
        <f>IF(R337&gt;1,"A corregir","Válida")</f>
        <v/>
      </c>
      <c r="U337" s="13">
        <f>Q337-P337</f>
        <v/>
      </c>
      <c r="V337" s="13">
        <f>IF(S337="",0,S337*Q337)</f>
        <v/>
      </c>
      <c r="W337" s="9" t="n">
        <v>2026</v>
      </c>
      <c r="X337" s="9" t="n">
        <v>16</v>
      </c>
      <c r="Y337" s="9" t="inlineStr">
        <is>
          <t>2026-S16</t>
        </is>
      </c>
    </row>
    <row r="338">
      <c r="A338" s="9" t="n">
        <v>43047862</v>
      </c>
      <c r="B338" s="11" t="n">
        <v>46132.33548611111</v>
      </c>
      <c r="C338" s="12" t="n">
        <v>46132</v>
      </c>
      <c r="D338" s="9">
        <f>YEAR(C338)</f>
        <v/>
      </c>
      <c r="E338" s="9">
        <f>MONTH(C338)</f>
        <v/>
      </c>
      <c r="F338" s="9" t="inlineStr">
        <is>
          <t>B Hormigón</t>
        </is>
      </c>
      <c r="G338" s="9" t="inlineStr">
        <is>
          <t>B HORMIGON 28MM 10M A630-420H (N)</t>
        </is>
      </c>
      <c r="H338" s="9" t="inlineStr">
        <is>
          <t>B HORMIGON 28MM 10M A630-420H (N)</t>
        </is>
      </c>
      <c r="I338" s="9" t="inlineStr">
        <is>
          <t>RED 28 CR</t>
        </is>
      </c>
      <c r="J338" s="9" t="n">
        <v>110002892</v>
      </c>
      <c r="K338" s="9" t="n">
        <v>28</v>
      </c>
      <c r="L338" s="9" t="n"/>
      <c r="M338" s="9" t="n"/>
      <c r="N338" s="9" t="n"/>
      <c r="O338" s="9" t="n">
        <v>10</v>
      </c>
      <c r="P338" s="13" t="n">
        <v>74756</v>
      </c>
      <c r="Q338" s="13" t="n">
        <v>81681.60000000001</v>
      </c>
      <c r="R338" s="14">
        <f>IFERROR(P338/Q338,"")</f>
        <v/>
      </c>
      <c r="S338" s="15" t="n">
        <v>0.96</v>
      </c>
      <c r="T338" s="9">
        <f>IF(R338&gt;1,"A corregir","Válida")</f>
        <v/>
      </c>
      <c r="U338" s="13">
        <f>Q338-P338</f>
        <v/>
      </c>
      <c r="V338" s="13">
        <f>IF(S338="",0,S338*Q338)</f>
        <v/>
      </c>
      <c r="W338" s="9" t="n">
        <v>2026</v>
      </c>
      <c r="X338" s="9" t="n">
        <v>17</v>
      </c>
      <c r="Y338" s="9" t="inlineStr">
        <is>
          <t>2026-S17</t>
        </is>
      </c>
    </row>
    <row r="339">
      <c r="A339" s="9" t="n">
        <v>43047861</v>
      </c>
      <c r="B339" s="11" t="n">
        <v>46132.55663194445</v>
      </c>
      <c r="C339" s="12" t="n">
        <v>46132</v>
      </c>
      <c r="D339" s="9">
        <f>YEAR(C339)</f>
        <v/>
      </c>
      <c r="E339" s="9">
        <f>MONTH(C339)</f>
        <v/>
      </c>
      <c r="F339" s="9" t="inlineStr">
        <is>
          <t>B Hormigón</t>
        </is>
      </c>
      <c r="G339" s="9" t="inlineStr">
        <is>
          <t>B HORMIGON 28MM 9M A630-420H (N)</t>
        </is>
      </c>
      <c r="H339" s="9" t="inlineStr">
        <is>
          <t>B HORMIGON 28MM 9M A630-420H (N)</t>
        </is>
      </c>
      <c r="I339" s="9" t="inlineStr">
        <is>
          <t>RED 28 CR</t>
        </is>
      </c>
      <c r="J339" s="9" t="n">
        <v>110002897</v>
      </c>
      <c r="K339" s="9" t="n">
        <v>28</v>
      </c>
      <c r="L339" s="9" t="n"/>
      <c r="M339" s="9" t="n"/>
      <c r="N339" s="9" t="n"/>
      <c r="O339" s="9" t="n">
        <v>9</v>
      </c>
      <c r="P339" s="13" t="n">
        <v>53377</v>
      </c>
      <c r="Q339" s="13" t="n">
        <v>61934.4</v>
      </c>
      <c r="R339" s="14">
        <f>IFERROR(P339/Q339,"")</f>
        <v/>
      </c>
      <c r="S339" s="15" t="n">
        <v>0.9399999999999999</v>
      </c>
      <c r="T339" s="9">
        <f>IF(R339&gt;1,"A corregir","Válida")</f>
        <v/>
      </c>
      <c r="U339" s="13">
        <f>Q339-P339</f>
        <v/>
      </c>
      <c r="V339" s="13">
        <f>IF(S339="",0,S339*Q339)</f>
        <v/>
      </c>
      <c r="W339" s="9" t="n">
        <v>2026</v>
      </c>
      <c r="X339" s="9" t="n">
        <v>17</v>
      </c>
      <c r="Y339" s="9" t="inlineStr">
        <is>
          <t>2026-S17</t>
        </is>
      </c>
    </row>
    <row r="340">
      <c r="A340" s="9" t="n">
        <v>43047871</v>
      </c>
      <c r="B340" s="11" t="n">
        <v>46132.71550925926</v>
      </c>
      <c r="C340" s="12" t="n">
        <v>46132</v>
      </c>
      <c r="D340" s="9">
        <f>YEAR(C340)</f>
        <v/>
      </c>
      <c r="E340" s="9">
        <f>MONTH(C340)</f>
        <v/>
      </c>
      <c r="F340" s="9" t="inlineStr">
        <is>
          <t>B Hormigón</t>
        </is>
      </c>
      <c r="G340" s="9" t="inlineStr">
        <is>
          <t>B HORMIGON R 28MM 12M A630-420H (N)</t>
        </is>
      </c>
      <c r="H340" s="9" t="inlineStr">
        <is>
          <t>B HORMIGON R 28MM 12M A630-420H (N)</t>
        </is>
      </c>
      <c r="I340" s="9" t="inlineStr">
        <is>
          <t>RED 28 CR</t>
        </is>
      </c>
      <c r="J340" s="9" t="n">
        <v>119506608</v>
      </c>
      <c r="K340" s="9" t="n">
        <v>28</v>
      </c>
      <c r="L340" s="9" t="n"/>
      <c r="M340" s="9" t="n"/>
      <c r="N340" s="9" t="n"/>
      <c r="O340" s="9" t="n">
        <v>12</v>
      </c>
      <c r="P340" s="13" t="n">
        <v>44099</v>
      </c>
      <c r="Q340" s="13" t="n">
        <v>55756.8</v>
      </c>
      <c r="R340" s="14">
        <f>IFERROR(P340/Q340,"")</f>
        <v/>
      </c>
      <c r="S340" s="15" t="n">
        <v>0.97</v>
      </c>
      <c r="T340" s="9">
        <f>IF(R340&gt;1,"A corregir","Válida")</f>
        <v/>
      </c>
      <c r="U340" s="13">
        <f>Q340-P340</f>
        <v/>
      </c>
      <c r="V340" s="13">
        <f>IF(S340="",0,S340*Q340)</f>
        <v/>
      </c>
      <c r="W340" s="9" t="n">
        <v>2026</v>
      </c>
      <c r="X340" s="9" t="n">
        <v>17</v>
      </c>
      <c r="Y340" s="9" t="inlineStr">
        <is>
          <t>2026-S17</t>
        </is>
      </c>
    </row>
    <row r="341">
      <c r="A341" s="9" t="n">
        <v>43047894</v>
      </c>
      <c r="B341" s="11" t="n">
        <v>46133.06317129629</v>
      </c>
      <c r="C341" s="12" t="n">
        <v>46133</v>
      </c>
      <c r="D341" s="9">
        <f>YEAR(C341)</f>
        <v/>
      </c>
      <c r="E341" s="9">
        <f>MONTH(C341)</f>
        <v/>
      </c>
      <c r="F341" s="9" t="inlineStr">
        <is>
          <t>B Hormigón</t>
        </is>
      </c>
      <c r="G341" s="9" t="inlineStr">
        <is>
          <t>B HORMIGON 28MM 7M A630-420HS (N)</t>
        </is>
      </c>
      <c r="H341" s="9" t="inlineStr">
        <is>
          <t>B HORMIGON 28MM 7M A630-420HS (N)</t>
        </is>
      </c>
      <c r="I341" s="9" t="inlineStr">
        <is>
          <t>RED 28 CR</t>
        </is>
      </c>
      <c r="J341" s="9" t="n">
        <v>110007327</v>
      </c>
      <c r="K341" s="9" t="n">
        <v>28</v>
      </c>
      <c r="L341" s="9" t="n"/>
      <c r="M341" s="9" t="n"/>
      <c r="N341" s="9" t="n"/>
      <c r="O341" s="9" t="n">
        <v>7</v>
      </c>
      <c r="P341" s="13" t="n">
        <v>22172</v>
      </c>
      <c r="Q341" s="13" t="n">
        <v>23232</v>
      </c>
      <c r="R341" s="14">
        <f>IFERROR(P341/Q341,"")</f>
        <v/>
      </c>
      <c r="S341" s="15" t="n">
        <v>0.97</v>
      </c>
      <c r="T341" s="9">
        <f>IF(R341&gt;1,"A corregir","Válida")</f>
        <v/>
      </c>
      <c r="U341" s="13">
        <f>Q341-P341</f>
        <v/>
      </c>
      <c r="V341" s="13">
        <f>IF(S341="",0,S341*Q341)</f>
        <v/>
      </c>
      <c r="W341" s="9" t="n">
        <v>2026</v>
      </c>
      <c r="X341" s="9" t="n">
        <v>17</v>
      </c>
      <c r="Y341" s="9" t="inlineStr">
        <is>
          <t>2026-S17</t>
        </is>
      </c>
    </row>
    <row r="342">
      <c r="A342" s="9" t="n">
        <v>43047872</v>
      </c>
      <c r="B342" s="11" t="n">
        <v>46133.18790509259</v>
      </c>
      <c r="C342" s="12" t="n">
        <v>46133</v>
      </c>
      <c r="D342" s="9">
        <f>YEAR(C342)</f>
        <v/>
      </c>
      <c r="E342" s="9">
        <f>MONTH(C342)</f>
        <v/>
      </c>
      <c r="F342" s="9" t="inlineStr">
        <is>
          <t>B Hormigón</t>
        </is>
      </c>
      <c r="G342" s="9" t="inlineStr">
        <is>
          <t>B HORMIGON 25MM 12M A630-420H (N)</t>
        </is>
      </c>
      <c r="H342" s="9" t="inlineStr">
        <is>
          <t>B HORMIGON 25MM 12M A630-420H (N)</t>
        </is>
      </c>
      <c r="I342" s="9" t="inlineStr">
        <is>
          <t>RED 25 CR</t>
        </is>
      </c>
      <c r="J342" s="9" t="n">
        <v>110002941</v>
      </c>
      <c r="K342" s="9" t="n">
        <v>25</v>
      </c>
      <c r="L342" s="9" t="n"/>
      <c r="M342" s="9" t="n"/>
      <c r="N342" s="9" t="n"/>
      <c r="O342" s="9" t="n">
        <v>12</v>
      </c>
      <c r="P342" s="13" t="n">
        <v>151443</v>
      </c>
      <c r="Q342" s="13" t="n">
        <v>158994</v>
      </c>
      <c r="R342" s="14">
        <f>IFERROR(P342/Q342,"")</f>
        <v/>
      </c>
      <c r="S342" s="15" t="n">
        <v>0.95</v>
      </c>
      <c r="T342" s="9">
        <f>IF(R342&gt;1,"A corregir","Válida")</f>
        <v/>
      </c>
      <c r="U342" s="13">
        <f>Q342-P342</f>
        <v/>
      </c>
      <c r="V342" s="13">
        <f>IF(S342="",0,S342*Q342)</f>
        <v/>
      </c>
      <c r="W342" s="9" t="n">
        <v>2026</v>
      </c>
      <c r="X342" s="9" t="n">
        <v>17</v>
      </c>
      <c r="Y342" s="9" t="inlineStr">
        <is>
          <t>2026-S17</t>
        </is>
      </c>
    </row>
    <row r="343">
      <c r="A343" s="9" t="n">
        <v>43047873</v>
      </c>
      <c r="B343" s="11" t="n">
        <v>46133.48556712963</v>
      </c>
      <c r="C343" s="12" t="n">
        <v>46133</v>
      </c>
      <c r="D343" s="9">
        <f>YEAR(C343)</f>
        <v/>
      </c>
      <c r="E343" s="9">
        <f>MONTH(C343)</f>
        <v/>
      </c>
      <c r="F343" s="9" t="inlineStr">
        <is>
          <t>B Hormigón</t>
        </is>
      </c>
      <c r="G343" s="9" t="inlineStr">
        <is>
          <t>B HORMIGON 25MM 11M A630-420H (N)</t>
        </is>
      </c>
      <c r="H343" s="9" t="inlineStr">
        <is>
          <t>B HORMIGON 25MM 11M A630-420H (N)</t>
        </is>
      </c>
      <c r="I343" s="9" t="inlineStr">
        <is>
          <t>RED 25 CR</t>
        </is>
      </c>
      <c r="J343" s="9" t="n">
        <v>110002947</v>
      </c>
      <c r="K343" s="9" t="n">
        <v>25</v>
      </c>
      <c r="L343" s="9" t="n"/>
      <c r="M343" s="9" t="n"/>
      <c r="N343" s="9" t="n"/>
      <c r="O343" s="9" t="n">
        <v>11</v>
      </c>
      <c r="P343" s="13" t="n">
        <v>40600</v>
      </c>
      <c r="Q343" s="13" t="n">
        <v>43560</v>
      </c>
      <c r="R343" s="14">
        <f>IFERROR(P343/Q343,"")</f>
        <v/>
      </c>
      <c r="S343" s="15" t="n">
        <v>0.95</v>
      </c>
      <c r="T343" s="9">
        <f>IF(R343&gt;1,"A corregir","Válida")</f>
        <v/>
      </c>
      <c r="U343" s="13">
        <f>Q343-P343</f>
        <v/>
      </c>
      <c r="V343" s="13">
        <f>IF(S343="",0,S343*Q343)</f>
        <v/>
      </c>
      <c r="W343" s="9" t="n">
        <v>2026</v>
      </c>
      <c r="X343" s="9" t="n">
        <v>17</v>
      </c>
      <c r="Y343" s="9" t="inlineStr">
        <is>
          <t>2026-S17</t>
        </is>
      </c>
    </row>
    <row r="344">
      <c r="A344" s="9" t="n">
        <v>43047874</v>
      </c>
      <c r="B344" s="11" t="n">
        <v>46133.56597222222</v>
      </c>
      <c r="C344" s="12" t="n">
        <v>46133</v>
      </c>
      <c r="D344" s="9">
        <f>YEAR(C344)</f>
        <v/>
      </c>
      <c r="E344" s="9">
        <f>MONTH(C344)</f>
        <v/>
      </c>
      <c r="F344" s="9" t="inlineStr">
        <is>
          <t>B Hormigón</t>
        </is>
      </c>
      <c r="G344" s="9" t="inlineStr">
        <is>
          <t>B HORMIGON 25MM 10M A630-420H (N)</t>
        </is>
      </c>
      <c r="H344" s="9" t="inlineStr">
        <is>
          <t>B HORMIGON 25MM 10M A630-420H (N)</t>
        </is>
      </c>
      <c r="I344" s="9" t="inlineStr">
        <is>
          <t>RED 25 CR</t>
        </is>
      </c>
      <c r="J344" s="9" t="n">
        <v>110002943</v>
      </c>
      <c r="K344" s="9" t="n">
        <v>25</v>
      </c>
      <c r="L344" s="9" t="n"/>
      <c r="M344" s="9" t="n"/>
      <c r="N344" s="9" t="n"/>
      <c r="O344" s="9" t="n">
        <v>10</v>
      </c>
      <c r="P344" s="13" t="n">
        <v>51964</v>
      </c>
      <c r="Q344" s="13" t="n">
        <v>55756.8</v>
      </c>
      <c r="R344" s="14">
        <f>IFERROR(P344/Q344,"")</f>
        <v/>
      </c>
      <c r="S344" s="15" t="n">
        <v>0.95</v>
      </c>
      <c r="T344" s="9">
        <f>IF(R344&gt;1,"A corregir","Válida")</f>
        <v/>
      </c>
      <c r="U344" s="13">
        <f>Q344-P344</f>
        <v/>
      </c>
      <c r="V344" s="13">
        <f>IF(S344="",0,S344*Q344)</f>
        <v/>
      </c>
      <c r="W344" s="9" t="n">
        <v>2026</v>
      </c>
      <c r="X344" s="9" t="n">
        <v>17</v>
      </c>
      <c r="Y344" s="9" t="inlineStr">
        <is>
          <t>2026-S17</t>
        </is>
      </c>
    </row>
    <row r="345">
      <c r="A345" s="9" t="n">
        <v>43047875</v>
      </c>
      <c r="B345" s="11" t="n">
        <v>46133.68016203704</v>
      </c>
      <c r="C345" s="12" t="n">
        <v>46133</v>
      </c>
      <c r="D345" s="9">
        <f>YEAR(C345)</f>
        <v/>
      </c>
      <c r="E345" s="9">
        <f>MONTH(C345)</f>
        <v/>
      </c>
      <c r="F345" s="9" t="inlineStr">
        <is>
          <t>B Hormigón</t>
        </is>
      </c>
      <c r="G345" s="9" t="inlineStr">
        <is>
          <t>B HORMIGON 25MM 9M A630-420H (N)</t>
        </is>
      </c>
      <c r="H345" s="9" t="inlineStr">
        <is>
          <t>B HORMIGON 25MM 9M A630-420H (N)</t>
        </is>
      </c>
      <c r="I345" s="9" t="inlineStr">
        <is>
          <t>RED 25 CR</t>
        </is>
      </c>
      <c r="J345" s="9" t="n">
        <v>110002905</v>
      </c>
      <c r="K345" s="9" t="n">
        <v>25</v>
      </c>
      <c r="L345" s="9" t="n"/>
      <c r="M345" s="9" t="n"/>
      <c r="N345" s="9" t="n"/>
      <c r="O345" s="9" t="n">
        <v>9</v>
      </c>
      <c r="P345" s="13" t="n">
        <v>20937</v>
      </c>
      <c r="Q345" s="13" t="n">
        <v>22176</v>
      </c>
      <c r="R345" s="14">
        <f>IFERROR(P345/Q345,"")</f>
        <v/>
      </c>
      <c r="S345" s="15" t="n">
        <v>0.95</v>
      </c>
      <c r="T345" s="9">
        <f>IF(R345&gt;1,"A corregir","Válida")</f>
        <v/>
      </c>
      <c r="U345" s="13">
        <f>Q345-P345</f>
        <v/>
      </c>
      <c r="V345" s="13">
        <f>IF(S345="",0,S345*Q345)</f>
        <v/>
      </c>
      <c r="W345" s="9" t="n">
        <v>2026</v>
      </c>
      <c r="X345" s="9" t="n">
        <v>17</v>
      </c>
      <c r="Y345" s="9" t="inlineStr">
        <is>
          <t>2026-S17</t>
        </is>
      </c>
    </row>
    <row r="346">
      <c r="A346" s="9" t="n">
        <v>43047877</v>
      </c>
      <c r="B346" s="11" t="n">
        <v>46133.73888888889</v>
      </c>
      <c r="C346" s="12" t="n">
        <v>46133</v>
      </c>
      <c r="D346" s="9">
        <f>YEAR(C346)</f>
        <v/>
      </c>
      <c r="E346" s="9">
        <f>MONTH(C346)</f>
        <v/>
      </c>
      <c r="F346" s="9" t="inlineStr">
        <is>
          <t>B Hormigón</t>
        </is>
      </c>
      <c r="G346" s="9" t="inlineStr">
        <is>
          <t>B HORMIGON 25MM 12M A630-420HS (N)</t>
        </is>
      </c>
      <c r="H346" s="9" t="inlineStr">
        <is>
          <t>B HORMIGON 25MM 12M A630-420HS (N)</t>
        </is>
      </c>
      <c r="I346" s="9" t="inlineStr">
        <is>
          <t>RED 25 CR</t>
        </is>
      </c>
      <c r="J346" s="9" t="n">
        <v>110007122</v>
      </c>
      <c r="K346" s="9" t="n">
        <v>25</v>
      </c>
      <c r="L346" s="9" t="n"/>
      <c r="M346" s="9" t="n"/>
      <c r="N346" s="9" t="n"/>
      <c r="O346" s="9" t="n">
        <v>12</v>
      </c>
      <c r="P346" s="13" t="n">
        <v>36661</v>
      </c>
      <c r="Q346" s="13" t="n">
        <v>39639.6</v>
      </c>
      <c r="R346" s="14">
        <f>IFERROR(P346/Q346,"")</f>
        <v/>
      </c>
      <c r="S346" s="15" t="n">
        <v>0.95</v>
      </c>
      <c r="T346" s="9">
        <f>IF(R346&gt;1,"A corregir","Válida")</f>
        <v/>
      </c>
      <c r="U346" s="13">
        <f>Q346-P346</f>
        <v/>
      </c>
      <c r="V346" s="13">
        <f>IF(S346="",0,S346*Q346)</f>
        <v/>
      </c>
      <c r="W346" s="9" t="n">
        <v>2026</v>
      </c>
      <c r="X346" s="9" t="n">
        <v>17</v>
      </c>
      <c r="Y346" s="9" t="inlineStr">
        <is>
          <t>2026-S17</t>
        </is>
      </c>
    </row>
    <row r="347">
      <c r="A347" s="9" t="n">
        <v>43047878</v>
      </c>
      <c r="B347" s="11" t="n">
        <v>46134.00686342592</v>
      </c>
      <c r="C347" s="12" t="n">
        <v>46134</v>
      </c>
      <c r="D347" s="9">
        <f>YEAR(C347)</f>
        <v/>
      </c>
      <c r="E347" s="9">
        <f>MONTH(C347)</f>
        <v/>
      </c>
      <c r="F347" s="9" t="inlineStr">
        <is>
          <t>B Hormigón</t>
        </is>
      </c>
      <c r="G347" s="9" t="inlineStr">
        <is>
          <t>B HORMIGON R 25MM 12M A630-420HS(N)</t>
        </is>
      </c>
      <c r="H347" s="9" t="inlineStr">
        <is>
          <t>B HORMIGON R 25MM 12M A630-420HS(N)</t>
        </is>
      </c>
      <c r="I347" s="9" t="inlineStr">
        <is>
          <t>RED 25 CR</t>
        </is>
      </c>
      <c r="J347" s="9" t="n">
        <v>119506789</v>
      </c>
      <c r="K347" s="9" t="n">
        <v>25</v>
      </c>
      <c r="L347" s="9" t="n"/>
      <c r="M347" s="9" t="n"/>
      <c r="N347" s="9" t="n"/>
      <c r="O347" s="9" t="n">
        <v>12</v>
      </c>
      <c r="P347" s="13" t="n">
        <v>54152</v>
      </c>
      <c r="Q347" s="13" t="n">
        <v>57499.2</v>
      </c>
      <c r="R347" s="14">
        <f>IFERROR(P347/Q347,"")</f>
        <v/>
      </c>
      <c r="S347" s="15" t="n">
        <v>0.97</v>
      </c>
      <c r="T347" s="9">
        <f>IF(R347&gt;1,"A corregir","Válida")</f>
        <v/>
      </c>
      <c r="U347" s="13">
        <f>Q347-P347</f>
        <v/>
      </c>
      <c r="V347" s="13">
        <f>IF(S347="",0,S347*Q347)</f>
        <v/>
      </c>
      <c r="W347" s="9" t="n">
        <v>2026</v>
      </c>
      <c r="X347" s="9" t="n">
        <v>17</v>
      </c>
      <c r="Y347" s="9" t="inlineStr">
        <is>
          <t>2026-S17</t>
        </is>
      </c>
    </row>
    <row r="348">
      <c r="A348" s="9" t="n">
        <v>43047879</v>
      </c>
      <c r="B348" s="11" t="n">
        <v>46134.13659722222</v>
      </c>
      <c r="C348" s="12" t="n">
        <v>46134</v>
      </c>
      <c r="D348" s="9">
        <f>YEAR(C348)</f>
        <v/>
      </c>
      <c r="E348" s="9">
        <f>MONTH(C348)</f>
        <v/>
      </c>
      <c r="F348" s="9" t="inlineStr">
        <is>
          <t>Redondo liso</t>
        </is>
      </c>
      <c r="G348" s="9" t="inlineStr">
        <is>
          <t>BARRA TRASPASO CARGA 25MM 6,2M A630-420H</t>
        </is>
      </c>
      <c r="H348" s="9" t="inlineStr">
        <is>
          <t>BARRA TRASPASO CARGA 25MM 6,2M A630-420H</t>
        </is>
      </c>
      <c r="I348" s="9" t="inlineStr">
        <is>
          <t>RED 1</t>
        </is>
      </c>
      <c r="J348" s="9" t="n">
        <v>119507277</v>
      </c>
      <c r="K348" s="9" t="n">
        <v>25</v>
      </c>
      <c r="L348" s="9" t="n"/>
      <c r="M348" s="9" t="n"/>
      <c r="N348" s="9" t="n"/>
      <c r="O348" s="9" t="n">
        <v>6.2</v>
      </c>
      <c r="P348" s="13" t="n">
        <v>21756</v>
      </c>
      <c r="Q348" s="13" t="n">
        <v>22440</v>
      </c>
      <c r="R348" s="14">
        <f>IFERROR(P348/Q348,"")</f>
        <v/>
      </c>
      <c r="S348" s="15" t="n">
        <v>0.97</v>
      </c>
      <c r="T348" s="9">
        <f>IF(R348&gt;1,"A corregir","Válida")</f>
        <v/>
      </c>
      <c r="U348" s="13">
        <f>Q348-P348</f>
        <v/>
      </c>
      <c r="V348" s="13">
        <f>IF(S348="",0,S348*Q348)</f>
        <v/>
      </c>
      <c r="W348" s="9" t="n">
        <v>2026</v>
      </c>
      <c r="X348" s="9" t="n">
        <v>17</v>
      </c>
      <c r="Y348" s="9" t="inlineStr">
        <is>
          <t>2026-S17</t>
        </is>
      </c>
    </row>
    <row r="349">
      <c r="A349" s="9" t="n">
        <v>43047882</v>
      </c>
      <c r="B349" s="11" t="n">
        <v>46134.23649305556</v>
      </c>
      <c r="C349" s="12" t="n">
        <v>46134</v>
      </c>
      <c r="D349" s="9">
        <f>YEAR(C349)</f>
        <v/>
      </c>
      <c r="E349" s="9">
        <f>MONTH(C349)</f>
        <v/>
      </c>
      <c r="F349" s="9" t="inlineStr">
        <is>
          <t>Plana</t>
        </is>
      </c>
      <c r="G349" s="9" t="inlineStr">
        <is>
          <t>PLANA 50X6MM 6M A270ES (N)</t>
        </is>
      </c>
      <c r="H349" s="9" t="inlineStr">
        <is>
          <t>PLANA 50X6MM 6M A270ES (N)</t>
        </is>
      </c>
      <c r="I349" s="9" t="inlineStr">
        <is>
          <t>PL 50 x 6</t>
        </is>
      </c>
      <c r="J349" s="9" t="n">
        <v>109013901</v>
      </c>
      <c r="K349" s="9" t="n"/>
      <c r="L349" s="9" t="n">
        <v>50</v>
      </c>
      <c r="M349" s="9" t="n">
        <v>6</v>
      </c>
      <c r="N349" s="9" t="n"/>
      <c r="O349" s="9" t="n">
        <v>6</v>
      </c>
      <c r="P349" s="13" t="n">
        <v>82474</v>
      </c>
      <c r="Q349" s="13" t="n">
        <v>94696.8</v>
      </c>
      <c r="R349" s="14">
        <f>IFERROR(P349/Q349,"")</f>
        <v/>
      </c>
      <c r="S349" s="15" t="n">
        <v>0.96</v>
      </c>
      <c r="T349" s="9">
        <f>IF(R349&gt;1,"A corregir","Válida")</f>
        <v/>
      </c>
      <c r="U349" s="13">
        <f>Q349-P349</f>
        <v/>
      </c>
      <c r="V349" s="13">
        <f>IF(S349="",0,S349*Q349)</f>
        <v/>
      </c>
      <c r="W349" s="9" t="n">
        <v>2026</v>
      </c>
      <c r="X349" s="9" t="n">
        <v>17</v>
      </c>
      <c r="Y349" s="9" t="inlineStr">
        <is>
          <t>2026-S17</t>
        </is>
      </c>
    </row>
    <row r="350">
      <c r="A350" s="9" t="n">
        <v>43047881</v>
      </c>
      <c r="B350" s="11" t="n">
        <v>46134.6211574074</v>
      </c>
      <c r="C350" s="12" t="n">
        <v>46134</v>
      </c>
      <c r="D350" s="9">
        <f>YEAR(C350)</f>
        <v/>
      </c>
      <c r="E350" s="9">
        <f>MONTH(C350)</f>
        <v/>
      </c>
      <c r="F350" s="9" t="inlineStr">
        <is>
          <t>B Hormigón</t>
        </is>
      </c>
      <c r="G350" s="9" t="inlineStr">
        <is>
          <t>B HORMIGON R 32MM 12M A630-420HS (N)</t>
        </is>
      </c>
      <c r="H350" s="9" t="inlineStr">
        <is>
          <t>B HORMIGON R 32MM 12M A630-420HS (N)</t>
        </is>
      </c>
      <c r="I350" s="9" t="n"/>
      <c r="J350" s="9" t="n"/>
      <c r="K350" s="9" t="n">
        <v>32</v>
      </c>
      <c r="L350" s="9" t="n"/>
      <c r="M350" s="9" t="n"/>
      <c r="N350" s="9" t="n"/>
      <c r="O350" s="9" t="n">
        <v>12</v>
      </c>
      <c r="P350" s="13" t="n">
        <v>113657</v>
      </c>
      <c r="Q350" s="13" t="n">
        <v>122760</v>
      </c>
      <c r="R350" s="14">
        <f>IFERROR(P350/Q350,"")</f>
        <v/>
      </c>
      <c r="S350" s="15" t="n">
        <v>0.97</v>
      </c>
      <c r="T350" s="9">
        <f>IF(R350&gt;1,"A corregir","Válida")</f>
        <v/>
      </c>
      <c r="U350" s="13">
        <f>Q350-P350</f>
        <v/>
      </c>
      <c r="V350" s="13">
        <f>IF(S350="",0,S350*Q350)</f>
        <v/>
      </c>
      <c r="W350" s="9" t="n">
        <v>2026</v>
      </c>
      <c r="X350" s="9" t="n">
        <v>17</v>
      </c>
      <c r="Y350" s="9" t="inlineStr">
        <is>
          <t>2026-S17</t>
        </is>
      </c>
    </row>
    <row r="351">
      <c r="A351" s="9" t="n">
        <v>43047884</v>
      </c>
      <c r="B351" s="11" t="n">
        <v>46135.20284722222</v>
      </c>
      <c r="C351" s="12" t="n">
        <v>46135</v>
      </c>
      <c r="D351" s="9">
        <f>YEAR(C351)</f>
        <v/>
      </c>
      <c r="E351" s="9">
        <f>MONTH(C351)</f>
        <v/>
      </c>
      <c r="F351" s="9" t="inlineStr">
        <is>
          <t>B Hormigón</t>
        </is>
      </c>
      <c r="G351" s="9" t="inlineStr">
        <is>
          <t>B HORMIGON 18MM 12M A630-420H (N)</t>
        </is>
      </c>
      <c r="H351" s="9" t="inlineStr">
        <is>
          <t>B HORMIGON 18MM 12M A630-420H (N)</t>
        </is>
      </c>
      <c r="I351" s="9" t="inlineStr">
        <is>
          <t>RED 18 CR</t>
        </is>
      </c>
      <c r="J351" s="9" t="n">
        <v>110002938</v>
      </c>
      <c r="K351" s="9" t="n">
        <v>18</v>
      </c>
      <c r="L351" s="9" t="n"/>
      <c r="M351" s="9" t="n"/>
      <c r="N351" s="9" t="n"/>
      <c r="O351" s="9" t="n">
        <v>12</v>
      </c>
      <c r="P351" s="13" t="n">
        <v>243374</v>
      </c>
      <c r="Q351" s="13" t="n">
        <v>256264.8</v>
      </c>
      <c r="R351" s="14">
        <f>IFERROR(P351/Q351,"")</f>
        <v/>
      </c>
      <c r="S351" s="15" t="n">
        <v>0.96</v>
      </c>
      <c r="T351" s="9">
        <f>IF(R351&gt;1,"A corregir","Válida")</f>
        <v/>
      </c>
      <c r="U351" s="13">
        <f>Q351-P351</f>
        <v/>
      </c>
      <c r="V351" s="13">
        <f>IF(S351="",0,S351*Q351)</f>
        <v/>
      </c>
      <c r="W351" s="9" t="n">
        <v>2026</v>
      </c>
      <c r="X351" s="9" t="n">
        <v>17</v>
      </c>
      <c r="Y351" s="9" t="inlineStr">
        <is>
          <t>2026-S17</t>
        </is>
      </c>
    </row>
    <row r="352">
      <c r="A352" s="9" t="n">
        <v>43047886</v>
      </c>
      <c r="B352" s="11" t="n">
        <v>46135.664375</v>
      </c>
      <c r="C352" s="12" t="n">
        <v>46135</v>
      </c>
      <c r="D352" s="9">
        <f>YEAR(C352)</f>
        <v/>
      </c>
      <c r="E352" s="9">
        <f>MONTH(C352)</f>
        <v/>
      </c>
      <c r="F352" s="9" t="inlineStr">
        <is>
          <t>B Hormigón</t>
        </is>
      </c>
      <c r="G352" s="9" t="inlineStr">
        <is>
          <t>B HORMIGON 18MM 8M A630-420H (N)</t>
        </is>
      </c>
      <c r="H352" s="9" t="inlineStr">
        <is>
          <t>B HORMIGON 18MM 8M A630-420H (N)</t>
        </is>
      </c>
      <c r="I352" s="9" t="inlineStr">
        <is>
          <t>RED 18 CR</t>
        </is>
      </c>
      <c r="J352" s="9" t="n">
        <v>110002952</v>
      </c>
      <c r="K352" s="9" t="n">
        <v>18</v>
      </c>
      <c r="L352" s="9" t="n"/>
      <c r="M352" s="9" t="n"/>
      <c r="N352" s="9" t="n"/>
      <c r="O352" s="9" t="n">
        <v>8</v>
      </c>
      <c r="P352" s="13" t="n">
        <v>27312</v>
      </c>
      <c r="Q352" s="13" t="n">
        <v>28723.2</v>
      </c>
      <c r="R352" s="14">
        <f>IFERROR(P352/Q352,"")</f>
        <v/>
      </c>
      <c r="S352" s="15" t="n">
        <v>0.96</v>
      </c>
      <c r="T352" s="9">
        <f>IF(R352&gt;1,"A corregir","Válida")</f>
        <v/>
      </c>
      <c r="U352" s="13">
        <f>Q352-P352</f>
        <v/>
      </c>
      <c r="V352" s="13">
        <f>IF(S352="",0,S352*Q352)</f>
        <v/>
      </c>
      <c r="W352" s="9" t="n">
        <v>2026</v>
      </c>
      <c r="X352" s="9" t="n">
        <v>17</v>
      </c>
      <c r="Y352" s="9" t="inlineStr">
        <is>
          <t>2026-S17</t>
        </is>
      </c>
    </row>
    <row r="353">
      <c r="A353" s="9" t="n">
        <v>43047887</v>
      </c>
      <c r="B353" s="11" t="n">
        <v>46135.71356481482</v>
      </c>
      <c r="C353" s="12" t="n">
        <v>46135</v>
      </c>
      <c r="D353" s="9">
        <f>YEAR(C353)</f>
        <v/>
      </c>
      <c r="E353" s="9">
        <f>MONTH(C353)</f>
        <v/>
      </c>
      <c r="F353" s="9" t="inlineStr">
        <is>
          <t>B Hormigón</t>
        </is>
      </c>
      <c r="G353" s="9" t="inlineStr">
        <is>
          <t>B HORMIGON 18MM 7M A630-420H (N)</t>
        </is>
      </c>
      <c r="H353" s="9" t="inlineStr">
        <is>
          <t>B HORMIGON 18MM 7M A630-420H (N)</t>
        </is>
      </c>
      <c r="I353" s="9" t="inlineStr">
        <is>
          <t>RED 18 CR</t>
        </is>
      </c>
      <c r="J353" s="9" t="n">
        <v>110002940</v>
      </c>
      <c r="K353" s="9" t="n">
        <v>18</v>
      </c>
      <c r="L353" s="9" t="n"/>
      <c r="M353" s="9" t="n"/>
      <c r="N353" s="9" t="n"/>
      <c r="O353" s="9" t="n">
        <v>7</v>
      </c>
      <c r="P353" s="13" t="n">
        <v>21744</v>
      </c>
      <c r="Q353" s="13" t="n">
        <v>22888.8</v>
      </c>
      <c r="R353" s="14">
        <f>IFERROR(P353/Q353,"")</f>
        <v/>
      </c>
      <c r="S353" s="15" t="n">
        <v>0.9590000000000001</v>
      </c>
      <c r="T353" s="9">
        <f>IF(R353&gt;1,"A corregir","Válida")</f>
        <v/>
      </c>
      <c r="U353" s="13">
        <f>Q353-P353</f>
        <v/>
      </c>
      <c r="V353" s="13">
        <f>IF(S353="",0,S353*Q353)</f>
        <v/>
      </c>
      <c r="W353" s="9" t="n">
        <v>2026</v>
      </c>
      <c r="X353" s="9" t="n">
        <v>17</v>
      </c>
      <c r="Y353" s="9" t="inlineStr">
        <is>
          <t>2026-S17</t>
        </is>
      </c>
    </row>
    <row r="354">
      <c r="A354" s="9" t="n">
        <v>43047888</v>
      </c>
      <c r="B354" s="11" t="n">
        <v>46135.96924768519</v>
      </c>
      <c r="C354" s="12" t="n">
        <v>46135</v>
      </c>
      <c r="D354" s="9">
        <f>YEAR(C354)</f>
        <v/>
      </c>
      <c r="E354" s="9">
        <f>MONTH(C354)</f>
        <v/>
      </c>
      <c r="F354" s="9" t="inlineStr">
        <is>
          <t>Redondo liso</t>
        </is>
      </c>
      <c r="G354" s="9" t="inlineStr">
        <is>
          <t>REDONDO LISO 19MM 6M SAE 1020 (N)</t>
        </is>
      </c>
      <c r="H354" s="9" t="inlineStr">
        <is>
          <t>REDONDO LISO 19MM 6M SAE 1020 (N)</t>
        </is>
      </c>
      <c r="I354" s="9" t="inlineStr">
        <is>
          <t>RED 19</t>
        </is>
      </c>
      <c r="J354" s="9" t="n">
        <v>109006918</v>
      </c>
      <c r="K354" s="9" t="n">
        <v>19</v>
      </c>
      <c r="L354" s="9" t="n"/>
      <c r="M354" s="9" t="n"/>
      <c r="N354" s="9" t="n"/>
      <c r="O354" s="9" t="n">
        <v>6</v>
      </c>
      <c r="P354" s="13" t="n">
        <v>78665</v>
      </c>
      <c r="Q354" s="13" t="n">
        <v>84374.39999999999</v>
      </c>
      <c r="R354" s="14">
        <f>IFERROR(P354/Q354,"")</f>
        <v/>
      </c>
      <c r="S354" s="15" t="n">
        <v>0.9520000000000001</v>
      </c>
      <c r="T354" s="9">
        <f>IF(R354&gt;1,"A corregir","Válida")</f>
        <v/>
      </c>
      <c r="U354" s="13">
        <f>Q354-P354</f>
        <v/>
      </c>
      <c r="V354" s="13">
        <f>IF(S354="",0,S354*Q354)</f>
        <v/>
      </c>
      <c r="W354" s="9" t="n">
        <v>2026</v>
      </c>
      <c r="X354" s="9" t="n">
        <v>17</v>
      </c>
      <c r="Y354" s="9" t="inlineStr">
        <is>
          <t>2026-S17</t>
        </is>
      </c>
    </row>
    <row r="355">
      <c r="A355" s="9" t="n">
        <v>43047890</v>
      </c>
      <c r="B355" s="11" t="n">
        <v>46136.10978009259</v>
      </c>
      <c r="C355" s="12" t="n">
        <v>46136</v>
      </c>
      <c r="D355" s="9">
        <f>YEAR(C355)</f>
        <v/>
      </c>
      <c r="E355" s="9">
        <f>MONTH(C355)</f>
        <v/>
      </c>
      <c r="F355" s="9" t="inlineStr">
        <is>
          <t>Redondo liso</t>
        </is>
      </c>
      <c r="G355" s="9" t="inlineStr">
        <is>
          <t>REDONDO LISO 3/4' 6M SAE 1020 (N)</t>
        </is>
      </c>
      <c r="H355" s="9" t="inlineStr">
        <is>
          <t>REDONDO LISO 3/4' 6M SAE 1020 (N)</t>
        </is>
      </c>
      <c r="I355" s="9" t="inlineStr">
        <is>
          <t>RED 19</t>
        </is>
      </c>
      <c r="J355" s="9" t="n">
        <v>109006926</v>
      </c>
      <c r="K355" s="9" t="n">
        <v>19</v>
      </c>
      <c r="L355" s="9" t="n"/>
      <c r="M355" s="9" t="n"/>
      <c r="N355" s="9" t="n"/>
      <c r="O355" s="9" t="n">
        <v>6</v>
      </c>
      <c r="P355" s="13" t="n">
        <v>55206</v>
      </c>
      <c r="Q355" s="13" t="n">
        <v>59241.6</v>
      </c>
      <c r="R355" s="14">
        <f>IFERROR(P355/Q355,"")</f>
        <v/>
      </c>
      <c r="S355" s="15" t="n">
        <v>0.9520000000000001</v>
      </c>
      <c r="T355" s="9">
        <f>IF(R355&gt;1,"A corregir","Válida")</f>
        <v/>
      </c>
      <c r="U355" s="13">
        <f>Q355-P355</f>
        <v/>
      </c>
      <c r="V355" s="13">
        <f>IF(S355="",0,S355*Q355)</f>
        <v/>
      </c>
      <c r="W355" s="9" t="n">
        <v>2026</v>
      </c>
      <c r="X355" s="9" t="n">
        <v>17</v>
      </c>
      <c r="Y355" s="9" t="inlineStr">
        <is>
          <t>2026-S17</t>
        </is>
      </c>
    </row>
    <row r="356">
      <c r="A356" s="9" t="n">
        <v>43047889</v>
      </c>
      <c r="B356" s="11" t="n">
        <v>46136.21248842592</v>
      </c>
      <c r="C356" s="12" t="n">
        <v>46136</v>
      </c>
      <c r="D356" s="9">
        <f>YEAR(C356)</f>
        <v/>
      </c>
      <c r="E356" s="9">
        <f>MONTH(C356)</f>
        <v/>
      </c>
      <c r="F356" s="9" t="inlineStr">
        <is>
          <t>Redondo liso</t>
        </is>
      </c>
      <c r="G356" s="9" t="inlineStr">
        <is>
          <t>REDONDO LISO 3/4' 6M ASTM A 36 (N)</t>
        </is>
      </c>
      <c r="H356" s="9" t="inlineStr">
        <is>
          <t>REDONDO LISO 3/4' 6M ASTM A 36 (N)</t>
        </is>
      </c>
      <c r="I356" s="9" t="inlineStr">
        <is>
          <t>RED 19</t>
        </is>
      </c>
      <c r="J356" s="9" t="n">
        <v>109006937</v>
      </c>
      <c r="K356" s="9" t="n">
        <v>19</v>
      </c>
      <c r="L356" s="9" t="n"/>
      <c r="M356" s="9" t="n"/>
      <c r="N356" s="9" t="n"/>
      <c r="O356" s="9" t="n">
        <v>6</v>
      </c>
      <c r="P356" s="13" t="n">
        <v>46225</v>
      </c>
      <c r="Q356" s="13" t="n">
        <v>49368</v>
      </c>
      <c r="R356" s="14">
        <f>IFERROR(P356/Q356,"")</f>
        <v/>
      </c>
      <c r="S356" s="15" t="n">
        <v>0.9520000000000001</v>
      </c>
      <c r="T356" s="9">
        <f>IF(R356&gt;1,"A corregir","Válida")</f>
        <v/>
      </c>
      <c r="U356" s="13">
        <f>Q356-P356</f>
        <v/>
      </c>
      <c r="V356" s="13">
        <f>IF(S356="",0,S356*Q356)</f>
        <v/>
      </c>
      <c r="W356" s="9" t="n">
        <v>2026</v>
      </c>
      <c r="X356" s="9" t="n">
        <v>17</v>
      </c>
      <c r="Y356" s="9" t="inlineStr">
        <is>
          <t>2026-S17</t>
        </is>
      </c>
    </row>
    <row r="357">
      <c r="A357" s="9" t="n">
        <v>43047891</v>
      </c>
      <c r="B357" s="11" t="n">
        <v>46136.34052083334</v>
      </c>
      <c r="C357" s="12" t="n">
        <v>46136</v>
      </c>
      <c r="D357" s="9">
        <f>YEAR(C357)</f>
        <v/>
      </c>
      <c r="E357" s="9">
        <f>MONTH(C357)</f>
        <v/>
      </c>
      <c r="F357" s="9" t="inlineStr">
        <is>
          <t>Redondo liso</t>
        </is>
      </c>
      <c r="G357" s="9" t="inlineStr">
        <is>
          <t>REDONDO LISO 7/8' 6M SAE 1020 (N)</t>
        </is>
      </c>
      <c r="H357" s="9" t="inlineStr">
        <is>
          <t>REDONDO LISO 7/8' 6M SAE 1020 (N)</t>
        </is>
      </c>
      <c r="I357" s="9" t="inlineStr">
        <is>
          <t>RED 7/8</t>
        </is>
      </c>
      <c r="J357" s="9" t="n">
        <v>109006912</v>
      </c>
      <c r="K357" s="9" t="n">
        <v>22.2</v>
      </c>
      <c r="L357" s="9" t="n"/>
      <c r="M357" s="9" t="n"/>
      <c r="N357" s="9" t="n"/>
      <c r="O357" s="9" t="n">
        <v>6</v>
      </c>
      <c r="P357" s="13" t="n">
        <v>144186</v>
      </c>
      <c r="Q357" s="13" t="n">
        <v>152592</v>
      </c>
      <c r="R357" s="14">
        <f>IFERROR(P357/Q357,"")</f>
        <v/>
      </c>
      <c r="S357" s="15" t="n">
        <v>0.95</v>
      </c>
      <c r="T357" s="9">
        <f>IF(R357&gt;1,"A corregir","Válida")</f>
        <v/>
      </c>
      <c r="U357" s="13">
        <f>Q357-P357</f>
        <v/>
      </c>
      <c r="V357" s="13">
        <f>IF(S357="",0,S357*Q357)</f>
        <v/>
      </c>
      <c r="W357" s="9" t="n">
        <v>2026</v>
      </c>
      <c r="X357" s="9" t="n">
        <v>17</v>
      </c>
      <c r="Y357" s="9" t="inlineStr">
        <is>
          <t>2026-S17</t>
        </is>
      </c>
    </row>
    <row r="358">
      <c r="A358" s="9" t="n">
        <v>43047930</v>
      </c>
      <c r="B358" s="11" t="n">
        <v>46136.49929398148</v>
      </c>
      <c r="C358" s="12" t="n">
        <v>46136</v>
      </c>
      <c r="D358" s="9">
        <f>YEAR(C358)</f>
        <v/>
      </c>
      <c r="E358" s="9">
        <f>MONTH(C358)</f>
        <v/>
      </c>
      <c r="F358" s="9" t="inlineStr">
        <is>
          <t>Redondo liso</t>
        </is>
      </c>
      <c r="G358" s="9" t="inlineStr">
        <is>
          <t>BARRA TRASPASO CARGA 22MM 6,2M A630-420H</t>
        </is>
      </c>
      <c r="H358" s="9" t="inlineStr">
        <is>
          <t>BARRA TRASPASO CARGA 22MM 6,2M A630-420H</t>
        </is>
      </c>
      <c r="I358" s="9" t="inlineStr">
        <is>
          <t>RED 7/8</t>
        </is>
      </c>
      <c r="J358" s="9" t="n">
        <v>119506107</v>
      </c>
      <c r="K358" s="9" t="n">
        <v>22</v>
      </c>
      <c r="L358" s="9" t="n"/>
      <c r="M358" s="9" t="n"/>
      <c r="N358" s="9" t="n"/>
      <c r="O358" s="9" t="n">
        <v>6.2</v>
      </c>
      <c r="P358" s="13" t="n">
        <v>8962</v>
      </c>
      <c r="Q358" s="13" t="n">
        <v>9873.6</v>
      </c>
      <c r="R358" s="14">
        <f>IFERROR(P358/Q358,"")</f>
        <v/>
      </c>
      <c r="S358" s="15" t="n">
        <v>0.97</v>
      </c>
      <c r="T358" s="9">
        <f>IF(R358&gt;1,"A corregir","Válida")</f>
        <v/>
      </c>
      <c r="U358" s="13">
        <f>Q358-P358</f>
        <v/>
      </c>
      <c r="V358" s="13">
        <f>IF(S358="",0,S358*Q358)</f>
        <v/>
      </c>
      <c r="W358" s="9" t="n">
        <v>2026</v>
      </c>
      <c r="X358" s="9" t="n">
        <v>17</v>
      </c>
      <c r="Y358" s="9" t="inlineStr">
        <is>
          <t>2026-S17</t>
        </is>
      </c>
    </row>
    <row r="359">
      <c r="A359" s="9" t="n">
        <v>43047964</v>
      </c>
      <c r="B359" s="11" t="n">
        <v>46136.63733796297</v>
      </c>
      <c r="C359" s="12" t="n">
        <v>46136</v>
      </c>
      <c r="D359" s="9">
        <f>YEAR(C359)</f>
        <v/>
      </c>
      <c r="E359" s="9">
        <f>MONTH(C359)</f>
        <v/>
      </c>
      <c r="F359" s="9" t="inlineStr">
        <is>
          <t>Redondo liso</t>
        </is>
      </c>
      <c r="G359" s="9" t="inlineStr">
        <is>
          <t>REDONDO LISO 7/8' 6M SAE 1020 (N)</t>
        </is>
      </c>
      <c r="H359" s="9" t="inlineStr">
        <is>
          <t>REDONDO LISO 7/8' 6M SAE 1020 (N)</t>
        </is>
      </c>
      <c r="I359" s="9" t="inlineStr">
        <is>
          <t>RED 7/8</t>
        </is>
      </c>
      <c r="J359" s="9" t="n">
        <v>109006912</v>
      </c>
      <c r="K359" s="9" t="n">
        <v>22.2</v>
      </c>
      <c r="L359" s="9" t="n"/>
      <c r="M359" s="9" t="n"/>
      <c r="N359" s="9" t="n"/>
      <c r="O359" s="9" t="n">
        <v>6</v>
      </c>
      <c r="P359" s="13" t="n">
        <v>54332</v>
      </c>
      <c r="Q359" s="13" t="n">
        <v>57420</v>
      </c>
      <c r="R359" s="14">
        <f>IFERROR(P359/Q359,"")</f>
        <v/>
      </c>
      <c r="S359" s="15" t="n">
        <v>0.95</v>
      </c>
      <c r="T359" s="9">
        <f>IF(R359&gt;1,"A corregir","Válida")</f>
        <v/>
      </c>
      <c r="U359" s="13">
        <f>Q359-P359</f>
        <v/>
      </c>
      <c r="V359" s="13">
        <f>IF(S359="",0,S359*Q359)</f>
        <v/>
      </c>
      <c r="W359" s="9" t="n">
        <v>2026</v>
      </c>
      <c r="X359" s="9" t="n">
        <v>17</v>
      </c>
      <c r="Y359" s="9" t="inlineStr">
        <is>
          <t>2026-S17</t>
        </is>
      </c>
    </row>
    <row r="360">
      <c r="A360" s="9" t="n">
        <v>43047892</v>
      </c>
      <c r="B360" s="11" t="n">
        <v>46136.97355324074</v>
      </c>
      <c r="C360" s="12" t="n">
        <v>46136</v>
      </c>
      <c r="D360" s="9">
        <f>YEAR(C360)</f>
        <v/>
      </c>
      <c r="E360" s="9">
        <f>MONTH(C360)</f>
        <v/>
      </c>
      <c r="F360" s="9" t="inlineStr">
        <is>
          <t>Saferock</t>
        </is>
      </c>
      <c r="G360" s="9" t="inlineStr">
        <is>
          <t>SAFEROCK 22MM 6M A280</t>
        </is>
      </c>
      <c r="H360" s="9" t="inlineStr">
        <is>
          <t>SAFEROCK 22MM 6M A280</t>
        </is>
      </c>
      <c r="I360" s="9" t="inlineStr">
        <is>
          <t>SFRCK 22</t>
        </is>
      </c>
      <c r="J360" s="9" t="n">
        <v>106025587</v>
      </c>
      <c r="K360" s="9" t="n">
        <v>22</v>
      </c>
      <c r="L360" s="9" t="n"/>
      <c r="M360" s="9" t="n"/>
      <c r="N360" s="9" t="n"/>
      <c r="O360" s="9" t="n">
        <v>6</v>
      </c>
      <c r="P360" s="13" t="n">
        <v>58429</v>
      </c>
      <c r="Q360" s="13" t="n">
        <v>62515.2</v>
      </c>
      <c r="R360" s="14">
        <f>IFERROR(P360/Q360,"")</f>
        <v/>
      </c>
      <c r="S360" s="15" t="n">
        <v>0.9590000000000001</v>
      </c>
      <c r="T360" s="9">
        <f>IF(R360&gt;1,"A corregir","Válida")</f>
        <v/>
      </c>
      <c r="U360" s="13">
        <f>Q360-P360</f>
        <v/>
      </c>
      <c r="V360" s="13">
        <f>IF(S360="",0,S360*Q360)</f>
        <v/>
      </c>
      <c r="W360" s="9" t="n">
        <v>2026</v>
      </c>
      <c r="X360" s="9" t="n">
        <v>17</v>
      </c>
      <c r="Y360" s="9" t="inlineStr">
        <is>
          <t>2026-S17</t>
        </is>
      </c>
    </row>
    <row r="361">
      <c r="A361" s="9" t="n">
        <v>43047931</v>
      </c>
      <c r="B361" s="11" t="n">
        <v>46137.3234375</v>
      </c>
      <c r="C361" s="12" t="n">
        <v>46137</v>
      </c>
      <c r="D361" s="9">
        <f>YEAR(C361)</f>
        <v/>
      </c>
      <c r="E361" s="9">
        <f>MONTH(C361)</f>
        <v/>
      </c>
      <c r="F361" s="9" t="inlineStr">
        <is>
          <t>B Hormigón</t>
        </is>
      </c>
      <c r="G361" s="9" t="inlineStr">
        <is>
          <t>B HORMIGON 22MM 12M A630-420H (N)</t>
        </is>
      </c>
      <c r="H361" s="9" t="inlineStr">
        <is>
          <t>B HORMIGON 22MM 12M A630-420H (N)</t>
        </is>
      </c>
      <c r="I361" s="9" t="inlineStr">
        <is>
          <t>RED 22 CR</t>
        </is>
      </c>
      <c r="J361" s="9" t="n">
        <v>110002948</v>
      </c>
      <c r="K361" s="9" t="n">
        <v>22</v>
      </c>
      <c r="L361" s="9" t="n"/>
      <c r="M361" s="9" t="n"/>
      <c r="N361" s="9" t="n"/>
      <c r="O361" s="9" t="n">
        <v>12</v>
      </c>
      <c r="P361" s="13" t="n">
        <v>356592</v>
      </c>
      <c r="Q361" s="13" t="n">
        <v>372781.2</v>
      </c>
      <c r="R361" s="14">
        <f>IFERROR(P361/Q361,"")</f>
        <v/>
      </c>
      <c r="S361" s="15" t="n">
        <v>0.9740000000000001</v>
      </c>
      <c r="T361" s="9">
        <f>IF(R361&gt;1,"A corregir","Válida")</f>
        <v/>
      </c>
      <c r="U361" s="13">
        <f>Q361-P361</f>
        <v/>
      </c>
      <c r="V361" s="13">
        <f>IF(S361="",0,S361*Q361)</f>
        <v/>
      </c>
      <c r="W361" s="9" t="n">
        <v>2026</v>
      </c>
      <c r="X361" s="9" t="n">
        <v>17</v>
      </c>
      <c r="Y361" s="9" t="inlineStr">
        <is>
          <t>2026-S17</t>
        </is>
      </c>
    </row>
    <row r="362">
      <c r="A362" s="9" t="n">
        <v>43047932</v>
      </c>
      <c r="B362" s="11" t="n">
        <v>46138.0180787037</v>
      </c>
      <c r="C362" s="12" t="n">
        <v>46138</v>
      </c>
      <c r="D362" s="9">
        <f>YEAR(C362)</f>
        <v/>
      </c>
      <c r="E362" s="9">
        <f>MONTH(C362)</f>
        <v/>
      </c>
      <c r="F362" s="9" t="inlineStr">
        <is>
          <t>B Hormigón</t>
        </is>
      </c>
      <c r="G362" s="9" t="inlineStr">
        <is>
          <t>B HORMIGON 22MM 11M A630-420H (N)</t>
        </is>
      </c>
      <c r="H362" s="9" t="inlineStr">
        <is>
          <t>B HORMIGON 22MM 11M A630-420H (N)</t>
        </is>
      </c>
      <c r="I362" s="9" t="inlineStr">
        <is>
          <t>RED 22 CR</t>
        </is>
      </c>
      <c r="J362" s="9" t="n">
        <v>110002949</v>
      </c>
      <c r="K362" s="9" t="n">
        <v>22</v>
      </c>
      <c r="L362" s="9" t="n"/>
      <c r="M362" s="9" t="n"/>
      <c r="N362" s="9" t="n"/>
      <c r="O362" s="9" t="n">
        <v>11</v>
      </c>
      <c r="P362" s="13" t="n">
        <v>75717</v>
      </c>
      <c r="Q362" s="13" t="n">
        <v>79384.8</v>
      </c>
      <c r="R362" s="14">
        <f>IFERROR(P362/Q362,"")</f>
        <v/>
      </c>
      <c r="S362" s="15" t="n">
        <v>0.9740000000000001</v>
      </c>
      <c r="T362" s="9">
        <f>IF(R362&gt;1,"A corregir","Válida")</f>
        <v/>
      </c>
      <c r="U362" s="13">
        <f>Q362-P362</f>
        <v/>
      </c>
      <c r="V362" s="13">
        <f>IF(S362="",0,S362*Q362)</f>
        <v/>
      </c>
      <c r="W362" s="9" t="n">
        <v>2026</v>
      </c>
      <c r="X362" s="9" t="n">
        <v>17</v>
      </c>
      <c r="Y362" s="9" t="inlineStr">
        <is>
          <t>2026-S17</t>
        </is>
      </c>
    </row>
    <row r="363">
      <c r="A363" s="9" t="n">
        <v>43047933</v>
      </c>
      <c r="B363" s="11" t="n">
        <v>46138.15724537037</v>
      </c>
      <c r="C363" s="12" t="n">
        <v>46138</v>
      </c>
      <c r="D363" s="9">
        <f>YEAR(C363)</f>
        <v/>
      </c>
      <c r="E363" s="9">
        <f>MONTH(C363)</f>
        <v/>
      </c>
      <c r="F363" s="9" t="inlineStr">
        <is>
          <t>B Hormigón</t>
        </is>
      </c>
      <c r="G363" s="9" t="inlineStr">
        <is>
          <t>B HORMIGON 22MM 10M A630-420H (N)</t>
        </is>
      </c>
      <c r="H363" s="9" t="inlineStr">
        <is>
          <t>B HORMIGON 22MM 10M A630-420H (N)</t>
        </is>
      </c>
      <c r="I363" s="9" t="inlineStr">
        <is>
          <t>RED 22 CR</t>
        </is>
      </c>
      <c r="J363" s="9" t="n">
        <v>110002950</v>
      </c>
      <c r="K363" s="9" t="n">
        <v>22</v>
      </c>
      <c r="L363" s="9" t="n"/>
      <c r="M363" s="9" t="n"/>
      <c r="N363" s="9" t="n"/>
      <c r="O363" s="9" t="n">
        <v>10</v>
      </c>
      <c r="P363" s="13" t="n">
        <v>109170</v>
      </c>
      <c r="Q363" s="13" t="n">
        <v>114998.4</v>
      </c>
      <c r="R363" s="14">
        <f>IFERROR(P363/Q363,"")</f>
        <v/>
      </c>
      <c r="S363" s="15" t="n">
        <v>0.9740000000000001</v>
      </c>
      <c r="T363" s="9">
        <f>IF(R363&gt;1,"A corregir","Válida")</f>
        <v/>
      </c>
      <c r="U363" s="13">
        <f>Q363-P363</f>
        <v/>
      </c>
      <c r="V363" s="13">
        <f>IF(S363="",0,S363*Q363)</f>
        <v/>
      </c>
      <c r="W363" s="9" t="n">
        <v>2026</v>
      </c>
      <c r="X363" s="9" t="n">
        <v>17</v>
      </c>
      <c r="Y363" s="9" t="inlineStr">
        <is>
          <t>2026-S17</t>
        </is>
      </c>
    </row>
    <row r="364">
      <c r="A364" s="9" t="n">
        <v>43047934</v>
      </c>
      <c r="B364" s="11" t="n">
        <v>46139.1071875</v>
      </c>
      <c r="C364" s="12" t="n">
        <v>46139</v>
      </c>
      <c r="D364" s="9">
        <f>YEAR(C364)</f>
        <v/>
      </c>
      <c r="E364" s="9">
        <f>MONTH(C364)</f>
        <v/>
      </c>
      <c r="F364" s="9" t="inlineStr">
        <is>
          <t>B Hormigón</t>
        </is>
      </c>
      <c r="G364" s="9" t="inlineStr">
        <is>
          <t>B HORMIGON 22MM 9M A630-420H (N)</t>
        </is>
      </c>
      <c r="H364" s="9" t="inlineStr">
        <is>
          <t>B HORMIGON 22MM 9M A630-420H (N)</t>
        </is>
      </c>
      <c r="I364" s="9" t="inlineStr">
        <is>
          <t>RED 22 CR</t>
        </is>
      </c>
      <c r="J364" s="9" t="n">
        <v>110002944</v>
      </c>
      <c r="K364" s="9" t="n">
        <v>22</v>
      </c>
      <c r="L364" s="9" t="n"/>
      <c r="M364" s="9" t="n"/>
      <c r="N364" s="9" t="n"/>
      <c r="O364" s="9" t="n">
        <v>9</v>
      </c>
      <c r="P364" s="13" t="n">
        <v>170115</v>
      </c>
      <c r="Q364" s="13" t="n">
        <v>179071.2</v>
      </c>
      <c r="R364" s="14">
        <f>IFERROR(P364/Q364,"")</f>
        <v/>
      </c>
      <c r="S364" s="15" t="n">
        <v>0.9740000000000001</v>
      </c>
      <c r="T364" s="9">
        <f>IF(R364&gt;1,"A corregir","Válida")</f>
        <v/>
      </c>
      <c r="U364" s="13">
        <f>Q364-P364</f>
        <v/>
      </c>
      <c r="V364" s="13">
        <f>IF(S364="",0,S364*Q364)</f>
        <v/>
      </c>
      <c r="W364" s="9" t="n">
        <v>2026</v>
      </c>
      <c r="X364" s="9" t="n">
        <v>18</v>
      </c>
      <c r="Y364" s="9" t="inlineStr">
        <is>
          <t>2026-S18</t>
        </is>
      </c>
    </row>
    <row r="365">
      <c r="A365" s="9" t="n">
        <v>43047935</v>
      </c>
      <c r="B365" s="11" t="n">
        <v>46139.28811342592</v>
      </c>
      <c r="C365" s="12" t="n">
        <v>46139</v>
      </c>
      <c r="D365" s="9">
        <f>YEAR(C365)</f>
        <v/>
      </c>
      <c r="E365" s="9">
        <f>MONTH(C365)</f>
        <v/>
      </c>
      <c r="F365" s="9" t="inlineStr">
        <is>
          <t>B Hormigón</t>
        </is>
      </c>
      <c r="G365" s="9" t="inlineStr">
        <is>
          <t>B HORMIGON 22MM 8M A630-420H (N)</t>
        </is>
      </c>
      <c r="H365" s="9" t="inlineStr">
        <is>
          <t>B HORMIGON 22MM 8M A630-420H (N)</t>
        </is>
      </c>
      <c r="I365" s="9" t="inlineStr">
        <is>
          <t>RED 22 CR</t>
        </is>
      </c>
      <c r="J365" s="9" t="n">
        <v>110002945</v>
      </c>
      <c r="K365" s="9" t="n">
        <v>22</v>
      </c>
      <c r="L365" s="9" t="n"/>
      <c r="M365" s="9" t="n"/>
      <c r="N365" s="9" t="n"/>
      <c r="O365" s="9" t="n">
        <v>8</v>
      </c>
      <c r="P365" s="13" t="n">
        <v>38878</v>
      </c>
      <c r="Q365" s="13" t="n">
        <v>40788</v>
      </c>
      <c r="R365" s="14">
        <f>IFERROR(P365/Q365,"")</f>
        <v/>
      </c>
      <c r="S365" s="15" t="n">
        <v>0.9740000000000001</v>
      </c>
      <c r="T365" s="9">
        <f>IF(R365&gt;1,"A corregir","Válida")</f>
        <v/>
      </c>
      <c r="U365" s="13">
        <f>Q365-P365</f>
        <v/>
      </c>
      <c r="V365" s="13">
        <f>IF(S365="",0,S365*Q365)</f>
        <v/>
      </c>
      <c r="W365" s="9" t="n">
        <v>2026</v>
      </c>
      <c r="X365" s="9" t="n">
        <v>18</v>
      </c>
      <c r="Y365" s="9" t="inlineStr">
        <is>
          <t>2026-S18</t>
        </is>
      </c>
    </row>
    <row r="366">
      <c r="A366" s="9" t="n">
        <v>43047936</v>
      </c>
      <c r="B366" s="11" t="n">
        <v>46139.36557870371</v>
      </c>
      <c r="C366" s="12" t="n">
        <v>46139</v>
      </c>
      <c r="D366" s="9">
        <f>YEAR(C366)</f>
        <v/>
      </c>
      <c r="E366" s="9">
        <f>MONTH(C366)</f>
        <v/>
      </c>
      <c r="F366" s="9" t="inlineStr">
        <is>
          <t>B Hormigón</t>
        </is>
      </c>
      <c r="G366" s="9" t="inlineStr">
        <is>
          <t>B HORMIGON 22MM 7M A630-420H (N)</t>
        </is>
      </c>
      <c r="H366" s="9" t="inlineStr">
        <is>
          <t>B HORMIGON 22MM 7M A630-420H (N)</t>
        </is>
      </c>
      <c r="I366" s="9" t="inlineStr">
        <is>
          <t>RED 22 CR</t>
        </is>
      </c>
      <c r="J366" s="9" t="n">
        <v>110002946</v>
      </c>
      <c r="K366" s="9" t="n">
        <v>22</v>
      </c>
      <c r="L366" s="9" t="n"/>
      <c r="M366" s="9" t="n"/>
      <c r="N366" s="9" t="n"/>
      <c r="O366" s="9" t="n">
        <v>7</v>
      </c>
      <c r="P366" s="13" t="n">
        <v>31038</v>
      </c>
      <c r="Q366" s="13" t="n">
        <v>32670</v>
      </c>
      <c r="R366" s="14">
        <f>IFERROR(P366/Q366,"")</f>
        <v/>
      </c>
      <c r="S366" s="15" t="n">
        <v>0.9740000000000001</v>
      </c>
      <c r="T366" s="9">
        <f>IF(R366&gt;1,"A corregir","Válida")</f>
        <v/>
      </c>
      <c r="U366" s="13">
        <f>Q366-P366</f>
        <v/>
      </c>
      <c r="V366" s="13">
        <f>IF(S366="",0,S366*Q366)</f>
        <v/>
      </c>
      <c r="W366" s="9" t="n">
        <v>2026</v>
      </c>
      <c r="X366" s="9" t="n">
        <v>18</v>
      </c>
      <c r="Y366" s="9" t="inlineStr">
        <is>
          <t>2026-S18</t>
        </is>
      </c>
    </row>
    <row r="367">
      <c r="A367" s="9" t="n">
        <v>43047937</v>
      </c>
      <c r="B367" s="11" t="n">
        <v>46139.42159722222</v>
      </c>
      <c r="C367" s="12" t="n">
        <v>46139</v>
      </c>
      <c r="D367" s="9">
        <f>YEAR(C367)</f>
        <v/>
      </c>
      <c r="E367" s="9">
        <f>MONTH(C367)</f>
        <v/>
      </c>
      <c r="F367" s="9" t="inlineStr">
        <is>
          <t>B Hormigón</t>
        </is>
      </c>
      <c r="G367" s="9" t="inlineStr">
        <is>
          <t>B HORMIGON 22MM 6M A630-420H (N)</t>
        </is>
      </c>
      <c r="H367" s="9" t="inlineStr">
        <is>
          <t>B HORMIGON 22MM 6M A630-420H (N)</t>
        </is>
      </c>
      <c r="I367" s="9" t="inlineStr">
        <is>
          <t>RED 22 CR</t>
        </is>
      </c>
      <c r="J367" s="9" t="n">
        <v>110002953</v>
      </c>
      <c r="K367" s="9" t="n">
        <v>22</v>
      </c>
      <c r="L367" s="9" t="n"/>
      <c r="M367" s="9" t="n"/>
      <c r="N367" s="9" t="n"/>
      <c r="O367" s="9" t="n">
        <v>6</v>
      </c>
      <c r="P367" s="13" t="n">
        <v>36452</v>
      </c>
      <c r="Q367" s="13" t="n">
        <v>38055.6</v>
      </c>
      <c r="R367" s="14">
        <f>IFERROR(P367/Q367,"")</f>
        <v/>
      </c>
      <c r="S367" s="15" t="n">
        <v>0.9740000000000001</v>
      </c>
      <c r="T367" s="9">
        <f>IF(R367&gt;1,"A corregir","Válida")</f>
        <v/>
      </c>
      <c r="U367" s="13">
        <f>Q367-P367</f>
        <v/>
      </c>
      <c r="V367" s="13">
        <f>IF(S367="",0,S367*Q367)</f>
        <v/>
      </c>
      <c r="W367" s="9" t="n">
        <v>2026</v>
      </c>
      <c r="X367" s="9" t="n">
        <v>18</v>
      </c>
      <c r="Y367" s="9" t="inlineStr">
        <is>
          <t>2026-S18</t>
        </is>
      </c>
    </row>
    <row r="368">
      <c r="A368" s="9" t="n">
        <v>43047938</v>
      </c>
      <c r="B368" s="11" t="n">
        <v>46139.50728009259</v>
      </c>
      <c r="C368" s="12" t="n">
        <v>46139</v>
      </c>
      <c r="D368" s="9">
        <f>YEAR(C368)</f>
        <v/>
      </c>
      <c r="E368" s="9">
        <f>MONTH(C368)</f>
        <v/>
      </c>
      <c r="F368" s="9" t="inlineStr">
        <is>
          <t>B Hormigón</t>
        </is>
      </c>
      <c r="G368" s="9" t="inlineStr">
        <is>
          <t>B HORMIGON 22MM 12M A630-420HS (N)</t>
        </is>
      </c>
      <c r="H368" s="9" t="inlineStr">
        <is>
          <t>B HORMIGON 22MM 12M A630-420HS (N)</t>
        </is>
      </c>
      <c r="I368" s="9" t="inlineStr">
        <is>
          <t>RED 22 CR</t>
        </is>
      </c>
      <c r="J368" s="9" t="n">
        <v>110007121</v>
      </c>
      <c r="K368" s="9" t="n">
        <v>22</v>
      </c>
      <c r="L368" s="9" t="n"/>
      <c r="M368" s="9" t="n"/>
      <c r="N368" s="9" t="n"/>
      <c r="O368" s="9" t="n">
        <v>12</v>
      </c>
      <c r="P368" s="13" t="n">
        <v>68971</v>
      </c>
      <c r="Q368" s="13" t="n">
        <v>73246.8</v>
      </c>
      <c r="R368" s="14">
        <f>IFERROR(P368/Q368,"")</f>
        <v/>
      </c>
      <c r="S368" s="15" t="n">
        <v>0.97</v>
      </c>
      <c r="T368" s="9">
        <f>IF(R368&gt;1,"A corregir","Válida")</f>
        <v/>
      </c>
      <c r="U368" s="13">
        <f>Q368-P368</f>
        <v/>
      </c>
      <c r="V368" s="13">
        <f>IF(S368="",0,S368*Q368)</f>
        <v/>
      </c>
      <c r="W368" s="9" t="n">
        <v>2026</v>
      </c>
      <c r="X368" s="9" t="n">
        <v>18</v>
      </c>
      <c r="Y368" s="9" t="inlineStr">
        <is>
          <t>2026-S18</t>
        </is>
      </c>
    </row>
    <row r="369">
      <c r="A369" s="9" t="n">
        <v>43047958</v>
      </c>
      <c r="B369" s="11" t="n">
        <v>46139.98782407407</v>
      </c>
      <c r="C369" s="12" t="n">
        <v>46139</v>
      </c>
      <c r="D369" s="9">
        <f>YEAR(C369)</f>
        <v/>
      </c>
      <c r="E369" s="9">
        <f>MONTH(C369)</f>
        <v/>
      </c>
      <c r="F369" s="9" t="inlineStr">
        <is>
          <t>Ángulo</t>
        </is>
      </c>
      <c r="G369" s="9" t="inlineStr">
        <is>
          <t>ANGULO 40X40X3MM A270ES</t>
        </is>
      </c>
      <c r="H369" s="9" t="inlineStr">
        <is>
          <t>ANGULO SEMI 40X40X3MM A270ES</t>
        </is>
      </c>
      <c r="I369" s="9" t="inlineStr">
        <is>
          <t>ANG 40 x 3</t>
        </is>
      </c>
      <c r="J369" s="9" t="n">
        <v>106501033</v>
      </c>
      <c r="K369" s="9" t="n"/>
      <c r="L369" s="9" t="n">
        <v>40</v>
      </c>
      <c r="M369" s="9" t="n">
        <v>3</v>
      </c>
      <c r="N369" s="9" t="n"/>
      <c r="O369" s="9" t="n">
        <v>6</v>
      </c>
      <c r="P369" s="13" t="n">
        <v>280639</v>
      </c>
      <c r="Q369" s="13" t="n">
        <v>298003.2</v>
      </c>
      <c r="R369" s="14">
        <f>IFERROR(P369/Q369,"")</f>
        <v/>
      </c>
      <c r="S369" s="15" t="n">
        <v>0.9570000000000001</v>
      </c>
      <c r="T369" s="9">
        <f>IF(R369&gt;1,"A corregir","Válida")</f>
        <v/>
      </c>
      <c r="U369" s="13">
        <f>Q369-P369</f>
        <v/>
      </c>
      <c r="V369" s="13">
        <f>IF(S369="",0,S369*Q369)</f>
        <v/>
      </c>
      <c r="W369" s="9" t="n">
        <v>2026</v>
      </c>
      <c r="X369" s="9" t="n">
        <v>18</v>
      </c>
      <c r="Y369" s="9" t="inlineStr">
        <is>
          <t>2026-S18</t>
        </is>
      </c>
    </row>
    <row r="370">
      <c r="A370" s="9" t="n">
        <v>43047974</v>
      </c>
      <c r="B370" s="11" t="n">
        <v>46140.77131944444</v>
      </c>
      <c r="C370" s="12" t="n">
        <v>46140</v>
      </c>
      <c r="D370" s="9">
        <f>YEAR(C370)</f>
        <v/>
      </c>
      <c r="E370" s="9">
        <f>MONTH(C370)</f>
        <v/>
      </c>
      <c r="F370" s="9" t="inlineStr">
        <is>
          <t>Saferock</t>
        </is>
      </c>
      <c r="G370" s="9" t="inlineStr">
        <is>
          <t>SAFEROCK 22MM 12M A280</t>
        </is>
      </c>
      <c r="H370" s="9" t="inlineStr">
        <is>
          <t>SAFEROCK 22MM 12M A280</t>
        </is>
      </c>
      <c r="I370" s="9" t="inlineStr">
        <is>
          <t>SFRCK 22</t>
        </is>
      </c>
      <c r="J370" s="9" t="n">
        <v>106025569</v>
      </c>
      <c r="K370" s="9" t="n">
        <v>22</v>
      </c>
      <c r="L370" s="9" t="n"/>
      <c r="M370" s="9" t="n"/>
      <c r="N370" s="9" t="n"/>
      <c r="O370" s="9" t="n">
        <v>12</v>
      </c>
      <c r="P370" s="13" t="n">
        <v>95184</v>
      </c>
      <c r="Q370" s="13" t="n">
        <v>100953.6</v>
      </c>
      <c r="R370" s="14">
        <f>IFERROR(P370/Q370,"")</f>
        <v/>
      </c>
      <c r="S370" s="15" t="n">
        <v>0.9590000000000001</v>
      </c>
      <c r="T370" s="9">
        <f>IF(R370&gt;1,"A corregir","Válida")</f>
        <v/>
      </c>
      <c r="U370" s="13">
        <f>Q370-P370</f>
        <v/>
      </c>
      <c r="V370" s="13">
        <f>IF(S370="",0,S370*Q370)</f>
        <v/>
      </c>
      <c r="W370" s="9" t="n">
        <v>2026</v>
      </c>
      <c r="X370" s="9" t="n">
        <v>18</v>
      </c>
      <c r="Y370" s="9" t="inlineStr">
        <is>
          <t>2026-S18</t>
        </is>
      </c>
    </row>
    <row r="371">
      <c r="A371" s="9" t="n">
        <v>43047959</v>
      </c>
      <c r="B371" s="11" t="n">
        <v>46140.97016203704</v>
      </c>
      <c r="C371" s="12" t="n">
        <v>46140</v>
      </c>
      <c r="D371" s="9">
        <f>YEAR(C371)</f>
        <v/>
      </c>
      <c r="E371" s="9">
        <f>MONTH(C371)</f>
        <v/>
      </c>
      <c r="F371" s="9" t="inlineStr">
        <is>
          <t>Plana</t>
        </is>
      </c>
      <c r="G371" s="9" t="inlineStr">
        <is>
          <t>PLANA 50X12MM 6M A270ES</t>
        </is>
      </c>
      <c r="H371" s="9" t="inlineStr">
        <is>
          <t>PLANA 50X12MM 6M A270ES</t>
        </is>
      </c>
      <c r="I371" s="9" t="inlineStr">
        <is>
          <t>Pl 50 x 12</t>
        </is>
      </c>
      <c r="J371" s="9" t="n">
        <v>109014933</v>
      </c>
      <c r="K371" s="9" t="n"/>
      <c r="L371" s="9" t="n">
        <v>50</v>
      </c>
      <c r="M371" s="9" t="n">
        <v>12</v>
      </c>
      <c r="N371" s="9" t="n"/>
      <c r="O371" s="9" t="n">
        <v>6</v>
      </c>
      <c r="P371" s="13" t="n">
        <v>35826</v>
      </c>
      <c r="Q371" s="13" t="n">
        <v>38596.8</v>
      </c>
      <c r="R371" s="14">
        <f>IFERROR(P371/Q371,"")</f>
        <v/>
      </c>
      <c r="S371" s="15" t="n">
        <v>0.951</v>
      </c>
      <c r="T371" s="9">
        <f>IF(R371&gt;1,"A corregir","Válida")</f>
        <v/>
      </c>
      <c r="U371" s="13">
        <f>Q371-P371</f>
        <v/>
      </c>
      <c r="V371" s="13">
        <f>IF(S371="",0,S371*Q371)</f>
        <v/>
      </c>
      <c r="W371" s="9" t="n">
        <v>2026</v>
      </c>
      <c r="X371" s="9" t="n">
        <v>18</v>
      </c>
      <c r="Y371" s="9" t="inlineStr">
        <is>
          <t>2026-S18</t>
        </is>
      </c>
    </row>
    <row r="372">
      <c r="A372" s="9" t="n">
        <v>43047960</v>
      </c>
      <c r="B372" s="11" t="n">
        <v>46141.05016203703</v>
      </c>
      <c r="C372" s="12" t="n">
        <v>46141</v>
      </c>
      <c r="D372" s="9">
        <f>YEAR(C372)</f>
        <v/>
      </c>
      <c r="E372" s="9">
        <f>MONTH(C372)</f>
        <v/>
      </c>
      <c r="F372" s="9" t="inlineStr">
        <is>
          <t>Plana</t>
        </is>
      </c>
      <c r="G372" s="9" t="inlineStr">
        <is>
          <t>PLANA 50X10MM 6M A270ES (N)</t>
        </is>
      </c>
      <c r="H372" s="9" t="inlineStr">
        <is>
          <t>PLANA 50X10MM 6M A270ES (N)</t>
        </is>
      </c>
      <c r="I372" s="9" t="inlineStr">
        <is>
          <t>PL 50 x 10</t>
        </is>
      </c>
      <c r="J372" s="9" t="n">
        <v>109013905</v>
      </c>
      <c r="K372" s="9" t="n"/>
      <c r="L372" s="9" t="n">
        <v>50</v>
      </c>
      <c r="M372" s="9" t="n">
        <v>10</v>
      </c>
      <c r="N372" s="9" t="n"/>
      <c r="O372" s="9" t="n">
        <v>6</v>
      </c>
      <c r="P372" s="13" t="n">
        <v>121702</v>
      </c>
      <c r="Q372" s="13" t="n">
        <v>128356.8</v>
      </c>
      <c r="R372" s="14">
        <f>IFERROR(P372/Q372,"")</f>
        <v/>
      </c>
      <c r="S372" s="15" t="n">
        <v>0.9540000000000001</v>
      </c>
      <c r="T372" s="9">
        <f>IF(R372&gt;1,"A corregir","Válida")</f>
        <v/>
      </c>
      <c r="U372" s="13">
        <f>Q372-P372</f>
        <v/>
      </c>
      <c r="V372" s="13">
        <f>IF(S372="",0,S372*Q372)</f>
        <v/>
      </c>
      <c r="W372" s="9" t="n">
        <v>2026</v>
      </c>
      <c r="X372" s="9" t="n">
        <v>18</v>
      </c>
      <c r="Y372" s="9" t="inlineStr">
        <is>
          <t>2026-S18</t>
        </is>
      </c>
    </row>
    <row r="373">
      <c r="A373" s="9" t="n">
        <v>43047961</v>
      </c>
      <c r="B373" s="11" t="n">
        <v>46141.3744212963</v>
      </c>
      <c r="C373" s="12" t="n">
        <v>46141</v>
      </c>
      <c r="D373" s="9">
        <f>YEAR(C373)</f>
        <v/>
      </c>
      <c r="E373" s="9">
        <f>MONTH(C373)</f>
        <v/>
      </c>
      <c r="F373" s="9" t="inlineStr">
        <is>
          <t>Plana</t>
        </is>
      </c>
      <c r="G373" s="9" t="inlineStr">
        <is>
          <t>PLANA 63X8MM 6M A270ES (N)</t>
        </is>
      </c>
      <c r="H373" s="9" t="inlineStr">
        <is>
          <t>PLANA 63X8MM 6M A270ES (N)</t>
        </is>
      </c>
      <c r="I373" s="9" t="inlineStr">
        <is>
          <t>PL 63 x 8</t>
        </is>
      </c>
      <c r="J373" s="9" t="n">
        <v>109013944</v>
      </c>
      <c r="K373" s="9" t="n"/>
      <c r="L373" s="9" t="n">
        <v>63</v>
      </c>
      <c r="M373" s="9" t="n">
        <v>8</v>
      </c>
      <c r="N373" s="9" t="n"/>
      <c r="O373" s="9" t="n">
        <v>6</v>
      </c>
      <c r="P373" s="13" t="n">
        <v>115864</v>
      </c>
      <c r="Q373" s="13" t="n">
        <v>129254.4</v>
      </c>
      <c r="R373" s="14">
        <f>IFERROR(P373/Q373,"")</f>
        <v/>
      </c>
      <c r="S373" s="15" t="n">
        <v>0.955</v>
      </c>
      <c r="T373" s="9">
        <f>IF(R373&gt;1,"A corregir","Válida")</f>
        <v/>
      </c>
      <c r="U373" s="13">
        <f>Q373-P373</f>
        <v/>
      </c>
      <c r="V373" s="13">
        <f>IF(S373="",0,S373*Q373)</f>
        <v/>
      </c>
      <c r="W373" s="9" t="n">
        <v>2026</v>
      </c>
      <c r="X373" s="9" t="n">
        <v>18</v>
      </c>
      <c r="Y373" s="9" t="inlineStr">
        <is>
          <t>2026-S18</t>
        </is>
      </c>
    </row>
    <row r="374">
      <c r="A374" s="9" t="n">
        <v>43047962</v>
      </c>
      <c r="B374" s="11" t="n">
        <v>46141.98123842593</v>
      </c>
      <c r="C374" s="12" t="n">
        <v>46141</v>
      </c>
      <c r="D374" s="9">
        <f>YEAR(C374)</f>
        <v/>
      </c>
      <c r="E374" s="9">
        <f>MONTH(C374)</f>
        <v/>
      </c>
      <c r="F374" s="9" t="inlineStr">
        <is>
          <t>Ángulo</t>
        </is>
      </c>
      <c r="G374" s="9" t="inlineStr">
        <is>
          <t>ANGULO 50X50X5MM A270ES</t>
        </is>
      </c>
      <c r="H374" s="9" t="inlineStr">
        <is>
          <t>ANGULO SEMI 50X50X5MM A270ES</t>
        </is>
      </c>
      <c r="I374" s="9" t="inlineStr">
        <is>
          <t>ANG 50 x 5</t>
        </is>
      </c>
      <c r="J374" s="9" t="n">
        <v>106501037</v>
      </c>
      <c r="K374" s="9" t="n"/>
      <c r="L374" s="9" t="n">
        <v>50</v>
      </c>
      <c r="M374" s="9" t="n">
        <v>5</v>
      </c>
      <c r="N374" s="9" t="n"/>
      <c r="O374" s="9" t="n">
        <v>6</v>
      </c>
      <c r="P374" s="13" t="n">
        <v>57269</v>
      </c>
      <c r="Q374" s="13" t="n">
        <v>63280.8</v>
      </c>
      <c r="R374" s="14">
        <f>IFERROR(P374/Q374,"")</f>
        <v/>
      </c>
      <c r="S374" s="15" t="n">
        <v>0.948</v>
      </c>
      <c r="T374" s="9">
        <f>IF(R374&gt;1,"A corregir","Válida")</f>
        <v/>
      </c>
      <c r="U374" s="13">
        <f>Q374-P374</f>
        <v/>
      </c>
      <c r="V374" s="13">
        <f>IF(S374="",0,S374*Q374)</f>
        <v/>
      </c>
      <c r="W374" s="9" t="n">
        <v>2026</v>
      </c>
      <c r="X374" s="9" t="n">
        <v>18</v>
      </c>
      <c r="Y374" s="9" t="inlineStr">
        <is>
          <t>2026-S18</t>
        </is>
      </c>
    </row>
    <row r="375">
      <c r="A375" s="9" t="n">
        <v>43047963</v>
      </c>
      <c r="B375" s="11" t="n">
        <v>46142.15710648148</v>
      </c>
      <c r="C375" s="12" t="n">
        <v>46142</v>
      </c>
      <c r="D375" s="9">
        <f>YEAR(C375)</f>
        <v/>
      </c>
      <c r="E375" s="9">
        <f>MONTH(C375)</f>
        <v/>
      </c>
      <c r="F375" s="9" t="inlineStr">
        <is>
          <t>Ángulo</t>
        </is>
      </c>
      <c r="G375" s="9" t="inlineStr">
        <is>
          <t>ANGULO 50X50X3MM A270ES</t>
        </is>
      </c>
      <c r="H375" s="9" t="inlineStr">
        <is>
          <t>ANGULO SEMI 50X50X3MM A270ES</t>
        </is>
      </c>
      <c r="I375" s="9" t="inlineStr">
        <is>
          <t>ANG 50 x 3</t>
        </is>
      </c>
      <c r="J375" s="9" t="n">
        <v>106501038</v>
      </c>
      <c r="K375" s="9" t="n"/>
      <c r="L375" s="9" t="n">
        <v>50</v>
      </c>
      <c r="M375" s="9" t="n">
        <v>3</v>
      </c>
      <c r="N375" s="9" t="n"/>
      <c r="O375" s="9" t="n">
        <v>6</v>
      </c>
      <c r="P375" s="13" t="n">
        <v>220339</v>
      </c>
      <c r="Q375" s="13" t="n">
        <v>232029.6</v>
      </c>
      <c r="R375" s="14">
        <f>IFERROR(P375/Q375,"")</f>
        <v/>
      </c>
      <c r="S375" s="15" t="n">
        <v>0.953</v>
      </c>
      <c r="T375" s="9">
        <f>IF(R375&gt;1,"A corregir","Válida")</f>
        <v/>
      </c>
      <c r="U375" s="13">
        <f>Q375-P375</f>
        <v/>
      </c>
      <c r="V375" s="13">
        <f>IF(S375="",0,S375*Q375)</f>
        <v/>
      </c>
      <c r="W375" s="9" t="n">
        <v>2026</v>
      </c>
      <c r="X375" s="9" t="n">
        <v>18</v>
      </c>
      <c r="Y375" s="9" t="inlineStr">
        <is>
          <t>2026-S18</t>
        </is>
      </c>
    </row>
    <row r="376">
      <c r="A376" s="9" t="n">
        <v>43048033</v>
      </c>
      <c r="B376" s="11" t="n">
        <v>46142.74388888889</v>
      </c>
      <c r="C376" s="12" t="n">
        <v>46142</v>
      </c>
      <c r="D376" s="9">
        <f>YEAR(C376)</f>
        <v/>
      </c>
      <c r="E376" s="9">
        <f>MONTH(C376)</f>
        <v/>
      </c>
      <c r="F376" s="9" t="inlineStr">
        <is>
          <t>B Hormigón</t>
        </is>
      </c>
      <c r="G376" s="9" t="inlineStr">
        <is>
          <t>B HORMIGON 28MM 8M A630-420H (N)</t>
        </is>
      </c>
      <c r="H376" s="9" t="inlineStr">
        <is>
          <t>B HORMIGON 28MM 8M A630-420H (N)</t>
        </is>
      </c>
      <c r="I376" s="9" t="inlineStr">
        <is>
          <t>RED 28 CR</t>
        </is>
      </c>
      <c r="J376" s="9" t="n">
        <v>110002896</v>
      </c>
      <c r="K376" s="9" t="n">
        <v>28</v>
      </c>
      <c r="L376" s="9" t="n"/>
      <c r="M376" s="9" t="n"/>
      <c r="N376" s="9" t="n"/>
      <c r="O376" s="9" t="n">
        <v>8</v>
      </c>
      <c r="P376" s="13" t="n">
        <v>4030</v>
      </c>
      <c r="Q376" s="13" t="n">
        <v>422.4</v>
      </c>
      <c r="R376" s="14">
        <f>IFERROR(P376/Q376,"")</f>
        <v/>
      </c>
      <c r="S376" s="15" t="n">
        <v>0.96</v>
      </c>
      <c r="T376" s="9">
        <f>IF(R376&gt;1,"A corregir","Válida")</f>
        <v/>
      </c>
      <c r="U376" s="13">
        <f>Q376-P376</f>
        <v/>
      </c>
      <c r="V376" s="13">
        <f>IF(S376="",0,S376*Q376)</f>
        <v/>
      </c>
      <c r="W376" s="9" t="n">
        <v>2026</v>
      </c>
      <c r="X376" s="9" t="n">
        <v>18</v>
      </c>
      <c r="Y376" s="9" t="inlineStr">
        <is>
          <t>2026-S18</t>
        </is>
      </c>
    </row>
    <row r="377">
      <c r="A377" s="9" t="n">
        <v>43048034</v>
      </c>
      <c r="B377" s="11" t="n">
        <v>46142.74578703703</v>
      </c>
      <c r="C377" s="12" t="n">
        <v>46142</v>
      </c>
      <c r="D377" s="9">
        <f>YEAR(C377)</f>
        <v/>
      </c>
      <c r="E377" s="9">
        <f>MONTH(C377)</f>
        <v/>
      </c>
      <c r="F377" s="9" t="inlineStr">
        <is>
          <t>B Hormigón</t>
        </is>
      </c>
      <c r="G377" s="9" t="inlineStr">
        <is>
          <t>B HORMIGON 28MM 10M A630-420H (N)</t>
        </is>
      </c>
      <c r="H377" s="9" t="inlineStr">
        <is>
          <t>B HORMIGON 28MM 10M A630-420H (N)</t>
        </is>
      </c>
      <c r="I377" s="9" t="inlineStr">
        <is>
          <t>RED 28 CR</t>
        </is>
      </c>
      <c r="J377" s="9" t="n">
        <v>110002892</v>
      </c>
      <c r="K377" s="9" t="n">
        <v>28</v>
      </c>
      <c r="L377" s="9" t="n"/>
      <c r="M377" s="9" t="n"/>
      <c r="N377" s="9" t="n"/>
      <c r="O377" s="9" t="n">
        <v>10</v>
      </c>
      <c r="P377" s="13" t="n">
        <v>5171</v>
      </c>
      <c r="Q377" s="13" t="n">
        <v>422.4</v>
      </c>
      <c r="R377" s="14">
        <f>IFERROR(P377/Q377,"")</f>
        <v/>
      </c>
      <c r="S377" s="15" t="n">
        <v>0.96</v>
      </c>
      <c r="T377" s="9">
        <f>IF(R377&gt;1,"A corregir","Válida")</f>
        <v/>
      </c>
      <c r="U377" s="13">
        <f>Q377-P377</f>
        <v/>
      </c>
      <c r="V377" s="13">
        <f>IF(S377="",0,S377*Q377)</f>
        <v/>
      </c>
      <c r="W377" s="9" t="n">
        <v>2026</v>
      </c>
      <c r="X377" s="9" t="n">
        <v>18</v>
      </c>
      <c r="Y377" s="9" t="inlineStr">
        <is>
          <t>2026-S18</t>
        </is>
      </c>
    </row>
    <row r="378">
      <c r="A378" s="9" t="n">
        <v>43048066</v>
      </c>
      <c r="B378" s="11" t="n">
        <v>46142.78081018518</v>
      </c>
      <c r="C378" s="12" t="n">
        <v>46142</v>
      </c>
      <c r="D378" s="9">
        <f>YEAR(C378)</f>
        <v/>
      </c>
      <c r="E378" s="9">
        <f>MONTH(C378)</f>
        <v/>
      </c>
      <c r="F378" s="9" t="inlineStr">
        <is>
          <t>B Hormigón</t>
        </is>
      </c>
      <c r="G378" s="9" t="inlineStr">
        <is>
          <t>B HORMIGON 28MM 11M A630-420H (N)</t>
        </is>
      </c>
      <c r="H378" s="9" t="inlineStr">
        <is>
          <t>B HORMIGON 28MM 11M A630-420H (N)</t>
        </is>
      </c>
      <c r="I378" s="9" t="inlineStr">
        <is>
          <t>RED 28 CR</t>
        </is>
      </c>
      <c r="J378" s="9" t="n">
        <v>110002893</v>
      </c>
      <c r="K378" s="9" t="n">
        <v>28</v>
      </c>
      <c r="L378" s="9" t="n"/>
      <c r="M378" s="9" t="n"/>
      <c r="N378" s="9" t="n"/>
      <c r="O378" s="9" t="n">
        <v>11</v>
      </c>
      <c r="P378" s="13" t="n">
        <v>13219</v>
      </c>
      <c r="Q378" s="13" t="n">
        <v>844.8</v>
      </c>
      <c r="R378" s="14">
        <f>IFERROR(P378/Q378,"")</f>
        <v/>
      </c>
      <c r="S378" s="15" t="n">
        <v>0.9399999999999999</v>
      </c>
      <c r="T378" s="9">
        <f>IF(R378&gt;1,"A corregir","Válida")</f>
        <v/>
      </c>
      <c r="U378" s="13">
        <f>Q378-P378</f>
        <v/>
      </c>
      <c r="V378" s="13">
        <f>IF(S378="",0,S378*Q378)</f>
        <v/>
      </c>
      <c r="W378" s="9" t="n">
        <v>2026</v>
      </c>
      <c r="X378" s="9" t="n">
        <v>18</v>
      </c>
      <c r="Y378" s="9" t="inlineStr">
        <is>
          <t>2026-S18</t>
        </is>
      </c>
    </row>
    <row r="379">
      <c r="A379" s="9" t="n">
        <v>43048067</v>
      </c>
      <c r="B379" s="11" t="n">
        <v>46144.36549768518</v>
      </c>
      <c r="C379" s="12" t="n">
        <v>46144</v>
      </c>
      <c r="D379" s="9">
        <f>YEAR(C379)</f>
        <v/>
      </c>
      <c r="E379" s="9">
        <f>MONTH(C379)</f>
        <v/>
      </c>
      <c r="F379" s="9" t="inlineStr">
        <is>
          <t>Plana</t>
        </is>
      </c>
      <c r="G379" s="9" t="inlineStr">
        <is>
          <t>PLANA 38X10MM 6M A270ES (N)</t>
        </is>
      </c>
      <c r="H379" s="9" t="inlineStr">
        <is>
          <t>PLANA 38X10MM 6M A270ES (N)</t>
        </is>
      </c>
      <c r="I379" s="9" t="inlineStr">
        <is>
          <t>PL 38 x 10</t>
        </is>
      </c>
      <c r="J379" s="9" t="n">
        <v>109013898</v>
      </c>
      <c r="K379" s="9" t="n"/>
      <c r="L379" s="9" t="n">
        <v>38</v>
      </c>
      <c r="M379" s="9" t="n">
        <v>10</v>
      </c>
      <c r="N379" s="9" t="n"/>
      <c r="O379" s="9" t="n">
        <v>6</v>
      </c>
      <c r="P379" s="13" t="n">
        <v>33168</v>
      </c>
      <c r="Q379" s="13" t="n">
        <v>35904</v>
      </c>
      <c r="R379" s="14">
        <f>IFERROR(P379/Q379,"")</f>
        <v/>
      </c>
      <c r="S379" s="15" t="n">
        <v>0.958</v>
      </c>
      <c r="T379" s="9">
        <f>IF(R379&gt;1,"A corregir","Válida")</f>
        <v/>
      </c>
      <c r="U379" s="13">
        <f>Q379-P379</f>
        <v/>
      </c>
      <c r="V379" s="13">
        <f>IF(S379="",0,S379*Q379)</f>
        <v/>
      </c>
      <c r="W379" s="9" t="n">
        <v>2026</v>
      </c>
      <c r="X379" s="9" t="n">
        <v>18</v>
      </c>
      <c r="Y379" s="9" t="inlineStr">
        <is>
          <t>2026-S18</t>
        </is>
      </c>
    </row>
    <row r="380">
      <c r="A380" s="9" t="n">
        <v>43048069</v>
      </c>
      <c r="B380" s="11" t="n">
        <v>46144.63947916667</v>
      </c>
      <c r="C380" s="12" t="n">
        <v>46144</v>
      </c>
      <c r="D380" s="9">
        <f>YEAR(C380)</f>
        <v/>
      </c>
      <c r="E380" s="9">
        <f>MONTH(C380)</f>
        <v/>
      </c>
      <c r="F380" s="9" t="inlineStr">
        <is>
          <t>Plana</t>
        </is>
      </c>
      <c r="G380" s="9" t="inlineStr">
        <is>
          <t>PLANA 50X4 MM 6M A270ES (N)</t>
        </is>
      </c>
      <c r="H380" s="9" t="inlineStr">
        <is>
          <t>PLANA 50X4 MM 6M A270ES (N)</t>
        </is>
      </c>
      <c r="I380" s="9" t="inlineStr">
        <is>
          <t>PL 50 x 4</t>
        </is>
      </c>
      <c r="J380" s="9" t="n">
        <v>109013983</v>
      </c>
      <c r="K380" s="9" t="n"/>
      <c r="L380" s="9" t="n">
        <v>50</v>
      </c>
      <c r="M380" s="9" t="n">
        <v>4</v>
      </c>
      <c r="N380" s="9" t="n"/>
      <c r="O380" s="9" t="n">
        <v>6</v>
      </c>
      <c r="P380" s="13" t="n">
        <v>29176</v>
      </c>
      <c r="Q380" s="13" t="n">
        <v>34557.6</v>
      </c>
      <c r="R380" s="14">
        <f>IFERROR(P380/Q380,"")</f>
        <v/>
      </c>
      <c r="S380" s="15" t="n">
        <v>0.9620000000000001</v>
      </c>
      <c r="T380" s="9">
        <f>IF(R380&gt;1,"A corregir","Válida")</f>
        <v/>
      </c>
      <c r="U380" s="13">
        <f>Q380-P380</f>
        <v/>
      </c>
      <c r="V380" s="13">
        <f>IF(S380="",0,S380*Q380)</f>
        <v/>
      </c>
      <c r="W380" s="9" t="n">
        <v>2026</v>
      </c>
      <c r="X380" s="9" t="n">
        <v>18</v>
      </c>
      <c r="Y380" s="9" t="inlineStr">
        <is>
          <t>2026-S18</t>
        </is>
      </c>
    </row>
    <row r="381">
      <c r="A381" s="9" t="n">
        <v>43048020</v>
      </c>
      <c r="B381" s="11" t="n">
        <v>46144.76401620371</v>
      </c>
      <c r="C381" s="12" t="n">
        <v>46144</v>
      </c>
      <c r="D381" s="9">
        <f>YEAR(C381)</f>
        <v/>
      </c>
      <c r="E381" s="9">
        <f>MONTH(C381)</f>
        <v/>
      </c>
      <c r="F381" s="9" t="inlineStr">
        <is>
          <t>Saferock</t>
        </is>
      </c>
      <c r="G381" s="9" t="inlineStr">
        <is>
          <t>SAFEROCK 22MM 12M A280</t>
        </is>
      </c>
      <c r="H381" s="9" t="inlineStr">
        <is>
          <t>SAFEROCK SEMI 22MM 12M A280</t>
        </is>
      </c>
      <c r="I381" s="9" t="inlineStr">
        <is>
          <t>SFRCK 22</t>
        </is>
      </c>
      <c r="J381" s="9" t="n">
        <v>106025569</v>
      </c>
      <c r="K381" s="9" t="n">
        <v>22</v>
      </c>
      <c r="L381" s="9" t="n"/>
      <c r="M381" s="9" t="n"/>
      <c r="N381" s="9" t="n"/>
      <c r="O381" s="9" t="n">
        <v>12</v>
      </c>
      <c r="P381" s="13" t="n">
        <v>102398</v>
      </c>
      <c r="Q381" s="13" t="n">
        <v>106867.2</v>
      </c>
      <c r="R381" s="14">
        <f>IFERROR(P381/Q381,"")</f>
        <v/>
      </c>
      <c r="S381" s="15" t="n">
        <v>0.9590000000000001</v>
      </c>
      <c r="T381" s="9">
        <f>IF(R381&gt;1,"A corregir","Válida")</f>
        <v/>
      </c>
      <c r="U381" s="13">
        <f>Q381-P381</f>
        <v/>
      </c>
      <c r="V381" s="13">
        <f>IF(S381="",0,S381*Q381)</f>
        <v/>
      </c>
      <c r="W381" s="9" t="n">
        <v>2026</v>
      </c>
      <c r="X381" s="9" t="n">
        <v>18</v>
      </c>
      <c r="Y381" s="9" t="inlineStr">
        <is>
          <t>2026-S18</t>
        </is>
      </c>
    </row>
    <row r="382">
      <c r="A382" s="9" t="n">
        <v>43048021</v>
      </c>
      <c r="B382" s="11" t="n">
        <v>46146.21866898148</v>
      </c>
      <c r="C382" s="12" t="n">
        <v>46146</v>
      </c>
      <c r="D382" s="9">
        <f>YEAR(C382)</f>
        <v/>
      </c>
      <c r="E382" s="9">
        <f>MONTH(C382)</f>
        <v/>
      </c>
      <c r="F382" s="9" t="inlineStr">
        <is>
          <t>Saferock</t>
        </is>
      </c>
      <c r="G382" s="9" t="inlineStr">
        <is>
          <t>SAFEROCK 22MM 12M A420</t>
        </is>
      </c>
      <c r="H382" s="9" t="inlineStr">
        <is>
          <t>SAFEROCK 22MM 12M A420</t>
        </is>
      </c>
      <c r="I382" s="9" t="inlineStr">
        <is>
          <t>SFRCK 22</t>
        </is>
      </c>
      <c r="J382" s="9" t="n">
        <v>106025567</v>
      </c>
      <c r="K382" s="9" t="n">
        <v>22</v>
      </c>
      <c r="L382" s="9" t="n"/>
      <c r="M382" s="9" t="n"/>
      <c r="N382" s="9" t="n"/>
      <c r="O382" s="9" t="n">
        <v>12</v>
      </c>
      <c r="P382" s="13" t="n">
        <v>113342</v>
      </c>
      <c r="Q382" s="13" t="n">
        <v>120806.4</v>
      </c>
      <c r="R382" s="14">
        <f>IFERROR(P382/Q382,"")</f>
        <v/>
      </c>
      <c r="S382" s="15" t="n">
        <v>0.9590000000000001</v>
      </c>
      <c r="T382" s="9">
        <f>IF(R382&gt;1,"A corregir","Válida")</f>
        <v/>
      </c>
      <c r="U382" s="13">
        <f>Q382-P382</f>
        <v/>
      </c>
      <c r="V382" s="13">
        <f>IF(S382="",0,S382*Q382)</f>
        <v/>
      </c>
      <c r="W382" s="9" t="n">
        <v>2026</v>
      </c>
      <c r="X382" s="9" t="n">
        <v>19</v>
      </c>
      <c r="Y382" s="9" t="inlineStr">
        <is>
          <t>2026-S19</t>
        </is>
      </c>
    </row>
    <row r="383">
      <c r="A383" s="9" t="n">
        <v>43048078</v>
      </c>
      <c r="B383" s="11" t="n">
        <v>46146.37902777778</v>
      </c>
      <c r="C383" s="12" t="n">
        <v>46146</v>
      </c>
      <c r="D383" s="9">
        <f>YEAR(C383)</f>
        <v/>
      </c>
      <c r="E383" s="9">
        <f>MONTH(C383)</f>
        <v/>
      </c>
      <c r="F383" s="9" t="inlineStr">
        <is>
          <t>Saferock</t>
        </is>
      </c>
      <c r="G383" s="9" t="inlineStr">
        <is>
          <t>SAFEROCK 22MM 12M A420</t>
        </is>
      </c>
      <c r="H383" s="9" t="inlineStr">
        <is>
          <t>SAFEROCK 22MM 12M A420</t>
        </is>
      </c>
      <c r="I383" s="9" t="inlineStr">
        <is>
          <t>SFRCK 22</t>
        </is>
      </c>
      <c r="J383" s="9" t="n">
        <v>106025567</v>
      </c>
      <c r="K383" s="9" t="n">
        <v>22</v>
      </c>
      <c r="L383" s="9" t="n"/>
      <c r="M383" s="9" t="n"/>
      <c r="N383" s="9" t="n"/>
      <c r="O383" s="9" t="n">
        <v>12</v>
      </c>
      <c r="P383" s="13" t="n">
        <v>80482</v>
      </c>
      <c r="Q383" s="13" t="n">
        <v>89311.2</v>
      </c>
      <c r="R383" s="14">
        <f>IFERROR(P383/Q383,"")</f>
        <v/>
      </c>
      <c r="S383" s="15" t="n">
        <v>0.9590000000000001</v>
      </c>
      <c r="T383" s="9">
        <f>IF(R383&gt;1,"A corregir","Válida")</f>
        <v/>
      </c>
      <c r="U383" s="13">
        <f>Q383-P383</f>
        <v/>
      </c>
      <c r="V383" s="13">
        <f>IF(S383="",0,S383*Q383)</f>
        <v/>
      </c>
      <c r="W383" s="9" t="n">
        <v>2026</v>
      </c>
      <c r="X383" s="9" t="n">
        <v>19</v>
      </c>
      <c r="Y383" s="9" t="inlineStr">
        <is>
          <t>2026-S19</t>
        </is>
      </c>
    </row>
    <row r="384">
      <c r="A384" s="9" t="n">
        <v>43048025</v>
      </c>
      <c r="B384" s="11" t="n">
        <v>46147.01349537037</v>
      </c>
      <c r="C384" s="12" t="n">
        <v>46147</v>
      </c>
      <c r="D384" s="9">
        <f>YEAR(C384)</f>
        <v/>
      </c>
      <c r="E384" s="9">
        <f>MONTH(C384)</f>
        <v/>
      </c>
      <c r="F384" s="9" t="inlineStr">
        <is>
          <t>Ángulo</t>
        </is>
      </c>
      <c r="G384" s="9" t="inlineStr">
        <is>
          <t>ANGULO 80X80X10MM A270ES</t>
        </is>
      </c>
      <c r="H384" s="9" t="inlineStr">
        <is>
          <t>ANGULO SEMI 80X80X10MM A270ES</t>
        </is>
      </c>
      <c r="I384" s="9" t="inlineStr">
        <is>
          <t>ANG 80 x 10</t>
        </is>
      </c>
      <c r="J384" s="9" t="n">
        <v>106501048</v>
      </c>
      <c r="K384" s="9" t="n"/>
      <c r="L384" s="9" t="n">
        <v>80</v>
      </c>
      <c r="M384" s="9" t="n">
        <v>10</v>
      </c>
      <c r="N384" s="9" t="n"/>
      <c r="O384" s="9" t="n">
        <v>6</v>
      </c>
      <c r="P384" s="13" t="n">
        <v>31019</v>
      </c>
      <c r="Q384" s="13" t="n">
        <v>33211.2</v>
      </c>
      <c r="R384" s="14">
        <f>IFERROR(P384/Q384,"")</f>
        <v/>
      </c>
      <c r="S384" s="15" t="n">
        <v>0.9409999999999999</v>
      </c>
      <c r="T384" s="9">
        <f>IF(R384&gt;1,"A corregir","Válida")</f>
        <v/>
      </c>
      <c r="U384" s="13">
        <f>Q384-P384</f>
        <v/>
      </c>
      <c r="V384" s="13">
        <f>IF(S384="",0,S384*Q384)</f>
        <v/>
      </c>
      <c r="W384" s="9" t="n">
        <v>2026</v>
      </c>
      <c r="X384" s="9" t="n">
        <v>19</v>
      </c>
      <c r="Y384" s="9" t="inlineStr">
        <is>
          <t>2026-S19</t>
        </is>
      </c>
    </row>
    <row r="385">
      <c r="A385" s="9" t="n">
        <v>43048027</v>
      </c>
      <c r="B385" s="11" t="n">
        <v>46147.12027777778</v>
      </c>
      <c r="C385" s="12" t="n">
        <v>46147</v>
      </c>
      <c r="D385" s="9">
        <f>YEAR(C385)</f>
        <v/>
      </c>
      <c r="E385" s="9">
        <f>MONTH(C385)</f>
        <v/>
      </c>
      <c r="F385" s="9" t="inlineStr">
        <is>
          <t>Ángulo</t>
        </is>
      </c>
      <c r="G385" s="9" t="inlineStr">
        <is>
          <t>ANGULO 80X80X8MM A270ES</t>
        </is>
      </c>
      <c r="H385" s="9" t="inlineStr">
        <is>
          <t>ANGULO SEMI 80X80X8MM A270ES</t>
        </is>
      </c>
      <c r="I385" s="9" t="inlineStr">
        <is>
          <t>ANG 80 x 8</t>
        </is>
      </c>
      <c r="J385" s="9" t="n">
        <v>106501049</v>
      </c>
      <c r="K385" s="9" t="n"/>
      <c r="L385" s="9" t="n">
        <v>80</v>
      </c>
      <c r="M385" s="9" t="n">
        <v>8</v>
      </c>
      <c r="N385" s="9" t="n"/>
      <c r="O385" s="9" t="n">
        <v>6</v>
      </c>
      <c r="P385" s="13" t="n">
        <v>23177</v>
      </c>
      <c r="Q385" s="13" t="n">
        <v>26030.4</v>
      </c>
      <c r="R385" s="14">
        <f>IFERROR(P385/Q385,"")</f>
        <v/>
      </c>
      <c r="S385" s="15" t="n">
        <v>0.9340000000000001</v>
      </c>
      <c r="T385" s="9">
        <f>IF(R385&gt;1,"A corregir","Válida")</f>
        <v/>
      </c>
      <c r="U385" s="13">
        <f>Q385-P385</f>
        <v/>
      </c>
      <c r="V385" s="13">
        <f>IF(S385="",0,S385*Q385)</f>
        <v/>
      </c>
      <c r="W385" s="9" t="n">
        <v>2026</v>
      </c>
      <c r="X385" s="9" t="n">
        <v>19</v>
      </c>
      <c r="Y385" s="9" t="inlineStr">
        <is>
          <t>2026-S19</t>
        </is>
      </c>
    </row>
    <row r="386">
      <c r="A386" s="9" t="n">
        <v>43048026</v>
      </c>
      <c r="B386" s="11" t="n">
        <v>46147.17303240741</v>
      </c>
      <c r="C386" s="12" t="n">
        <v>46147</v>
      </c>
      <c r="D386" s="9">
        <f>YEAR(C386)</f>
        <v/>
      </c>
      <c r="E386" s="9">
        <f>MONTH(C386)</f>
        <v/>
      </c>
      <c r="F386" s="9" t="inlineStr">
        <is>
          <t>Ángulo</t>
        </is>
      </c>
      <c r="G386" s="9" t="inlineStr">
        <is>
          <t>ANGULO 80X80X8MM 12m A270ES</t>
        </is>
      </c>
      <c r="H386" s="9" t="inlineStr">
        <is>
          <t>ANGULO SEMI 80X80X8MM 12m A270ES</t>
        </is>
      </c>
      <c r="I386" s="9" t="inlineStr">
        <is>
          <t>ANG 80 x 8</t>
        </is>
      </c>
      <c r="J386" s="9" t="n">
        <v>119502262</v>
      </c>
      <c r="K386" s="9" t="n"/>
      <c r="L386" s="9" t="n">
        <v>80</v>
      </c>
      <c r="M386" s="9" t="n">
        <v>8</v>
      </c>
      <c r="N386" s="9" t="n"/>
      <c r="O386" s="9" t="n">
        <v>6</v>
      </c>
      <c r="P386" s="13" t="n">
        <v>24256</v>
      </c>
      <c r="Q386" s="13" t="n">
        <v>25132.8</v>
      </c>
      <c r="R386" s="14">
        <f>IFERROR(P386/Q386,"")</f>
        <v/>
      </c>
      <c r="S386" s="15" t="n">
        <v>0.9340000000000001</v>
      </c>
      <c r="T386" s="9">
        <f>IF(R386&gt;1,"A corregir","Válida")</f>
        <v/>
      </c>
      <c r="U386" s="13">
        <f>Q386-P386</f>
        <v/>
      </c>
      <c r="V386" s="13">
        <f>IF(S386="",0,S386*Q386)</f>
        <v/>
      </c>
      <c r="W386" s="9" t="n">
        <v>2026</v>
      </c>
      <c r="X386" s="9" t="n">
        <v>19</v>
      </c>
      <c r="Y386" s="9" t="inlineStr">
        <is>
          <t>2026-S19</t>
        </is>
      </c>
    </row>
    <row r="387">
      <c r="A387" s="9" t="n">
        <v>43048028</v>
      </c>
      <c r="B387" s="11" t="n">
        <v>46147.30119212963</v>
      </c>
      <c r="C387" s="12" t="n">
        <v>46147</v>
      </c>
      <c r="D387" s="9">
        <f>YEAR(C387)</f>
        <v/>
      </c>
      <c r="E387" s="9">
        <f>MONTH(C387)</f>
        <v/>
      </c>
      <c r="F387" s="9" t="inlineStr">
        <is>
          <t>Ángulo</t>
        </is>
      </c>
      <c r="G387" s="9" t="inlineStr">
        <is>
          <t>ANGULO 80X80X6MM A270ES</t>
        </is>
      </c>
      <c r="H387" s="9" t="inlineStr">
        <is>
          <t>ANGULO SEMI 80X80X6MM A270ES</t>
        </is>
      </c>
      <c r="I387" s="9" t="inlineStr">
        <is>
          <t>ANG 80 x 6</t>
        </is>
      </c>
      <c r="J387" s="9" t="n">
        <v>106501050</v>
      </c>
      <c r="K387" s="9" t="n"/>
      <c r="L387" s="9" t="n">
        <v>80</v>
      </c>
      <c r="M387" s="9" t="n">
        <v>6</v>
      </c>
      <c r="N387" s="9" t="n"/>
      <c r="O387" s="9" t="n">
        <v>6</v>
      </c>
      <c r="P387" s="13" t="n">
        <v>175227</v>
      </c>
      <c r="Q387" s="13" t="n">
        <v>186252</v>
      </c>
      <c r="R387" s="14">
        <f>IFERROR(P387/Q387,"")</f>
        <v/>
      </c>
      <c r="S387" s="15" t="n">
        <v>0.9490000000000001</v>
      </c>
      <c r="T387" s="9">
        <f>IF(R387&gt;1,"A corregir","Válida")</f>
        <v/>
      </c>
      <c r="U387" s="13">
        <f>Q387-P387</f>
        <v/>
      </c>
      <c r="V387" s="13">
        <f>IF(S387="",0,S387*Q387)</f>
        <v/>
      </c>
      <c r="W387" s="9" t="n">
        <v>2026</v>
      </c>
      <c r="X387" s="9" t="n">
        <v>19</v>
      </c>
      <c r="Y387" s="9" t="inlineStr">
        <is>
          <t>2026-S19</t>
        </is>
      </c>
    </row>
    <row r="388">
      <c r="A388" s="9" t="n">
        <v>43048111</v>
      </c>
      <c r="B388" s="11" t="n">
        <v>46147.54740740741</v>
      </c>
      <c r="C388" s="12" t="n">
        <v>46147</v>
      </c>
      <c r="D388" s="9">
        <f>YEAR(C388)</f>
        <v/>
      </c>
      <c r="E388" s="9">
        <f>MONTH(C388)</f>
        <v/>
      </c>
      <c r="F388" s="9" t="inlineStr">
        <is>
          <t>Ángulo</t>
        </is>
      </c>
      <c r="G388" s="9" t="inlineStr">
        <is>
          <t>ANG 80X80X6MM 12M ASTM A572 T2 (N)</t>
        </is>
      </c>
      <c r="H388" s="9" t="inlineStr">
        <is>
          <t>ANG SEMI 80X80X6MM 12M ASTM A572 T2 (N)</t>
        </is>
      </c>
      <c r="I388" s="9" t="inlineStr">
        <is>
          <t>ANG 80 x 6</t>
        </is>
      </c>
      <c r="J388" s="9" t="n">
        <v>119502821</v>
      </c>
      <c r="K388" s="9" t="n"/>
      <c r="L388" s="9" t="n">
        <v>80</v>
      </c>
      <c r="M388" s="9" t="n">
        <v>6</v>
      </c>
      <c r="N388" s="9" t="n"/>
      <c r="O388" s="9" t="n">
        <v>12</v>
      </c>
      <c r="P388" s="13" t="n">
        <v>10547</v>
      </c>
      <c r="Q388" s="13" t="n">
        <v>11220</v>
      </c>
      <c r="R388" s="14">
        <f>IFERROR(P388/Q388,"")</f>
        <v/>
      </c>
      <c r="S388" s="15" t="n">
        <v>0.97</v>
      </c>
      <c r="T388" s="9">
        <f>IF(R388&gt;1,"A corregir","Válida")</f>
        <v/>
      </c>
      <c r="U388" s="13">
        <f>Q388-P388</f>
        <v/>
      </c>
      <c r="V388" s="13">
        <f>IF(S388="",0,S388*Q388)</f>
        <v/>
      </c>
      <c r="W388" s="9" t="n">
        <v>2026</v>
      </c>
      <c r="X388" s="9" t="n">
        <v>19</v>
      </c>
      <c r="Y388" s="9" t="inlineStr">
        <is>
          <t>2026-S19</t>
        </is>
      </c>
    </row>
    <row r="389">
      <c r="A389" s="9" t="n">
        <v>43048029</v>
      </c>
      <c r="B389" s="11" t="n">
        <v>46147.97916666666</v>
      </c>
      <c r="C389" s="12" t="n">
        <v>46147</v>
      </c>
      <c r="D389" s="9">
        <f>YEAR(C389)</f>
        <v/>
      </c>
      <c r="E389" s="9">
        <f>MONTH(C389)</f>
        <v/>
      </c>
      <c r="F389" s="9" t="inlineStr">
        <is>
          <t>Ángulo</t>
        </is>
      </c>
      <c r="G389" s="9" t="inlineStr">
        <is>
          <t>ANGULO 65X65X8MM A270ES</t>
        </is>
      </c>
      <c r="H389" s="9" t="inlineStr">
        <is>
          <t>ANGULO SEMI 65X65X8MM A270ES</t>
        </is>
      </c>
      <c r="I389" s="9" t="inlineStr">
        <is>
          <t>ANG 65 x 8</t>
        </is>
      </c>
      <c r="J389" s="9" t="n">
        <v>106501051</v>
      </c>
      <c r="K389" s="9" t="n"/>
      <c r="L389" s="9" t="n">
        <v>65</v>
      </c>
      <c r="M389" s="9" t="n">
        <v>8</v>
      </c>
      <c r="N389" s="9" t="n"/>
      <c r="O389" s="9" t="n">
        <v>6</v>
      </c>
      <c r="P389" s="13" t="n">
        <v>35402</v>
      </c>
      <c r="Q389" s="13" t="n">
        <v>38148</v>
      </c>
      <c r="R389" s="14">
        <f>IFERROR(P389/Q389,"")</f>
        <v/>
      </c>
      <c r="S389" s="15" t="n">
        <v>0.9540000000000001</v>
      </c>
      <c r="T389" s="9">
        <f>IF(R389&gt;1,"A corregir","Válida")</f>
        <v/>
      </c>
      <c r="U389" s="13">
        <f>Q389-P389</f>
        <v/>
      </c>
      <c r="V389" s="13">
        <f>IF(S389="",0,S389*Q389)</f>
        <v/>
      </c>
      <c r="W389" s="9" t="n">
        <v>2026</v>
      </c>
      <c r="X389" s="9" t="n">
        <v>19</v>
      </c>
      <c r="Y389" s="9" t="inlineStr">
        <is>
          <t>2026-S19</t>
        </is>
      </c>
    </row>
    <row r="390">
      <c r="A390" s="9" t="n">
        <v>43048030</v>
      </c>
      <c r="B390" s="11" t="n">
        <v>46148.07694444444</v>
      </c>
      <c r="C390" s="12" t="n">
        <v>46148</v>
      </c>
      <c r="D390" s="9">
        <f>YEAR(C390)</f>
        <v/>
      </c>
      <c r="E390" s="9">
        <f>MONTH(C390)</f>
        <v/>
      </c>
      <c r="F390" s="9" t="inlineStr">
        <is>
          <t>Ángulo</t>
        </is>
      </c>
      <c r="G390" s="9" t="inlineStr">
        <is>
          <t>ANGULO 65X65X6MM A270ES</t>
        </is>
      </c>
      <c r="H390" s="9" t="inlineStr">
        <is>
          <t>ANGULO SEMI 65X65X6MM A270ES</t>
        </is>
      </c>
      <c r="I390" s="9" t="inlineStr">
        <is>
          <t>ANG 65 x 6</t>
        </is>
      </c>
      <c r="J390" s="9" t="n">
        <v>106501057</v>
      </c>
      <c r="K390" s="9" t="n"/>
      <c r="L390" s="9" t="n">
        <v>65</v>
      </c>
      <c r="M390" s="9" t="n">
        <v>6</v>
      </c>
      <c r="N390" s="9" t="n"/>
      <c r="O390" s="9" t="n">
        <v>6</v>
      </c>
      <c r="P390" s="13" t="n">
        <v>64417</v>
      </c>
      <c r="Q390" s="13" t="n">
        <v>67320</v>
      </c>
      <c r="R390" s="14">
        <f>IFERROR(P390/Q390,"")</f>
        <v/>
      </c>
      <c r="S390" s="15" t="n">
        <v>0.951</v>
      </c>
      <c r="T390" s="9">
        <f>IF(R390&gt;1,"A corregir","Válida")</f>
        <v/>
      </c>
      <c r="U390" s="13">
        <f>Q390-P390</f>
        <v/>
      </c>
      <c r="V390" s="13">
        <f>IF(S390="",0,S390*Q390)</f>
        <v/>
      </c>
      <c r="W390" s="9" t="n">
        <v>2026</v>
      </c>
      <c r="X390" s="9" t="n">
        <v>19</v>
      </c>
      <c r="Y390" s="9" t="inlineStr">
        <is>
          <t>2026-S19</t>
        </is>
      </c>
    </row>
    <row r="391">
      <c r="A391" s="9" t="n">
        <v>43048031</v>
      </c>
      <c r="B391" s="11" t="n">
        <v>46148.34851851852</v>
      </c>
      <c r="C391" s="12" t="n">
        <v>46148</v>
      </c>
      <c r="D391" s="9">
        <f>YEAR(C391)</f>
        <v/>
      </c>
      <c r="E391" s="9">
        <f>MONTH(C391)</f>
        <v/>
      </c>
      <c r="F391" s="9" t="inlineStr">
        <is>
          <t>Ángulo</t>
        </is>
      </c>
      <c r="G391" s="9" t="inlineStr">
        <is>
          <t>ANGULO 65X65X5MM A270ES</t>
        </is>
      </c>
      <c r="H391" s="9" t="inlineStr">
        <is>
          <t>ANGULO SEMI 65X65X5MM A270ES</t>
        </is>
      </c>
      <c r="I391" s="9" t="inlineStr">
        <is>
          <t>ANG 65 x 5</t>
        </is>
      </c>
      <c r="J391" s="9" t="n">
        <v>106501053</v>
      </c>
      <c r="K391" s="9" t="n"/>
      <c r="L391" s="9" t="n">
        <v>65</v>
      </c>
      <c r="M391" s="9" t="n">
        <v>5</v>
      </c>
      <c r="N391" s="9" t="n"/>
      <c r="O391" s="9" t="n">
        <v>6</v>
      </c>
      <c r="P391" s="13" t="n">
        <v>108951</v>
      </c>
      <c r="Q391" s="13" t="n">
        <v>120278.4</v>
      </c>
      <c r="R391" s="14">
        <f>IFERROR(P391/Q391,"")</f>
        <v/>
      </c>
      <c r="S391" s="15" t="n">
        <v>0.951</v>
      </c>
      <c r="T391" s="9">
        <f>IF(R391&gt;1,"A corregir","Válida")</f>
        <v/>
      </c>
      <c r="U391" s="13">
        <f>Q391-P391</f>
        <v/>
      </c>
      <c r="V391" s="13">
        <f>IF(S391="",0,S391*Q391)</f>
        <v/>
      </c>
      <c r="W391" s="9" t="n">
        <v>2026</v>
      </c>
      <c r="X391" s="9" t="n">
        <v>19</v>
      </c>
      <c r="Y391" s="9" t="inlineStr">
        <is>
          <t>2026-S19</t>
        </is>
      </c>
    </row>
    <row r="392">
      <c r="A392" s="9" t="n">
        <v>43048064</v>
      </c>
      <c r="B392" s="11" t="n">
        <v>46148.97893518519</v>
      </c>
      <c r="C392" s="12" t="n">
        <v>46148</v>
      </c>
      <c r="D392" s="9">
        <f>YEAR(C392)</f>
        <v/>
      </c>
      <c r="E392" s="9">
        <f>MONTH(C392)</f>
        <v/>
      </c>
      <c r="F392" s="9" t="inlineStr">
        <is>
          <t>B Hormigón</t>
        </is>
      </c>
      <c r="G392" s="9" t="inlineStr">
        <is>
          <t>B HORMIGON 36MM 12M A630-420H (N)</t>
        </is>
      </c>
      <c r="H392" s="9" t="inlineStr">
        <is>
          <t>B HORMIGON 36MM 12M A630-420H (N)</t>
        </is>
      </c>
      <c r="I392" s="9" t="inlineStr">
        <is>
          <t>RED 36 CR</t>
        </is>
      </c>
      <c r="J392" s="9" t="n">
        <v>110002907</v>
      </c>
      <c r="K392" s="9" t="n">
        <v>36</v>
      </c>
      <c r="L392" s="9" t="n"/>
      <c r="M392" s="9" t="n"/>
      <c r="N392" s="9" t="n"/>
      <c r="O392" s="9" t="n">
        <v>12</v>
      </c>
      <c r="P392" s="13" t="n">
        <v>54761</v>
      </c>
      <c r="Q392" s="13" t="n">
        <v>58515.6</v>
      </c>
      <c r="R392" s="14">
        <f>IFERROR(P392/Q392,"")</f>
        <v/>
      </c>
      <c r="S392" s="15" t="n">
        <v>0.96</v>
      </c>
      <c r="T392" s="9">
        <f>IF(R392&gt;1,"A corregir","Válida")</f>
        <v/>
      </c>
      <c r="U392" s="13">
        <f>Q392-P392</f>
        <v/>
      </c>
      <c r="V392" s="13">
        <f>IF(S392="",0,S392*Q392)</f>
        <v/>
      </c>
      <c r="W392" s="9" t="n">
        <v>2026</v>
      </c>
      <c r="X392" s="9" t="n">
        <v>19</v>
      </c>
      <c r="Y392" s="9" t="inlineStr">
        <is>
          <t>2026-S19</t>
        </is>
      </c>
    </row>
    <row r="393">
      <c r="A393" s="9" t="n">
        <v>43048145</v>
      </c>
      <c r="B393" s="11" t="n">
        <v>46149.10915509259</v>
      </c>
      <c r="C393" s="12" t="n">
        <v>46149</v>
      </c>
      <c r="D393" s="9">
        <f>YEAR(C393)</f>
        <v/>
      </c>
      <c r="E393" s="9">
        <f>MONTH(C393)</f>
        <v/>
      </c>
      <c r="F393" s="9" t="inlineStr">
        <is>
          <t>B Hormigón</t>
        </is>
      </c>
      <c r="G393" s="9" t="inlineStr">
        <is>
          <t>B HORMIGON 36MM 12M A630-420H (N)</t>
        </is>
      </c>
      <c r="H393" s="9" t="inlineStr">
        <is>
          <t>B HORMIGON 36MM 12M A630-420H (N)</t>
        </is>
      </c>
      <c r="I393" s="9" t="inlineStr">
        <is>
          <t>RED 36 CR</t>
        </is>
      </c>
      <c r="J393" s="9" t="n">
        <v>110002907</v>
      </c>
      <c r="K393" s="9" t="n">
        <v>36</v>
      </c>
      <c r="L393" s="9" t="n"/>
      <c r="M393" s="9" t="n"/>
      <c r="N393" s="9" t="n"/>
      <c r="O393" s="9" t="n">
        <v>12</v>
      </c>
      <c r="P393" s="13" t="n">
        <v>58484</v>
      </c>
      <c r="Q393" s="13" t="n">
        <v>62607.6</v>
      </c>
      <c r="R393" s="14">
        <f>IFERROR(P393/Q393,"")</f>
        <v/>
      </c>
      <c r="S393" s="15" t="n">
        <v>0.96</v>
      </c>
      <c r="T393" s="9">
        <f>IF(R393&gt;1,"A corregir","Válida")</f>
        <v/>
      </c>
      <c r="U393" s="13">
        <f>Q393-P393</f>
        <v/>
      </c>
      <c r="V393" s="13">
        <f>IF(S393="",0,S393*Q393)</f>
        <v/>
      </c>
      <c r="W393" s="9" t="n">
        <v>2026</v>
      </c>
      <c r="X393" s="9" t="n">
        <v>19</v>
      </c>
      <c r="Y393" s="9" t="inlineStr">
        <is>
          <t>2026-S19</t>
        </is>
      </c>
    </row>
    <row r="394">
      <c r="A394" s="9" t="n">
        <v>43048044</v>
      </c>
      <c r="B394" s="11" t="n">
        <v>46149.23983796296</v>
      </c>
      <c r="C394" s="12" t="n">
        <v>46149</v>
      </c>
      <c r="D394" s="9">
        <f>YEAR(C394)</f>
        <v/>
      </c>
      <c r="E394" s="9">
        <f>MONTH(C394)</f>
        <v/>
      </c>
      <c r="F394" s="9" t="inlineStr">
        <is>
          <t>B Hormigón</t>
        </is>
      </c>
      <c r="G394" s="9" t="inlineStr">
        <is>
          <t>B HORMIGON 36MM 9M A630-420H (N)</t>
        </is>
      </c>
      <c r="H394" s="9" t="inlineStr">
        <is>
          <t>B HORMIGON 36MM 9M A630-420H (N)</t>
        </is>
      </c>
      <c r="I394" s="9" t="inlineStr">
        <is>
          <t>RED 36 CR</t>
        </is>
      </c>
      <c r="J394" s="9" t="n">
        <v>110002910</v>
      </c>
      <c r="K394" s="9" t="n">
        <v>36</v>
      </c>
      <c r="L394" s="9" t="n"/>
      <c r="M394" s="9" t="n"/>
      <c r="N394" s="9" t="n"/>
      <c r="O394" s="9" t="n">
        <v>9</v>
      </c>
      <c r="P394" s="13" t="n">
        <v>55225</v>
      </c>
      <c r="Q394" s="13" t="n">
        <v>59334</v>
      </c>
      <c r="R394" s="14">
        <f>IFERROR(P394/Q394,"")</f>
        <v/>
      </c>
      <c r="S394" s="15" t="n">
        <v>0.97</v>
      </c>
      <c r="T394" s="9">
        <f>IF(R394&gt;1,"A corregir","Válida")</f>
        <v/>
      </c>
      <c r="U394" s="13">
        <f>Q394-P394</f>
        <v/>
      </c>
      <c r="V394" s="13">
        <f>IF(S394="",0,S394*Q394)</f>
        <v/>
      </c>
      <c r="W394" s="9" t="n">
        <v>2026</v>
      </c>
      <c r="X394" s="9" t="n">
        <v>19</v>
      </c>
      <c r="Y394" s="9" t="inlineStr">
        <is>
          <t>2026-S19</t>
        </is>
      </c>
    </row>
    <row r="395">
      <c r="A395" s="9" t="n">
        <v>43048045</v>
      </c>
      <c r="B395" s="11" t="n">
        <v>46149.43274305556</v>
      </c>
      <c r="C395" s="12" t="n">
        <v>46149</v>
      </c>
      <c r="D395" s="9">
        <f>YEAR(C395)</f>
        <v/>
      </c>
      <c r="E395" s="9">
        <f>MONTH(C395)</f>
        <v/>
      </c>
      <c r="F395" s="9" t="inlineStr">
        <is>
          <t>B Hormigón</t>
        </is>
      </c>
      <c r="G395" s="9" t="inlineStr">
        <is>
          <t>B HORMIGON 28MM 8M A630-420H (N)</t>
        </is>
      </c>
      <c r="H395" s="9" t="inlineStr">
        <is>
          <t>B HORMIGON 28MM 8M A630-420H (N)</t>
        </is>
      </c>
      <c r="I395" s="9" t="inlineStr">
        <is>
          <t>RED 28 CR</t>
        </is>
      </c>
      <c r="J395" s="9" t="n">
        <v>110002896</v>
      </c>
      <c r="K395" s="9" t="n">
        <v>28</v>
      </c>
      <c r="L395" s="9" t="n"/>
      <c r="M395" s="9" t="n"/>
      <c r="N395" s="9" t="n"/>
      <c r="O395" s="9" t="n">
        <v>8</v>
      </c>
      <c r="P395" s="13" t="n">
        <v>117790</v>
      </c>
      <c r="Q395" s="13" t="n">
        <v>124317.6</v>
      </c>
      <c r="R395" s="14">
        <f>IFERROR(P395/Q395,"")</f>
        <v/>
      </c>
      <c r="S395" s="15" t="n">
        <v>0.96</v>
      </c>
      <c r="T395" s="9">
        <f>IF(R395&gt;1,"A corregir","Válida")</f>
        <v/>
      </c>
      <c r="U395" s="13">
        <f>Q395-P395</f>
        <v/>
      </c>
      <c r="V395" s="13">
        <f>IF(S395="",0,S395*Q395)</f>
        <v/>
      </c>
      <c r="W395" s="9" t="n">
        <v>2026</v>
      </c>
      <c r="X395" s="9" t="n">
        <v>19</v>
      </c>
      <c r="Y395" s="9" t="inlineStr">
        <is>
          <t>2026-S19</t>
        </is>
      </c>
    </row>
    <row r="396">
      <c r="A396" s="9" t="n">
        <v>43048046</v>
      </c>
      <c r="B396" s="11" t="n">
        <v>46149.72662037037</v>
      </c>
      <c r="C396" s="12" t="n">
        <v>46149</v>
      </c>
      <c r="D396" s="9">
        <f>YEAR(C396)</f>
        <v/>
      </c>
      <c r="E396" s="9">
        <f>MONTH(C396)</f>
        <v/>
      </c>
      <c r="F396" s="9" t="inlineStr">
        <is>
          <t>Redondo liso</t>
        </is>
      </c>
      <c r="G396" s="9" t="inlineStr">
        <is>
          <t>REDONDO LISO 1' 6M ASTM A 36 (N)</t>
        </is>
      </c>
      <c r="H396" s="9" t="inlineStr">
        <is>
          <t>REDONDO LISO 1' 6M ASTM A 36 (N)</t>
        </is>
      </c>
      <c r="I396" s="9" t="inlineStr">
        <is>
          <t>RED 1</t>
        </is>
      </c>
      <c r="J396" s="9" t="n">
        <v>109006880</v>
      </c>
      <c r="K396" s="9" t="n">
        <v>25.4</v>
      </c>
      <c r="L396" s="9" t="n"/>
      <c r="M396" s="9" t="n"/>
      <c r="N396" s="9" t="n"/>
      <c r="O396" s="9" t="n">
        <v>6</v>
      </c>
      <c r="P396" s="13" t="n">
        <v>38213</v>
      </c>
      <c r="Q396" s="13" t="n">
        <v>42187.2</v>
      </c>
      <c r="R396" s="14">
        <f>IFERROR(P396/Q396,"")</f>
        <v/>
      </c>
      <c r="S396" s="15" t="n">
        <v>0.9470000000000001</v>
      </c>
      <c r="T396" s="9">
        <f>IF(R396&gt;1,"A corregir","Válida")</f>
        <v/>
      </c>
      <c r="U396" s="13">
        <f>Q396-P396</f>
        <v/>
      </c>
      <c r="V396" s="13">
        <f>IF(S396="",0,S396*Q396)</f>
        <v/>
      </c>
      <c r="W396" s="9" t="n">
        <v>2026</v>
      </c>
      <c r="X396" s="9" t="n">
        <v>19</v>
      </c>
      <c r="Y396" s="9" t="inlineStr">
        <is>
          <t>2026-S19</t>
        </is>
      </c>
    </row>
    <row r="397">
      <c r="A397" s="9" t="n">
        <v>43048047</v>
      </c>
      <c r="B397" s="11" t="n">
        <v>46149.98326388889</v>
      </c>
      <c r="C397" s="12" t="n">
        <v>46149</v>
      </c>
      <c r="D397" s="9">
        <f>YEAR(C397)</f>
        <v/>
      </c>
      <c r="E397" s="9">
        <f>MONTH(C397)</f>
        <v/>
      </c>
      <c r="F397" s="9" t="inlineStr">
        <is>
          <t>Redondo liso</t>
        </is>
      </c>
      <c r="G397" s="9" t="inlineStr">
        <is>
          <t>REDONDO LISO 1' 6M SAE 1020 (N)</t>
        </is>
      </c>
      <c r="H397" s="9" t="inlineStr">
        <is>
          <t>REDONDO LISO 1' 6M SAE 1020 (N)</t>
        </is>
      </c>
      <c r="I397" s="9" t="inlineStr">
        <is>
          <t>RED 1</t>
        </is>
      </c>
      <c r="J397" s="9" t="n">
        <v>109006911</v>
      </c>
      <c r="K397" s="9" t="n">
        <v>25.4</v>
      </c>
      <c r="L397" s="9" t="n"/>
      <c r="M397" s="9" t="n"/>
      <c r="N397" s="9" t="n"/>
      <c r="O397" s="9" t="n">
        <v>6</v>
      </c>
      <c r="P397" s="13" t="n">
        <v>21184</v>
      </c>
      <c r="Q397" s="13" t="n">
        <v>22440</v>
      </c>
      <c r="R397" s="14">
        <f>IFERROR(P397/Q397,"")</f>
        <v/>
      </c>
      <c r="S397" s="15" t="n">
        <v>0.9470000000000001</v>
      </c>
      <c r="T397" s="9">
        <f>IF(R397&gt;1,"A corregir","Válida")</f>
        <v/>
      </c>
      <c r="U397" s="13">
        <f>Q397-P397</f>
        <v/>
      </c>
      <c r="V397" s="13">
        <f>IF(S397="",0,S397*Q397)</f>
        <v/>
      </c>
      <c r="W397" s="9" t="n">
        <v>2026</v>
      </c>
      <c r="X397" s="9" t="n">
        <v>19</v>
      </c>
      <c r="Y397" s="9" t="inlineStr">
        <is>
          <t>2026-S19</t>
        </is>
      </c>
    </row>
    <row r="398">
      <c r="A398" s="9" t="n">
        <v>43048051</v>
      </c>
      <c r="B398" s="11" t="n">
        <v>46150.07848379629</v>
      </c>
      <c r="C398" s="12" t="n">
        <v>46150</v>
      </c>
      <c r="D398" s="9">
        <f>YEAR(C398)</f>
        <v/>
      </c>
      <c r="E398" s="9">
        <f>MONTH(C398)</f>
        <v/>
      </c>
      <c r="F398" s="9" t="inlineStr">
        <is>
          <t>Saferock</t>
        </is>
      </c>
      <c r="G398" s="9" t="inlineStr">
        <is>
          <t>SAFEROCK 25MM 12M A420</t>
        </is>
      </c>
      <c r="H398" s="9" t="inlineStr">
        <is>
          <t>SAFEROCK 25MM 12M A420</t>
        </is>
      </c>
      <c r="I398" s="9" t="inlineStr">
        <is>
          <t>SFR 25</t>
        </is>
      </c>
      <c r="J398" s="9" t="n">
        <v>106025583</v>
      </c>
      <c r="K398" s="9" t="n">
        <v>25</v>
      </c>
      <c r="L398" s="9" t="n"/>
      <c r="M398" s="9" t="n"/>
      <c r="N398" s="9" t="n"/>
      <c r="O398" s="9" t="n">
        <v>12</v>
      </c>
      <c r="P398" s="13" t="n">
        <v>51445</v>
      </c>
      <c r="Q398" s="13" t="n">
        <v>54304.8</v>
      </c>
      <c r="R398" s="14">
        <f>IFERROR(P398/Q398,"")</f>
        <v/>
      </c>
      <c r="S398" s="15" t="n">
        <v>0.953</v>
      </c>
      <c r="T398" s="9">
        <f>IF(R398&gt;1,"A corregir","Válida")</f>
        <v/>
      </c>
      <c r="U398" s="13">
        <f>Q398-P398</f>
        <v/>
      </c>
      <c r="V398" s="13">
        <f>IF(S398="",0,S398*Q398)</f>
        <v/>
      </c>
      <c r="W398" s="9" t="n">
        <v>2026</v>
      </c>
      <c r="X398" s="9" t="n">
        <v>19</v>
      </c>
      <c r="Y398" s="9" t="inlineStr">
        <is>
          <t>2026-S19</t>
        </is>
      </c>
    </row>
    <row r="399">
      <c r="A399" s="9" t="n">
        <v>43048048</v>
      </c>
      <c r="B399" s="11" t="n">
        <v>46150.17313657407</v>
      </c>
      <c r="C399" s="12" t="n">
        <v>46150</v>
      </c>
      <c r="D399" s="9">
        <f>YEAR(C399)</f>
        <v/>
      </c>
      <c r="E399" s="9">
        <f>MONTH(C399)</f>
        <v/>
      </c>
      <c r="F399" s="9" t="inlineStr">
        <is>
          <t>Saferock</t>
        </is>
      </c>
      <c r="G399" s="9" t="inlineStr">
        <is>
          <t>SAFEROCK 25MM 8,4M A520</t>
        </is>
      </c>
      <c r="H399" s="9" t="inlineStr">
        <is>
          <t>SAFEROCK 25MM 8,4M A520</t>
        </is>
      </c>
      <c r="I399" s="9" t="inlineStr">
        <is>
          <t>SFR 25</t>
        </is>
      </c>
      <c r="J399" s="9" t="n">
        <v>119505906</v>
      </c>
      <c r="K399" s="9" t="n">
        <v>25</v>
      </c>
      <c r="L399" s="9" t="n"/>
      <c r="M399" s="9" t="n"/>
      <c r="N399" s="9" t="n"/>
      <c r="O399" s="9" t="n">
        <v>10.8</v>
      </c>
      <c r="P399" s="13" t="n">
        <v>63844</v>
      </c>
      <c r="Q399" s="13" t="n">
        <v>64178.4</v>
      </c>
      <c r="R399" s="14">
        <f>IFERROR(P399/Q399,"")</f>
        <v/>
      </c>
      <c r="S399" s="15" t="n">
        <v>0.97</v>
      </c>
      <c r="T399" s="9">
        <f>IF(R399&gt;1,"A corregir","Válida")</f>
        <v/>
      </c>
      <c r="U399" s="13">
        <f>Q399-P399</f>
        <v/>
      </c>
      <c r="V399" s="13">
        <f>IF(S399="",0,S399*Q399)</f>
        <v/>
      </c>
      <c r="W399" s="9" t="n">
        <v>2026</v>
      </c>
      <c r="X399" s="9" t="n">
        <v>19</v>
      </c>
      <c r="Y399" s="9" t="inlineStr">
        <is>
          <t>2026-S19</t>
        </is>
      </c>
    </row>
    <row r="400">
      <c r="A400" s="9" t="n">
        <v>43048050</v>
      </c>
      <c r="B400" s="11" t="n">
        <v>46150.29037037037</v>
      </c>
      <c r="C400" s="12" t="n">
        <v>46150</v>
      </c>
      <c r="D400" s="9">
        <f>YEAR(C400)</f>
        <v/>
      </c>
      <c r="E400" s="9">
        <f>MONTH(C400)</f>
        <v/>
      </c>
      <c r="F400" s="9" t="inlineStr">
        <is>
          <t>Saferock</t>
        </is>
      </c>
      <c r="G400" s="9" t="inlineStr">
        <is>
          <t>SAFEROCK 25MM 11,96M A520</t>
        </is>
      </c>
      <c r="H400" s="9" t="inlineStr">
        <is>
          <t>SAFEROCK 25MM 11,96M A520</t>
        </is>
      </c>
      <c r="I400" s="9" t="inlineStr">
        <is>
          <t>SFR 25</t>
        </is>
      </c>
      <c r="J400" s="9" t="n">
        <v>119505903</v>
      </c>
      <c r="K400" s="9" t="n">
        <v>25</v>
      </c>
      <c r="L400" s="9" t="n"/>
      <c r="M400" s="9" t="n"/>
      <c r="N400" s="9" t="n"/>
      <c r="O400" s="9" t="n">
        <v>6</v>
      </c>
      <c r="P400" s="13" t="n">
        <v>18492</v>
      </c>
      <c r="Q400" s="13" t="n">
        <v>19747.2</v>
      </c>
      <c r="R400" s="14">
        <f>IFERROR(P400/Q400,"")</f>
        <v/>
      </c>
      <c r="S400" s="15" t="n">
        <v>0.97</v>
      </c>
      <c r="T400" s="9">
        <f>IF(R400&gt;1,"A corregir","Válida")</f>
        <v/>
      </c>
      <c r="U400" s="13">
        <f>Q400-P400</f>
        <v/>
      </c>
      <c r="V400" s="13">
        <f>IF(S400="",0,S400*Q400)</f>
        <v/>
      </c>
      <c r="W400" s="9" t="n">
        <v>2026</v>
      </c>
      <c r="X400" s="9" t="n">
        <v>19</v>
      </c>
      <c r="Y400" s="9" t="inlineStr">
        <is>
          <t>2026-S19</t>
        </is>
      </c>
    </row>
    <row r="401">
      <c r="A401" s="9" t="n">
        <v>43048049</v>
      </c>
      <c r="B401" s="11" t="n">
        <v>46150.32953703704</v>
      </c>
      <c r="C401" s="12" t="n">
        <v>46150</v>
      </c>
      <c r="D401" s="9">
        <f>YEAR(C401)</f>
        <v/>
      </c>
      <c r="E401" s="9">
        <f>MONTH(C401)</f>
        <v/>
      </c>
      <c r="F401" s="9" t="inlineStr">
        <is>
          <t>Saferock</t>
        </is>
      </c>
      <c r="G401" s="9" t="inlineStr">
        <is>
          <t>SAFEROCK 25MM 10M A420</t>
        </is>
      </c>
      <c r="H401" s="9" t="inlineStr">
        <is>
          <t>SAFEROCK 25MM 10M A420</t>
        </is>
      </c>
      <c r="I401" s="9" t="inlineStr">
        <is>
          <t>SFR 25</t>
        </is>
      </c>
      <c r="J401" s="9" t="n">
        <v>106043671</v>
      </c>
      <c r="K401" s="9" t="n">
        <v>25</v>
      </c>
      <c r="L401" s="9" t="n"/>
      <c r="M401" s="9" t="n"/>
      <c r="N401" s="9" t="n"/>
      <c r="O401" s="9" t="n">
        <v>10</v>
      </c>
      <c r="P401" s="13" t="n">
        <v>23266</v>
      </c>
      <c r="Q401" s="13" t="n">
        <v>24684</v>
      </c>
      <c r="R401" s="14">
        <f>IFERROR(P401/Q401,"")</f>
        <v/>
      </c>
      <c r="S401" s="15" t="n">
        <v>0.9540000000000001</v>
      </c>
      <c r="T401" s="9">
        <f>IF(R401&gt;1,"A corregir","Válida")</f>
        <v/>
      </c>
      <c r="U401" s="13">
        <f>Q401-P401</f>
        <v/>
      </c>
      <c r="V401" s="13">
        <f>IF(S401="",0,S401*Q401)</f>
        <v/>
      </c>
      <c r="W401" s="9" t="n">
        <v>2026</v>
      </c>
      <c r="X401" s="9" t="n">
        <v>19</v>
      </c>
      <c r="Y401" s="9" t="inlineStr">
        <is>
          <t>2026-S19</t>
        </is>
      </c>
    </row>
    <row r="402">
      <c r="A402" s="9" t="n">
        <v>43048059</v>
      </c>
      <c r="B402" s="11" t="n">
        <v>46150.45472222222</v>
      </c>
      <c r="C402" s="12" t="n">
        <v>46150</v>
      </c>
      <c r="D402" s="9">
        <f>YEAR(C402)</f>
        <v/>
      </c>
      <c r="E402" s="9">
        <f>MONTH(C402)</f>
        <v/>
      </c>
      <c r="F402" s="9" t="inlineStr">
        <is>
          <t>B Hormigón</t>
        </is>
      </c>
      <c r="G402" s="9" t="inlineStr">
        <is>
          <t>B HORMIGON R 25MM 12M A630-420HS(N)</t>
        </is>
      </c>
      <c r="H402" s="9" t="inlineStr">
        <is>
          <t>B HORMIGON R 25MM 12M A630-420HS(N)</t>
        </is>
      </c>
      <c r="I402" s="9" t="inlineStr">
        <is>
          <t>RED 25 CR</t>
        </is>
      </c>
      <c r="J402" s="9" t="n">
        <v>119506789</v>
      </c>
      <c r="K402" s="9" t="n">
        <v>25</v>
      </c>
      <c r="L402" s="9" t="n"/>
      <c r="M402" s="9" t="n"/>
      <c r="N402" s="9" t="n"/>
      <c r="O402" s="9" t="n">
        <v>12</v>
      </c>
      <c r="P402" s="13" t="n">
        <v>52718</v>
      </c>
      <c r="Q402" s="13" t="n">
        <v>56628</v>
      </c>
      <c r="R402" s="14">
        <f>IFERROR(P402/Q402,"")</f>
        <v/>
      </c>
      <c r="S402" s="15" t="n">
        <v>0.97</v>
      </c>
      <c r="T402" s="9">
        <f>IF(R402&gt;1,"A corregir","Válida")</f>
        <v/>
      </c>
      <c r="U402" s="13">
        <f>Q402-P402</f>
        <v/>
      </c>
      <c r="V402" s="13">
        <f>IF(S402="",0,S402*Q402)</f>
        <v/>
      </c>
      <c r="W402" s="9" t="n">
        <v>2026</v>
      </c>
      <c r="X402" s="9" t="n">
        <v>19</v>
      </c>
      <c r="Y402" s="9" t="inlineStr">
        <is>
          <t>2026-S19</t>
        </is>
      </c>
    </row>
    <row r="403">
      <c r="A403" s="9" t="n">
        <v>43048060</v>
      </c>
      <c r="B403" s="11" t="n">
        <v>46150.56217592592</v>
      </c>
      <c r="C403" s="12" t="n">
        <v>46150</v>
      </c>
      <c r="D403" s="9">
        <f>YEAR(C403)</f>
        <v/>
      </c>
      <c r="E403" s="9">
        <f>MONTH(C403)</f>
        <v/>
      </c>
      <c r="F403" s="9" t="inlineStr">
        <is>
          <t>B Hormigón</t>
        </is>
      </c>
      <c r="G403" s="9" t="inlineStr">
        <is>
          <t>B HORMIGON 25MM 12M A630-420H (N)</t>
        </is>
      </c>
      <c r="H403" s="9" t="inlineStr">
        <is>
          <t>B HORMIGON 25MM 12M A630-420H (N)</t>
        </is>
      </c>
      <c r="I403" s="9" t="inlineStr">
        <is>
          <t>RED 25 CR</t>
        </is>
      </c>
      <c r="J403" s="9" t="n">
        <v>110002941</v>
      </c>
      <c r="K403" s="9" t="n">
        <v>25</v>
      </c>
      <c r="L403" s="9" t="n"/>
      <c r="M403" s="9" t="n"/>
      <c r="N403" s="9" t="n"/>
      <c r="O403" s="9" t="n">
        <v>12</v>
      </c>
      <c r="P403" s="13" t="n">
        <v>82419</v>
      </c>
      <c r="Q403" s="13" t="n">
        <v>91476</v>
      </c>
      <c r="R403" s="14">
        <f>IFERROR(P403/Q403,"")</f>
        <v/>
      </c>
      <c r="S403" s="15" t="n">
        <v>0.95</v>
      </c>
      <c r="T403" s="9">
        <f>IF(R403&gt;1,"A corregir","Válida")</f>
        <v/>
      </c>
      <c r="U403" s="13">
        <f>Q403-P403</f>
        <v/>
      </c>
      <c r="V403" s="13">
        <f>IF(S403="",0,S403*Q403)</f>
        <v/>
      </c>
      <c r="W403" s="9" t="n">
        <v>2026</v>
      </c>
      <c r="X403" s="9" t="n">
        <v>19</v>
      </c>
      <c r="Y403" s="9" t="inlineStr">
        <is>
          <t>2026-S19</t>
        </is>
      </c>
    </row>
    <row r="404">
      <c r="A404" s="9" t="n">
        <v>43048184</v>
      </c>
      <c r="B404" s="11" t="n">
        <v>46150.75961805556</v>
      </c>
      <c r="C404" s="12" t="n">
        <v>46150</v>
      </c>
      <c r="D404" s="9">
        <f>YEAR(C404)</f>
        <v/>
      </c>
      <c r="E404" s="9">
        <f>MONTH(C404)</f>
        <v/>
      </c>
      <c r="F404" s="9" t="inlineStr">
        <is>
          <t>B Hormigón</t>
        </is>
      </c>
      <c r="G404" s="9" t="inlineStr">
        <is>
          <t>B HORMIGON 25MM 7M A630-420H (N)</t>
        </is>
      </c>
      <c r="H404" s="9" t="inlineStr">
        <is>
          <t>B HORMIGON 25MM 7M A630-420H (N)</t>
        </is>
      </c>
      <c r="I404" s="9" t="inlineStr">
        <is>
          <t>RED 25 CR</t>
        </is>
      </c>
      <c r="J404" s="9" t="n">
        <v>110002927</v>
      </c>
      <c r="K404" s="9" t="n">
        <v>25</v>
      </c>
      <c r="L404" s="9" t="n"/>
      <c r="M404" s="9" t="n"/>
      <c r="N404" s="9" t="n"/>
      <c r="O404" s="9" t="n">
        <v>7</v>
      </c>
      <c r="P404" s="13" t="n">
        <v>12378</v>
      </c>
      <c r="Q404" s="13" t="n">
        <v>435.6</v>
      </c>
      <c r="R404" s="14">
        <f>IFERROR(P404/Q404,"")</f>
        <v/>
      </c>
      <c r="S404" s="15" t="n">
        <v>0.95</v>
      </c>
      <c r="T404" s="9">
        <f>IF(R404&gt;1,"A corregir","Válida")</f>
        <v/>
      </c>
      <c r="U404" s="13">
        <f>Q404-P404</f>
        <v/>
      </c>
      <c r="V404" s="13">
        <f>IF(S404="",0,S404*Q404)</f>
        <v/>
      </c>
      <c r="W404" s="9" t="n">
        <v>2026</v>
      </c>
      <c r="X404" s="9" t="n">
        <v>19</v>
      </c>
      <c r="Y404" s="9" t="inlineStr">
        <is>
          <t>2026-S19</t>
        </is>
      </c>
    </row>
    <row r="405">
      <c r="A405" s="9" t="n">
        <v>43048154</v>
      </c>
      <c r="B405" s="11" t="n">
        <v>46150.99175925926</v>
      </c>
      <c r="C405" s="12" t="n">
        <v>46150</v>
      </c>
      <c r="D405" s="9">
        <f>YEAR(C405)</f>
        <v/>
      </c>
      <c r="E405" s="9">
        <f>MONTH(C405)</f>
        <v/>
      </c>
      <c r="F405" s="9" t="inlineStr">
        <is>
          <t>B Hormigón</t>
        </is>
      </c>
      <c r="G405" s="9" t="inlineStr">
        <is>
          <t>B HORMIGON 18MM 12M A630-420H (N)</t>
        </is>
      </c>
      <c r="H405" s="9" t="inlineStr">
        <is>
          <t>B HORMIGON 18MM 12M A630-420H (N)</t>
        </is>
      </c>
      <c r="I405" s="9" t="inlineStr">
        <is>
          <t>RED 18 CR</t>
        </is>
      </c>
      <c r="J405" s="9" t="n">
        <v>110002938</v>
      </c>
      <c r="K405" s="9" t="n">
        <v>18</v>
      </c>
      <c r="L405" s="9" t="n"/>
      <c r="M405" s="9" t="n"/>
      <c r="N405" s="9" t="n"/>
      <c r="O405" s="9" t="n">
        <v>12</v>
      </c>
      <c r="P405" s="13" t="n">
        <v>304284</v>
      </c>
      <c r="Q405" s="13" t="n">
        <v>319994.4</v>
      </c>
      <c r="R405" s="14">
        <f>IFERROR(P405/Q405,"")</f>
        <v/>
      </c>
      <c r="S405" s="15" t="n">
        <v>0.96</v>
      </c>
      <c r="T405" s="9">
        <f>IF(R405&gt;1,"A corregir","Válida")</f>
        <v/>
      </c>
      <c r="U405" s="13">
        <f>Q405-P405</f>
        <v/>
      </c>
      <c r="V405" s="13">
        <f>IF(S405="",0,S405*Q405)</f>
        <v/>
      </c>
      <c r="W405" s="9" t="n">
        <v>2026</v>
      </c>
      <c r="X405" s="9" t="n">
        <v>19</v>
      </c>
      <c r="Y405" s="9" t="inlineStr">
        <is>
          <t>2026-S19</t>
        </is>
      </c>
    </row>
    <row r="406">
      <c r="A406" s="9" t="n">
        <v>43048155</v>
      </c>
      <c r="B406" s="11" t="n">
        <v>46151.63344907408</v>
      </c>
      <c r="C406" s="12" t="n">
        <v>46151</v>
      </c>
      <c r="D406" s="9">
        <f>YEAR(C406)</f>
        <v/>
      </c>
      <c r="E406" s="9">
        <f>MONTH(C406)</f>
        <v/>
      </c>
      <c r="F406" s="9" t="inlineStr">
        <is>
          <t>B Hormigón</t>
        </is>
      </c>
      <c r="G406" s="9" t="inlineStr">
        <is>
          <t>B HORMIGON 18MM 10M A630-420H (N)</t>
        </is>
      </c>
      <c r="H406" s="9" t="inlineStr">
        <is>
          <t>B HORMIGON 18MM 10M A630-420H (N)</t>
        </is>
      </c>
      <c r="I406" s="9" t="inlineStr">
        <is>
          <t>RED 18 CR</t>
        </is>
      </c>
      <c r="J406" s="9" t="n">
        <v>110002924</v>
      </c>
      <c r="K406" s="9" t="n">
        <v>18</v>
      </c>
      <c r="L406" s="9" t="n"/>
      <c r="M406" s="9" t="n"/>
      <c r="N406" s="9" t="n"/>
      <c r="O406" s="9" t="n">
        <v>10</v>
      </c>
      <c r="P406" s="13" t="n">
        <v>18340</v>
      </c>
      <c r="Q406" s="13" t="n">
        <v>19747.2</v>
      </c>
      <c r="R406" s="14">
        <f>IFERROR(P406/Q406,"")</f>
        <v/>
      </c>
      <c r="S406" s="15" t="n">
        <v>0.96</v>
      </c>
      <c r="T406" s="9">
        <f>IF(R406&gt;1,"A corregir","Válida")</f>
        <v/>
      </c>
      <c r="U406" s="13">
        <f>Q406-P406</f>
        <v/>
      </c>
      <c r="V406" s="13">
        <f>IF(S406="",0,S406*Q406)</f>
        <v/>
      </c>
      <c r="W406" s="9" t="n">
        <v>2026</v>
      </c>
      <c r="X406" s="9" t="n">
        <v>19</v>
      </c>
      <c r="Y406" s="9" t="inlineStr">
        <is>
          <t>2026-S19</t>
        </is>
      </c>
    </row>
    <row r="407">
      <c r="A407" s="9" t="n">
        <v>43048156</v>
      </c>
      <c r="B407" s="11" t="n">
        <v>46151.67167824074</v>
      </c>
      <c r="C407" s="12" t="n">
        <v>46151</v>
      </c>
      <c r="D407" s="9">
        <f>YEAR(C407)</f>
        <v/>
      </c>
      <c r="E407" s="9">
        <f>MONTH(C407)</f>
        <v/>
      </c>
      <c r="F407" s="9" t="inlineStr">
        <is>
          <t>B Hormigón</t>
        </is>
      </c>
      <c r="G407" s="9" t="inlineStr">
        <is>
          <t>B HORMIGON 18MM 8M A630-420H (N)</t>
        </is>
      </c>
      <c r="H407" s="9" t="inlineStr">
        <is>
          <t>B HORMIGON 18MM 8M A630-420H (N)</t>
        </is>
      </c>
      <c r="I407" s="9" t="inlineStr">
        <is>
          <t>RED 18 CR</t>
        </is>
      </c>
      <c r="J407" s="9" t="n">
        <v>110002952</v>
      </c>
      <c r="K407" s="9" t="n">
        <v>18</v>
      </c>
      <c r="L407" s="9" t="n"/>
      <c r="M407" s="9" t="n"/>
      <c r="N407" s="9" t="n"/>
      <c r="O407" s="9" t="n">
        <v>8</v>
      </c>
      <c r="P407" s="13" t="n">
        <v>47465</v>
      </c>
      <c r="Q407" s="13" t="n">
        <v>49368</v>
      </c>
      <c r="R407" s="14">
        <f>IFERROR(P407/Q407,"")</f>
        <v/>
      </c>
      <c r="S407" s="15" t="n">
        <v>0.96</v>
      </c>
      <c r="T407" s="9">
        <f>IF(R407&gt;1,"A corregir","Válida")</f>
        <v/>
      </c>
      <c r="U407" s="13">
        <f>Q407-P407</f>
        <v/>
      </c>
      <c r="V407" s="13">
        <f>IF(S407="",0,S407*Q407)</f>
        <v/>
      </c>
      <c r="W407" s="9" t="n">
        <v>2026</v>
      </c>
      <c r="X407" s="9" t="n">
        <v>19</v>
      </c>
      <c r="Y407" s="9" t="inlineStr">
        <is>
          <t>2026-S19</t>
        </is>
      </c>
    </row>
    <row r="408">
      <c r="A408" s="9" t="n">
        <v>43048157</v>
      </c>
      <c r="B408" s="11" t="n">
        <v>46151.76600694445</v>
      </c>
      <c r="C408" s="12" t="n">
        <v>46151</v>
      </c>
      <c r="D408" s="9">
        <f>YEAR(C408)</f>
        <v/>
      </c>
      <c r="E408" s="9">
        <f>MONTH(C408)</f>
        <v/>
      </c>
      <c r="F408" s="9" t="inlineStr">
        <is>
          <t>B Hormigón</t>
        </is>
      </c>
      <c r="G408" s="9" t="inlineStr">
        <is>
          <t>B HORMIGON 18MM 7M A630-420H (N)</t>
        </is>
      </c>
      <c r="H408" s="9" t="inlineStr">
        <is>
          <t>B HORMIGON 18MM 7M A630-420H (N)</t>
        </is>
      </c>
      <c r="I408" s="9" t="inlineStr">
        <is>
          <t>RED 18 CR</t>
        </is>
      </c>
      <c r="J408" s="9" t="n">
        <v>110002940</v>
      </c>
      <c r="K408" s="9" t="n">
        <v>18</v>
      </c>
      <c r="L408" s="9" t="n"/>
      <c r="M408" s="9" t="n"/>
      <c r="N408" s="9" t="n"/>
      <c r="O408" s="9" t="n">
        <v>7</v>
      </c>
      <c r="P408" s="13" t="n">
        <v>36840</v>
      </c>
      <c r="Q408" s="13" t="n">
        <v>38596.8</v>
      </c>
      <c r="R408" s="14">
        <f>IFERROR(P408/Q408,"")</f>
        <v/>
      </c>
      <c r="S408" s="15" t="n">
        <v>0.9590000000000001</v>
      </c>
      <c r="T408" s="9">
        <f>IF(R408&gt;1,"A corregir","Válida")</f>
        <v/>
      </c>
      <c r="U408" s="13">
        <f>Q408-P408</f>
        <v/>
      </c>
      <c r="V408" s="13">
        <f>IF(S408="",0,S408*Q408)</f>
        <v/>
      </c>
      <c r="W408" s="9" t="n">
        <v>2026</v>
      </c>
      <c r="X408" s="9" t="n">
        <v>19</v>
      </c>
      <c r="Y408" s="9" t="inlineStr">
        <is>
          <t>2026-S19</t>
        </is>
      </c>
    </row>
    <row r="409">
      <c r="A409" s="9" t="n">
        <v>43048175</v>
      </c>
      <c r="B409" s="11" t="n">
        <v>46151.85070601852</v>
      </c>
      <c r="C409" s="12" t="n">
        <v>46151</v>
      </c>
      <c r="D409" s="9">
        <f>YEAR(C409)</f>
        <v/>
      </c>
      <c r="E409" s="9">
        <f>MONTH(C409)</f>
        <v/>
      </c>
      <c r="F409" s="9" t="inlineStr">
        <is>
          <t>B Hormigón</t>
        </is>
      </c>
      <c r="G409" s="9" t="inlineStr">
        <is>
          <t>B HORMIGON 18MM 11M A630-420HS (N)</t>
        </is>
      </c>
      <c r="H409" s="9" t="inlineStr">
        <is>
          <t>B HORMIGON 18MM 11M A630-420HS (N)</t>
        </is>
      </c>
      <c r="I409" s="9" t="inlineStr">
        <is>
          <t>RED 18 CR</t>
        </is>
      </c>
      <c r="J409" s="9" t="n">
        <v>110007314</v>
      </c>
      <c r="K409" s="9" t="n">
        <v>18</v>
      </c>
      <c r="L409" s="9" t="n"/>
      <c r="M409" s="9" t="n"/>
      <c r="N409" s="9" t="n"/>
      <c r="O409" s="9" t="n">
        <v>11</v>
      </c>
      <c r="P409" s="13" t="n">
        <v>20593</v>
      </c>
      <c r="Q409" s="13" t="n">
        <v>22440</v>
      </c>
      <c r="R409" s="14">
        <f>IFERROR(P409/Q409,"")</f>
        <v/>
      </c>
      <c r="S409" s="15" t="n">
        <v>0.95</v>
      </c>
      <c r="T409" s="9">
        <f>IF(R409&gt;1,"A corregir","Válida")</f>
        <v/>
      </c>
      <c r="U409" s="13">
        <f>Q409-P409</f>
        <v/>
      </c>
      <c r="V409" s="13">
        <f>IF(S409="",0,S409*Q409)</f>
        <v/>
      </c>
      <c r="W409" s="9" t="n">
        <v>2026</v>
      </c>
      <c r="X409" s="9" t="n">
        <v>19</v>
      </c>
      <c r="Y409" s="9" t="inlineStr">
        <is>
          <t>2026-S19</t>
        </is>
      </c>
    </row>
    <row r="410">
      <c r="A410" s="9" t="n">
        <v>43048158</v>
      </c>
      <c r="B410" s="11" t="n">
        <v>46151.8884375</v>
      </c>
      <c r="C410" s="12" t="n">
        <v>46151</v>
      </c>
      <c r="D410" s="9">
        <f>YEAR(C410)</f>
        <v/>
      </c>
      <c r="E410" s="9">
        <f>MONTH(C410)</f>
        <v/>
      </c>
      <c r="F410" s="9" t="inlineStr">
        <is>
          <t>B Hormigón</t>
        </is>
      </c>
      <c r="G410" s="9" t="inlineStr">
        <is>
          <t>B HORMIGON 18MM 10M A630-420HS (N)</t>
        </is>
      </c>
      <c r="H410" s="9" t="inlineStr">
        <is>
          <t>B HORMIGON 18MM 10M A630-420HS (N)</t>
        </is>
      </c>
      <c r="I410" s="9" t="inlineStr">
        <is>
          <t>RED 18 CR</t>
        </is>
      </c>
      <c r="J410" s="9" t="n">
        <v>110007323</v>
      </c>
      <c r="K410" s="9" t="n">
        <v>18</v>
      </c>
      <c r="L410" s="9" t="n"/>
      <c r="M410" s="9" t="n"/>
      <c r="N410" s="9" t="n"/>
      <c r="O410" s="9" t="n">
        <v>10</v>
      </c>
      <c r="P410" s="13" t="n">
        <v>34665</v>
      </c>
      <c r="Q410" s="13" t="n">
        <v>37250.4</v>
      </c>
      <c r="R410" s="14">
        <f>IFERROR(P410/Q410,"")</f>
        <v/>
      </c>
      <c r="S410" s="15" t="n">
        <v>0.95</v>
      </c>
      <c r="T410" s="9">
        <f>IF(R410&gt;1,"A corregir","Válida")</f>
        <v/>
      </c>
      <c r="U410" s="13">
        <f>Q410-P410</f>
        <v/>
      </c>
      <c r="V410" s="13">
        <f>IF(S410="",0,S410*Q410)</f>
        <v/>
      </c>
      <c r="W410" s="9" t="n">
        <v>2026</v>
      </c>
      <c r="X410" s="9" t="n">
        <v>19</v>
      </c>
      <c r="Y410" s="9" t="inlineStr">
        <is>
          <t>2026-S19</t>
        </is>
      </c>
    </row>
    <row r="411">
      <c r="A411" s="9" t="n">
        <v>43048159</v>
      </c>
      <c r="B411" s="11" t="n">
        <v>46152.07071759259</v>
      </c>
      <c r="C411" s="12" t="n">
        <v>46152</v>
      </c>
      <c r="D411" s="9">
        <f>YEAR(C411)</f>
        <v/>
      </c>
      <c r="E411" s="9">
        <f>MONTH(C411)</f>
        <v/>
      </c>
      <c r="F411" s="9" t="inlineStr">
        <is>
          <t>Ángulo</t>
        </is>
      </c>
      <c r="G411" s="9" t="inlineStr">
        <is>
          <t>ANGULO 30X30X3MM A270ES</t>
        </is>
      </c>
      <c r="H411" s="9" t="inlineStr">
        <is>
          <t>ANGULO SEMI 30X30X3MM A270ES</t>
        </is>
      </c>
      <c r="I411" s="9" t="inlineStr">
        <is>
          <t>ANG 30 x 3</t>
        </is>
      </c>
      <c r="J411" s="9" t="n">
        <v>106501029</v>
      </c>
      <c r="K411" s="9" t="n"/>
      <c r="L411" s="9" t="n">
        <v>30</v>
      </c>
      <c r="M411" s="9" t="n">
        <v>3</v>
      </c>
      <c r="N411" s="9" t="n"/>
      <c r="O411" s="9" t="n">
        <v>6</v>
      </c>
      <c r="P411" s="13" t="n">
        <v>231217</v>
      </c>
      <c r="Q411" s="13" t="n">
        <v>245493.6</v>
      </c>
      <c r="R411" s="14">
        <f>IFERROR(P411/Q411,"")</f>
        <v/>
      </c>
      <c r="S411" s="15" t="n">
        <v>0.96</v>
      </c>
      <c r="T411" s="9">
        <f>IF(R411&gt;1,"A corregir","Válida")</f>
        <v/>
      </c>
      <c r="U411" s="13">
        <f>Q411-P411</f>
        <v/>
      </c>
      <c r="V411" s="13">
        <f>IF(S411="",0,S411*Q411)</f>
        <v/>
      </c>
      <c r="W411" s="9" t="n">
        <v>2026</v>
      </c>
      <c r="X411" s="9" t="n">
        <v>19</v>
      </c>
      <c r="Y411" s="9" t="inlineStr">
        <is>
          <t>2026-S19</t>
        </is>
      </c>
    </row>
    <row r="412">
      <c r="A412" s="9" t="n">
        <v>43048160</v>
      </c>
      <c r="B412" s="11" t="n">
        <v>46153.64519675926</v>
      </c>
      <c r="C412" s="12" t="n">
        <v>46153</v>
      </c>
      <c r="D412" s="9">
        <f>YEAR(C412)</f>
        <v/>
      </c>
      <c r="E412" s="9">
        <f>MONTH(C412)</f>
        <v/>
      </c>
      <c r="F412" s="9" t="inlineStr">
        <is>
          <t>Plana</t>
        </is>
      </c>
      <c r="G412" s="9" t="inlineStr">
        <is>
          <t>PLANA 50X3 MM 6M A270ES (N)</t>
        </is>
      </c>
      <c r="H412" s="9" t="inlineStr">
        <is>
          <t>PLANA 50X3 MM 6M A270ES (N)</t>
        </is>
      </c>
      <c r="I412" s="9" t="inlineStr">
        <is>
          <t>PL 50 x 3</t>
        </is>
      </c>
      <c r="J412" s="9" t="n">
        <v>109013903</v>
      </c>
      <c r="K412" s="9" t="n"/>
      <c r="L412" s="9" t="n">
        <v>50</v>
      </c>
      <c r="M412" s="9" t="n">
        <v>3</v>
      </c>
      <c r="N412" s="9" t="n"/>
      <c r="O412" s="9" t="n">
        <v>6</v>
      </c>
      <c r="P412" s="13" t="n">
        <v>37328</v>
      </c>
      <c r="Q412" s="13" t="n">
        <v>42636</v>
      </c>
      <c r="R412" s="14">
        <f>IFERROR(P412/Q412,"")</f>
        <v/>
      </c>
      <c r="S412" s="15" t="n">
        <v>0.963</v>
      </c>
      <c r="T412" s="9">
        <f>IF(R412&gt;1,"A corregir","Válida")</f>
        <v/>
      </c>
      <c r="U412" s="13">
        <f>Q412-P412</f>
        <v/>
      </c>
      <c r="V412" s="13">
        <f>IF(S412="",0,S412*Q412)</f>
        <v/>
      </c>
      <c r="W412" s="9" t="n">
        <v>2026</v>
      </c>
      <c r="X412" s="9" t="n">
        <v>20</v>
      </c>
      <c r="Y412" s="9" t="inlineStr">
        <is>
          <t>2026-S20</t>
        </is>
      </c>
    </row>
    <row r="413">
      <c r="A413" s="9" t="n">
        <v>43048162</v>
      </c>
      <c r="B413" s="11" t="n">
        <v>46154.19929398148</v>
      </c>
      <c r="C413" s="12" t="n">
        <v>46154</v>
      </c>
      <c r="D413" s="9">
        <f>YEAR(C413)</f>
        <v/>
      </c>
      <c r="E413" s="9">
        <f>MONTH(C413)</f>
        <v/>
      </c>
      <c r="F413" s="9" t="inlineStr">
        <is>
          <t>Cuadrado</t>
        </is>
      </c>
      <c r="G413" s="9" t="inlineStr">
        <is>
          <t>CUADRADO 10MM 6M COMERCIAL (N)</t>
        </is>
      </c>
      <c r="H413" s="9" t="inlineStr">
        <is>
          <t>CUADRADO 10MM 6M COMERCIAL (N)</t>
        </is>
      </c>
      <c r="I413" s="9" t="inlineStr">
        <is>
          <t>CUAD 10</t>
        </is>
      </c>
      <c r="J413" s="9" t="n">
        <v>109007066</v>
      </c>
      <c r="K413" s="9" t="n"/>
      <c r="L413" s="9" t="n"/>
      <c r="M413" s="9" t="n"/>
      <c r="N413" s="9" t="n">
        <v>10</v>
      </c>
      <c r="O413" s="9" t="n">
        <v>6</v>
      </c>
      <c r="P413" s="13" t="n">
        <v>107371</v>
      </c>
      <c r="Q413" s="13" t="n">
        <v>114457.2</v>
      </c>
      <c r="R413" s="14">
        <f>IFERROR(P413/Q413,"")</f>
        <v/>
      </c>
      <c r="S413" s="15" t="n">
        <v>0.9670000000000001</v>
      </c>
      <c r="T413" s="9">
        <f>IF(R413&gt;1,"A corregir","Válida")</f>
        <v/>
      </c>
      <c r="U413" s="13">
        <f>Q413-P413</f>
        <v/>
      </c>
      <c r="V413" s="13">
        <f>IF(S413="",0,S413*Q413)</f>
        <v/>
      </c>
      <c r="W413" s="9" t="n">
        <v>2026</v>
      </c>
      <c r="X413" s="9" t="n">
        <v>20</v>
      </c>
      <c r="Y413" s="9" t="inlineStr">
        <is>
          <t>2026-S20</t>
        </is>
      </c>
    </row>
    <row r="414">
      <c r="A414" s="9" t="n">
        <v>43048200</v>
      </c>
      <c r="B414" s="11" t="n">
        <v>46154.62630787037</v>
      </c>
      <c r="C414" s="12" t="n">
        <v>46154</v>
      </c>
      <c r="D414" s="9">
        <f>YEAR(C414)</f>
        <v/>
      </c>
      <c r="E414" s="9">
        <f>MONTH(C414)</f>
        <v/>
      </c>
      <c r="F414" s="9" t="inlineStr">
        <is>
          <t>Cuadrado</t>
        </is>
      </c>
      <c r="G414" s="9" t="inlineStr">
        <is>
          <t>CUADRADO 10MM 6M COMERCIAL (N)</t>
        </is>
      </c>
      <c r="H414" s="9" t="inlineStr">
        <is>
          <t>CUADRADO 10MM 6M COMERCIAL (N)</t>
        </is>
      </c>
      <c r="I414" s="9" t="inlineStr">
        <is>
          <t>CUAD 10</t>
        </is>
      </c>
      <c r="J414" s="9" t="n">
        <v>109007066</v>
      </c>
      <c r="K414" s="9" t="n"/>
      <c r="L414" s="9" t="n"/>
      <c r="M414" s="9" t="n"/>
      <c r="N414" s="9" t="n">
        <v>10</v>
      </c>
      <c r="O414" s="9" t="n">
        <v>6</v>
      </c>
      <c r="P414" s="13" t="n">
        <v>15366</v>
      </c>
      <c r="Q414" s="13" t="n">
        <v>17226</v>
      </c>
      <c r="R414" s="14">
        <f>IFERROR(P414/Q414,"")</f>
        <v/>
      </c>
      <c r="S414" s="15" t="n">
        <v>0.9670000000000001</v>
      </c>
      <c r="T414" s="9">
        <f>IF(R414&gt;1,"A corregir","Válida")</f>
        <v/>
      </c>
      <c r="U414" s="13">
        <f>Q414-P414</f>
        <v/>
      </c>
      <c r="V414" s="13">
        <f>IF(S414="",0,S414*Q414)</f>
        <v/>
      </c>
      <c r="W414" s="9" t="n">
        <v>2026</v>
      </c>
      <c r="X414" s="9" t="n">
        <v>20</v>
      </c>
      <c r="Y414" s="9" t="inlineStr">
        <is>
          <t>2026-S20</t>
        </is>
      </c>
    </row>
    <row r="415">
      <c r="A415" s="9" t="n">
        <v>43048161</v>
      </c>
      <c r="B415" s="11" t="n">
        <v>46154.97402777777</v>
      </c>
      <c r="C415" s="12" t="n">
        <v>46154</v>
      </c>
      <c r="D415" s="9">
        <f>YEAR(C415)</f>
        <v/>
      </c>
      <c r="E415" s="9">
        <f>MONTH(C415)</f>
        <v/>
      </c>
      <c r="F415" s="9" t="inlineStr">
        <is>
          <t>Plana</t>
        </is>
      </c>
      <c r="G415" s="9" t="inlineStr">
        <is>
          <t>PLANA 25X3MM 6M A270ES (N)</t>
        </is>
      </c>
      <c r="H415" s="9" t="inlineStr">
        <is>
          <t>PLANA 25X3MM 6M A270ES (N)</t>
        </is>
      </c>
      <c r="I415" s="9" t="inlineStr">
        <is>
          <t>PL 25 x 3</t>
        </is>
      </c>
      <c r="J415" s="9" t="n">
        <v>109013858</v>
      </c>
      <c r="K415" s="9" t="n"/>
      <c r="L415" s="9" t="n">
        <v>25</v>
      </c>
      <c r="M415" s="9" t="n">
        <v>3</v>
      </c>
      <c r="N415" s="9" t="n"/>
      <c r="O415" s="9" t="n">
        <v>6</v>
      </c>
      <c r="P415" s="13" t="n">
        <v>17770</v>
      </c>
      <c r="Q415" s="13" t="n">
        <v>23733.6</v>
      </c>
      <c r="R415" s="14">
        <f>IFERROR(P415/Q415,"")</f>
        <v/>
      </c>
      <c r="S415" s="15" t="n">
        <v>0.968</v>
      </c>
      <c r="T415" s="9">
        <f>IF(R415&gt;1,"A corregir","Válida")</f>
        <v/>
      </c>
      <c r="U415" s="13">
        <f>Q415-P415</f>
        <v/>
      </c>
      <c r="V415" s="13">
        <f>IF(S415="",0,S415*Q415)</f>
        <v/>
      </c>
      <c r="W415" s="9" t="n">
        <v>2026</v>
      </c>
      <c r="X415" s="9" t="n">
        <v>20</v>
      </c>
      <c r="Y415" s="9" t="inlineStr">
        <is>
          <t>2026-S20</t>
        </is>
      </c>
    </row>
    <row r="416">
      <c r="A416" s="9" t="n">
        <v>43048163</v>
      </c>
      <c r="B416" s="11" t="n">
        <v>46155.25369212963</v>
      </c>
      <c r="C416" s="12" t="n">
        <v>46155</v>
      </c>
      <c r="D416" s="9">
        <f>YEAR(C416)</f>
        <v/>
      </c>
      <c r="E416" s="9">
        <f>MONTH(C416)</f>
        <v/>
      </c>
      <c r="F416" s="9" t="inlineStr">
        <is>
          <t>Redondo liso</t>
        </is>
      </c>
      <c r="G416" s="9" t="inlineStr">
        <is>
          <t>REDONDO LISO 12MM 6M SAE 1020 (N)</t>
        </is>
      </c>
      <c r="H416" s="9" t="inlineStr">
        <is>
          <t>REDONDO LISO 12MM 6M SAE 1020 (N)</t>
        </is>
      </c>
      <c r="I416" s="9" t="inlineStr">
        <is>
          <t>RED 12</t>
        </is>
      </c>
      <c r="J416" s="9" t="n">
        <v>109007067</v>
      </c>
      <c r="K416" s="9" t="n">
        <v>12</v>
      </c>
      <c r="L416" s="9" t="n"/>
      <c r="M416" s="9" t="n"/>
      <c r="N416" s="9" t="n"/>
      <c r="O416" s="9" t="n">
        <v>6</v>
      </c>
      <c r="P416" s="13" t="n">
        <v>70392</v>
      </c>
      <c r="Q416" s="13" t="n">
        <v>75028.8</v>
      </c>
      <c r="R416" s="14">
        <f>IFERROR(P416/Q416,"")</f>
        <v/>
      </c>
      <c r="S416" s="15" t="n">
        <v>0.9590000000000001</v>
      </c>
      <c r="T416" s="9">
        <f>IF(R416&gt;1,"A corregir","Válida")</f>
        <v/>
      </c>
      <c r="U416" s="13">
        <f>Q416-P416</f>
        <v/>
      </c>
      <c r="V416" s="13">
        <f>IF(S416="",0,S416*Q416)</f>
        <v/>
      </c>
      <c r="W416" s="9" t="n">
        <v>2026</v>
      </c>
      <c r="X416" s="9" t="n">
        <v>20</v>
      </c>
      <c r="Y416" s="9" t="inlineStr">
        <is>
          <t>2026-S20</t>
        </is>
      </c>
    </row>
    <row r="417">
      <c r="A417" s="9" t="n">
        <v>43048202</v>
      </c>
      <c r="B417" s="11" t="n">
        <v>46155.55128472222</v>
      </c>
      <c r="C417" s="12" t="n">
        <v>46155</v>
      </c>
      <c r="D417" s="9">
        <f>YEAR(C417)</f>
        <v/>
      </c>
      <c r="E417" s="9">
        <f>MONTH(C417)</f>
        <v/>
      </c>
      <c r="F417" s="9" t="inlineStr">
        <is>
          <t>Redondo liso</t>
        </is>
      </c>
      <c r="G417" s="9" t="inlineStr">
        <is>
          <t>REDONDO LISO 1/2' 6M SAE 1045 (N)</t>
        </is>
      </c>
      <c r="H417" s="9" t="inlineStr">
        <is>
          <t>REDONDO LISO 1/2' 6M SAE 1045 (N)</t>
        </is>
      </c>
      <c r="I417" s="9" t="inlineStr">
        <is>
          <t>RED 1/2"</t>
        </is>
      </c>
      <c r="J417" s="9" t="n">
        <v>109006879</v>
      </c>
      <c r="K417" s="9" t="n">
        <v>12.7</v>
      </c>
      <c r="L417" s="9" t="n"/>
      <c r="M417" s="9" t="n"/>
      <c r="N417" s="9" t="n"/>
      <c r="O417" s="9" t="n">
        <v>6</v>
      </c>
      <c r="P417" s="13" t="n">
        <v>15870</v>
      </c>
      <c r="Q417" s="13" t="n">
        <v>16843.2</v>
      </c>
      <c r="R417" s="14">
        <f>IFERROR(P417/Q417,"")</f>
        <v/>
      </c>
      <c r="S417" s="15" t="n">
        <v>0.96</v>
      </c>
      <c r="T417" s="9">
        <f>IF(R417&gt;1,"A corregir","Válida")</f>
        <v/>
      </c>
      <c r="U417" s="13">
        <f>Q417-P417</f>
        <v/>
      </c>
      <c r="V417" s="13">
        <f>IF(S417="",0,S417*Q417)</f>
        <v/>
      </c>
      <c r="W417" s="9" t="n">
        <v>2026</v>
      </c>
      <c r="X417" s="9" t="n">
        <v>20</v>
      </c>
      <c r="Y417" s="9" t="inlineStr">
        <is>
          <t>2026-S20</t>
        </is>
      </c>
    </row>
    <row r="418">
      <c r="A418" s="9" t="n">
        <v>43048164</v>
      </c>
      <c r="B418" s="11" t="n">
        <v>46155.65621527778</v>
      </c>
      <c r="C418" s="12" t="n">
        <v>46155</v>
      </c>
      <c r="D418" s="9">
        <f>YEAR(C418)</f>
        <v/>
      </c>
      <c r="E418" s="9">
        <f>MONTH(C418)</f>
        <v/>
      </c>
      <c r="F418" s="9" t="inlineStr">
        <is>
          <t>Plana</t>
        </is>
      </c>
      <c r="G418" s="9" t="inlineStr">
        <is>
          <t>PLANA 32X3MM 6M A270ES (N)</t>
        </is>
      </c>
      <c r="H418" s="9" t="inlineStr">
        <is>
          <t>PLANA 32X3MM 6M A270ES (N)</t>
        </is>
      </c>
      <c r="I418" s="9" t="inlineStr">
        <is>
          <t>PL 32 x 3</t>
        </is>
      </c>
      <c r="J418" s="9" t="n">
        <v>109013879</v>
      </c>
      <c r="K418" s="9" t="n"/>
      <c r="L418" s="9" t="n">
        <v>32</v>
      </c>
      <c r="M418" s="9" t="n">
        <v>3</v>
      </c>
      <c r="N418" s="9" t="n"/>
      <c r="O418" s="9" t="n">
        <v>6</v>
      </c>
      <c r="P418" s="13" t="n">
        <v>34358</v>
      </c>
      <c r="Q418" s="13" t="n">
        <v>34834.8</v>
      </c>
      <c r="R418" s="14">
        <f>IFERROR(P418/Q418,"")</f>
        <v/>
      </c>
      <c r="S418" s="15" t="n">
        <v>0.966</v>
      </c>
      <c r="T418" s="9">
        <f>IF(R418&gt;1,"A corregir","Válida")</f>
        <v/>
      </c>
      <c r="U418" s="13">
        <f>Q418-P418</f>
        <v/>
      </c>
      <c r="V418" s="13">
        <f>IF(S418="",0,S418*Q418)</f>
        <v/>
      </c>
      <c r="W418" s="9" t="n">
        <v>2026</v>
      </c>
      <c r="X418" s="9" t="n">
        <v>20</v>
      </c>
      <c r="Y418" s="9" t="inlineStr">
        <is>
          <t>2026-S20</t>
        </is>
      </c>
    </row>
    <row r="419">
      <c r="A419" s="9" t="n">
        <v>43048218</v>
      </c>
      <c r="B419" s="11" t="n">
        <v>46155.98981481481</v>
      </c>
      <c r="C419" s="12" t="n">
        <v>46155</v>
      </c>
      <c r="D419" s="9">
        <f>YEAR(C419)</f>
        <v/>
      </c>
      <c r="E419" s="9">
        <f>MONTH(C419)</f>
        <v/>
      </c>
      <c r="F419" s="9" t="inlineStr">
        <is>
          <t>Cuadrado</t>
        </is>
      </c>
      <c r="G419" s="9" t="inlineStr">
        <is>
          <t>CUADRADO 12MM 6M COMERCIAL (N)</t>
        </is>
      </c>
      <c r="H419" s="9" t="inlineStr">
        <is>
          <t>CUADRADO 12MM 6M COMERCIAL (N)</t>
        </is>
      </c>
      <c r="I419" s="9" t="inlineStr">
        <is>
          <t>CUAD 12</t>
        </is>
      </c>
      <c r="J419" s="9" t="n">
        <v>109007065</v>
      </c>
      <c r="K419" s="9" t="n"/>
      <c r="L419" s="9" t="n"/>
      <c r="M419" s="9" t="n"/>
      <c r="N419" s="9" t="n">
        <v>12</v>
      </c>
      <c r="O419" s="9" t="n">
        <v>6</v>
      </c>
      <c r="P419" s="13" t="n">
        <v>12588</v>
      </c>
      <c r="Q419" s="13" t="n">
        <v>14163.6</v>
      </c>
      <c r="R419" s="14">
        <f>IFERROR(P419/Q419,"")</f>
        <v/>
      </c>
      <c r="S419" s="15" t="n">
        <v>0.966</v>
      </c>
      <c r="T419" s="9">
        <f>IF(R419&gt;1,"A corregir","Válida")</f>
        <v/>
      </c>
      <c r="U419" s="13">
        <f>Q419-P419</f>
        <v/>
      </c>
      <c r="V419" s="13">
        <f>IF(S419="",0,S419*Q419)</f>
        <v/>
      </c>
      <c r="W419" s="9" t="n">
        <v>2026</v>
      </c>
      <c r="X419" s="9" t="n">
        <v>20</v>
      </c>
      <c r="Y419" s="9" t="inlineStr">
        <is>
          <t>2026-S20</t>
        </is>
      </c>
    </row>
    <row r="420">
      <c r="A420" s="9" t="n">
        <v>43048165</v>
      </c>
      <c r="B420" s="11" t="n">
        <v>46156.02590277778</v>
      </c>
      <c r="C420" s="12" t="n">
        <v>46156</v>
      </c>
      <c r="D420" s="9">
        <f>YEAR(C420)</f>
        <v/>
      </c>
      <c r="E420" s="9">
        <f>MONTH(C420)</f>
        <v/>
      </c>
      <c r="F420" s="9" t="inlineStr">
        <is>
          <t>Cuadrado</t>
        </is>
      </c>
      <c r="G420" s="9" t="inlineStr">
        <is>
          <t>CUADRADO 12MM 6M COMERCIAL (N)</t>
        </is>
      </c>
      <c r="H420" s="9" t="inlineStr">
        <is>
          <t>CUADRADO 12MM 6M COMERCIAL (N)</t>
        </is>
      </c>
      <c r="I420" s="9" t="inlineStr">
        <is>
          <t>CUAD 12</t>
        </is>
      </c>
      <c r="J420" s="9" t="n">
        <v>109007065</v>
      </c>
      <c r="K420" s="9" t="n"/>
      <c r="L420" s="9" t="n"/>
      <c r="M420" s="9" t="n"/>
      <c r="N420" s="9" t="n">
        <v>12</v>
      </c>
      <c r="O420" s="9" t="n">
        <v>6</v>
      </c>
      <c r="P420" s="13" t="n">
        <v>22135</v>
      </c>
      <c r="Q420" s="13" t="n">
        <v>23232</v>
      </c>
      <c r="R420" s="14">
        <f>IFERROR(P420/Q420,"")</f>
        <v/>
      </c>
      <c r="S420" s="15" t="n">
        <v>0.966</v>
      </c>
      <c r="T420" s="9">
        <f>IF(R420&gt;1,"A corregir","Válida")</f>
        <v/>
      </c>
      <c r="U420" s="13">
        <f>Q420-P420</f>
        <v/>
      </c>
      <c r="V420" s="13">
        <f>IF(S420="",0,S420*Q420)</f>
        <v/>
      </c>
      <c r="W420" s="9" t="n">
        <v>2026</v>
      </c>
      <c r="X420" s="9" t="n">
        <v>20</v>
      </c>
      <c r="Y420" s="9" t="inlineStr">
        <is>
          <t>2026-S20</t>
        </is>
      </c>
    </row>
    <row r="421">
      <c r="A421" s="9" t="n">
        <v>43048167</v>
      </c>
      <c r="B421" s="11" t="n">
        <v>46156.11872685186</v>
      </c>
      <c r="C421" s="12" t="n">
        <v>46156</v>
      </c>
      <c r="D421" s="9">
        <f>YEAR(C421)</f>
        <v/>
      </c>
      <c r="E421" s="9">
        <f>MONTH(C421)</f>
        <v/>
      </c>
      <c r="F421" s="9" t="inlineStr">
        <is>
          <t>Plana</t>
        </is>
      </c>
      <c r="G421" s="9" t="inlineStr">
        <is>
          <t>PLANA 20X8MM 6M A270ES (N)</t>
        </is>
      </c>
      <c r="H421" s="9" t="inlineStr">
        <is>
          <t>PLANA 20X8MM 6M A270ES (N)</t>
        </is>
      </c>
      <c r="I421" s="9" t="inlineStr">
        <is>
          <t>PL 20 x 8</t>
        </is>
      </c>
      <c r="J421" s="9" t="n">
        <v>119502247</v>
      </c>
      <c r="K421" s="9" t="n"/>
      <c r="L421" s="9" t="n">
        <v>20</v>
      </c>
      <c r="M421" s="9" t="n">
        <v>8</v>
      </c>
      <c r="N421" s="9" t="n"/>
      <c r="O421" s="9" t="n">
        <v>6</v>
      </c>
      <c r="P421" s="13" t="n">
        <v>32816</v>
      </c>
      <c r="Q421" s="13" t="n">
        <v>35059.2</v>
      </c>
      <c r="R421" s="14">
        <f>IFERROR(P421/Q421,"")</f>
        <v/>
      </c>
      <c r="S421" s="15" t="n">
        <v>0.966</v>
      </c>
      <c r="T421" s="9">
        <f>IF(R421&gt;1,"A corregir","Válida")</f>
        <v/>
      </c>
      <c r="U421" s="13">
        <f>Q421-P421</f>
        <v/>
      </c>
      <c r="V421" s="13">
        <f>IF(S421="",0,S421*Q421)</f>
        <v/>
      </c>
      <c r="W421" s="9" t="n">
        <v>2026</v>
      </c>
      <c r="X421" s="9" t="n">
        <v>20</v>
      </c>
      <c r="Y421" s="9" t="inlineStr">
        <is>
          <t>2026-S20</t>
        </is>
      </c>
    </row>
    <row r="422">
      <c r="A422" s="9" t="n">
        <v>43048170</v>
      </c>
      <c r="B422" s="11" t="n">
        <v>46156.26679398148</v>
      </c>
      <c r="C422" s="12" t="n">
        <v>46156</v>
      </c>
      <c r="D422" s="9">
        <f>YEAR(C422)</f>
        <v/>
      </c>
      <c r="E422" s="9">
        <f>MONTH(C422)</f>
        <v/>
      </c>
      <c r="F422" s="9" t="inlineStr">
        <is>
          <t>Plana</t>
        </is>
      </c>
      <c r="G422" s="9" t="inlineStr">
        <is>
          <t>PLANA 38X3MM 6M A270ES (N)</t>
        </is>
      </c>
      <c r="H422" s="9" t="inlineStr">
        <is>
          <t>PLANA 38X3MM 6M A270ES (N)</t>
        </is>
      </c>
      <c r="I422" s="9" t="inlineStr">
        <is>
          <t>PL 38 x 3</t>
        </is>
      </c>
      <c r="J422" s="9" t="n">
        <v>109013904</v>
      </c>
      <c r="K422" s="9" t="n"/>
      <c r="L422" s="9" t="n">
        <v>38</v>
      </c>
      <c r="M422" s="9" t="n">
        <v>3</v>
      </c>
      <c r="N422" s="9" t="n"/>
      <c r="O422" s="9" t="n">
        <v>6</v>
      </c>
      <c r="P422" s="13" t="n">
        <v>20560</v>
      </c>
      <c r="Q422" s="13" t="n">
        <v>22387.2</v>
      </c>
      <c r="R422" s="14">
        <f>IFERROR(P422/Q422,"")</f>
        <v/>
      </c>
      <c r="S422" s="15" t="n">
        <v>0.966</v>
      </c>
      <c r="T422" s="9">
        <f>IF(R422&gt;1,"A corregir","Válida")</f>
        <v/>
      </c>
      <c r="U422" s="13">
        <f>Q422-P422</f>
        <v/>
      </c>
      <c r="V422" s="13">
        <f>IF(S422="",0,S422*Q422)</f>
        <v/>
      </c>
      <c r="W422" s="9" t="n">
        <v>2026</v>
      </c>
      <c r="X422" s="9" t="n">
        <v>20</v>
      </c>
      <c r="Y422" s="9" t="inlineStr">
        <is>
          <t>2026-S20</t>
        </is>
      </c>
    </row>
    <row r="423">
      <c r="A423" s="9" t="n">
        <v>43048219</v>
      </c>
      <c r="B423" s="11" t="n">
        <v>46156.39097222222</v>
      </c>
      <c r="C423" s="12" t="n">
        <v>46156</v>
      </c>
      <c r="D423" s="9">
        <f>YEAR(C423)</f>
        <v/>
      </c>
      <c r="E423" s="9">
        <f>MONTH(C423)</f>
        <v/>
      </c>
      <c r="F423" s="9" t="inlineStr">
        <is>
          <t>Plana</t>
        </is>
      </c>
      <c r="G423" s="9" t="inlineStr">
        <is>
          <t>PLANA 38X3MM 6M A270ES (N)</t>
        </is>
      </c>
      <c r="H423" s="9" t="inlineStr">
        <is>
          <t>PLANA 38X3MM 6M A270ES (N)</t>
        </is>
      </c>
      <c r="I423" s="9" t="inlineStr">
        <is>
          <t>PL 38 x 3</t>
        </is>
      </c>
      <c r="J423" s="9" t="n">
        <v>109013904</v>
      </c>
      <c r="K423" s="9" t="n"/>
      <c r="L423" s="9" t="n">
        <v>38</v>
      </c>
      <c r="M423" s="9" t="n">
        <v>3</v>
      </c>
      <c r="N423" s="9" t="n"/>
      <c r="O423" s="9" t="n">
        <v>6</v>
      </c>
      <c r="P423" s="13" t="n">
        <v>34103</v>
      </c>
      <c r="Q423" s="13" t="n">
        <v>37171.2</v>
      </c>
      <c r="R423" s="14">
        <f>IFERROR(P423/Q423,"")</f>
        <v/>
      </c>
      <c r="S423" s="15" t="n">
        <v>0.966</v>
      </c>
      <c r="T423" s="9">
        <f>IF(R423&gt;1,"A corregir","Válida")</f>
        <v/>
      </c>
      <c r="U423" s="13">
        <f>Q423-P423</f>
        <v/>
      </c>
      <c r="V423" s="13">
        <f>IF(S423="",0,S423*Q423)</f>
        <v/>
      </c>
      <c r="W423" s="9" t="n">
        <v>2026</v>
      </c>
      <c r="X423" s="9" t="n">
        <v>20</v>
      </c>
      <c r="Y423" s="9" t="inlineStr">
        <is>
          <t>2026-S20</t>
        </is>
      </c>
    </row>
    <row r="424">
      <c r="A424" s="9" t="n">
        <v>43048220</v>
      </c>
      <c r="B424" s="11" t="n">
        <v>46156.59484953704</v>
      </c>
      <c r="C424" s="12" t="n">
        <v>46156</v>
      </c>
      <c r="D424" s="9">
        <f>YEAR(C424)</f>
        <v/>
      </c>
      <c r="E424" s="9">
        <f>MONTH(C424)</f>
        <v/>
      </c>
      <c r="F424" s="9" t="inlineStr">
        <is>
          <t>Plana</t>
        </is>
      </c>
      <c r="G424" s="9" t="inlineStr">
        <is>
          <t>PLANA 38X3MM 6M A270ES (N)</t>
        </is>
      </c>
      <c r="H424" s="9" t="inlineStr">
        <is>
          <t>PLANA 38X3MM 6M A270ES (N)</t>
        </is>
      </c>
      <c r="I424" s="9" t="inlineStr">
        <is>
          <t>PL 38 x 3</t>
        </is>
      </c>
      <c r="J424" s="9" t="n">
        <v>109013904</v>
      </c>
      <c r="K424" s="9" t="n"/>
      <c r="L424" s="9" t="n">
        <v>38</v>
      </c>
      <c r="M424" s="9" t="n">
        <v>3</v>
      </c>
      <c r="N424" s="9" t="n"/>
      <c r="O424" s="9" t="n">
        <v>6</v>
      </c>
      <c r="P424" s="13" t="n">
        <v>18147</v>
      </c>
      <c r="Q424" s="13" t="n">
        <v>19140</v>
      </c>
      <c r="R424" s="14">
        <f>IFERROR(P424/Q424,"")</f>
        <v/>
      </c>
      <c r="S424" s="15" t="n">
        <v>0.966</v>
      </c>
      <c r="T424" s="9">
        <f>IF(R424&gt;1,"A corregir","Válida")</f>
        <v/>
      </c>
      <c r="U424" s="13">
        <f>Q424-P424</f>
        <v/>
      </c>
      <c r="V424" s="13">
        <f>IF(S424="",0,S424*Q424)</f>
        <v/>
      </c>
      <c r="W424" s="9" t="n">
        <v>2026</v>
      </c>
      <c r="X424" s="9" t="n">
        <v>20</v>
      </c>
      <c r="Y424" s="9" t="inlineStr">
        <is>
          <t>2026-S20</t>
        </is>
      </c>
    </row>
    <row r="425">
      <c r="A425" s="9" t="n">
        <v>43048222</v>
      </c>
      <c r="B425" s="11" t="n">
        <v>46156.73864583333</v>
      </c>
      <c r="C425" s="12" t="n">
        <v>46156</v>
      </c>
      <c r="D425" s="9">
        <f>YEAR(C425)</f>
        <v/>
      </c>
      <c r="E425" s="9">
        <f>MONTH(C425)</f>
        <v/>
      </c>
      <c r="F425" s="9" t="inlineStr">
        <is>
          <t>Ángulo</t>
        </is>
      </c>
      <c r="G425" s="9" t="inlineStr">
        <is>
          <t>ANGULO 20X20X3MM A270ES</t>
        </is>
      </c>
      <c r="H425" s="9" t="inlineStr">
        <is>
          <t>ANGULO SEMI 20X20X3MM A270ES</t>
        </is>
      </c>
      <c r="I425" s="9" t="inlineStr">
        <is>
          <t>ANG 20 x 3</t>
        </is>
      </c>
      <c r="J425" s="9" t="n">
        <v>106501016</v>
      </c>
      <c r="K425" s="9" t="n"/>
      <c r="L425" s="9" t="n">
        <v>20</v>
      </c>
      <c r="M425" s="9" t="n">
        <v>3</v>
      </c>
      <c r="N425" s="9" t="n"/>
      <c r="O425" s="9" t="n">
        <v>12</v>
      </c>
      <c r="P425" s="13" t="n">
        <v>25152</v>
      </c>
      <c r="Q425" s="13" t="n">
        <v>26796</v>
      </c>
      <c r="R425" s="14">
        <f>IFERROR(P425/Q425,"")</f>
        <v/>
      </c>
      <c r="S425" s="15" t="n">
        <v>0.963</v>
      </c>
      <c r="T425" s="9">
        <f>IF(R425&gt;1,"A corregir","Válida")</f>
        <v/>
      </c>
      <c r="U425" s="13">
        <f>Q425-P425</f>
        <v/>
      </c>
      <c r="V425" s="13">
        <f>IF(S425="",0,S425*Q425)</f>
        <v/>
      </c>
      <c r="W425" s="9" t="n">
        <v>2026</v>
      </c>
      <c r="X425" s="9" t="n">
        <v>20</v>
      </c>
      <c r="Y425" s="9" t="inlineStr">
        <is>
          <t>2026-S20</t>
        </is>
      </c>
    </row>
    <row r="426">
      <c r="A426" s="9" t="n">
        <v>43048203</v>
      </c>
      <c r="B426" s="11" t="n">
        <v>46157.12082175926</v>
      </c>
      <c r="C426" s="12" t="n">
        <v>46157</v>
      </c>
      <c r="D426" s="9">
        <f>YEAR(C426)</f>
        <v/>
      </c>
      <c r="E426" s="9">
        <f>MONTH(C426)</f>
        <v/>
      </c>
      <c r="F426" s="9" t="inlineStr">
        <is>
          <t>Redondo liso</t>
        </is>
      </c>
      <c r="G426" s="9" t="inlineStr">
        <is>
          <t>REDONDO LISO 16MM 6M SAE 1020 (N)</t>
        </is>
      </c>
      <c r="H426" s="9" t="inlineStr">
        <is>
          <t>REDONDO LISO 16MM 6M SAE 1020 (N)</t>
        </is>
      </c>
      <c r="I426" s="9" t="inlineStr">
        <is>
          <t>RED 16</t>
        </is>
      </c>
      <c r="J426" s="9" t="n">
        <v>119502683</v>
      </c>
      <c r="K426" s="9" t="n">
        <v>16</v>
      </c>
      <c r="L426" s="9" t="n"/>
      <c r="M426" s="9" t="n"/>
      <c r="N426" s="9" t="n"/>
      <c r="O426" s="9" t="n">
        <v>6</v>
      </c>
      <c r="P426" s="13" t="n">
        <v>101456</v>
      </c>
      <c r="Q426" s="13" t="n">
        <v>107712</v>
      </c>
      <c r="R426" s="14">
        <f>IFERROR(P426/Q426,"")</f>
        <v/>
      </c>
      <c r="S426" s="15" t="n">
        <v>0.958</v>
      </c>
      <c r="T426" s="9">
        <f>IF(R426&gt;1,"A corregir","Válida")</f>
        <v/>
      </c>
      <c r="U426" s="13">
        <f>Q426-P426</f>
        <v/>
      </c>
      <c r="V426" s="13">
        <f>IF(S426="",0,S426*Q426)</f>
        <v/>
      </c>
      <c r="W426" s="9" t="n">
        <v>2026</v>
      </c>
      <c r="X426" s="9" t="n">
        <v>20</v>
      </c>
      <c r="Y426" s="9" t="inlineStr">
        <is>
          <t>2026-S20</t>
        </is>
      </c>
    </row>
    <row r="427">
      <c r="A427" s="9" t="n">
        <v>43048204</v>
      </c>
      <c r="B427" s="11" t="n">
        <v>46157.31328703704</v>
      </c>
      <c r="C427" s="12" t="n">
        <v>46157</v>
      </c>
      <c r="D427" s="9">
        <f>YEAR(C427)</f>
        <v/>
      </c>
      <c r="E427" s="9">
        <f>MONTH(C427)</f>
        <v/>
      </c>
      <c r="F427" s="9" t="inlineStr">
        <is>
          <t>Redondo liso</t>
        </is>
      </c>
      <c r="G427" s="9" t="inlineStr">
        <is>
          <t>REDONDO LISO 5/8' 6M SAE 1020 (N)</t>
        </is>
      </c>
      <c r="H427" s="9" t="inlineStr">
        <is>
          <t>REDONDO LISO 5/8' 6M SAE 1020 (N)</t>
        </is>
      </c>
      <c r="I427" s="9" t="inlineStr">
        <is>
          <t>RED 16</t>
        </is>
      </c>
      <c r="J427" s="9" t="n">
        <v>109006913</v>
      </c>
      <c r="K427" s="9" t="n">
        <v>15.9</v>
      </c>
      <c r="L427" s="9" t="n"/>
      <c r="M427" s="9" t="n"/>
      <c r="N427" s="9" t="n"/>
      <c r="O427" s="9" t="n">
        <v>6</v>
      </c>
      <c r="P427" s="13" t="n">
        <v>33478</v>
      </c>
      <c r="Q427" s="13" t="n">
        <v>35006.4</v>
      </c>
      <c r="R427" s="14">
        <f>IFERROR(P427/Q427,"")</f>
        <v/>
      </c>
      <c r="S427" s="15" t="n">
        <v>0.9590000000000001</v>
      </c>
      <c r="T427" s="9">
        <f>IF(R427&gt;1,"A corregir","Válida")</f>
        <v/>
      </c>
      <c r="U427" s="13">
        <f>Q427-P427</f>
        <v/>
      </c>
      <c r="V427" s="13">
        <f>IF(S427="",0,S427*Q427)</f>
        <v/>
      </c>
      <c r="W427" s="9" t="n">
        <v>2026</v>
      </c>
      <c r="X427" s="9" t="n">
        <v>20</v>
      </c>
      <c r="Y427" s="9" t="inlineStr">
        <is>
          <t>2026-S20</t>
        </is>
      </c>
    </row>
    <row r="428">
      <c r="A428" s="9" t="n">
        <v>43048205</v>
      </c>
      <c r="B428" s="11" t="n">
        <v>46157.45577546296</v>
      </c>
      <c r="C428" s="12" t="n">
        <v>46157</v>
      </c>
      <c r="D428" s="9">
        <f>YEAR(C428)</f>
        <v/>
      </c>
      <c r="E428" s="9">
        <f>MONTH(C428)</f>
        <v/>
      </c>
      <c r="F428" s="9" t="inlineStr">
        <is>
          <t>Ángulo</t>
        </is>
      </c>
      <c r="G428" s="9" t="inlineStr">
        <is>
          <t>ANGULO 25X25X3MM A270ES</t>
        </is>
      </c>
      <c r="H428" s="9" t="inlineStr">
        <is>
          <t>ANGULO SEMI 25X25X3MM A270ES</t>
        </is>
      </c>
      <c r="I428" s="9" t="inlineStr">
        <is>
          <t>ANG 25 x 3</t>
        </is>
      </c>
      <c r="J428" s="9" t="n">
        <v>106501017</v>
      </c>
      <c r="K428" s="9" t="n"/>
      <c r="L428" s="9" t="n">
        <v>25</v>
      </c>
      <c r="M428" s="9" t="n">
        <v>3</v>
      </c>
      <c r="N428" s="9" t="n"/>
      <c r="O428" s="9" t="n">
        <v>12</v>
      </c>
      <c r="P428" s="13" t="n">
        <v>143433</v>
      </c>
      <c r="Q428" s="13" t="n">
        <v>145411.2</v>
      </c>
      <c r="R428" s="14">
        <f>IFERROR(P428/Q428,"")</f>
        <v/>
      </c>
      <c r="S428" s="15" t="n">
        <v>0.963</v>
      </c>
      <c r="T428" s="9">
        <f>IF(R428&gt;1,"A corregir","Válida")</f>
        <v/>
      </c>
      <c r="U428" s="13">
        <f>Q428-P428</f>
        <v/>
      </c>
      <c r="V428" s="13">
        <f>IF(S428="",0,S428*Q428)</f>
        <v/>
      </c>
      <c r="W428" s="9" t="n">
        <v>2026</v>
      </c>
      <c r="X428" s="9" t="n">
        <v>20</v>
      </c>
      <c r="Y428" s="9" t="inlineStr">
        <is>
          <t>2026-S20</t>
        </is>
      </c>
    </row>
    <row r="429">
      <c r="A429" s="9" t="n">
        <v>43048208</v>
      </c>
      <c r="B429" s="11" t="n">
        <v>46157.96945601852</v>
      </c>
      <c r="C429" s="12" t="n">
        <v>46157</v>
      </c>
      <c r="D429" s="9">
        <f>YEAR(C429)</f>
        <v/>
      </c>
      <c r="E429" s="9">
        <f>MONTH(C429)</f>
        <v/>
      </c>
      <c r="F429" s="9" t="inlineStr">
        <is>
          <t>B Hormigón</t>
        </is>
      </c>
      <c r="G429" s="9" t="inlineStr">
        <is>
          <t>B HORMIGON 25MM 12M A630-420H (N)</t>
        </is>
      </c>
      <c r="H429" s="9" t="inlineStr">
        <is>
          <t>B HORMIGON 25MM 12M A630-420H (N)</t>
        </is>
      </c>
      <c r="I429" s="9" t="inlineStr">
        <is>
          <t>RED 25 CR</t>
        </is>
      </c>
      <c r="J429" s="9" t="n">
        <v>110002941</v>
      </c>
      <c r="K429" s="9" t="n">
        <v>25</v>
      </c>
      <c r="L429" s="9" t="n"/>
      <c r="M429" s="9" t="n"/>
      <c r="N429" s="9" t="n"/>
      <c r="O429" s="9" t="n">
        <v>12</v>
      </c>
      <c r="P429" s="13" t="n">
        <v>291759</v>
      </c>
      <c r="Q429" s="13" t="n">
        <v>307098</v>
      </c>
      <c r="R429" s="14">
        <f>IFERROR(P429/Q429,"")</f>
        <v/>
      </c>
      <c r="S429" s="15" t="n">
        <v>0.95</v>
      </c>
      <c r="T429" s="9">
        <f>IF(R429&gt;1,"A corregir","Válida")</f>
        <v/>
      </c>
      <c r="U429" s="13">
        <f>Q429-P429</f>
        <v/>
      </c>
      <c r="V429" s="13">
        <f>IF(S429="",0,S429*Q429)</f>
        <v/>
      </c>
      <c r="W429" s="9" t="n">
        <v>2026</v>
      </c>
      <c r="X429" s="9" t="n">
        <v>20</v>
      </c>
      <c r="Y429" s="9" t="inlineStr">
        <is>
          <t>2026-S20</t>
        </is>
      </c>
    </row>
    <row r="430">
      <c r="A430" s="9" t="n">
        <v>43048209</v>
      </c>
      <c r="B430" s="11" t="n">
        <v>46158.53787037037</v>
      </c>
      <c r="C430" s="12" t="n">
        <v>46158</v>
      </c>
      <c r="D430" s="9">
        <f>YEAR(C430)</f>
        <v/>
      </c>
      <c r="E430" s="9">
        <f>MONTH(C430)</f>
        <v/>
      </c>
      <c r="F430" s="9" t="inlineStr">
        <is>
          <t>B Hormigón</t>
        </is>
      </c>
      <c r="G430" s="9" t="inlineStr">
        <is>
          <t>B HORMIGON 25MM 8M A630-420H (N)</t>
        </is>
      </c>
      <c r="H430" s="9" t="inlineStr">
        <is>
          <t>B HORMIGON 25MM 8M A630-420H (N)</t>
        </is>
      </c>
      <c r="I430" s="9" t="inlineStr">
        <is>
          <t>RED 25 CR</t>
        </is>
      </c>
      <c r="J430" s="9" t="n">
        <v>110002921</v>
      </c>
      <c r="K430" s="9" t="n">
        <v>25</v>
      </c>
      <c r="L430" s="9" t="n"/>
      <c r="M430" s="9" t="n"/>
      <c r="N430" s="9" t="n"/>
      <c r="O430" s="9" t="n">
        <v>8</v>
      </c>
      <c r="P430" s="13" t="n">
        <v>59739</v>
      </c>
      <c r="Q430" s="13" t="n">
        <v>63280.8</v>
      </c>
      <c r="R430" s="14">
        <f>IFERROR(P430/Q430,"")</f>
        <v/>
      </c>
      <c r="S430" s="15" t="n">
        <v>0.95</v>
      </c>
      <c r="T430" s="9">
        <f>IF(R430&gt;1,"A corregir","Válida")</f>
        <v/>
      </c>
      <c r="U430" s="13">
        <f>Q430-P430</f>
        <v/>
      </c>
      <c r="V430" s="13">
        <f>IF(S430="",0,S430*Q430)</f>
        <v/>
      </c>
      <c r="W430" s="9" t="n">
        <v>2026</v>
      </c>
      <c r="X430" s="9" t="n">
        <v>20</v>
      </c>
      <c r="Y430" s="9" t="inlineStr">
        <is>
          <t>2026-S20</t>
        </is>
      </c>
    </row>
    <row r="431">
      <c r="A431" s="9" t="n">
        <v>43048210</v>
      </c>
      <c r="B431" s="11" t="n">
        <v>46158.66974537037</v>
      </c>
      <c r="C431" s="12" t="n">
        <v>46158</v>
      </c>
      <c r="D431" s="9">
        <f>YEAR(C431)</f>
        <v/>
      </c>
      <c r="E431" s="9">
        <f>MONTH(C431)</f>
        <v/>
      </c>
      <c r="F431" s="9" t="inlineStr">
        <is>
          <t>B Hormigón</t>
        </is>
      </c>
      <c r="G431" s="9" t="inlineStr">
        <is>
          <t>B HORMIGON 25MM 7M A630-420H (N)</t>
        </is>
      </c>
      <c r="H431" s="9" t="inlineStr">
        <is>
          <t>B HORMIGON 25MM 7M A630-420H (N)</t>
        </is>
      </c>
      <c r="I431" s="9" t="inlineStr">
        <is>
          <t>RED 25 CR</t>
        </is>
      </c>
      <c r="J431" s="9" t="n">
        <v>110002927</v>
      </c>
      <c r="K431" s="9" t="n">
        <v>25</v>
      </c>
      <c r="L431" s="9" t="n"/>
      <c r="M431" s="9" t="n"/>
      <c r="N431" s="9" t="n"/>
      <c r="O431" s="9" t="n">
        <v>7</v>
      </c>
      <c r="P431" s="13" t="n">
        <v>74603</v>
      </c>
      <c r="Q431" s="13" t="n">
        <v>78988.8</v>
      </c>
      <c r="R431" s="14">
        <f>IFERROR(P431/Q431,"")</f>
        <v/>
      </c>
      <c r="S431" s="15" t="n">
        <v>0.95</v>
      </c>
      <c r="T431" s="9">
        <f>IF(R431&gt;1,"A corregir","Válida")</f>
        <v/>
      </c>
      <c r="U431" s="13">
        <f>Q431-P431</f>
        <v/>
      </c>
      <c r="V431" s="13">
        <f>IF(S431="",0,S431*Q431)</f>
        <v/>
      </c>
      <c r="W431" s="9" t="n">
        <v>2026</v>
      </c>
      <c r="X431" s="9" t="n">
        <v>20</v>
      </c>
      <c r="Y431" s="9" t="inlineStr">
        <is>
          <t>2026-S20</t>
        </is>
      </c>
    </row>
    <row r="432">
      <c r="A432" s="9" t="n">
        <v>43048228</v>
      </c>
      <c r="B432" s="11" t="n">
        <v>46158.88821759259</v>
      </c>
      <c r="C432" s="12" t="n">
        <v>46158</v>
      </c>
      <c r="D432" s="9">
        <f>YEAR(C432)</f>
        <v/>
      </c>
      <c r="E432" s="9">
        <f>MONTH(C432)</f>
        <v/>
      </c>
      <c r="F432" s="9" t="inlineStr">
        <is>
          <t>B Hormigón</t>
        </is>
      </c>
      <c r="G432" s="9" t="inlineStr">
        <is>
          <t>B HORMIGON 28MM 12M A630-420H (N)</t>
        </is>
      </c>
      <c r="H432" s="9" t="inlineStr">
        <is>
          <t>B HORMIGON 28MM 12M A630-420H (N)</t>
        </is>
      </c>
      <c r="I432" s="9" t="inlineStr">
        <is>
          <t>RED 28 CR</t>
        </is>
      </c>
      <c r="J432" s="9" t="n">
        <v>110002894</v>
      </c>
      <c r="K432" s="9" t="n">
        <v>28</v>
      </c>
      <c r="L432" s="9" t="n"/>
      <c r="M432" s="9" t="n"/>
      <c r="N432" s="9" t="n"/>
      <c r="O432" s="9" t="n">
        <v>12</v>
      </c>
      <c r="P432" s="13" t="n">
        <v>281813</v>
      </c>
      <c r="Q432" s="13" t="n">
        <v>296102.4</v>
      </c>
      <c r="R432" s="14">
        <f>IFERROR(P432/Q432,"")</f>
        <v/>
      </c>
      <c r="S432" s="15" t="n">
        <v>0.96</v>
      </c>
      <c r="T432" s="9">
        <f>IF(R432&gt;1,"A corregir","Válida")</f>
        <v/>
      </c>
      <c r="U432" s="13">
        <f>Q432-P432</f>
        <v/>
      </c>
      <c r="V432" s="13">
        <f>IF(S432="",0,S432*Q432)</f>
        <v/>
      </c>
      <c r="W432" s="9" t="n">
        <v>2026</v>
      </c>
      <c r="X432" s="9" t="n">
        <v>20</v>
      </c>
      <c r="Y432" s="9" t="inlineStr">
        <is>
          <t>2026-S20</t>
        </is>
      </c>
    </row>
    <row r="433">
      <c r="A433" s="9" t="n">
        <v>43048229</v>
      </c>
      <c r="B433" s="11" t="n">
        <v>46160.16438657408</v>
      </c>
      <c r="C433" s="12" t="n">
        <v>46160</v>
      </c>
      <c r="D433" s="9">
        <f>YEAR(C433)</f>
        <v/>
      </c>
      <c r="E433" s="9">
        <f>MONTH(C433)</f>
        <v/>
      </c>
      <c r="F433" s="9" t="inlineStr">
        <is>
          <t>B Hormigón</t>
        </is>
      </c>
      <c r="G433" s="9" t="inlineStr">
        <is>
          <t>B HORMIGON 28MM 11M A630-420H (N)</t>
        </is>
      </c>
      <c r="H433" s="9" t="inlineStr">
        <is>
          <t>B HORMIGON 28MM 11M A630-420H (N)</t>
        </is>
      </c>
      <c r="I433" s="9" t="inlineStr">
        <is>
          <t>RED 28 CR</t>
        </is>
      </c>
      <c r="J433" s="9" t="n">
        <v>110002893</v>
      </c>
      <c r="K433" s="9" t="n">
        <v>28</v>
      </c>
      <c r="L433" s="9" t="n"/>
      <c r="M433" s="9" t="n"/>
      <c r="N433" s="9" t="n"/>
      <c r="O433" s="9" t="n">
        <v>11</v>
      </c>
      <c r="P433" s="13" t="n">
        <v>36562</v>
      </c>
      <c r="Q433" s="13" t="n">
        <v>39204</v>
      </c>
      <c r="R433" s="14">
        <f>IFERROR(P433/Q433,"")</f>
        <v/>
      </c>
      <c r="S433" s="15" t="n">
        <v>0.9399999999999999</v>
      </c>
      <c r="T433" s="9">
        <f>IF(R433&gt;1,"A corregir","Válida")</f>
        <v/>
      </c>
      <c r="U433" s="13">
        <f>Q433-P433</f>
        <v/>
      </c>
      <c r="V433" s="13">
        <f>IF(S433="",0,S433*Q433)</f>
        <v/>
      </c>
      <c r="W433" s="9" t="n">
        <v>2026</v>
      </c>
      <c r="X433" s="9" t="n">
        <v>21</v>
      </c>
      <c r="Y433" s="9" t="inlineStr">
        <is>
          <t>2026-S21</t>
        </is>
      </c>
    </row>
    <row r="434">
      <c r="A434" s="9" t="n">
        <v>43048230</v>
      </c>
      <c r="B434" s="11" t="n">
        <v>46160.30965277777</v>
      </c>
      <c r="C434" s="12" t="n">
        <v>46160</v>
      </c>
      <c r="D434" s="9">
        <f>YEAR(C434)</f>
        <v/>
      </c>
      <c r="E434" s="9">
        <f>MONTH(C434)</f>
        <v/>
      </c>
      <c r="F434" s="9" t="inlineStr">
        <is>
          <t>B Hormigón</t>
        </is>
      </c>
      <c r="G434" s="9" t="inlineStr">
        <is>
          <t>B HORMIGON 28MM 9M A630-420H (N)</t>
        </is>
      </c>
      <c r="H434" s="9" t="inlineStr">
        <is>
          <t>B HORMIGON 28MM 9M A630-420H (N)</t>
        </is>
      </c>
      <c r="I434" s="9" t="inlineStr">
        <is>
          <t>RED 28 CR</t>
        </is>
      </c>
      <c r="J434" s="9" t="n">
        <v>110002897</v>
      </c>
      <c r="K434" s="9" t="n">
        <v>28</v>
      </c>
      <c r="L434" s="9" t="n"/>
      <c r="M434" s="9" t="n"/>
      <c r="N434" s="9" t="n"/>
      <c r="O434" s="9" t="n">
        <v>9</v>
      </c>
      <c r="P434" s="13" t="n">
        <v>41308</v>
      </c>
      <c r="Q434" s="13" t="n">
        <v>44431.2</v>
      </c>
      <c r="R434" s="14">
        <f>IFERROR(P434/Q434,"")</f>
        <v/>
      </c>
      <c r="S434" s="15" t="n">
        <v>0.9399999999999999</v>
      </c>
      <c r="T434" s="9">
        <f>IF(R434&gt;1,"A corregir","Válida")</f>
        <v/>
      </c>
      <c r="U434" s="13">
        <f>Q434-P434</f>
        <v/>
      </c>
      <c r="V434" s="13">
        <f>IF(S434="",0,S434*Q434)</f>
        <v/>
      </c>
      <c r="W434" s="9" t="n">
        <v>2026</v>
      </c>
      <c r="X434" s="9" t="n">
        <v>21</v>
      </c>
      <c r="Y434" s="9" t="inlineStr">
        <is>
          <t>2026-S21</t>
        </is>
      </c>
    </row>
    <row r="435">
      <c r="A435" s="9" t="n">
        <v>43048231</v>
      </c>
      <c r="B435" s="11" t="n">
        <v>46160.38755787037</v>
      </c>
      <c r="C435" s="12" t="n">
        <v>46160</v>
      </c>
      <c r="D435" s="9">
        <f>YEAR(C435)</f>
        <v/>
      </c>
      <c r="E435" s="9">
        <f>MONTH(C435)</f>
        <v/>
      </c>
      <c r="F435" s="9" t="inlineStr">
        <is>
          <t>B Hormigón</t>
        </is>
      </c>
      <c r="G435" s="9" t="inlineStr">
        <is>
          <t>B HORMIGON 28MM 8M A630-420H (N)</t>
        </is>
      </c>
      <c r="H435" s="9" t="inlineStr">
        <is>
          <t>B HORMIGON 28MM 8M A630-420H (N)</t>
        </is>
      </c>
      <c r="I435" s="9" t="inlineStr">
        <is>
          <t>RED 28 CR</t>
        </is>
      </c>
      <c r="J435" s="9" t="n">
        <v>110002896</v>
      </c>
      <c r="K435" s="9" t="n">
        <v>28</v>
      </c>
      <c r="L435" s="9" t="n"/>
      <c r="M435" s="9" t="n"/>
      <c r="N435" s="9" t="n"/>
      <c r="O435" s="9" t="n">
        <v>8</v>
      </c>
      <c r="P435" s="13" t="n">
        <v>21169</v>
      </c>
      <c r="Q435" s="13" t="n">
        <v>22440</v>
      </c>
      <c r="R435" s="14">
        <f>IFERROR(P435/Q435,"")</f>
        <v/>
      </c>
      <c r="S435" s="15" t="n">
        <v>0.96</v>
      </c>
      <c r="T435" s="9">
        <f>IF(R435&gt;1,"A corregir","Válida")</f>
        <v/>
      </c>
      <c r="U435" s="13">
        <f>Q435-P435</f>
        <v/>
      </c>
      <c r="V435" s="13">
        <f>IF(S435="",0,S435*Q435)</f>
        <v/>
      </c>
      <c r="W435" s="9" t="n">
        <v>2026</v>
      </c>
      <c r="X435" s="9" t="n">
        <v>21</v>
      </c>
      <c r="Y435" s="9" t="inlineStr">
        <is>
          <t>2026-S21</t>
        </is>
      </c>
    </row>
    <row r="436">
      <c r="A436" s="9" t="n">
        <v>43048206</v>
      </c>
      <c r="B436" s="11" t="n">
        <v>46160.51342592593</v>
      </c>
      <c r="C436" s="12" t="n">
        <v>46160</v>
      </c>
      <c r="D436" s="9">
        <f>YEAR(C436)</f>
        <v/>
      </c>
      <c r="E436" s="9">
        <f>MONTH(C436)</f>
        <v/>
      </c>
      <c r="F436" s="9" t="inlineStr">
        <is>
          <t>Plana</t>
        </is>
      </c>
      <c r="G436" s="9" t="inlineStr">
        <is>
          <t>PLANA 50X8MM 6M A270ES (N)</t>
        </is>
      </c>
      <c r="H436" s="9" t="inlineStr">
        <is>
          <t>PLANA 50X8MM 6M A270ES (N)</t>
        </is>
      </c>
      <c r="I436" s="9" t="inlineStr">
        <is>
          <t>PL 50 x 8</t>
        </is>
      </c>
      <c r="J436" s="9" t="n">
        <v>109013900</v>
      </c>
      <c r="K436" s="9" t="n"/>
      <c r="L436" s="9" t="n">
        <v>50</v>
      </c>
      <c r="M436" s="9" t="n">
        <v>8</v>
      </c>
      <c r="N436" s="9" t="n"/>
      <c r="O436" s="9" t="n">
        <v>6</v>
      </c>
      <c r="P436" s="13" t="n">
        <v>29250</v>
      </c>
      <c r="Q436" s="13" t="n">
        <v>33211.2</v>
      </c>
      <c r="R436" s="14">
        <f>IFERROR(P436/Q436,"")</f>
        <v/>
      </c>
      <c r="S436" s="15" t="n">
        <v>0.9570000000000001</v>
      </c>
      <c r="T436" s="9">
        <f>IF(R436&gt;1,"A corregir","Válida")</f>
        <v/>
      </c>
      <c r="U436" s="13">
        <f>Q436-P436</f>
        <v/>
      </c>
      <c r="V436" s="13">
        <f>IF(S436="",0,S436*Q436)</f>
        <v/>
      </c>
      <c r="W436" s="9" t="n">
        <v>2026</v>
      </c>
      <c r="X436" s="9" t="n">
        <v>21</v>
      </c>
      <c r="Y436" s="9" t="inlineStr">
        <is>
          <t>2026-S21</t>
        </is>
      </c>
    </row>
    <row r="437">
      <c r="A437" s="9" t="n">
        <v>43048207</v>
      </c>
      <c r="B437" s="11" t="n">
        <v>46160.62966435185</v>
      </c>
      <c r="C437" s="12" t="n">
        <v>46160</v>
      </c>
      <c r="D437" s="9">
        <f>YEAR(C437)</f>
        <v/>
      </c>
      <c r="E437" s="9">
        <f>MONTH(C437)</f>
        <v/>
      </c>
      <c r="F437" s="9" t="inlineStr">
        <is>
          <t>Plana</t>
        </is>
      </c>
      <c r="G437" s="9" t="inlineStr">
        <is>
          <t>PLANA 50X5MM 6M A270ES (N)</t>
        </is>
      </c>
      <c r="H437" s="9" t="inlineStr">
        <is>
          <t>PLANA 50X5MM 6M A270ES (N)</t>
        </is>
      </c>
      <c r="I437" s="9" t="inlineStr">
        <is>
          <t>PL 50 x 5</t>
        </is>
      </c>
      <c r="J437" s="9" t="n">
        <v>109013902</v>
      </c>
      <c r="K437" s="9" t="n"/>
      <c r="L437" s="9" t="n">
        <v>50</v>
      </c>
      <c r="M437" s="9" t="n">
        <v>5</v>
      </c>
      <c r="N437" s="9" t="n"/>
      <c r="O437" s="9" t="n">
        <v>6</v>
      </c>
      <c r="P437" s="13" t="n">
        <v>56998</v>
      </c>
      <c r="Q437" s="13" t="n">
        <v>60588</v>
      </c>
      <c r="R437" s="14">
        <f>IFERROR(P437/Q437,"")</f>
        <v/>
      </c>
      <c r="S437" s="15" t="n">
        <v>0.96</v>
      </c>
      <c r="T437" s="9">
        <f>IF(R437&gt;1,"A corregir","Válida")</f>
        <v/>
      </c>
      <c r="U437" s="13">
        <f>Q437-P437</f>
        <v/>
      </c>
      <c r="V437" s="13">
        <f>IF(S437="",0,S437*Q437)</f>
        <v/>
      </c>
      <c r="W437" s="9" t="n">
        <v>2026</v>
      </c>
      <c r="X437" s="9" t="n">
        <v>21</v>
      </c>
      <c r="Y437" s="9" t="inlineStr">
        <is>
          <t>2026-S21</t>
        </is>
      </c>
    </row>
    <row r="438">
      <c r="A438" s="9" t="n">
        <v>43048232</v>
      </c>
      <c r="B438" s="11" t="n">
        <v>46160.96195601852</v>
      </c>
      <c r="C438" s="12" t="n">
        <v>46160</v>
      </c>
      <c r="D438" s="9">
        <f>YEAR(C438)</f>
        <v/>
      </c>
      <c r="E438" s="9">
        <f>MONTH(C438)</f>
        <v/>
      </c>
      <c r="F438" s="9" t="inlineStr">
        <is>
          <t>B Hormigón</t>
        </is>
      </c>
      <c r="G438" s="9" t="inlineStr">
        <is>
          <t>B HORMIGON 18MM 12M A630-420H (N)</t>
        </is>
      </c>
      <c r="H438" s="9" t="inlineStr">
        <is>
          <t>B HORMIGON 18MM 12M A630-420H (N)</t>
        </is>
      </c>
      <c r="I438" s="9" t="inlineStr">
        <is>
          <t>RED 18 CR</t>
        </is>
      </c>
      <c r="J438" s="9" t="n">
        <v>110002938</v>
      </c>
      <c r="K438" s="9" t="n">
        <v>18</v>
      </c>
      <c r="L438" s="9" t="n"/>
      <c r="M438" s="9" t="n"/>
      <c r="N438" s="9" t="n"/>
      <c r="O438" s="9" t="n">
        <v>12</v>
      </c>
      <c r="P438" s="13" t="n">
        <v>295562</v>
      </c>
      <c r="Q438" s="13" t="n">
        <v>306081.6</v>
      </c>
      <c r="R438" s="14">
        <f>IFERROR(P438/Q438,"")</f>
        <v/>
      </c>
      <c r="S438" s="15" t="n">
        <v>0.96</v>
      </c>
      <c r="T438" s="9">
        <f>IF(R438&gt;1,"A corregir","Válida")</f>
        <v/>
      </c>
      <c r="U438" s="13">
        <f>Q438-P438</f>
        <v/>
      </c>
      <c r="V438" s="13">
        <f>IF(S438="",0,S438*Q438)</f>
        <v/>
      </c>
      <c r="W438" s="9" t="n">
        <v>2026</v>
      </c>
      <c r="X438" s="9" t="n">
        <v>21</v>
      </c>
      <c r="Y438" s="9" t="inlineStr">
        <is>
          <t>2026-S21</t>
        </is>
      </c>
    </row>
    <row r="439">
      <c r="A439" s="9" t="n">
        <v>43048233</v>
      </c>
      <c r="B439" s="11" t="n">
        <v>46161.53297453704</v>
      </c>
      <c r="C439" s="12" t="n">
        <v>46161</v>
      </c>
      <c r="D439" s="9">
        <f>YEAR(C439)</f>
        <v/>
      </c>
      <c r="E439" s="9">
        <f>MONTH(C439)</f>
        <v/>
      </c>
      <c r="F439" s="9" t="inlineStr">
        <is>
          <t>B Hormigón</t>
        </is>
      </c>
      <c r="G439" s="9" t="inlineStr">
        <is>
          <t>B HORMIGON 18MM 10M A630-420H (N)</t>
        </is>
      </c>
      <c r="H439" s="9" t="inlineStr">
        <is>
          <t>B HORMIGON 18MM 10M A630-420H (N)</t>
        </is>
      </c>
      <c r="I439" s="9" t="inlineStr">
        <is>
          <t>RED 18 CR</t>
        </is>
      </c>
      <c r="J439" s="9" t="n">
        <v>110002924</v>
      </c>
      <c r="K439" s="9" t="n">
        <v>18</v>
      </c>
      <c r="L439" s="9" t="n"/>
      <c r="M439" s="9" t="n"/>
      <c r="N439" s="9" t="n"/>
      <c r="O439" s="9" t="n">
        <v>10</v>
      </c>
      <c r="P439" s="13" t="n">
        <v>50425</v>
      </c>
      <c r="Q439" s="13" t="n">
        <v>53856</v>
      </c>
      <c r="R439" s="14">
        <f>IFERROR(P439/Q439,"")</f>
        <v/>
      </c>
      <c r="S439" s="15" t="n">
        <v>0.96</v>
      </c>
      <c r="T439" s="9">
        <f>IF(R439&gt;1,"A corregir","Válida")</f>
        <v/>
      </c>
      <c r="U439" s="13">
        <f>Q439-P439</f>
        <v/>
      </c>
      <c r="V439" s="13">
        <f>IF(S439="",0,S439*Q439)</f>
        <v/>
      </c>
      <c r="W439" s="9" t="n">
        <v>2026</v>
      </c>
      <c r="X439" s="9" t="n">
        <v>21</v>
      </c>
      <c r="Y439" s="9" t="inlineStr">
        <is>
          <t>2026-S21</t>
        </is>
      </c>
    </row>
    <row r="440">
      <c r="A440" s="9" t="n">
        <v>43048234</v>
      </c>
      <c r="B440" s="11" t="n">
        <v>46161.63005787037</v>
      </c>
      <c r="C440" s="12" t="n">
        <v>46161</v>
      </c>
      <c r="D440" s="9">
        <f>YEAR(C440)</f>
        <v/>
      </c>
      <c r="E440" s="9">
        <f>MONTH(C440)</f>
        <v/>
      </c>
      <c r="F440" s="9" t="inlineStr">
        <is>
          <t>B Hormigón</t>
        </is>
      </c>
      <c r="G440" s="9" t="inlineStr">
        <is>
          <t>B HORMIGON 18MM 9M A630-420H (N)</t>
        </is>
      </c>
      <c r="H440" s="9" t="inlineStr">
        <is>
          <t>B HORMIGON 18MM 9M A630-420H (N)</t>
        </is>
      </c>
      <c r="I440" s="9" t="inlineStr">
        <is>
          <t>RED 18 CR</t>
        </is>
      </c>
      <c r="J440" s="9" t="n">
        <v>110002951</v>
      </c>
      <c r="K440" s="9" t="n">
        <v>18</v>
      </c>
      <c r="L440" s="9" t="n"/>
      <c r="M440" s="9" t="n"/>
      <c r="N440" s="9" t="n"/>
      <c r="O440" s="9" t="n">
        <v>9</v>
      </c>
      <c r="P440" s="13" t="n">
        <v>45175</v>
      </c>
      <c r="Q440" s="13" t="n">
        <v>46226.4</v>
      </c>
      <c r="R440" s="14">
        <f>IFERROR(P440/Q440,"")</f>
        <v/>
      </c>
      <c r="S440" s="15" t="n">
        <v>0.9590000000000001</v>
      </c>
      <c r="T440" s="9">
        <f>IF(R440&gt;1,"A corregir","Válida")</f>
        <v/>
      </c>
      <c r="U440" s="13">
        <f>Q440-P440</f>
        <v/>
      </c>
      <c r="V440" s="13">
        <f>IF(S440="",0,S440*Q440)</f>
        <v/>
      </c>
      <c r="W440" s="9" t="n">
        <v>2026</v>
      </c>
      <c r="X440" s="9" t="n">
        <v>21</v>
      </c>
      <c r="Y440" s="9" t="inlineStr">
        <is>
          <t>2026-S21</t>
        </is>
      </c>
    </row>
    <row r="441">
      <c r="A441" s="9" t="n">
        <v>43048235</v>
      </c>
      <c r="B441" s="11" t="n">
        <v>46161.70814814815</v>
      </c>
      <c r="C441" s="12" t="n">
        <v>46161</v>
      </c>
      <c r="D441" s="9">
        <f>YEAR(C441)</f>
        <v/>
      </c>
      <c r="E441" s="9">
        <f>MONTH(C441)</f>
        <v/>
      </c>
      <c r="F441" s="9" t="inlineStr">
        <is>
          <t>B Hormigón</t>
        </is>
      </c>
      <c r="G441" s="9" t="inlineStr">
        <is>
          <t>B HORMIGON 18MM 8M A630-420H (N)</t>
        </is>
      </c>
      <c r="H441" s="9" t="inlineStr">
        <is>
          <t>B HORMIGON 18MM 8M A630-420H (N)</t>
        </is>
      </c>
      <c r="I441" s="9" t="inlineStr">
        <is>
          <t>RED 18 CR</t>
        </is>
      </c>
      <c r="J441" s="9" t="n">
        <v>110002952</v>
      </c>
      <c r="K441" s="9" t="n">
        <v>18</v>
      </c>
      <c r="L441" s="9" t="n"/>
      <c r="M441" s="9" t="n"/>
      <c r="N441" s="9" t="n"/>
      <c r="O441" s="9" t="n">
        <v>8</v>
      </c>
      <c r="P441" s="13" t="n">
        <v>52366</v>
      </c>
      <c r="Q441" s="13" t="n">
        <v>54753.6</v>
      </c>
      <c r="R441" s="14">
        <f>IFERROR(P441/Q441,"")</f>
        <v/>
      </c>
      <c r="S441" s="15" t="n">
        <v>0.96</v>
      </c>
      <c r="T441" s="9">
        <f>IF(R441&gt;1,"A corregir","Válida")</f>
        <v/>
      </c>
      <c r="U441" s="13">
        <f>Q441-P441</f>
        <v/>
      </c>
      <c r="V441" s="13">
        <f>IF(S441="",0,S441*Q441)</f>
        <v/>
      </c>
      <c r="W441" s="9" t="n">
        <v>2026</v>
      </c>
      <c r="X441" s="9" t="n">
        <v>21</v>
      </c>
      <c r="Y441" s="9" t="inlineStr">
        <is>
          <t>2026-S21</t>
        </is>
      </c>
    </row>
    <row r="442">
      <c r="A442" s="9" t="n">
        <v>43048236</v>
      </c>
      <c r="B442" s="11" t="n">
        <v>46162.00682870371</v>
      </c>
      <c r="C442" s="12" t="n">
        <v>46162</v>
      </c>
      <c r="D442" s="9">
        <f>YEAR(C442)</f>
        <v/>
      </c>
      <c r="E442" s="9">
        <f>MONTH(C442)</f>
        <v/>
      </c>
      <c r="F442" s="9" t="inlineStr">
        <is>
          <t>B Hormigón</t>
        </is>
      </c>
      <c r="G442" s="9" t="inlineStr">
        <is>
          <t>B HORMIGON 18MM 7M A630-420H (N)</t>
        </is>
      </c>
      <c r="H442" s="9" t="inlineStr">
        <is>
          <t>B HORMIGON 18MM 7M A630-420H (N)</t>
        </is>
      </c>
      <c r="I442" s="9" t="inlineStr">
        <is>
          <t>RED 18 CR</t>
        </is>
      </c>
      <c r="J442" s="9" t="n">
        <v>110002940</v>
      </c>
      <c r="K442" s="9" t="n">
        <v>18</v>
      </c>
      <c r="L442" s="9" t="n"/>
      <c r="M442" s="9" t="n"/>
      <c r="N442" s="9" t="n"/>
      <c r="O442" s="9" t="n">
        <v>7</v>
      </c>
      <c r="P442" s="13" t="n">
        <v>38195</v>
      </c>
      <c r="Q442" s="13" t="n">
        <v>39494.4</v>
      </c>
      <c r="R442" s="14">
        <f>IFERROR(P442/Q442,"")</f>
        <v/>
      </c>
      <c r="S442" s="15" t="n">
        <v>0.9590000000000001</v>
      </c>
      <c r="T442" s="9">
        <f>IF(R442&gt;1,"A corregir","Válida")</f>
        <v/>
      </c>
      <c r="U442" s="13">
        <f>Q442-P442</f>
        <v/>
      </c>
      <c r="V442" s="13">
        <f>IF(S442="",0,S442*Q442)</f>
        <v/>
      </c>
      <c r="W442" s="9" t="n">
        <v>2026</v>
      </c>
      <c r="X442" s="9" t="n">
        <v>21</v>
      </c>
      <c r="Y442" s="9" t="inlineStr">
        <is>
          <t>2026-S21</t>
        </is>
      </c>
    </row>
    <row r="443">
      <c r="A443" s="9" t="n">
        <v>43048237</v>
      </c>
      <c r="B443" s="11" t="n">
        <v>46162.07537037037</v>
      </c>
      <c r="C443" s="12" t="n">
        <v>46162</v>
      </c>
      <c r="D443" s="9">
        <f>YEAR(C443)</f>
        <v/>
      </c>
      <c r="E443" s="9">
        <f>MONTH(C443)</f>
        <v/>
      </c>
      <c r="F443" s="9" t="inlineStr">
        <is>
          <t>B Hormigón</t>
        </is>
      </c>
      <c r="G443" s="9" t="inlineStr">
        <is>
          <t>B HORMIGON 18MM 6M A630-420H (N)</t>
        </is>
      </c>
      <c r="H443" s="9" t="inlineStr">
        <is>
          <t>B HORMIGON 18MM 6M A630-420H (N)</t>
        </is>
      </c>
      <c r="I443" s="9" t="inlineStr">
        <is>
          <t>RED 18 CR</t>
        </is>
      </c>
      <c r="J443" s="9" t="n">
        <v>110002942</v>
      </c>
      <c r="K443" s="9" t="n">
        <v>18</v>
      </c>
      <c r="L443" s="9" t="n"/>
      <c r="M443" s="9" t="n"/>
      <c r="N443" s="9" t="n"/>
      <c r="O443" s="9" t="n">
        <v>6</v>
      </c>
      <c r="P443" s="13" t="n">
        <v>61691</v>
      </c>
      <c r="Q443" s="13" t="n">
        <v>63729.6</v>
      </c>
      <c r="R443" s="14">
        <f>IFERROR(P443/Q443,"")</f>
        <v/>
      </c>
      <c r="S443" s="15" t="n">
        <v>0.96</v>
      </c>
      <c r="T443" s="9">
        <f>IF(R443&gt;1,"A corregir","Válida")</f>
        <v/>
      </c>
      <c r="U443" s="13">
        <f>Q443-P443</f>
        <v/>
      </c>
      <c r="V443" s="13">
        <f>IF(S443="",0,S443*Q443)</f>
        <v/>
      </c>
      <c r="W443" s="9" t="n">
        <v>2026</v>
      </c>
      <c r="X443" s="9" t="n">
        <v>21</v>
      </c>
      <c r="Y443" s="9" t="inlineStr">
        <is>
          <t>2026-S21</t>
        </is>
      </c>
    </row>
    <row r="444">
      <c r="A444" s="9" t="n">
        <v>43048238</v>
      </c>
      <c r="B444" s="11" t="n">
        <v>46162.25893518519</v>
      </c>
      <c r="C444" s="12" t="n">
        <v>46162</v>
      </c>
      <c r="D444" s="9">
        <f>YEAR(C444)</f>
        <v/>
      </c>
      <c r="E444" s="9">
        <f>MONTH(C444)</f>
        <v/>
      </c>
      <c r="F444" s="9" t="inlineStr">
        <is>
          <t>Saferock</t>
        </is>
      </c>
      <c r="G444" s="9" t="inlineStr">
        <is>
          <t>SAFEROCK 22MM 11,96M A520</t>
        </is>
      </c>
      <c r="H444" s="9" t="inlineStr">
        <is>
          <t>SAFEROCK 22MM 11,96M A520</t>
        </is>
      </c>
      <c r="I444" s="9" t="inlineStr">
        <is>
          <t>SFRCK 22</t>
        </is>
      </c>
      <c r="J444" s="9" t="n">
        <v>119506375</v>
      </c>
      <c r="K444" s="9" t="n">
        <v>22</v>
      </c>
      <c r="L444" s="9" t="n"/>
      <c r="M444" s="9" t="n"/>
      <c r="N444" s="9" t="n"/>
      <c r="O444" s="9" t="n">
        <v>6</v>
      </c>
      <c r="P444" s="13" t="n">
        <v>30901</v>
      </c>
      <c r="Q444" s="13" t="n">
        <v>38438.4</v>
      </c>
      <c r="R444" s="14">
        <f>IFERROR(P444/Q444,"")</f>
        <v/>
      </c>
      <c r="S444" s="15" t="n">
        <v>0.97</v>
      </c>
      <c r="T444" s="9">
        <f>IF(R444&gt;1,"A corregir","Válida")</f>
        <v/>
      </c>
      <c r="U444" s="13">
        <f>Q444-P444</f>
        <v/>
      </c>
      <c r="V444" s="13">
        <f>IF(S444="",0,S444*Q444)</f>
        <v/>
      </c>
      <c r="W444" s="9" t="n">
        <v>2026</v>
      </c>
      <c r="X444" s="9" t="n">
        <v>21</v>
      </c>
      <c r="Y444" s="9" t="inlineStr">
        <is>
          <t>2026-S21</t>
        </is>
      </c>
    </row>
    <row r="445">
      <c r="A445" s="9" t="n">
        <v>43048254</v>
      </c>
      <c r="B445" s="11" t="n">
        <v>46162.32081018519</v>
      </c>
      <c r="C445" s="12" t="n">
        <v>46162</v>
      </c>
      <c r="D445" s="9">
        <f>YEAR(C445)</f>
        <v/>
      </c>
      <c r="E445" s="9">
        <f>MONTH(C445)</f>
        <v/>
      </c>
      <c r="F445" s="9" t="inlineStr">
        <is>
          <t>Saferock</t>
        </is>
      </c>
      <c r="G445" s="9" t="inlineStr">
        <is>
          <t>SAFEROCK 22MM 12M A280</t>
        </is>
      </c>
      <c r="H445" s="9" t="inlineStr">
        <is>
          <t>SAFEROCK SEMI 22MM 12M A280</t>
        </is>
      </c>
      <c r="I445" s="9" t="inlineStr">
        <is>
          <t>SFRCK 22</t>
        </is>
      </c>
      <c r="J445" s="9" t="n">
        <v>106025569</v>
      </c>
      <c r="K445" s="9" t="n">
        <v>22</v>
      </c>
      <c r="L445" s="9" t="n"/>
      <c r="M445" s="9" t="n"/>
      <c r="N445" s="9" t="n"/>
      <c r="O445" s="9" t="n">
        <v>12</v>
      </c>
      <c r="P445" s="13" t="n">
        <v>324547</v>
      </c>
      <c r="Q445" s="13" t="n">
        <v>337920</v>
      </c>
      <c r="R445" s="14">
        <f>IFERROR(P445/Q445,"")</f>
        <v/>
      </c>
      <c r="S445" s="15" t="n">
        <v>0.9590000000000001</v>
      </c>
      <c r="T445" s="9">
        <f>IF(R445&gt;1,"A corregir","Válida")</f>
        <v/>
      </c>
      <c r="U445" s="13">
        <f>Q445-P445</f>
        <v/>
      </c>
      <c r="V445" s="13">
        <f>IF(S445="",0,S445*Q445)</f>
        <v/>
      </c>
      <c r="W445" s="9" t="n">
        <v>2026</v>
      </c>
      <c r="X445" s="9" t="n">
        <v>21</v>
      </c>
      <c r="Y445" s="9" t="inlineStr">
        <is>
          <t>2026-S21</t>
        </is>
      </c>
    </row>
    <row r="446">
      <c r="A446" s="9" t="n">
        <v>43048022</v>
      </c>
      <c r="B446" s="11" t="n">
        <v>46163.18392361111</v>
      </c>
      <c r="C446" s="12" t="n">
        <v>46163</v>
      </c>
      <c r="D446" s="9">
        <f>YEAR(C446)</f>
        <v/>
      </c>
      <c r="E446" s="9">
        <f>MONTH(C446)</f>
        <v/>
      </c>
      <c r="F446" s="9" t="inlineStr">
        <is>
          <t>Saferock</t>
        </is>
      </c>
      <c r="G446" s="9" t="inlineStr">
        <is>
          <t>SAFEROCK 22MM 10,5M A280</t>
        </is>
      </c>
      <c r="H446" s="9" t="inlineStr">
        <is>
          <t>SAFEROCK SEMI 22MM 10,5M A280</t>
        </is>
      </c>
      <c r="I446" s="9" t="inlineStr">
        <is>
          <t>SFRCK 22</t>
        </is>
      </c>
      <c r="J446" s="9" t="n">
        <v>106501802</v>
      </c>
      <c r="K446" s="9" t="n">
        <v>22</v>
      </c>
      <c r="L446" s="9" t="n"/>
      <c r="M446" s="9" t="n"/>
      <c r="N446" s="9" t="n"/>
      <c r="O446" s="9" t="n">
        <v>10.5</v>
      </c>
      <c r="P446" s="13" t="n">
        <v>67901</v>
      </c>
      <c r="Q446" s="13" t="n">
        <v>70963.2</v>
      </c>
      <c r="R446" s="14">
        <f>IFERROR(P446/Q446,"")</f>
        <v/>
      </c>
      <c r="S446" s="15" t="n">
        <v>0.958</v>
      </c>
      <c r="T446" s="9">
        <f>IF(R446&gt;1,"A corregir","Válida")</f>
        <v/>
      </c>
      <c r="U446" s="13">
        <f>Q446-P446</f>
        <v/>
      </c>
      <c r="V446" s="13">
        <f>IF(S446="",0,S446*Q446)</f>
        <v/>
      </c>
      <c r="W446" s="9" t="n">
        <v>2026</v>
      </c>
      <c r="X446" s="9" t="n">
        <v>21</v>
      </c>
      <c r="Y446" s="9" t="inlineStr">
        <is>
          <t>2026-S21</t>
        </is>
      </c>
    </row>
    <row r="447">
      <c r="A447" s="9" t="n">
        <v>43048297</v>
      </c>
      <c r="B447" s="11" t="n">
        <v>46163.40082175926</v>
      </c>
      <c r="C447" s="12" t="n">
        <v>46163</v>
      </c>
      <c r="D447" s="9">
        <f>YEAR(C447)</f>
        <v/>
      </c>
      <c r="E447" s="9">
        <f>MONTH(C447)</f>
        <v/>
      </c>
      <c r="F447" s="9" t="inlineStr">
        <is>
          <t>Saferock</t>
        </is>
      </c>
      <c r="G447" s="9" t="inlineStr">
        <is>
          <t>SAFEROCK 22MM 12M A280</t>
        </is>
      </c>
      <c r="H447" s="9" t="inlineStr">
        <is>
          <t>SAFEROCK 22MM 12M A280</t>
        </is>
      </c>
      <c r="I447" s="9" t="inlineStr">
        <is>
          <t>SFRCK 22</t>
        </is>
      </c>
      <c r="J447" s="9" t="n">
        <v>106025569</v>
      </c>
      <c r="K447" s="9" t="n">
        <v>22</v>
      </c>
      <c r="L447" s="9" t="n"/>
      <c r="M447" s="9" t="n"/>
      <c r="N447" s="9" t="n"/>
      <c r="O447" s="9" t="n">
        <v>12</v>
      </c>
      <c r="P447" s="13" t="n">
        <v>60535</v>
      </c>
      <c r="Q447" s="13" t="n">
        <v>62515.2</v>
      </c>
      <c r="R447" s="14">
        <f>IFERROR(P447/Q447,"")</f>
        <v/>
      </c>
      <c r="S447" s="15" t="n">
        <v>0.9590000000000001</v>
      </c>
      <c r="T447" s="9">
        <f>IF(R447&gt;1,"A corregir","Válida")</f>
        <v/>
      </c>
      <c r="U447" s="13">
        <f>Q447-P447</f>
        <v/>
      </c>
      <c r="V447" s="13">
        <f>IF(S447="",0,S447*Q447)</f>
        <v/>
      </c>
      <c r="W447" s="9" t="n">
        <v>2026</v>
      </c>
      <c r="X447" s="9" t="n">
        <v>21</v>
      </c>
      <c r="Y447" s="9" t="inlineStr">
        <is>
          <t>2026-S21</t>
        </is>
      </c>
    </row>
    <row r="448">
      <c r="A448" s="9" t="n">
        <v>43048256</v>
      </c>
      <c r="B448" s="11" t="n">
        <v>46163.52092592593</v>
      </c>
      <c r="C448" s="12" t="n">
        <v>46163</v>
      </c>
      <c r="D448" s="9">
        <f>YEAR(C448)</f>
        <v/>
      </c>
      <c r="E448" s="9">
        <f>MONTH(C448)</f>
        <v/>
      </c>
      <c r="F448" s="9" t="inlineStr">
        <is>
          <t>Saferock</t>
        </is>
      </c>
      <c r="G448" s="9" t="inlineStr">
        <is>
          <t>SAFEROCK 22MM 10M A280</t>
        </is>
      </c>
      <c r="H448" s="9" t="inlineStr">
        <is>
          <t>SAFEROCK SEMI 22MM 10M A280</t>
        </is>
      </c>
      <c r="I448" s="9" t="inlineStr">
        <is>
          <t>SFRCK 22</t>
        </is>
      </c>
      <c r="J448" s="9" t="n">
        <v>106043322</v>
      </c>
      <c r="K448" s="9" t="n">
        <v>22</v>
      </c>
      <c r="L448" s="9" t="n"/>
      <c r="M448" s="9" t="n"/>
      <c r="N448" s="9" t="n"/>
      <c r="O448" s="9" t="n">
        <v>10</v>
      </c>
      <c r="P448" s="13" t="n">
        <v>31196</v>
      </c>
      <c r="Q448" s="13" t="n">
        <v>33211.2</v>
      </c>
      <c r="R448" s="14">
        <f>IFERROR(P448/Q448,"")</f>
        <v/>
      </c>
      <c r="S448" s="15" t="n">
        <v>0.953</v>
      </c>
      <c r="T448" s="9">
        <f>IF(R448&gt;1,"A corregir","Válida")</f>
        <v/>
      </c>
      <c r="U448" s="13">
        <f>Q448-P448</f>
        <v/>
      </c>
      <c r="V448" s="13">
        <f>IF(S448="",0,S448*Q448)</f>
        <v/>
      </c>
      <c r="W448" s="9" t="n">
        <v>2026</v>
      </c>
      <c r="X448" s="9" t="n">
        <v>21</v>
      </c>
      <c r="Y448" s="9" t="inlineStr">
        <is>
          <t>2026-S21</t>
        </is>
      </c>
    </row>
    <row r="449">
      <c r="A449" s="9" t="n">
        <v>43048257</v>
      </c>
      <c r="B449" s="11" t="n">
        <v>46163.59030092593</v>
      </c>
      <c r="C449" s="12" t="n">
        <v>46163</v>
      </c>
      <c r="D449" s="9">
        <f>YEAR(C449)</f>
        <v/>
      </c>
      <c r="E449" s="9">
        <f>MONTH(C449)</f>
        <v/>
      </c>
      <c r="F449" s="9" t="inlineStr">
        <is>
          <t>Saferock</t>
        </is>
      </c>
      <c r="G449" s="9" t="inlineStr">
        <is>
          <t>SAFEROCK 22MM 9,6M A280</t>
        </is>
      </c>
      <c r="H449" s="9" t="inlineStr">
        <is>
          <t>SAFEROCK SEMI 22MM 9,6M A280</t>
        </is>
      </c>
      <c r="I449" s="9" t="inlineStr">
        <is>
          <t>SFRCK 22</t>
        </is>
      </c>
      <c r="J449" s="9" t="n">
        <v>106503248</v>
      </c>
      <c r="K449" s="9" t="n">
        <v>22</v>
      </c>
      <c r="L449" s="9" t="n"/>
      <c r="M449" s="9" t="n"/>
      <c r="N449" s="9" t="n"/>
      <c r="O449" s="9" t="n">
        <v>9.6</v>
      </c>
      <c r="P449" s="13" t="n">
        <v>99387</v>
      </c>
      <c r="Q449" s="13" t="n">
        <v>104121.6</v>
      </c>
      <c r="R449" s="14">
        <f>IFERROR(P449/Q449,"")</f>
        <v/>
      </c>
      <c r="S449" s="15" t="n">
        <v>0.9570000000000001</v>
      </c>
      <c r="T449" s="9">
        <f>IF(R449&gt;1,"A corregir","Válida")</f>
        <v/>
      </c>
      <c r="U449" s="13">
        <f>Q449-P449</f>
        <v/>
      </c>
      <c r="V449" s="13">
        <f>IF(S449="",0,S449*Q449)</f>
        <v/>
      </c>
      <c r="W449" s="9" t="n">
        <v>2026</v>
      </c>
      <c r="X449" s="9" t="n">
        <v>21</v>
      </c>
      <c r="Y449" s="9" t="inlineStr">
        <is>
          <t>2026-S21</t>
        </is>
      </c>
    </row>
    <row r="450">
      <c r="A450" s="9" t="n">
        <v>43048258</v>
      </c>
      <c r="B450" s="11" t="n">
        <v>46163.85322916666</v>
      </c>
      <c r="C450" s="12" t="n">
        <v>46163</v>
      </c>
      <c r="D450" s="9">
        <f>YEAR(C450)</f>
        <v/>
      </c>
      <c r="E450" s="9">
        <f>MONTH(C450)</f>
        <v/>
      </c>
      <c r="F450" s="9" t="inlineStr">
        <is>
          <t>Ángulo</t>
        </is>
      </c>
      <c r="G450" s="9" t="inlineStr">
        <is>
          <t>ANGULO 30X30X5MM A270ES</t>
        </is>
      </c>
      <c r="H450" s="9" t="inlineStr">
        <is>
          <t>ANGULO SEMI 30X30X5MM A270ES</t>
        </is>
      </c>
      <c r="I450" s="9" t="inlineStr">
        <is>
          <t>ANG 30 x 5</t>
        </is>
      </c>
      <c r="J450" s="9" t="n">
        <v>106501813</v>
      </c>
      <c r="K450" s="9" t="n"/>
      <c r="L450" s="9" t="n">
        <v>30</v>
      </c>
      <c r="M450" s="9" t="n">
        <v>5</v>
      </c>
      <c r="N450" s="9" t="n"/>
      <c r="O450" s="9" t="n">
        <v>6</v>
      </c>
      <c r="P450" s="13" t="n">
        <v>28471</v>
      </c>
      <c r="Q450" s="13" t="n">
        <v>30069.6</v>
      </c>
      <c r="R450" s="14">
        <f>IFERROR(P450/Q450,"")</f>
        <v/>
      </c>
      <c r="S450" s="15" t="n">
        <v>0.958</v>
      </c>
      <c r="T450" s="9">
        <f>IF(R450&gt;1,"A corregir","Válida")</f>
        <v/>
      </c>
      <c r="U450" s="13">
        <f>Q450-P450</f>
        <v/>
      </c>
      <c r="V450" s="13">
        <f>IF(S450="",0,S450*Q450)</f>
        <v/>
      </c>
      <c r="W450" s="9" t="n">
        <v>2026</v>
      </c>
      <c r="X450" s="9" t="n">
        <v>21</v>
      </c>
      <c r="Y450" s="9" t="inlineStr">
        <is>
          <t>2026-S21</t>
        </is>
      </c>
    </row>
    <row r="451">
      <c r="A451" s="9" t="n">
        <v>43048259</v>
      </c>
      <c r="B451" s="11" t="n">
        <v>46163.95650462963</v>
      </c>
      <c r="C451" s="12" t="n">
        <v>46163</v>
      </c>
      <c r="D451" s="9">
        <f>YEAR(C451)</f>
        <v/>
      </c>
      <c r="E451" s="9">
        <f>MONTH(C451)</f>
        <v/>
      </c>
      <c r="F451" s="9" t="inlineStr">
        <is>
          <t>Ángulo</t>
        </is>
      </c>
      <c r="G451" s="9" t="inlineStr">
        <is>
          <t>ANGULO 30X30X3MM A270ES</t>
        </is>
      </c>
      <c r="H451" s="9" t="inlineStr">
        <is>
          <t>ANGULO SEMI 30X30X3MM A270ES</t>
        </is>
      </c>
      <c r="I451" s="9" t="inlineStr">
        <is>
          <t>ANG 30 x 3</t>
        </is>
      </c>
      <c r="J451" s="9" t="n">
        <v>106501029</v>
      </c>
      <c r="K451" s="9" t="n"/>
      <c r="L451" s="9" t="n">
        <v>30</v>
      </c>
      <c r="M451" s="9" t="n">
        <v>3</v>
      </c>
      <c r="N451" s="9" t="n"/>
      <c r="O451" s="9" t="n">
        <v>6</v>
      </c>
      <c r="P451" s="13" t="n">
        <v>287396</v>
      </c>
      <c r="Q451" s="13" t="n">
        <v>300247.2</v>
      </c>
      <c r="R451" s="14">
        <f>IFERROR(P451/Q451,"")</f>
        <v/>
      </c>
      <c r="S451" s="15" t="n">
        <v>0.96</v>
      </c>
      <c r="T451" s="9">
        <f>IF(R451&gt;1,"A corregir","Válida")</f>
        <v/>
      </c>
      <c r="U451" s="13">
        <f>Q451-P451</f>
        <v/>
      </c>
      <c r="V451" s="13">
        <f>IF(S451="",0,S451*Q451)</f>
        <v/>
      </c>
      <c r="W451" s="9" t="n">
        <v>2026</v>
      </c>
      <c r="X451" s="9" t="n">
        <v>21</v>
      </c>
      <c r="Y451" s="9" t="inlineStr">
        <is>
          <t>2026-S21</t>
        </is>
      </c>
    </row>
    <row r="452">
      <c r="A452" s="9" t="n">
        <v>43048260</v>
      </c>
      <c r="B452" s="11" t="n">
        <v>46164.98489583333</v>
      </c>
      <c r="C452" s="12" t="n">
        <v>46164</v>
      </c>
      <c r="D452" s="9">
        <f>YEAR(C452)</f>
        <v/>
      </c>
      <c r="E452" s="9">
        <f>MONTH(C452)</f>
        <v/>
      </c>
      <c r="F452" s="9" t="inlineStr">
        <is>
          <t>B Hormigón</t>
        </is>
      </c>
      <c r="G452" s="9" t="inlineStr">
        <is>
          <t>B HORMIGON 36MM 12M A630-420H (N)</t>
        </is>
      </c>
      <c r="H452" s="9" t="inlineStr">
        <is>
          <t>B HORMIGON 36MM 12M A630-420H (N)</t>
        </is>
      </c>
      <c r="I452" s="9" t="inlineStr">
        <is>
          <t>RED 36 CR</t>
        </is>
      </c>
      <c r="J452" s="9" t="n">
        <v>110002907</v>
      </c>
      <c r="K452" s="9" t="n">
        <v>36</v>
      </c>
      <c r="L452" s="9" t="n"/>
      <c r="M452" s="9" t="n"/>
      <c r="N452" s="9" t="n"/>
      <c r="O452" s="9" t="n">
        <v>12</v>
      </c>
      <c r="P452" s="13" t="n">
        <v>91451</v>
      </c>
      <c r="Q452" s="13" t="n">
        <v>98208</v>
      </c>
      <c r="R452" s="14">
        <f>IFERROR(P452/Q452,"")</f>
        <v/>
      </c>
      <c r="S452" s="15" t="n">
        <v>0.96</v>
      </c>
      <c r="T452" s="9">
        <f>IF(R452&gt;1,"A corregir","Válida")</f>
        <v/>
      </c>
      <c r="U452" s="13">
        <f>Q452-P452</f>
        <v/>
      </c>
      <c r="V452" s="13">
        <f>IF(S452="",0,S452*Q452)</f>
        <v/>
      </c>
      <c r="W452" s="9" t="n">
        <v>2026</v>
      </c>
      <c r="X452" s="9" t="n">
        <v>21</v>
      </c>
      <c r="Y452" s="9" t="inlineStr">
        <is>
          <t>2026-S21</t>
        </is>
      </c>
    </row>
    <row r="453">
      <c r="A453" s="9" t="n">
        <v>43048315</v>
      </c>
      <c r="B453" s="11" t="n">
        <v>46165.15482638889</v>
      </c>
      <c r="C453" s="12" t="n">
        <v>46165</v>
      </c>
      <c r="D453" s="9">
        <f>YEAR(C453)</f>
        <v/>
      </c>
      <c r="E453" s="9">
        <f>MONTH(C453)</f>
        <v/>
      </c>
      <c r="F453" s="9" t="inlineStr">
        <is>
          <t>B Hormigón</t>
        </is>
      </c>
      <c r="G453" s="9" t="inlineStr">
        <is>
          <t>B HORMIGON 36MM 7M A630-420H (N)</t>
        </is>
      </c>
      <c r="H453" s="9" t="inlineStr">
        <is>
          <t>B HORMIGON 36MM 7M A630-420H (N)</t>
        </is>
      </c>
      <c r="I453" s="9" t="inlineStr">
        <is>
          <t>RED 36 CR</t>
        </is>
      </c>
      <c r="J453" s="9" t="n">
        <v>110002908</v>
      </c>
      <c r="K453" s="9" t="n">
        <v>36</v>
      </c>
      <c r="L453" s="9" t="n"/>
      <c r="M453" s="9" t="n"/>
      <c r="N453" s="9" t="n"/>
      <c r="O453" s="9" t="n">
        <v>7</v>
      </c>
      <c r="P453" s="13" t="n">
        <v>39126</v>
      </c>
      <c r="Q453" s="13" t="n">
        <v>41329.2</v>
      </c>
      <c r="R453" s="14">
        <f>IFERROR(P453/Q453,"")</f>
        <v/>
      </c>
      <c r="S453" s="15" t="n">
        <v>0.96</v>
      </c>
      <c r="T453" s="9">
        <f>IF(R453&gt;1,"A corregir","Válida")</f>
        <v/>
      </c>
      <c r="U453" s="13">
        <f>Q453-P453</f>
        <v/>
      </c>
      <c r="V453" s="13">
        <f>IF(S453="",0,S453*Q453)</f>
        <v/>
      </c>
      <c r="W453" s="9" t="n">
        <v>2026</v>
      </c>
      <c r="X453" s="9" t="n">
        <v>21</v>
      </c>
      <c r="Y453" s="9" t="inlineStr">
        <is>
          <t>2026-S21</t>
        </is>
      </c>
    </row>
    <row r="454">
      <c r="A454" s="9" t="n">
        <v>43048263</v>
      </c>
      <c r="B454" s="11" t="n">
        <v>46165.26596064815</v>
      </c>
      <c r="C454" s="12" t="n">
        <v>46165</v>
      </c>
      <c r="D454" s="9">
        <f>YEAR(C454)</f>
        <v/>
      </c>
      <c r="E454" s="9">
        <f>MONTH(C454)</f>
        <v/>
      </c>
      <c r="F454" s="9" t="inlineStr">
        <is>
          <t>B Hormigón</t>
        </is>
      </c>
      <c r="G454" s="9" t="inlineStr">
        <is>
          <t>B HORMIGON 28MM 10M A630-420H (N)</t>
        </is>
      </c>
      <c r="H454" s="9" t="inlineStr">
        <is>
          <t>B HORMIGON 28MM 10M A630-420H (N)</t>
        </is>
      </c>
      <c r="I454" s="9" t="inlineStr">
        <is>
          <t>RED 28 CR</t>
        </is>
      </c>
      <c r="J454" s="9" t="n">
        <v>110002892</v>
      </c>
      <c r="K454" s="9" t="n">
        <v>28</v>
      </c>
      <c r="L454" s="9" t="n"/>
      <c r="M454" s="9" t="n"/>
      <c r="N454" s="9" t="n"/>
      <c r="O454" s="9" t="n">
        <v>10</v>
      </c>
      <c r="P454" s="13" t="n">
        <v>182100</v>
      </c>
      <c r="Q454" s="13" t="n">
        <v>169197.6</v>
      </c>
      <c r="R454" s="14">
        <f>IFERROR(P454/Q454,"")</f>
        <v/>
      </c>
      <c r="S454" s="15" t="n">
        <v>0.96</v>
      </c>
      <c r="T454" s="9">
        <f>IF(R454&gt;1,"A corregir","Válida")</f>
        <v/>
      </c>
      <c r="U454" s="13">
        <f>Q454-P454</f>
        <v/>
      </c>
      <c r="V454" s="13">
        <f>IF(S454="",0,S454*Q454)</f>
        <v/>
      </c>
      <c r="W454" s="9" t="n">
        <v>2026</v>
      </c>
      <c r="X454" s="9" t="n">
        <v>21</v>
      </c>
      <c r="Y454" s="9" t="inlineStr">
        <is>
          <t>2026-S21</t>
        </is>
      </c>
    </row>
    <row r="455">
      <c r="A455" s="9" t="n">
        <v>43048261</v>
      </c>
      <c r="B455" s="11" t="n">
        <v>46165.4954050926</v>
      </c>
      <c r="C455" s="12" t="n">
        <v>46165</v>
      </c>
      <c r="D455" s="9">
        <f>YEAR(C455)</f>
        <v/>
      </c>
      <c r="E455" s="9">
        <f>MONTH(C455)</f>
        <v/>
      </c>
      <c r="F455" s="9" t="inlineStr">
        <is>
          <t>B Hormigón</t>
        </is>
      </c>
      <c r="G455" s="9" t="inlineStr">
        <is>
          <t>B HORMIGON 28MM 12M A630-420H (N)</t>
        </is>
      </c>
      <c r="H455" s="9" t="inlineStr">
        <is>
          <t>B HORMIGON 28MM 12M A630-420H (N)</t>
        </is>
      </c>
      <c r="I455" s="9" t="inlineStr">
        <is>
          <t>RED 28 CR</t>
        </is>
      </c>
      <c r="J455" s="9" t="n">
        <v>110002894</v>
      </c>
      <c r="K455" s="9" t="n">
        <v>28</v>
      </c>
      <c r="L455" s="9" t="n"/>
      <c r="M455" s="9" t="n"/>
      <c r="N455" s="9" t="n"/>
      <c r="O455" s="9" t="n">
        <v>12</v>
      </c>
      <c r="P455" s="13" t="n">
        <v>234775</v>
      </c>
      <c r="Q455" s="13" t="n">
        <v>247104</v>
      </c>
      <c r="R455" s="14">
        <f>IFERROR(P455/Q455,"")</f>
        <v/>
      </c>
      <c r="S455" s="15" t="n">
        <v>0.96</v>
      </c>
      <c r="T455" s="9">
        <f>IF(R455&gt;1,"A corregir","Válida")</f>
        <v/>
      </c>
      <c r="U455" s="13">
        <f>Q455-P455</f>
        <v/>
      </c>
      <c r="V455" s="13">
        <f>IF(S455="",0,S455*Q455)</f>
        <v/>
      </c>
      <c r="W455" s="9" t="n">
        <v>2026</v>
      </c>
      <c r="X455" s="9" t="n">
        <v>21</v>
      </c>
      <c r="Y455" s="9" t="inlineStr">
        <is>
          <t>2026-S21</t>
        </is>
      </c>
    </row>
    <row r="456">
      <c r="A456" s="9" t="n">
        <v>43048262</v>
      </c>
      <c r="B456" s="11" t="n">
        <v>46166.03716435185</v>
      </c>
      <c r="C456" s="12" t="n">
        <v>46166</v>
      </c>
      <c r="D456" s="9">
        <f>YEAR(C456)</f>
        <v/>
      </c>
      <c r="E456" s="9">
        <f>MONTH(C456)</f>
        <v/>
      </c>
      <c r="F456" s="9" t="inlineStr">
        <is>
          <t>B Hormigón</t>
        </is>
      </c>
      <c r="G456" s="9" t="inlineStr">
        <is>
          <t>B HORMIGON 28MM 11M A630-420H (N)</t>
        </is>
      </c>
      <c r="H456" s="9" t="inlineStr">
        <is>
          <t>B HORMIGON 28MM 11M A630-420H (N)</t>
        </is>
      </c>
      <c r="I456" s="9" t="inlineStr">
        <is>
          <t>RED 28 CR</t>
        </is>
      </c>
      <c r="J456" s="9" t="n">
        <v>110002893</v>
      </c>
      <c r="K456" s="9" t="n">
        <v>28</v>
      </c>
      <c r="L456" s="9" t="n"/>
      <c r="M456" s="9" t="n"/>
      <c r="N456" s="9" t="n"/>
      <c r="O456" s="9" t="n">
        <v>11</v>
      </c>
      <c r="P456" s="13" t="n">
        <v>141114</v>
      </c>
      <c r="Q456" s="13" t="n">
        <v>152064</v>
      </c>
      <c r="R456" s="14">
        <f>IFERROR(P456/Q456,"")</f>
        <v/>
      </c>
      <c r="S456" s="15" t="n">
        <v>0.9399999999999999</v>
      </c>
      <c r="T456" s="9">
        <f>IF(R456&gt;1,"A corregir","Válida")</f>
        <v/>
      </c>
      <c r="U456" s="13">
        <f>Q456-P456</f>
        <v/>
      </c>
      <c r="V456" s="13">
        <f>IF(S456="",0,S456*Q456)</f>
        <v/>
      </c>
      <c r="W456" s="9" t="n">
        <v>2026</v>
      </c>
      <c r="X456" s="9" t="n">
        <v>21</v>
      </c>
      <c r="Y456" s="9" t="inlineStr">
        <is>
          <t>2026-S21</t>
        </is>
      </c>
    </row>
    <row r="457">
      <c r="A457" s="9" t="n">
        <v>43048264</v>
      </c>
      <c r="B457" s="11" t="n">
        <v>46167.06122685185</v>
      </c>
      <c r="C457" s="12" t="n">
        <v>46167</v>
      </c>
      <c r="D457" s="9">
        <f>YEAR(C457)</f>
        <v/>
      </c>
      <c r="E457" s="9">
        <f>MONTH(C457)</f>
        <v/>
      </c>
      <c r="F457" s="9" t="inlineStr">
        <is>
          <t>B Hormigón</t>
        </is>
      </c>
      <c r="G457" s="9" t="inlineStr">
        <is>
          <t>B HORMIGON 28MM 9M A630-420H (N)</t>
        </is>
      </c>
      <c r="H457" s="9" t="inlineStr">
        <is>
          <t>B HORMIGON 28MM 9M A630-420H (N)</t>
        </is>
      </c>
      <c r="I457" s="9" t="inlineStr">
        <is>
          <t>RED 28 CR</t>
        </is>
      </c>
      <c r="J457" s="9" t="n">
        <v>110002897</v>
      </c>
      <c r="K457" s="9" t="n">
        <v>28</v>
      </c>
      <c r="L457" s="9" t="n"/>
      <c r="M457" s="9" t="n"/>
      <c r="N457" s="9" t="n"/>
      <c r="O457" s="9" t="n">
        <v>9</v>
      </c>
      <c r="P457" s="13" t="n">
        <v>126297</v>
      </c>
      <c r="Q457" s="13" t="n">
        <v>133293.6</v>
      </c>
      <c r="R457" s="14">
        <f>IFERROR(P457/Q457,"")</f>
        <v/>
      </c>
      <c r="S457" s="15" t="n">
        <v>0.9399999999999999</v>
      </c>
      <c r="T457" s="9">
        <f>IF(R457&gt;1,"A corregir","Válida")</f>
        <v/>
      </c>
      <c r="U457" s="13">
        <f>Q457-P457</f>
        <v/>
      </c>
      <c r="V457" s="13">
        <f>IF(S457="",0,S457*Q457)</f>
        <v/>
      </c>
      <c r="W457" s="9" t="n">
        <v>2026</v>
      </c>
      <c r="X457" s="9" t="n">
        <v>22</v>
      </c>
      <c r="Y457" s="9" t="inlineStr">
        <is>
          <t>2026-S22</t>
        </is>
      </c>
    </row>
    <row r="458">
      <c r="A458" s="9" t="n">
        <v>43048316</v>
      </c>
      <c r="B458" s="11" t="n">
        <v>46167.31174768518</v>
      </c>
      <c r="C458" s="12" t="n">
        <v>46167</v>
      </c>
      <c r="D458" s="9">
        <f>YEAR(C458)</f>
        <v/>
      </c>
      <c r="E458" s="9">
        <f>MONTH(C458)</f>
        <v/>
      </c>
      <c r="F458" s="9" t="inlineStr">
        <is>
          <t>B Hormigón</t>
        </is>
      </c>
      <c r="G458" s="9" t="inlineStr">
        <is>
          <t>B HORMIGON 28MM 8M A630-420H (N)</t>
        </is>
      </c>
      <c r="H458" s="9" t="inlineStr">
        <is>
          <t>B HORMIGON 28MM 8M A630-420H (N)</t>
        </is>
      </c>
      <c r="I458" s="9" t="inlineStr">
        <is>
          <t>RED 28 CR</t>
        </is>
      </c>
      <c r="J458" s="9" t="n">
        <v>110002896</v>
      </c>
      <c r="K458" s="9" t="n">
        <v>28</v>
      </c>
      <c r="L458" s="9" t="n"/>
      <c r="M458" s="9" t="n"/>
      <c r="N458" s="9" t="n"/>
      <c r="O458" s="9" t="n">
        <v>8</v>
      </c>
      <c r="P458" s="13" t="n">
        <v>104172</v>
      </c>
      <c r="Q458" s="13" t="n">
        <v>109692</v>
      </c>
      <c r="R458" s="14">
        <f>IFERROR(P458/Q458,"")</f>
        <v/>
      </c>
      <c r="S458" s="15" t="n">
        <v>0.96</v>
      </c>
      <c r="T458" s="9">
        <f>IF(R458&gt;1,"A corregir","Válida")</f>
        <v/>
      </c>
      <c r="U458" s="13">
        <f>Q458-P458</f>
        <v/>
      </c>
      <c r="V458" s="13">
        <f>IF(S458="",0,S458*Q458)</f>
        <v/>
      </c>
      <c r="W458" s="9" t="n">
        <v>2026</v>
      </c>
      <c r="X458" s="9" t="n">
        <v>22</v>
      </c>
      <c r="Y458" s="9" t="inlineStr">
        <is>
          <t>2026-S22</t>
        </is>
      </c>
    </row>
    <row r="459">
      <c r="A459" s="9" t="n">
        <v>43048317</v>
      </c>
      <c r="B459" s="11" t="n">
        <v>46167.50340277778</v>
      </c>
      <c r="C459" s="12" t="n">
        <v>46167</v>
      </c>
      <c r="D459" s="9">
        <f>YEAR(C459)</f>
        <v/>
      </c>
      <c r="E459" s="9">
        <f>MONTH(C459)</f>
        <v/>
      </c>
      <c r="F459" s="9" t="inlineStr">
        <is>
          <t>B Hormigón</t>
        </is>
      </c>
      <c r="G459" s="9" t="inlineStr">
        <is>
          <t>B HORMIGON 28MM 8M A630-420H (N)</t>
        </is>
      </c>
      <c r="H459" s="9" t="inlineStr">
        <is>
          <t>B HORMIGON 28MM 8M A630-420H (N)</t>
        </is>
      </c>
      <c r="I459" s="9" t="inlineStr">
        <is>
          <t>RED 28 CR</t>
        </is>
      </c>
      <c r="J459" s="9" t="n">
        <v>110002896</v>
      </c>
      <c r="K459" s="9" t="n">
        <v>28</v>
      </c>
      <c r="L459" s="9" t="n"/>
      <c r="M459" s="9" t="n"/>
      <c r="N459" s="9" t="n"/>
      <c r="O459" s="9" t="n">
        <v>8</v>
      </c>
      <c r="P459" s="13" t="n">
        <v>19170</v>
      </c>
      <c r="Q459" s="13" t="n">
        <v>19166.4</v>
      </c>
      <c r="R459" s="14">
        <f>IFERROR(P459/Q459,"")</f>
        <v/>
      </c>
      <c r="S459" s="15" t="n">
        <v>0.96</v>
      </c>
      <c r="T459" s="9">
        <f>IF(R459&gt;1,"A corregir","Válida")</f>
        <v/>
      </c>
      <c r="U459" s="13">
        <f>Q459-P459</f>
        <v/>
      </c>
      <c r="V459" s="13">
        <f>IF(S459="",0,S459*Q459)</f>
        <v/>
      </c>
      <c r="W459" s="9" t="n">
        <v>2026</v>
      </c>
      <c r="X459" s="9" t="n">
        <v>22</v>
      </c>
      <c r="Y459" s="9" t="inlineStr">
        <is>
          <t>2026-S22</t>
        </is>
      </c>
    </row>
    <row r="460">
      <c r="A460" s="9" t="n">
        <v>43048265</v>
      </c>
      <c r="B460" s="11" t="n">
        <v>46167.54150462963</v>
      </c>
      <c r="C460" s="12" t="n">
        <v>46167</v>
      </c>
      <c r="D460" s="9">
        <f>YEAR(C460)</f>
        <v/>
      </c>
      <c r="E460" s="9">
        <f>MONTH(C460)</f>
        <v/>
      </c>
      <c r="F460" s="9" t="inlineStr">
        <is>
          <t>B Hormigón</t>
        </is>
      </c>
      <c r="G460" s="9" t="inlineStr">
        <is>
          <t>B HORMIGON 28MM 7M A630-420H (N)</t>
        </is>
      </c>
      <c r="H460" s="9" t="inlineStr">
        <is>
          <t>B HORMIGON 28MM 7M A630-420H (N)</t>
        </is>
      </c>
      <c r="I460" s="9" t="inlineStr">
        <is>
          <t>RED 28 CR</t>
        </is>
      </c>
      <c r="J460" s="9" t="n">
        <v>110002895</v>
      </c>
      <c r="K460" s="9" t="n">
        <v>28</v>
      </c>
      <c r="L460" s="9" t="n"/>
      <c r="M460" s="9" t="n"/>
      <c r="N460" s="9" t="n"/>
      <c r="O460" s="9" t="n">
        <v>7</v>
      </c>
      <c r="P460" s="13" t="n">
        <v>116377</v>
      </c>
      <c r="Q460" s="13" t="n">
        <v>125452.8</v>
      </c>
      <c r="R460" s="14">
        <f>IFERROR(P460/Q460,"")</f>
        <v/>
      </c>
      <c r="S460" s="15" t="n">
        <v>0.96</v>
      </c>
      <c r="T460" s="9">
        <f>IF(R460&gt;1,"A corregir","Válida")</f>
        <v/>
      </c>
      <c r="U460" s="13">
        <f>Q460-P460</f>
        <v/>
      </c>
      <c r="V460" s="13">
        <f>IF(S460="",0,S460*Q460)</f>
        <v/>
      </c>
      <c r="W460" s="9" t="n">
        <v>2026</v>
      </c>
      <c r="X460" s="9" t="n">
        <v>22</v>
      </c>
      <c r="Y460" s="9" t="inlineStr">
        <is>
          <t>2026-S22</t>
        </is>
      </c>
    </row>
    <row r="461">
      <c r="A461" s="9" t="n">
        <v>43048266</v>
      </c>
      <c r="B461" s="11" t="n">
        <v>46168.00035879629</v>
      </c>
      <c r="C461" s="12" t="n">
        <v>46168</v>
      </c>
      <c r="D461" s="9">
        <f>YEAR(C461)</f>
        <v/>
      </c>
      <c r="E461" s="9">
        <f>MONTH(C461)</f>
        <v/>
      </c>
      <c r="F461" s="9" t="inlineStr">
        <is>
          <t>Ángulo</t>
        </is>
      </c>
      <c r="G461" s="9" t="inlineStr">
        <is>
          <t>ANGULO 40X40X5MM A270ES</t>
        </is>
      </c>
      <c r="H461" s="9" t="inlineStr">
        <is>
          <t>ANGULO SEMI 40X40X5MM A270ES</t>
        </is>
      </c>
      <c r="I461" s="9" t="inlineStr">
        <is>
          <t>ANG 40 x 5</t>
        </is>
      </c>
      <c r="J461" s="9" t="n">
        <v>106501035</v>
      </c>
      <c r="K461" s="9" t="n"/>
      <c r="L461" s="9" t="n">
        <v>40</v>
      </c>
      <c r="M461" s="9" t="n">
        <v>5</v>
      </c>
      <c r="N461" s="9" t="n"/>
      <c r="O461" s="9" t="n">
        <v>6</v>
      </c>
      <c r="P461" s="13" t="n">
        <v>42737</v>
      </c>
      <c r="Q461" s="13" t="n">
        <v>43982.4</v>
      </c>
      <c r="R461" s="14">
        <f>IFERROR(P461/Q461,"")</f>
        <v/>
      </c>
      <c r="S461" s="15" t="n">
        <v>0.9540000000000001</v>
      </c>
      <c r="T461" s="9">
        <f>IF(R461&gt;1,"A corregir","Válida")</f>
        <v/>
      </c>
      <c r="U461" s="13">
        <f>Q461-P461</f>
        <v/>
      </c>
      <c r="V461" s="13">
        <f>IF(S461="",0,S461*Q461)</f>
        <v/>
      </c>
      <c r="W461" s="9" t="n">
        <v>2026</v>
      </c>
      <c r="X461" s="9" t="n">
        <v>22</v>
      </c>
      <c r="Y461" s="9" t="inlineStr">
        <is>
          <t>2026-S22</t>
        </is>
      </c>
    </row>
    <row r="462">
      <c r="A462" s="9" t="n">
        <v>43048267</v>
      </c>
      <c r="B462" s="11" t="n">
        <v>46168.11129629629</v>
      </c>
      <c r="C462" s="12" t="n">
        <v>46168</v>
      </c>
      <c r="D462" s="9">
        <f>YEAR(C462)</f>
        <v/>
      </c>
      <c r="E462" s="9">
        <f>MONTH(C462)</f>
        <v/>
      </c>
      <c r="F462" s="9" t="inlineStr">
        <is>
          <t>Ángulo</t>
        </is>
      </c>
      <c r="G462" s="9" t="inlineStr">
        <is>
          <t>ANGULO 40X40X4MM A270ES</t>
        </is>
      </c>
      <c r="H462" s="9" t="inlineStr">
        <is>
          <t>ANGULO SEMI 40X40X4MM A270ES</t>
        </is>
      </c>
      <c r="I462" s="9" t="inlineStr">
        <is>
          <t>ANG 40 x 4</t>
        </is>
      </c>
      <c r="J462" s="9" t="n">
        <v>106501034</v>
      </c>
      <c r="K462" s="9" t="n"/>
      <c r="L462" s="9" t="n">
        <v>40</v>
      </c>
      <c r="M462" s="9" t="n">
        <v>4</v>
      </c>
      <c r="N462" s="9" t="n"/>
      <c r="O462" s="9" t="n">
        <v>6</v>
      </c>
      <c r="P462" s="13" t="n">
        <v>42613</v>
      </c>
      <c r="Q462" s="13" t="n">
        <v>44880</v>
      </c>
      <c r="R462" s="14">
        <f>IFERROR(P462/Q462,"")</f>
        <v/>
      </c>
      <c r="S462" s="15" t="n">
        <v>0.953</v>
      </c>
      <c r="T462" s="9">
        <f>IF(R462&gt;1,"A corregir","Válida")</f>
        <v/>
      </c>
      <c r="U462" s="13">
        <f>Q462-P462</f>
        <v/>
      </c>
      <c r="V462" s="13">
        <f>IF(S462="",0,S462*Q462)</f>
        <v/>
      </c>
      <c r="W462" s="9" t="n">
        <v>2026</v>
      </c>
      <c r="X462" s="9" t="n">
        <v>22</v>
      </c>
      <c r="Y462" s="9" t="inlineStr">
        <is>
          <t>2026-S22</t>
        </is>
      </c>
    </row>
    <row r="463">
      <c r="A463" s="9" t="n">
        <v>43048268</v>
      </c>
      <c r="B463" s="11" t="n">
        <v>46168.24244212963</v>
      </c>
      <c r="C463" s="12" t="n">
        <v>46168</v>
      </c>
      <c r="D463" s="9">
        <f>YEAR(C463)</f>
        <v/>
      </c>
      <c r="E463" s="9">
        <f>MONTH(C463)</f>
        <v/>
      </c>
      <c r="F463" s="9" t="inlineStr">
        <is>
          <t>Ángulo</t>
        </is>
      </c>
      <c r="G463" s="9" t="inlineStr">
        <is>
          <t>ANGULO 40X40X3MM A270ES</t>
        </is>
      </c>
      <c r="H463" s="9" t="inlineStr">
        <is>
          <t>ANGULO SEMI 40X40X3MM A270ES</t>
        </is>
      </c>
      <c r="I463" s="9" t="inlineStr">
        <is>
          <t>ANG 40 x 3</t>
        </is>
      </c>
      <c r="J463" s="9" t="n">
        <v>106501033</v>
      </c>
      <c r="K463" s="9" t="n"/>
      <c r="L463" s="9" t="n">
        <v>40</v>
      </c>
      <c r="M463" s="9" t="n">
        <v>3</v>
      </c>
      <c r="N463" s="9" t="n"/>
      <c r="O463" s="9" t="n">
        <v>6</v>
      </c>
      <c r="P463" s="13" t="n">
        <v>199076</v>
      </c>
      <c r="Q463" s="13" t="n">
        <v>212282.4</v>
      </c>
      <c r="R463" s="14">
        <f>IFERROR(P463/Q463,"")</f>
        <v/>
      </c>
      <c r="S463" s="15" t="n">
        <v>0.9570000000000001</v>
      </c>
      <c r="T463" s="9">
        <f>IF(R463&gt;1,"A corregir","Válida")</f>
        <v/>
      </c>
      <c r="U463" s="13">
        <f>Q463-P463</f>
        <v/>
      </c>
      <c r="V463" s="13">
        <f>IF(S463="",0,S463*Q463)</f>
        <v/>
      </c>
      <c r="W463" s="9" t="n">
        <v>2026</v>
      </c>
      <c r="X463" s="9" t="n">
        <v>22</v>
      </c>
      <c r="Y463" s="9" t="inlineStr">
        <is>
          <t>2026-S22</t>
        </is>
      </c>
    </row>
    <row r="464">
      <c r="A464" s="9" t="n">
        <v>43048318</v>
      </c>
      <c r="B464" s="11" t="n">
        <v>46168.97020833333</v>
      </c>
      <c r="C464" s="12" t="n">
        <v>46168</v>
      </c>
      <c r="D464" s="9">
        <f>YEAR(C464)</f>
        <v/>
      </c>
      <c r="E464" s="9">
        <f>MONTH(C464)</f>
        <v/>
      </c>
      <c r="F464" s="9" t="inlineStr">
        <is>
          <t>Saferock</t>
        </is>
      </c>
      <c r="G464" s="9" t="inlineStr">
        <is>
          <t>SAFEROCK 22MM 12M A280</t>
        </is>
      </c>
      <c r="H464" s="9" t="inlineStr">
        <is>
          <t>SAFEROCK 22MM 12M A280</t>
        </is>
      </c>
      <c r="I464" s="9" t="inlineStr">
        <is>
          <t>SFRCK 22</t>
        </is>
      </c>
      <c r="J464" s="9" t="n">
        <v>106025569</v>
      </c>
      <c r="K464" s="9" t="n">
        <v>22</v>
      </c>
      <c r="L464" s="9" t="n"/>
      <c r="M464" s="9" t="n"/>
      <c r="N464" s="9" t="n"/>
      <c r="O464" s="9" t="n">
        <v>12</v>
      </c>
      <c r="P464" s="13" t="n">
        <v>169189</v>
      </c>
      <c r="Q464" s="13" t="n">
        <v>178675.2</v>
      </c>
      <c r="R464" s="14">
        <f>IFERROR(P464/Q464,"")</f>
        <v/>
      </c>
      <c r="S464" s="15" t="n">
        <v>0.9590000000000001</v>
      </c>
      <c r="T464" s="9">
        <f>IF(R464&gt;1,"A corregir","Válida")</f>
        <v/>
      </c>
      <c r="U464" s="13">
        <f>Q464-P464</f>
        <v/>
      </c>
      <c r="V464" s="13">
        <f>IF(S464="",0,S464*Q464)</f>
        <v/>
      </c>
      <c r="W464" s="9" t="n">
        <v>2026</v>
      </c>
      <c r="X464" s="9" t="n">
        <v>22</v>
      </c>
      <c r="Y464" s="9" t="inlineStr">
        <is>
          <t>2026-S22</t>
        </is>
      </c>
    </row>
    <row r="465">
      <c r="A465" s="9" t="n">
        <v>43048319</v>
      </c>
      <c r="B465" s="11" t="n">
        <v>46169.46520833333</v>
      </c>
      <c r="C465" s="12" t="n">
        <v>46169</v>
      </c>
      <c r="D465" s="9">
        <f>YEAR(C465)</f>
        <v/>
      </c>
      <c r="E465" s="9">
        <f>MONTH(C465)</f>
        <v/>
      </c>
      <c r="F465" s="9" t="inlineStr">
        <is>
          <t>Plana</t>
        </is>
      </c>
      <c r="G465" s="9" t="inlineStr">
        <is>
          <t>PLANA 50X3 MM 6M A270ES (N)</t>
        </is>
      </c>
      <c r="H465" s="9" t="inlineStr">
        <is>
          <t>PLANA 50X3 MM 6M A270ES (N)</t>
        </is>
      </c>
      <c r="I465" s="9" t="inlineStr">
        <is>
          <t>PL 50 x 3</t>
        </is>
      </c>
      <c r="J465" s="9" t="n">
        <v>109013903</v>
      </c>
      <c r="K465" s="9" t="n"/>
      <c r="L465" s="9" t="n">
        <v>50</v>
      </c>
      <c r="M465" s="9" t="n">
        <v>3</v>
      </c>
      <c r="N465" s="9" t="n"/>
      <c r="O465" s="9" t="n">
        <v>6</v>
      </c>
      <c r="P465" s="13" t="n">
        <v>23533</v>
      </c>
      <c r="Q465" s="13" t="n">
        <v>34108.8</v>
      </c>
      <c r="R465" s="14">
        <f>IFERROR(P465/Q465,"")</f>
        <v/>
      </c>
      <c r="S465" s="15" t="n">
        <v>0.963</v>
      </c>
      <c r="T465" s="9">
        <f>IF(R465&gt;1,"A corregir","Válida")</f>
        <v/>
      </c>
      <c r="U465" s="13">
        <f>Q465-P465</f>
        <v/>
      </c>
      <c r="V465" s="13">
        <f>IF(S465="",0,S465*Q465)</f>
        <v/>
      </c>
      <c r="W465" s="9" t="n">
        <v>2026</v>
      </c>
      <c r="X465" s="9" t="n">
        <v>22</v>
      </c>
      <c r="Y465" s="9" t="inlineStr">
        <is>
          <t>2026-S22</t>
        </is>
      </c>
    </row>
    <row r="466">
      <c r="A466" s="9" t="n">
        <v>43048320</v>
      </c>
      <c r="B466" s="11" t="n">
        <v>46169.96321759259</v>
      </c>
      <c r="C466" s="12" t="n">
        <v>46169</v>
      </c>
      <c r="D466" s="9">
        <f>YEAR(C466)</f>
        <v/>
      </c>
      <c r="E466" s="9">
        <f>MONTH(C466)</f>
        <v/>
      </c>
      <c r="F466" s="9" t="inlineStr">
        <is>
          <t>B Hormigón</t>
        </is>
      </c>
      <c r="G466" s="9" t="inlineStr">
        <is>
          <t>B HORMIGON 18MM 12M A630-420H (N)</t>
        </is>
      </c>
      <c r="H466" s="9" t="inlineStr">
        <is>
          <t>B HORMIGON 18MM 12M A630-420H (N)</t>
        </is>
      </c>
      <c r="I466" s="9" t="inlineStr">
        <is>
          <t>RED 18 CR</t>
        </is>
      </c>
      <c r="J466" s="9" t="n">
        <v>110002938</v>
      </c>
      <c r="K466" s="9" t="n">
        <v>18</v>
      </c>
      <c r="L466" s="9" t="n"/>
      <c r="M466" s="9" t="n"/>
      <c r="N466" s="9" t="n"/>
      <c r="O466" s="9" t="n">
        <v>12</v>
      </c>
      <c r="P466" s="13" t="n">
        <v>158826</v>
      </c>
      <c r="Q466" s="13" t="n">
        <v>167851.2</v>
      </c>
      <c r="R466" s="14">
        <f>IFERROR(P466/Q466,"")</f>
        <v/>
      </c>
      <c r="S466" s="15" t="n">
        <v>0.96</v>
      </c>
      <c r="T466" s="9">
        <f>IF(R466&gt;1,"A corregir","Válida")</f>
        <v/>
      </c>
      <c r="U466" s="13">
        <f>Q466-P466</f>
        <v/>
      </c>
      <c r="V466" s="13">
        <f>IF(S466="",0,S466*Q466)</f>
        <v/>
      </c>
      <c r="W466" s="9" t="n">
        <v>2026</v>
      </c>
      <c r="X466" s="9" t="n">
        <v>22</v>
      </c>
      <c r="Y466" s="9" t="inlineStr">
        <is>
          <t>2026-S22</t>
        </is>
      </c>
    </row>
    <row r="467">
      <c r="A467" s="9" t="n">
        <v>43048321</v>
      </c>
      <c r="B467" s="11" t="n">
        <v>46170.27582175926</v>
      </c>
      <c r="C467" s="12" t="n">
        <v>46170</v>
      </c>
      <c r="D467" s="9">
        <f>YEAR(C467)</f>
        <v/>
      </c>
      <c r="E467" s="9">
        <f>MONTH(C467)</f>
        <v/>
      </c>
      <c r="F467" s="9" t="inlineStr">
        <is>
          <t>B Hormigón</t>
        </is>
      </c>
      <c r="G467" s="9" t="inlineStr">
        <is>
          <t>B HORMIGON 18MM 11M A630-420H (N)</t>
        </is>
      </c>
      <c r="H467" s="9" t="inlineStr">
        <is>
          <t>B HORMIGON 18MM 11M A630-420H (N)</t>
        </is>
      </c>
      <c r="I467" s="9" t="inlineStr">
        <is>
          <t>RED 18 CR</t>
        </is>
      </c>
      <c r="J467" s="9" t="n">
        <v>110002937</v>
      </c>
      <c r="K467" s="9" t="n">
        <v>18</v>
      </c>
      <c r="L467" s="9" t="n"/>
      <c r="M467" s="9" t="n"/>
      <c r="N467" s="9" t="n"/>
      <c r="O467" s="9" t="n">
        <v>11</v>
      </c>
      <c r="P467" s="13" t="n">
        <v>23699</v>
      </c>
      <c r="Q467" s="13" t="n">
        <v>25581.6</v>
      </c>
      <c r="R467" s="14">
        <f>IFERROR(P467/Q467,"")</f>
        <v/>
      </c>
      <c r="S467" s="15" t="n">
        <v>0.96</v>
      </c>
      <c r="T467" s="9">
        <f>IF(R467&gt;1,"A corregir","Válida")</f>
        <v/>
      </c>
      <c r="U467" s="13">
        <f>Q467-P467</f>
        <v/>
      </c>
      <c r="V467" s="13">
        <f>IF(S467="",0,S467*Q467)</f>
        <v/>
      </c>
      <c r="W467" s="9" t="n">
        <v>2026</v>
      </c>
      <c r="X467" s="9" t="n">
        <v>22</v>
      </c>
      <c r="Y467" s="9" t="inlineStr">
        <is>
          <t>2026-S22</t>
        </is>
      </c>
    </row>
    <row r="468">
      <c r="A468" s="9" t="n">
        <v>43048322</v>
      </c>
      <c r="B468" s="11" t="n">
        <v>46170.32292824074</v>
      </c>
      <c r="C468" s="12" t="n">
        <v>46170</v>
      </c>
      <c r="D468" s="9">
        <f>YEAR(C468)</f>
        <v/>
      </c>
      <c r="E468" s="9">
        <f>MONTH(C468)</f>
        <v/>
      </c>
      <c r="F468" s="9" t="inlineStr">
        <is>
          <t>B Hormigón</t>
        </is>
      </c>
      <c r="G468" s="9" t="inlineStr">
        <is>
          <t>B HORMIGON 18MM 10M A630-420H (N)</t>
        </is>
      </c>
      <c r="H468" s="9" t="inlineStr">
        <is>
          <t>B HORMIGON 18MM 10M A630-420H (N)</t>
        </is>
      </c>
      <c r="I468" s="9" t="inlineStr">
        <is>
          <t>RED 18 CR</t>
        </is>
      </c>
      <c r="J468" s="9" t="n">
        <v>110002924</v>
      </c>
      <c r="K468" s="9" t="n">
        <v>18</v>
      </c>
      <c r="L468" s="9" t="n"/>
      <c r="M468" s="9" t="n"/>
      <c r="N468" s="9" t="n"/>
      <c r="O468" s="9" t="n">
        <v>10</v>
      </c>
      <c r="P468" s="13" t="n">
        <v>49015</v>
      </c>
      <c r="Q468" s="13" t="n">
        <v>52060.8</v>
      </c>
      <c r="R468" s="14">
        <f>IFERROR(P468/Q468,"")</f>
        <v/>
      </c>
      <c r="S468" s="15" t="n">
        <v>0.96</v>
      </c>
      <c r="T468" s="9">
        <f>IF(R468&gt;1,"A corregir","Válida")</f>
        <v/>
      </c>
      <c r="U468" s="13">
        <f>Q468-P468</f>
        <v/>
      </c>
      <c r="V468" s="13">
        <f>IF(S468="",0,S468*Q468)</f>
        <v/>
      </c>
      <c r="W468" s="9" t="n">
        <v>2026</v>
      </c>
      <c r="X468" s="9" t="n">
        <v>22</v>
      </c>
      <c r="Y468" s="9" t="inlineStr">
        <is>
          <t>2026-S22</t>
        </is>
      </c>
    </row>
    <row r="469">
      <c r="A469" s="9" t="n">
        <v>43048323</v>
      </c>
      <c r="B469" s="11" t="n">
        <v>46170.42658564815</v>
      </c>
      <c r="C469" s="12" t="n">
        <v>46170</v>
      </c>
      <c r="D469" s="9">
        <f>YEAR(C469)</f>
        <v/>
      </c>
      <c r="E469" s="9">
        <f>MONTH(C469)</f>
        <v/>
      </c>
      <c r="F469" s="9" t="inlineStr">
        <is>
          <t>B Hormigón</t>
        </is>
      </c>
      <c r="G469" s="9" t="inlineStr">
        <is>
          <t>B HORMIGON 18MM 9M A630-420H (N)</t>
        </is>
      </c>
      <c r="H469" s="9" t="inlineStr">
        <is>
          <t>B HORMIGON 18MM 9M A630-420H (N)</t>
        </is>
      </c>
      <c r="I469" s="9" t="inlineStr">
        <is>
          <t>RED 18 CR</t>
        </is>
      </c>
      <c r="J469" s="9" t="n">
        <v>110002951</v>
      </c>
      <c r="K469" s="9" t="n">
        <v>18</v>
      </c>
      <c r="L469" s="9" t="n"/>
      <c r="M469" s="9" t="n"/>
      <c r="N469" s="9" t="n"/>
      <c r="O469" s="9" t="n">
        <v>9</v>
      </c>
      <c r="P469" s="13" t="n">
        <v>28344</v>
      </c>
      <c r="Q469" s="13" t="n">
        <v>30069.6</v>
      </c>
      <c r="R469" s="14">
        <f>IFERROR(P469/Q469,"")</f>
        <v/>
      </c>
      <c r="S469" s="15" t="n">
        <v>0.9590000000000001</v>
      </c>
      <c r="T469" s="9">
        <f>IF(R469&gt;1,"A corregir","Válida")</f>
        <v/>
      </c>
      <c r="U469" s="13">
        <f>Q469-P469</f>
        <v/>
      </c>
      <c r="V469" s="13">
        <f>IF(S469="",0,S469*Q469)</f>
        <v/>
      </c>
      <c r="W469" s="9" t="n">
        <v>2026</v>
      </c>
      <c r="X469" s="9" t="n">
        <v>22</v>
      </c>
      <c r="Y469" s="9" t="inlineStr">
        <is>
          <t>2026-S22</t>
        </is>
      </c>
    </row>
    <row r="470">
      <c r="A470" s="9" t="n">
        <v>43048324</v>
      </c>
      <c r="B470" s="11" t="n">
        <v>46170.47991898148</v>
      </c>
      <c r="C470" s="12" t="n">
        <v>46170</v>
      </c>
      <c r="D470" s="9">
        <f>YEAR(C470)</f>
        <v/>
      </c>
      <c r="E470" s="9">
        <f>MONTH(C470)</f>
        <v/>
      </c>
      <c r="F470" s="9" t="inlineStr">
        <is>
          <t>B Hormigón</t>
        </is>
      </c>
      <c r="G470" s="9" t="inlineStr">
        <is>
          <t>B HORMIGON 18MM 8M A630-420H (N)</t>
        </is>
      </c>
      <c r="H470" s="9" t="inlineStr">
        <is>
          <t>B HORMIGON 18MM 8M A630-420H (N)</t>
        </is>
      </c>
      <c r="I470" s="9" t="inlineStr">
        <is>
          <t>RED 18 CR</t>
        </is>
      </c>
      <c r="J470" s="9" t="n">
        <v>110002952</v>
      </c>
      <c r="K470" s="9" t="n">
        <v>18</v>
      </c>
      <c r="L470" s="9" t="n"/>
      <c r="M470" s="9" t="n"/>
      <c r="N470" s="9" t="n"/>
      <c r="O470" s="9" t="n">
        <v>8</v>
      </c>
      <c r="P470" s="13" t="n">
        <v>60351</v>
      </c>
      <c r="Q470" s="13" t="n">
        <v>63729.6</v>
      </c>
      <c r="R470" s="14">
        <f>IFERROR(P470/Q470,"")</f>
        <v/>
      </c>
      <c r="S470" s="15" t="n">
        <v>0.96</v>
      </c>
      <c r="T470" s="9">
        <f>IF(R470&gt;1,"A corregir","Válida")</f>
        <v/>
      </c>
      <c r="U470" s="13">
        <f>Q470-P470</f>
        <v/>
      </c>
      <c r="V470" s="13">
        <f>IF(S470="",0,S470*Q470)</f>
        <v/>
      </c>
      <c r="W470" s="9" t="n">
        <v>2026</v>
      </c>
      <c r="X470" s="9" t="n">
        <v>22</v>
      </c>
      <c r="Y470" s="9" t="inlineStr">
        <is>
          <t>2026-S22</t>
        </is>
      </c>
    </row>
    <row r="471">
      <c r="A471" s="9" t="n">
        <v>43048325</v>
      </c>
      <c r="B471" s="11" t="n">
        <v>46170.58733796296</v>
      </c>
      <c r="C471" s="12" t="n">
        <v>46170</v>
      </c>
      <c r="D471" s="9">
        <f>YEAR(C471)</f>
        <v/>
      </c>
      <c r="E471" s="9">
        <f>MONTH(C471)</f>
        <v/>
      </c>
      <c r="F471" s="9" t="inlineStr">
        <is>
          <t>B Hormigón</t>
        </is>
      </c>
      <c r="G471" s="9" t="inlineStr">
        <is>
          <t>B HORMIGON 18MM 7M A630-420H (N)</t>
        </is>
      </c>
      <c r="H471" s="9" t="inlineStr">
        <is>
          <t>B HORMIGON 18MM 7M A630-420H (N)</t>
        </is>
      </c>
      <c r="I471" s="9" t="inlineStr">
        <is>
          <t>RED 18 CR</t>
        </is>
      </c>
      <c r="J471" s="9" t="n">
        <v>110002940</v>
      </c>
      <c r="K471" s="9" t="n">
        <v>18</v>
      </c>
      <c r="L471" s="9" t="n"/>
      <c r="M471" s="9" t="n"/>
      <c r="N471" s="9" t="n"/>
      <c r="O471" s="9" t="n">
        <v>7</v>
      </c>
      <c r="P471" s="13" t="n">
        <v>19147</v>
      </c>
      <c r="Q471" s="13" t="n">
        <v>19747.2</v>
      </c>
      <c r="R471" s="14">
        <f>IFERROR(P471/Q471,"")</f>
        <v/>
      </c>
      <c r="S471" s="15" t="n">
        <v>0.9590000000000001</v>
      </c>
      <c r="T471" s="9">
        <f>IF(R471&gt;1,"A corregir","Válida")</f>
        <v/>
      </c>
      <c r="U471" s="13">
        <f>Q471-P471</f>
        <v/>
      </c>
      <c r="V471" s="13">
        <f>IF(S471="",0,S471*Q471)</f>
        <v/>
      </c>
      <c r="W471" s="9" t="n">
        <v>2026</v>
      </c>
      <c r="X471" s="9" t="n">
        <v>22</v>
      </c>
      <c r="Y471" s="9" t="inlineStr">
        <is>
          <t>2026-S22</t>
        </is>
      </c>
    </row>
    <row r="472">
      <c r="A472" s="9" t="n">
        <v>43048390</v>
      </c>
      <c r="B472" s="11" t="n">
        <v>46170.61923611111</v>
      </c>
      <c r="C472" s="12" t="n">
        <v>46170</v>
      </c>
      <c r="D472" s="9">
        <f>YEAR(C472)</f>
        <v/>
      </c>
      <c r="E472" s="9">
        <f>MONTH(C472)</f>
        <v/>
      </c>
      <c r="F472" s="9" t="inlineStr">
        <is>
          <t>B Hormigón</t>
        </is>
      </c>
      <c r="G472" s="9" t="inlineStr">
        <is>
          <t>B HORMIGON 18MM 7M A630-420H (N)</t>
        </is>
      </c>
      <c r="H472" s="9" t="inlineStr">
        <is>
          <t>B HORMIGON 18MM 7M A630-420H (N)</t>
        </is>
      </c>
      <c r="I472" s="9" t="inlineStr">
        <is>
          <t>RED 18 CR</t>
        </is>
      </c>
      <c r="J472" s="9" t="n">
        <v>110002940</v>
      </c>
      <c r="K472" s="9" t="n">
        <v>18</v>
      </c>
      <c r="L472" s="9" t="n"/>
      <c r="M472" s="9" t="n"/>
      <c r="N472" s="9" t="n"/>
      <c r="O472" s="9" t="n">
        <v>7</v>
      </c>
      <c r="P472" s="13" t="n">
        <v>52190</v>
      </c>
      <c r="Q472" s="13" t="n">
        <v>54885.6</v>
      </c>
      <c r="R472" s="14">
        <f>IFERROR(P472/Q472,"")</f>
        <v/>
      </c>
      <c r="S472" s="15" t="n">
        <v>0.9590000000000001</v>
      </c>
      <c r="T472" s="9">
        <f>IF(R472&gt;1,"A corregir","Válida")</f>
        <v/>
      </c>
      <c r="U472" s="13">
        <f>Q472-P472</f>
        <v/>
      </c>
      <c r="V472" s="13">
        <f>IF(S472="",0,S472*Q472)</f>
        <v/>
      </c>
      <c r="W472" s="9" t="n">
        <v>2026</v>
      </c>
      <c r="X472" s="9" t="n">
        <v>22</v>
      </c>
      <c r="Y472" s="9" t="inlineStr">
        <is>
          <t>2026-S22</t>
        </is>
      </c>
    </row>
    <row r="473">
      <c r="A473" s="9" t="n">
        <v>43048389</v>
      </c>
      <c r="B473" s="11" t="n">
        <v>46170.72083333333</v>
      </c>
      <c r="C473" s="12" t="n">
        <v>46170</v>
      </c>
      <c r="D473" s="9">
        <f>YEAR(C473)</f>
        <v/>
      </c>
      <c r="E473" s="9">
        <f>MONTH(C473)</f>
        <v/>
      </c>
      <c r="F473" s="9" t="inlineStr">
        <is>
          <t>B Hormigón</t>
        </is>
      </c>
      <c r="G473" s="9" t="inlineStr">
        <is>
          <t>B HORMIGON 18MM 10M A630-420H (N)</t>
        </is>
      </c>
      <c r="H473" s="9" t="inlineStr">
        <is>
          <t>B HORMIGON 18MM 10M A630-420H (N)</t>
        </is>
      </c>
      <c r="I473" s="9" t="inlineStr">
        <is>
          <t>RED 18 CR</t>
        </is>
      </c>
      <c r="J473" s="9" t="n">
        <v>110002924</v>
      </c>
      <c r="K473" s="9" t="n">
        <v>18</v>
      </c>
      <c r="L473" s="9" t="n"/>
      <c r="M473" s="9" t="n"/>
      <c r="N473" s="9" t="n"/>
      <c r="O473" s="9" t="n">
        <v>10</v>
      </c>
      <c r="P473" s="13" t="n">
        <v>17261</v>
      </c>
      <c r="Q473" s="13" t="n">
        <v>18004.8</v>
      </c>
      <c r="R473" s="14">
        <f>IFERROR(P473/Q473,"")</f>
        <v/>
      </c>
      <c r="S473" s="15" t="n">
        <v>0.96</v>
      </c>
      <c r="T473" s="9">
        <f>IF(R473&gt;1,"A corregir","Válida")</f>
        <v/>
      </c>
      <c r="U473" s="13">
        <f>Q473-P473</f>
        <v/>
      </c>
      <c r="V473" s="13">
        <f>IF(S473="",0,S473*Q473)</f>
        <v/>
      </c>
      <c r="W473" s="9" t="n">
        <v>2026</v>
      </c>
      <c r="X473" s="9" t="n">
        <v>22</v>
      </c>
      <c r="Y473" s="9" t="inlineStr">
        <is>
          <t>2026-S22</t>
        </is>
      </c>
    </row>
    <row r="474">
      <c r="A474" s="9" t="n">
        <v>43048369</v>
      </c>
      <c r="B474" s="11" t="n">
        <v>46170.99366898148</v>
      </c>
      <c r="C474" s="12" t="n">
        <v>46170</v>
      </c>
      <c r="D474" s="9">
        <f>YEAR(C474)</f>
        <v/>
      </c>
      <c r="E474" s="9">
        <f>MONTH(C474)</f>
        <v/>
      </c>
      <c r="F474" s="9" t="inlineStr">
        <is>
          <t>Plana</t>
        </is>
      </c>
      <c r="G474" s="9" t="inlineStr">
        <is>
          <t>PLANA 100X12MM 6M A270ES (N)</t>
        </is>
      </c>
      <c r="H474" s="9" t="inlineStr">
        <is>
          <t>PLANA 100X12MM 6M A270ES (N)</t>
        </is>
      </c>
      <c r="I474" s="9" t="inlineStr">
        <is>
          <t>PL 100 x 12</t>
        </is>
      </c>
      <c r="J474" s="9" t="n">
        <v>109007135</v>
      </c>
      <c r="K474" s="9" t="n"/>
      <c r="L474" s="9" t="n">
        <v>100</v>
      </c>
      <c r="M474" s="9" t="n">
        <v>12</v>
      </c>
      <c r="N474" s="9" t="n"/>
      <c r="O474" s="9" t="n">
        <v>6</v>
      </c>
      <c r="P474" s="13" t="n">
        <v>31454</v>
      </c>
      <c r="Q474" s="13" t="n">
        <v>33211.2</v>
      </c>
      <c r="R474" s="14">
        <f>IFERROR(P474/Q474,"")</f>
        <v/>
      </c>
      <c r="S474" s="15" t="n">
        <v>0.951</v>
      </c>
      <c r="T474" s="9">
        <f>IF(R474&gt;1,"A corregir","Válida")</f>
        <v/>
      </c>
      <c r="U474" s="13">
        <f>Q474-P474</f>
        <v/>
      </c>
      <c r="V474" s="13">
        <f>IF(S474="",0,S474*Q474)</f>
        <v/>
      </c>
      <c r="W474" s="9" t="n">
        <v>2026</v>
      </c>
      <c r="X474" s="9" t="n">
        <v>22</v>
      </c>
      <c r="Y474" s="9" t="inlineStr">
        <is>
          <t>2026-S22</t>
        </is>
      </c>
    </row>
    <row r="475">
      <c r="A475" s="9" t="n">
        <v>43048406</v>
      </c>
      <c r="B475" s="11" t="n">
        <v>46171.07020833333</v>
      </c>
      <c r="C475" s="12" t="n">
        <v>46171</v>
      </c>
      <c r="D475" s="9">
        <f>YEAR(C475)</f>
        <v/>
      </c>
      <c r="E475" s="9">
        <f>MONTH(C475)</f>
        <v/>
      </c>
      <c r="F475" s="9" t="inlineStr">
        <is>
          <t>Plana</t>
        </is>
      </c>
      <c r="G475" s="9" t="inlineStr">
        <is>
          <t>PLANA 100X10MM 6M A270ES (N)</t>
        </is>
      </c>
      <c r="H475" s="9" t="inlineStr">
        <is>
          <t>PLANA 100X10MM 6M A270ES (N)</t>
        </is>
      </c>
      <c r="I475" s="9" t="inlineStr">
        <is>
          <t>PL 100 x 10</t>
        </is>
      </c>
      <c r="J475" s="9" t="n">
        <v>109007136</v>
      </c>
      <c r="K475" s="9" t="n"/>
      <c r="L475" s="9" t="n">
        <v>100</v>
      </c>
      <c r="M475" s="9" t="n">
        <v>10</v>
      </c>
      <c r="N475" s="9" t="n"/>
      <c r="O475" s="9" t="n">
        <v>6</v>
      </c>
      <c r="P475" s="13" t="n">
        <v>31382</v>
      </c>
      <c r="Q475" s="13" t="n">
        <v>32947.2</v>
      </c>
      <c r="R475" s="14">
        <f>IFERROR(P475/Q475,"")</f>
        <v/>
      </c>
      <c r="S475" s="15" t="n">
        <v>0.955</v>
      </c>
      <c r="T475" s="9">
        <f>IF(R475&gt;1,"A corregir","Válida")</f>
        <v/>
      </c>
      <c r="U475" s="13">
        <f>Q475-P475</f>
        <v/>
      </c>
      <c r="V475" s="13">
        <f>IF(S475="",0,S475*Q475)</f>
        <v/>
      </c>
      <c r="W475" s="9" t="n">
        <v>2026</v>
      </c>
      <c r="X475" s="9" t="n">
        <v>22</v>
      </c>
      <c r="Y475" s="9" t="inlineStr">
        <is>
          <t>2026-S22</t>
        </is>
      </c>
    </row>
    <row r="476">
      <c r="A476" s="9" t="n">
        <v>43048371</v>
      </c>
      <c r="B476" s="11" t="n">
        <v>46171.18800925926</v>
      </c>
      <c r="C476" s="12" t="n">
        <v>46171</v>
      </c>
      <c r="D476" s="9">
        <f>YEAR(C476)</f>
        <v/>
      </c>
      <c r="E476" s="9">
        <f>MONTH(C476)</f>
        <v/>
      </c>
      <c r="F476" s="9" t="inlineStr">
        <is>
          <t>Plana</t>
        </is>
      </c>
      <c r="G476" s="9" t="inlineStr">
        <is>
          <t>PLANA 100X8MM 6M A270ES (N)</t>
        </is>
      </c>
      <c r="H476" s="9" t="inlineStr">
        <is>
          <t>PLANA 100X8MM 6M A270ES (N)</t>
        </is>
      </c>
      <c r="I476" s="9" t="inlineStr">
        <is>
          <t>PL 100 x 8</t>
        </is>
      </c>
      <c r="J476" s="9" t="n">
        <v>109007137</v>
      </c>
      <c r="K476" s="9" t="n"/>
      <c r="L476" s="9" t="n">
        <v>100</v>
      </c>
      <c r="M476" s="9" t="n">
        <v>8</v>
      </c>
      <c r="N476" s="9" t="n"/>
      <c r="O476" s="9" t="n">
        <v>6</v>
      </c>
      <c r="P476" s="13" t="n">
        <v>73021</v>
      </c>
      <c r="Q476" s="13" t="n">
        <v>76744.8</v>
      </c>
      <c r="R476" s="14">
        <f>IFERROR(P476/Q476,"")</f>
        <v/>
      </c>
      <c r="S476" s="15" t="n">
        <v>0.9520000000000001</v>
      </c>
      <c r="T476" s="9">
        <f>IF(R476&gt;1,"A corregir","Válida")</f>
        <v/>
      </c>
      <c r="U476" s="13">
        <f>Q476-P476</f>
        <v/>
      </c>
      <c r="V476" s="13">
        <f>IF(S476="",0,S476*Q476)</f>
        <v/>
      </c>
      <c r="W476" s="9" t="n">
        <v>2026</v>
      </c>
      <c r="X476" s="9" t="n">
        <v>22</v>
      </c>
      <c r="Y476" s="9" t="inlineStr">
        <is>
          <t>2026-S22</t>
        </is>
      </c>
    </row>
    <row r="477">
      <c r="A477" s="9" t="n">
        <v>43048372</v>
      </c>
      <c r="B477" s="11" t="n">
        <v>46171.38402777778</v>
      </c>
      <c r="C477" s="12" t="n">
        <v>46171</v>
      </c>
      <c r="D477" s="9">
        <f>YEAR(C477)</f>
        <v/>
      </c>
      <c r="E477" s="9">
        <f>MONTH(C477)</f>
        <v/>
      </c>
      <c r="F477" s="9" t="inlineStr">
        <is>
          <t>Plana</t>
        </is>
      </c>
      <c r="G477" s="9" t="inlineStr">
        <is>
          <t>PLANA 100X6MM 6M A270ES (N)</t>
        </is>
      </c>
      <c r="H477" s="9" t="inlineStr">
        <is>
          <t>PLANA 100X6MM 6M A270ES (N)</t>
        </is>
      </c>
      <c r="I477" s="9" t="inlineStr">
        <is>
          <t>PL 100 x 6</t>
        </is>
      </c>
      <c r="J477" s="9" t="n">
        <v>109007138</v>
      </c>
      <c r="K477" s="9" t="n"/>
      <c r="L477" s="9" t="n">
        <v>100</v>
      </c>
      <c r="M477" s="9" t="n">
        <v>6</v>
      </c>
      <c r="N477" s="9" t="n"/>
      <c r="O477" s="9" t="n">
        <v>6</v>
      </c>
      <c r="P477" s="13" t="n">
        <v>40544</v>
      </c>
      <c r="Q477" s="13" t="n">
        <v>43084.8</v>
      </c>
      <c r="R477" s="14">
        <f>IFERROR(P477/Q477,"")</f>
        <v/>
      </c>
      <c r="S477" s="15" t="n">
        <v>0.9570000000000001</v>
      </c>
      <c r="T477" s="9">
        <f>IF(R477&gt;1,"A corregir","Válida")</f>
        <v/>
      </c>
      <c r="U477" s="13">
        <f>Q477-P477</f>
        <v/>
      </c>
      <c r="V477" s="13">
        <f>IF(S477="",0,S477*Q477)</f>
        <v/>
      </c>
      <c r="W477" s="9" t="n">
        <v>2026</v>
      </c>
      <c r="X477" s="9" t="n">
        <v>22</v>
      </c>
      <c r="Y477" s="9" t="inlineStr">
        <is>
          <t>2026-S22</t>
        </is>
      </c>
    </row>
    <row r="478">
      <c r="A478" s="9" t="n">
        <v>43048373</v>
      </c>
      <c r="B478" s="11" t="n">
        <v>46171.49920138889</v>
      </c>
      <c r="C478" s="12" t="n">
        <v>46171</v>
      </c>
      <c r="D478" s="9">
        <f>YEAR(C478)</f>
        <v/>
      </c>
      <c r="E478" s="9">
        <f>MONTH(C478)</f>
        <v/>
      </c>
      <c r="F478" s="9" t="inlineStr">
        <is>
          <t>Plana</t>
        </is>
      </c>
      <c r="G478" s="9" t="inlineStr">
        <is>
          <t>PLANA 100X5MM 6M A270ES (N)</t>
        </is>
      </c>
      <c r="H478" s="9" t="inlineStr">
        <is>
          <t>PLANA 100X5MM 6M A270ES (N)</t>
        </is>
      </c>
      <c r="I478" s="9" t="inlineStr">
        <is>
          <t>PL 100 x 5</t>
        </is>
      </c>
      <c r="J478" s="9" t="n">
        <v>109007139</v>
      </c>
      <c r="K478" s="9" t="n"/>
      <c r="L478" s="9" t="n">
        <v>100</v>
      </c>
      <c r="M478" s="9" t="n">
        <v>5</v>
      </c>
      <c r="N478" s="9" t="n"/>
      <c r="O478" s="9" t="n">
        <v>6</v>
      </c>
      <c r="P478" s="13" t="n">
        <v>114878</v>
      </c>
      <c r="Q478" s="13" t="n">
        <v>118932</v>
      </c>
      <c r="R478" s="14">
        <f>IFERROR(P478/Q478,"")</f>
        <v/>
      </c>
      <c r="S478" s="15" t="n">
        <v>0.96</v>
      </c>
      <c r="T478" s="9">
        <f>IF(R478&gt;1,"A corregir","Válida")</f>
        <v/>
      </c>
      <c r="U478" s="13">
        <f>Q478-P478</f>
        <v/>
      </c>
      <c r="V478" s="13">
        <f>IF(S478="",0,S478*Q478)</f>
        <v/>
      </c>
      <c r="W478" s="9" t="n">
        <v>2026</v>
      </c>
      <c r="X478" s="9" t="n">
        <v>22</v>
      </c>
      <c r="Y478" s="9" t="inlineStr">
        <is>
          <t>2026-S22</t>
        </is>
      </c>
    </row>
    <row r="479">
      <c r="A479" s="9" t="n">
        <v>43048374</v>
      </c>
      <c r="B479" s="11" t="n">
        <v>46171.96881944445</v>
      </c>
      <c r="C479" s="12" t="n">
        <v>46171</v>
      </c>
      <c r="D479" s="9">
        <f>YEAR(C479)</f>
        <v/>
      </c>
      <c r="E479" s="9">
        <f>MONTH(C479)</f>
        <v/>
      </c>
      <c r="F479" s="9" t="inlineStr">
        <is>
          <t>Saferock</t>
        </is>
      </c>
      <c r="G479" s="9" t="inlineStr">
        <is>
          <t>SAFEROCK 25MM 12M A420</t>
        </is>
      </c>
      <c r="H479" s="9" t="inlineStr">
        <is>
          <t>SAFEROCK 25MM 12M A420</t>
        </is>
      </c>
      <c r="I479" s="9" t="inlineStr">
        <is>
          <t>SFR 25</t>
        </is>
      </c>
      <c r="J479" s="9" t="n">
        <v>106025583</v>
      </c>
      <c r="K479" s="9" t="n">
        <v>25</v>
      </c>
      <c r="L479" s="9" t="n"/>
      <c r="M479" s="9" t="n"/>
      <c r="N479" s="9" t="n"/>
      <c r="O479" s="9" t="n">
        <v>12</v>
      </c>
      <c r="P479" s="13" t="n">
        <v>187027</v>
      </c>
      <c r="Q479" s="13" t="n">
        <v>197472</v>
      </c>
      <c r="R479" s="14">
        <f>IFERROR(P479/Q479,"")</f>
        <v/>
      </c>
      <c r="S479" s="15" t="n">
        <v>0.953</v>
      </c>
      <c r="T479" s="9">
        <f>IF(R479&gt;1,"A corregir","Válida")</f>
        <v/>
      </c>
      <c r="U479" s="13">
        <f>Q479-P479</f>
        <v/>
      </c>
      <c r="V479" s="13">
        <f>IF(S479="",0,S479*Q479)</f>
        <v/>
      </c>
      <c r="W479" s="9" t="n">
        <v>2026</v>
      </c>
      <c r="X479" s="9" t="n">
        <v>22</v>
      </c>
      <c r="Y479" s="9" t="inlineStr">
        <is>
          <t>2026-S22</t>
        </is>
      </c>
    </row>
    <row r="480">
      <c r="A480" s="9" t="n">
        <v>43048375</v>
      </c>
      <c r="B480" s="11" t="n">
        <v>46172.33811342593</v>
      </c>
      <c r="C480" s="12" t="n">
        <v>46172</v>
      </c>
      <c r="D480" s="9">
        <f>YEAR(C480)</f>
        <v/>
      </c>
      <c r="E480" s="9">
        <f>MONTH(C480)</f>
        <v/>
      </c>
      <c r="F480" s="9" t="inlineStr">
        <is>
          <t>Saferock</t>
        </is>
      </c>
      <c r="G480" s="9" t="inlineStr">
        <is>
          <t>SAFEROCK 25MM 10,8M A280</t>
        </is>
      </c>
      <c r="H480" s="9" t="inlineStr">
        <is>
          <t>SAFEROCK SEMI 25MM 10,8M A280</t>
        </is>
      </c>
      <c r="I480" s="9" t="inlineStr">
        <is>
          <t>SFR 25</t>
        </is>
      </c>
      <c r="J480" s="9" t="n">
        <v>106503217</v>
      </c>
      <c r="K480" s="9" t="n">
        <v>25</v>
      </c>
      <c r="L480" s="9" t="n"/>
      <c r="M480" s="9" t="n"/>
      <c r="N480" s="9" t="n"/>
      <c r="O480" s="9" t="n">
        <v>10.8</v>
      </c>
      <c r="P480" s="13" t="n">
        <v>51986</v>
      </c>
      <c r="Q480" s="13" t="n">
        <v>55202.4</v>
      </c>
      <c r="R480" s="14">
        <f>IFERROR(P480/Q480,"")</f>
        <v/>
      </c>
      <c r="S480" s="15" t="n">
        <v>0.953</v>
      </c>
      <c r="T480" s="9">
        <f>IF(R480&gt;1,"A corregir","Válida")</f>
        <v/>
      </c>
      <c r="U480" s="13">
        <f>Q480-P480</f>
        <v/>
      </c>
      <c r="V480" s="13">
        <f>IF(S480="",0,S480*Q480)</f>
        <v/>
      </c>
      <c r="W480" s="9" t="n">
        <v>2026</v>
      </c>
      <c r="X480" s="9" t="n">
        <v>22</v>
      </c>
      <c r="Y480" s="9" t="inlineStr">
        <is>
          <t>2026-S22</t>
        </is>
      </c>
    </row>
    <row r="481">
      <c r="A481" s="9" t="n">
        <v>43048376</v>
      </c>
      <c r="B481" s="11" t="n">
        <v>46172.51349537037</v>
      </c>
      <c r="C481" s="12" t="n">
        <v>46172</v>
      </c>
      <c r="D481" s="9">
        <f>YEAR(C481)</f>
        <v/>
      </c>
      <c r="E481" s="9">
        <f>MONTH(C481)</f>
        <v/>
      </c>
      <c r="F481" s="9" t="inlineStr">
        <is>
          <t>B Hormigón</t>
        </is>
      </c>
      <c r="G481" s="9" t="inlineStr">
        <is>
          <t>B HORMIGON 25MM 12M A630-420H (N)</t>
        </is>
      </c>
      <c r="H481" s="9" t="inlineStr">
        <is>
          <t>B HORMIGON 25MM 12M A630-420H (N)</t>
        </is>
      </c>
      <c r="I481" s="9" t="inlineStr">
        <is>
          <t>RED 25 CR</t>
        </is>
      </c>
      <c r="J481" s="9" t="n">
        <v>110002941</v>
      </c>
      <c r="K481" s="9" t="n">
        <v>25</v>
      </c>
      <c r="L481" s="9" t="n"/>
      <c r="M481" s="9" t="n"/>
      <c r="N481" s="9" t="n"/>
      <c r="O481" s="9" t="n">
        <v>12</v>
      </c>
      <c r="P481" s="13" t="n">
        <v>287576</v>
      </c>
      <c r="Q481" s="13" t="n">
        <v>301870.8</v>
      </c>
      <c r="R481" s="14">
        <f>IFERROR(P481/Q481,"")</f>
        <v/>
      </c>
      <c r="S481" s="15" t="n">
        <v>0.95</v>
      </c>
      <c r="T481" s="9">
        <f>IF(R481&gt;1,"A corregir","Válida")</f>
        <v/>
      </c>
      <c r="U481" s="13">
        <f>Q481-P481</f>
        <v/>
      </c>
      <c r="V481" s="13">
        <f>IF(S481="",0,S481*Q481)</f>
        <v/>
      </c>
      <c r="W481" s="9" t="n">
        <v>2026</v>
      </c>
      <c r="X481" s="9" t="n">
        <v>22</v>
      </c>
      <c r="Y481" s="9" t="inlineStr">
        <is>
          <t>2026-S22</t>
        </is>
      </c>
    </row>
    <row r="482">
      <c r="A482" s="9" t="n">
        <v>43048377</v>
      </c>
      <c r="B482" s="11" t="n">
        <v>46173.02982638889</v>
      </c>
      <c r="C482" s="12" t="n">
        <v>46173</v>
      </c>
      <c r="D482" s="9">
        <f>YEAR(C482)</f>
        <v/>
      </c>
      <c r="E482" s="9">
        <f>MONTH(C482)</f>
        <v/>
      </c>
      <c r="F482" s="9" t="inlineStr">
        <is>
          <t>B Hormigón</t>
        </is>
      </c>
      <c r="G482" s="9" t="inlineStr">
        <is>
          <t>B HORMIGON 25MM 11M A630-420H (N)</t>
        </is>
      </c>
      <c r="H482" s="9" t="inlineStr">
        <is>
          <t>B HORMIGON 25MM 11M A630-420H (N)</t>
        </is>
      </c>
      <c r="I482" s="9" t="inlineStr">
        <is>
          <t>RED 25 CR</t>
        </is>
      </c>
      <c r="J482" s="9" t="n">
        <v>110002947</v>
      </c>
      <c r="K482" s="9" t="n">
        <v>25</v>
      </c>
      <c r="L482" s="9" t="n"/>
      <c r="M482" s="9" t="n"/>
      <c r="N482" s="9" t="n"/>
      <c r="O482" s="9" t="n">
        <v>11</v>
      </c>
      <c r="P482" s="13" t="n">
        <v>40920</v>
      </c>
      <c r="Q482" s="13" t="n">
        <v>43124.4</v>
      </c>
      <c r="R482" s="14">
        <f>IFERROR(P482/Q482,"")</f>
        <v/>
      </c>
      <c r="S482" s="15" t="n">
        <v>0.95</v>
      </c>
      <c r="T482" s="9">
        <f>IF(R482&gt;1,"A corregir","Válida")</f>
        <v/>
      </c>
      <c r="U482" s="13">
        <f>Q482-P482</f>
        <v/>
      </c>
      <c r="V482" s="13">
        <f>IF(S482="",0,S482*Q482)</f>
        <v/>
      </c>
      <c r="W482" s="9" t="n">
        <v>2026</v>
      </c>
      <c r="X482" s="9" t="n">
        <v>22</v>
      </c>
      <c r="Y482" s="9" t="inlineStr">
        <is>
          <t>2026-S22</t>
        </is>
      </c>
    </row>
    <row r="483">
      <c r="A483" s="9" t="n">
        <v>43048378</v>
      </c>
      <c r="B483" s="11" t="n">
        <v>46173.09974537037</v>
      </c>
      <c r="C483" s="12" t="n">
        <v>46173</v>
      </c>
      <c r="D483" s="9">
        <f>YEAR(C483)</f>
        <v/>
      </c>
      <c r="E483" s="9">
        <f>MONTH(C483)</f>
        <v/>
      </c>
      <c r="F483" s="9" t="inlineStr">
        <is>
          <t>B Hormigón</t>
        </is>
      </c>
      <c r="G483" s="9" t="inlineStr">
        <is>
          <t>B HORMIGON 25MM 10M A630-420H (N)</t>
        </is>
      </c>
      <c r="H483" s="9" t="inlineStr">
        <is>
          <t>B HORMIGON 25MM 10M A630-420H (N)</t>
        </is>
      </c>
      <c r="I483" s="9" t="inlineStr">
        <is>
          <t>RED 25 CR</t>
        </is>
      </c>
      <c r="J483" s="9" t="n">
        <v>110002943</v>
      </c>
      <c r="K483" s="9" t="n">
        <v>25</v>
      </c>
      <c r="L483" s="9" t="n"/>
      <c r="M483" s="9" t="n"/>
      <c r="N483" s="9" t="n"/>
      <c r="O483" s="9" t="n">
        <v>10</v>
      </c>
      <c r="P483" s="13" t="n">
        <v>88976</v>
      </c>
      <c r="Q483" s="13" t="n">
        <v>91040.39999999999</v>
      </c>
      <c r="R483" s="14">
        <f>IFERROR(P483/Q483,"")</f>
        <v/>
      </c>
      <c r="S483" s="15" t="n">
        <v>0.95</v>
      </c>
      <c r="T483" s="9">
        <f>IF(R483&gt;1,"A corregir","Válida")</f>
        <v/>
      </c>
      <c r="U483" s="13">
        <f>Q483-P483</f>
        <v/>
      </c>
      <c r="V483" s="13">
        <f>IF(S483="",0,S483*Q483)</f>
        <v/>
      </c>
      <c r="W483" s="9" t="n">
        <v>2026</v>
      </c>
      <c r="X483" s="9" t="n">
        <v>22</v>
      </c>
      <c r="Y483" s="9" t="inlineStr">
        <is>
          <t>2026-S22</t>
        </is>
      </c>
    </row>
    <row r="484">
      <c r="A484" s="9" t="n">
        <v>43048527</v>
      </c>
      <c r="B484" s="11" t="n">
        <v>46174.05386574074</v>
      </c>
      <c r="C484" s="12" t="n">
        <v>46174</v>
      </c>
      <c r="D484" s="9">
        <f>YEAR(C484)</f>
        <v/>
      </c>
      <c r="E484" s="9">
        <f>MONTH(C484)</f>
        <v/>
      </c>
      <c r="F484" s="9" t="inlineStr">
        <is>
          <t>B Hormigón</t>
        </is>
      </c>
      <c r="G484" s="9" t="inlineStr">
        <is>
          <t>B HORMIGON 25MM 9M A630-420H (N)</t>
        </is>
      </c>
      <c r="H484" s="9" t="inlineStr">
        <is>
          <t>B HORMIGON 25MM 9M A630-420H (N)</t>
        </is>
      </c>
      <c r="I484" s="9" t="inlineStr">
        <is>
          <t>RED 25 CR</t>
        </is>
      </c>
      <c r="J484" s="9" t="n">
        <v>110002905</v>
      </c>
      <c r="K484" s="9" t="n">
        <v>25</v>
      </c>
      <c r="L484" s="9" t="n"/>
      <c r="M484" s="9" t="n"/>
      <c r="N484" s="9" t="n"/>
      <c r="O484" s="9" t="n">
        <v>9</v>
      </c>
      <c r="P484" s="13" t="n">
        <v>68819</v>
      </c>
      <c r="Q484" s="13" t="n">
        <v>63360</v>
      </c>
      <c r="R484" s="14">
        <f>IFERROR(P484/Q484,"")</f>
        <v/>
      </c>
      <c r="S484" s="15" t="n">
        <v>0.95</v>
      </c>
      <c r="T484" s="9">
        <f>IF(R484&gt;1,"A corregir","Válida")</f>
        <v/>
      </c>
      <c r="U484" s="13">
        <f>Q484-P484</f>
        <v/>
      </c>
      <c r="V484" s="13">
        <f>IF(S484="",0,S484*Q484)</f>
        <v/>
      </c>
      <c r="W484" s="9" t="n">
        <v>2026</v>
      </c>
      <c r="X484" s="9" t="n">
        <v>23</v>
      </c>
      <c r="Y484" s="9" t="inlineStr">
        <is>
          <t>2026-S23</t>
        </is>
      </c>
    </row>
    <row r="485">
      <c r="A485" s="9" t="n">
        <v>43048528</v>
      </c>
      <c r="B485" s="11" t="n">
        <v>46174.20851851852</v>
      </c>
      <c r="C485" s="12" t="n">
        <v>46174</v>
      </c>
      <c r="D485" s="9">
        <f>YEAR(C485)</f>
        <v/>
      </c>
      <c r="E485" s="9">
        <f>MONTH(C485)</f>
        <v/>
      </c>
      <c r="F485" s="9" t="inlineStr">
        <is>
          <t>B Hormigón</t>
        </is>
      </c>
      <c r="G485" s="9" t="inlineStr">
        <is>
          <t>B HORMIGON 25MM 8M A630-420H (N)</t>
        </is>
      </c>
      <c r="H485" s="9" t="inlineStr">
        <is>
          <t>B HORMIGON 25MM 8M A630-420H (N)</t>
        </is>
      </c>
      <c r="I485" s="9" t="inlineStr">
        <is>
          <t>RED 25 CR</t>
        </is>
      </c>
      <c r="J485" s="9" t="n">
        <v>110002921</v>
      </c>
      <c r="K485" s="9" t="n">
        <v>25</v>
      </c>
      <c r="L485" s="9" t="n"/>
      <c r="M485" s="9" t="n"/>
      <c r="N485" s="9" t="n"/>
      <c r="O485" s="9" t="n">
        <v>8</v>
      </c>
      <c r="P485" s="13" t="n">
        <v>38315</v>
      </c>
      <c r="Q485" s="13" t="n">
        <v>40392</v>
      </c>
      <c r="R485" s="14">
        <f>IFERROR(P485/Q485,"")</f>
        <v/>
      </c>
      <c r="S485" s="15" t="n">
        <v>0.95</v>
      </c>
      <c r="T485" s="9">
        <f>IF(R485&gt;1,"A corregir","Válida")</f>
        <v/>
      </c>
      <c r="U485" s="13">
        <f>Q485-P485</f>
        <v/>
      </c>
      <c r="V485" s="13">
        <f>IF(S485="",0,S485*Q485)</f>
        <v/>
      </c>
      <c r="W485" s="9" t="n">
        <v>2026</v>
      </c>
      <c r="X485" s="9" t="n">
        <v>23</v>
      </c>
      <c r="Y485" s="9" t="inlineStr">
        <is>
          <t>2026-S23</t>
        </is>
      </c>
    </row>
    <row r="486">
      <c r="A486" s="9" t="n">
        <v>43048529</v>
      </c>
      <c r="B486" s="11" t="n">
        <v>46174.55446759259</v>
      </c>
      <c r="C486" s="12" t="n">
        <v>46174</v>
      </c>
      <c r="D486" s="9">
        <f>YEAR(C486)</f>
        <v/>
      </c>
      <c r="E486" s="9">
        <f>MONTH(C486)</f>
        <v/>
      </c>
      <c r="F486" s="9" t="inlineStr">
        <is>
          <t>Plana</t>
        </is>
      </c>
      <c r="G486" s="9" t="inlineStr">
        <is>
          <t>PLANA 50X8MM 6M A270ES (N)</t>
        </is>
      </c>
      <c r="H486" s="9" t="inlineStr">
        <is>
          <t>PLANA 50X8MM 6M A270ES (N)</t>
        </is>
      </c>
      <c r="I486" s="9" t="inlineStr">
        <is>
          <t>PL 50 x 8</t>
        </is>
      </c>
      <c r="J486" s="9" t="n">
        <v>109013900</v>
      </c>
      <c r="K486" s="9" t="n"/>
      <c r="L486" s="9" t="n">
        <v>50</v>
      </c>
      <c r="M486" s="9" t="n">
        <v>8</v>
      </c>
      <c r="N486" s="9" t="n"/>
      <c r="O486" s="9" t="n">
        <v>6</v>
      </c>
      <c r="P486" s="13" t="n">
        <v>77660</v>
      </c>
      <c r="Q486" s="13" t="n">
        <v>82579.2</v>
      </c>
      <c r="R486" s="14">
        <f>IFERROR(P486/Q486,"")</f>
        <v/>
      </c>
      <c r="S486" s="15" t="n">
        <v>0.9570000000000001</v>
      </c>
      <c r="T486" s="9">
        <f>IF(R486&gt;1,"A corregir","Válida")</f>
        <v/>
      </c>
      <c r="U486" s="13">
        <f>Q486-P486</f>
        <v/>
      </c>
      <c r="V486" s="13">
        <f>IF(S486="",0,S486*Q486)</f>
        <v/>
      </c>
      <c r="W486" s="9" t="n">
        <v>2026</v>
      </c>
      <c r="X486" s="9" t="n">
        <v>23</v>
      </c>
      <c r="Y486" s="9" t="inlineStr">
        <is>
          <t>2026-S23</t>
        </is>
      </c>
    </row>
    <row r="487">
      <c r="A487" s="9" t="n">
        <v>43048544</v>
      </c>
      <c r="B487" s="11" t="n">
        <v>46174.96881944445</v>
      </c>
      <c r="C487" s="12" t="n">
        <v>46174</v>
      </c>
      <c r="D487" s="9">
        <f>YEAR(C487)</f>
        <v/>
      </c>
      <c r="E487" s="9">
        <f>MONTH(C487)</f>
        <v/>
      </c>
      <c r="F487" s="9" t="inlineStr">
        <is>
          <t>B Hormigón</t>
        </is>
      </c>
      <c r="G487" s="9" t="inlineStr">
        <is>
          <t>B HORMIGON 32MM 12M A630-420HS (N)</t>
        </is>
      </c>
      <c r="H487" s="9" t="inlineStr">
        <is>
          <t>B HORMIGON 32MM 12M A630-420HS (N)</t>
        </is>
      </c>
      <c r="I487" s="9" t="inlineStr">
        <is>
          <t>RED 32 CR</t>
        </is>
      </c>
      <c r="J487" s="9" t="n">
        <v>110005868</v>
      </c>
      <c r="K487" s="9" t="n">
        <v>32</v>
      </c>
      <c r="L487" s="9" t="n"/>
      <c r="M487" s="9" t="n"/>
      <c r="N487" s="9" t="n"/>
      <c r="O487" s="9" t="n">
        <v>12</v>
      </c>
      <c r="P487" s="13" t="n">
        <v>171585</v>
      </c>
      <c r="Q487" s="13" t="n">
        <v>182952</v>
      </c>
      <c r="R487" s="14">
        <f>IFERROR(P487/Q487,"")</f>
        <v/>
      </c>
      <c r="S487" s="15" t="n">
        <v>0.96</v>
      </c>
      <c r="T487" s="9">
        <f>IF(R487&gt;1,"A corregir","Válida")</f>
        <v/>
      </c>
      <c r="U487" s="13">
        <f>Q487-P487</f>
        <v/>
      </c>
      <c r="V487" s="13">
        <f>IF(S487="",0,S487*Q487)</f>
        <v/>
      </c>
      <c r="W487" s="9" t="n">
        <v>2026</v>
      </c>
      <c r="X487" s="9" t="n">
        <v>23</v>
      </c>
      <c r="Y487" s="9" t="inlineStr">
        <is>
          <t>2026-S23</t>
        </is>
      </c>
    </row>
    <row r="488">
      <c r="A488" s="9" t="n">
        <v>43048543</v>
      </c>
      <c r="B488" s="11" t="n">
        <v>46175.32796296296</v>
      </c>
      <c r="C488" s="12" t="n">
        <v>46175</v>
      </c>
      <c r="D488" s="9">
        <f>YEAR(C488)</f>
        <v/>
      </c>
      <c r="E488" s="9">
        <f>MONTH(C488)</f>
        <v/>
      </c>
      <c r="F488" s="9" t="inlineStr">
        <is>
          <t>B Hormigón</t>
        </is>
      </c>
      <c r="G488" s="9" t="inlineStr">
        <is>
          <t>B HORMIGON 32MM 11M A630-420HS (N)</t>
        </is>
      </c>
      <c r="H488" s="9" t="inlineStr">
        <is>
          <t>B HORMIGON 32MM 11M A630-420HS (N)</t>
        </is>
      </c>
      <c r="I488" s="9" t="inlineStr">
        <is>
          <t>RED 32 CR</t>
        </is>
      </c>
      <c r="J488" s="9" t="n">
        <v>110007132</v>
      </c>
      <c r="K488" s="9" t="n">
        <v>32</v>
      </c>
      <c r="L488" s="9" t="n"/>
      <c r="M488" s="9" t="n"/>
      <c r="N488" s="9" t="n"/>
      <c r="O488" s="9" t="n">
        <v>11</v>
      </c>
      <c r="P488" s="13" t="n">
        <v>36537</v>
      </c>
      <c r="Q488" s="13" t="n">
        <v>38332.8</v>
      </c>
      <c r="R488" s="14">
        <f>IFERROR(P488/Q488,"")</f>
        <v/>
      </c>
      <c r="S488" s="15" t="n">
        <v>0.96</v>
      </c>
      <c r="T488" s="9">
        <f>IF(R488&gt;1,"A corregir","Válida")</f>
        <v/>
      </c>
      <c r="U488" s="13">
        <f>Q488-P488</f>
        <v/>
      </c>
      <c r="V488" s="13">
        <f>IF(S488="",0,S488*Q488)</f>
        <v/>
      </c>
      <c r="W488" s="9" t="n">
        <v>2026</v>
      </c>
      <c r="X488" s="9" t="n">
        <v>23</v>
      </c>
      <c r="Y488" s="9" t="inlineStr">
        <is>
          <t>2026-S23</t>
        </is>
      </c>
    </row>
    <row r="489">
      <c r="A489" s="9" t="n">
        <v>43048545</v>
      </c>
      <c r="B489" s="11" t="n">
        <v>46175.41765046296</v>
      </c>
      <c r="C489" s="12" t="n">
        <v>46175</v>
      </c>
      <c r="D489" s="9">
        <f>YEAR(C489)</f>
        <v/>
      </c>
      <c r="E489" s="9">
        <f>MONTH(C489)</f>
        <v/>
      </c>
      <c r="F489" s="9" t="inlineStr">
        <is>
          <t>B Hormigón</t>
        </is>
      </c>
      <c r="G489" s="9" t="inlineStr">
        <is>
          <t>B HORMIGON 32MM 12M A630-420H (N)</t>
        </is>
      </c>
      <c r="H489" s="9" t="inlineStr">
        <is>
          <t>B HORMIGON 32MM 12M A630-420H (N)</t>
        </is>
      </c>
      <c r="I489" s="9" t="inlineStr">
        <is>
          <t>RED 32 CR</t>
        </is>
      </c>
      <c r="J489" s="9" t="n">
        <v>110002900</v>
      </c>
      <c r="K489" s="9" t="n">
        <v>32</v>
      </c>
      <c r="L489" s="9" t="n"/>
      <c r="M489" s="9" t="n"/>
      <c r="N489" s="9" t="n"/>
      <c r="O489" s="9" t="n">
        <v>12</v>
      </c>
      <c r="P489" s="13" t="n">
        <v>181521</v>
      </c>
      <c r="Q489" s="13" t="n">
        <v>191268</v>
      </c>
      <c r="R489" s="14">
        <f>IFERROR(P489/Q489,"")</f>
        <v/>
      </c>
      <c r="S489" s="15" t="n">
        <v>0.96</v>
      </c>
      <c r="T489" s="9">
        <f>IF(R489&gt;1,"A corregir","Válida")</f>
        <v/>
      </c>
      <c r="U489" s="13">
        <f>Q489-P489</f>
        <v/>
      </c>
      <c r="V489" s="13">
        <f>IF(S489="",0,S489*Q489)</f>
        <v/>
      </c>
      <c r="W489" s="9" t="n">
        <v>2026</v>
      </c>
      <c r="X489" s="9" t="n">
        <v>23</v>
      </c>
      <c r="Y489" s="9" t="inlineStr">
        <is>
          <t>2026-S23</t>
        </is>
      </c>
    </row>
    <row r="490">
      <c r="A490" s="9" t="n">
        <v>43048535</v>
      </c>
      <c r="B490" s="11" t="n">
        <v>46176.06947916667</v>
      </c>
      <c r="C490" s="12" t="n">
        <v>46176</v>
      </c>
      <c r="D490" s="9">
        <f>YEAR(C490)</f>
        <v/>
      </c>
      <c r="E490" s="9">
        <f>MONTH(C490)</f>
        <v/>
      </c>
      <c r="F490" s="9" t="inlineStr">
        <is>
          <t>Redondo liso</t>
        </is>
      </c>
      <c r="G490" s="9" t="inlineStr">
        <is>
          <t>REDONDO LISO 1 3/4' 6M SAE 1045 (N)</t>
        </is>
      </c>
      <c r="H490" s="9" t="inlineStr">
        <is>
          <t>REDONDO LISO 1 3/4' 6M SAE 1045 (N)</t>
        </is>
      </c>
      <c r="I490" s="9" t="inlineStr">
        <is>
          <t>RL 1,3/4</t>
        </is>
      </c>
      <c r="J490" s="9" t="n">
        <v>119502537</v>
      </c>
      <c r="K490" s="9" t="n">
        <v>44.4</v>
      </c>
      <c r="L490" s="9" t="n"/>
      <c r="M490" s="9" t="n"/>
      <c r="N490" s="9" t="n"/>
      <c r="O490" s="9" t="n">
        <v>6</v>
      </c>
      <c r="P490" s="13" t="n">
        <v>12391</v>
      </c>
      <c r="Q490" s="13" t="n">
        <v>19008</v>
      </c>
      <c r="R490" s="14">
        <f>IFERROR(P490/Q490,"")</f>
        <v/>
      </c>
      <c r="S490" s="15" t="n">
        <v>0.97</v>
      </c>
      <c r="T490" s="9">
        <f>IF(R490&gt;1,"A corregir","Válida")</f>
        <v/>
      </c>
      <c r="U490" s="13">
        <f>Q490-P490</f>
        <v/>
      </c>
      <c r="V490" s="13">
        <f>IF(S490="",0,S490*Q490)</f>
        <v/>
      </c>
      <c r="W490" s="9" t="n">
        <v>2026</v>
      </c>
      <c r="X490" s="9" t="n">
        <v>23</v>
      </c>
      <c r="Y490" s="9" t="inlineStr">
        <is>
          <t>2026-S23</t>
        </is>
      </c>
    </row>
    <row r="491">
      <c r="A491" s="9" t="n">
        <v>43048536</v>
      </c>
      <c r="B491" s="11" t="n">
        <v>46176.19074074074</v>
      </c>
      <c r="C491" s="12" t="n">
        <v>46176</v>
      </c>
      <c r="D491" s="9">
        <f>YEAR(C491)</f>
        <v/>
      </c>
      <c r="E491" s="9">
        <f>MONTH(C491)</f>
        <v/>
      </c>
      <c r="F491" s="9" t="inlineStr">
        <is>
          <t>Redondo liso</t>
        </is>
      </c>
      <c r="G491" s="9" t="inlineStr">
        <is>
          <t>REDONDO LISO 1 1/2' 6M SAE 1045 (N)</t>
        </is>
      </c>
      <c r="H491" s="9" t="inlineStr">
        <is>
          <t>REDONDO LISO 1 1/2' 6M SAE 1045 (N)</t>
        </is>
      </c>
      <c r="I491" s="9" t="inlineStr">
        <is>
          <t>RED 1,1/2</t>
        </is>
      </c>
      <c r="J491" s="9" t="n">
        <v>109006885</v>
      </c>
      <c r="K491" s="9" t="n">
        <v>38.1</v>
      </c>
      <c r="L491" s="9" t="n"/>
      <c r="M491" s="9" t="n"/>
      <c r="N491" s="9" t="n"/>
      <c r="O491" s="9" t="n">
        <v>6</v>
      </c>
      <c r="P491" s="13" t="n">
        <v>31883</v>
      </c>
      <c r="Q491" s="13" t="n">
        <v>34108.8</v>
      </c>
      <c r="R491" s="14">
        <f>IFERROR(P491/Q491,"")</f>
        <v/>
      </c>
      <c r="S491" s="15" t="n">
        <v>0.9429999999999999</v>
      </c>
      <c r="T491" s="9">
        <f>IF(R491&gt;1,"A corregir","Válida")</f>
        <v/>
      </c>
      <c r="U491" s="13">
        <f>Q491-P491</f>
        <v/>
      </c>
      <c r="V491" s="13">
        <f>IF(S491="",0,S491*Q491)</f>
        <v/>
      </c>
      <c r="W491" s="9" t="n">
        <v>2026</v>
      </c>
      <c r="X491" s="9" t="n">
        <v>23</v>
      </c>
      <c r="Y491" s="9" t="inlineStr">
        <is>
          <t>2026-S23</t>
        </is>
      </c>
    </row>
    <row r="492">
      <c r="A492" s="9" t="n">
        <v>43048537</v>
      </c>
      <c r="B492" s="11" t="n">
        <v>46176.2746875</v>
      </c>
      <c r="C492" s="12" t="n">
        <v>46176</v>
      </c>
      <c r="D492" s="9">
        <f>YEAR(C492)</f>
        <v/>
      </c>
      <c r="E492" s="9">
        <f>MONTH(C492)</f>
        <v/>
      </c>
      <c r="F492" s="9" t="inlineStr">
        <is>
          <t>Redondo liso</t>
        </is>
      </c>
      <c r="G492" s="9" t="inlineStr">
        <is>
          <t>REDONDO LISO 1 1/2' 6M SAE 1020 (N)</t>
        </is>
      </c>
      <c r="H492" s="9" t="inlineStr">
        <is>
          <t>REDONDO LISO 1 1/2' 6M SAE 1020 (N)</t>
        </is>
      </c>
      <c r="I492" s="9" t="inlineStr">
        <is>
          <t>RED 1,1/2</t>
        </is>
      </c>
      <c r="J492" s="9" t="n">
        <v>109006908</v>
      </c>
      <c r="K492" s="9" t="n">
        <v>38.1</v>
      </c>
      <c r="L492" s="9" t="n"/>
      <c r="M492" s="9" t="n"/>
      <c r="N492" s="9" t="n"/>
      <c r="O492" s="9" t="n">
        <v>6</v>
      </c>
      <c r="P492" s="13" t="n">
        <v>33221</v>
      </c>
      <c r="Q492" s="13" t="n">
        <v>34557.6</v>
      </c>
      <c r="R492" s="14">
        <f>IFERROR(P492/Q492,"")</f>
        <v/>
      </c>
      <c r="S492" s="15" t="n">
        <v>0.9429999999999999</v>
      </c>
      <c r="T492" s="9">
        <f>IF(R492&gt;1,"A corregir","Válida")</f>
        <v/>
      </c>
      <c r="U492" s="13">
        <f>Q492-P492</f>
        <v/>
      </c>
      <c r="V492" s="13">
        <f>IF(S492="",0,S492*Q492)</f>
        <v/>
      </c>
      <c r="W492" s="9" t="n">
        <v>2026</v>
      </c>
      <c r="X492" s="9" t="n">
        <v>23</v>
      </c>
      <c r="Y492" s="9" t="inlineStr">
        <is>
          <t>2026-S23</t>
        </is>
      </c>
    </row>
    <row r="493">
      <c r="A493" s="9" t="n">
        <v>43048538</v>
      </c>
      <c r="B493" s="11" t="n">
        <v>46176.39809027778</v>
      </c>
      <c r="C493" s="12" t="n">
        <v>46176</v>
      </c>
      <c r="D493" s="9">
        <f>YEAR(C493)</f>
        <v/>
      </c>
      <c r="E493" s="9">
        <f>MONTH(C493)</f>
        <v/>
      </c>
      <c r="F493" s="9" t="inlineStr">
        <is>
          <t>Redondo liso</t>
        </is>
      </c>
      <c r="G493" s="9" t="inlineStr">
        <is>
          <t>REDONDO LISO 1 1/4' 6M SAE 1020 (N)</t>
        </is>
      </c>
      <c r="H493" s="9" t="inlineStr">
        <is>
          <t>REDONDO LISO 1 1/4' 6M SAE 1020 (N)</t>
        </is>
      </c>
      <c r="I493" s="9" t="inlineStr">
        <is>
          <t>RED 1,1/4</t>
        </is>
      </c>
      <c r="J493" s="9" t="n">
        <v>109006898</v>
      </c>
      <c r="K493" s="9" t="n">
        <v>31.8</v>
      </c>
      <c r="L493" s="9" t="n"/>
      <c r="M493" s="9" t="n"/>
      <c r="N493" s="9" t="n"/>
      <c r="O493" s="9" t="n">
        <v>6</v>
      </c>
      <c r="P493" s="13" t="n">
        <v>65580</v>
      </c>
      <c r="Q493" s="13" t="n">
        <v>68428.8</v>
      </c>
      <c r="R493" s="14">
        <f>IFERROR(P493/Q493,"")</f>
        <v/>
      </c>
      <c r="S493" s="15" t="n">
        <v>0.951</v>
      </c>
      <c r="T493" s="9">
        <f>IF(R493&gt;1,"A corregir","Válida")</f>
        <v/>
      </c>
      <c r="U493" s="13">
        <f>Q493-P493</f>
        <v/>
      </c>
      <c r="V493" s="13">
        <f>IF(S493="",0,S493*Q493)</f>
        <v/>
      </c>
      <c r="W493" s="9" t="n">
        <v>2026</v>
      </c>
      <c r="X493" s="9" t="n">
        <v>23</v>
      </c>
      <c r="Y493" s="9" t="inlineStr">
        <is>
          <t>2026-S23</t>
        </is>
      </c>
    </row>
    <row r="494">
      <c r="A494" s="9" t="n">
        <v>43048539</v>
      </c>
      <c r="B494" s="11" t="n">
        <v>46176.52295138889</v>
      </c>
      <c r="C494" s="12" t="n">
        <v>46176</v>
      </c>
      <c r="D494" s="9">
        <f>YEAR(C494)</f>
        <v/>
      </c>
      <c r="E494" s="9">
        <f>MONTH(C494)</f>
        <v/>
      </c>
      <c r="F494" s="9" t="inlineStr">
        <is>
          <t>Redondo liso</t>
        </is>
      </c>
      <c r="G494" s="9" t="inlineStr">
        <is>
          <t>REDONDO LISO 1 1/4' 6M ASTM A 36 (N)</t>
        </is>
      </c>
      <c r="H494" s="9" t="inlineStr">
        <is>
          <t>REDONDO LISO 1 1/4' 6M ASTM A 36 (N)</t>
        </is>
      </c>
      <c r="I494" s="9" t="inlineStr">
        <is>
          <t>RED 1,1/4</t>
        </is>
      </c>
      <c r="J494" s="9" t="n">
        <v>109006933</v>
      </c>
      <c r="K494" s="9" t="n">
        <v>31.8</v>
      </c>
      <c r="L494" s="9" t="n"/>
      <c r="M494" s="9" t="n"/>
      <c r="N494" s="9" t="n"/>
      <c r="O494" s="9" t="n">
        <v>6</v>
      </c>
      <c r="P494" s="13" t="n">
        <v>22038</v>
      </c>
      <c r="Q494" s="13" t="n">
        <v>22809.6</v>
      </c>
      <c r="R494" s="14">
        <f>IFERROR(P494/Q494,"")</f>
        <v/>
      </c>
      <c r="S494" s="15" t="n">
        <v>0.951</v>
      </c>
      <c r="T494" s="9">
        <f>IF(R494&gt;1,"A corregir","Válida")</f>
        <v/>
      </c>
      <c r="U494" s="13">
        <f>Q494-P494</f>
        <v/>
      </c>
      <c r="V494" s="13">
        <f>IF(S494="",0,S494*Q494)</f>
        <v/>
      </c>
      <c r="W494" s="9" t="n">
        <v>2026</v>
      </c>
      <c r="X494" s="9" t="n">
        <v>23</v>
      </c>
      <c r="Y494" s="9" t="inlineStr">
        <is>
          <t>2026-S23</t>
        </is>
      </c>
    </row>
    <row r="495">
      <c r="A495" s="9" t="n">
        <v>43048540</v>
      </c>
      <c r="B495" s="11" t="n">
        <v>46176.57006944445</v>
      </c>
      <c r="C495" s="12" t="n">
        <v>46176</v>
      </c>
      <c r="D495" s="9">
        <f>YEAR(C495)</f>
        <v/>
      </c>
      <c r="E495" s="9">
        <f>MONTH(C495)</f>
        <v/>
      </c>
      <c r="F495" s="9" t="inlineStr">
        <is>
          <t>Redondo liso</t>
        </is>
      </c>
      <c r="G495" s="9" t="inlineStr">
        <is>
          <t>BARRA TRASPASO CARGA 32MM 6,2M A630-420H</t>
        </is>
      </c>
      <c r="H495" s="9" t="inlineStr">
        <is>
          <t>BARRA TRASPASO CARGA 32MM 6,2M A630-420H</t>
        </is>
      </c>
      <c r="I495" s="9" t="inlineStr">
        <is>
          <t>RED 1,1/4</t>
        </is>
      </c>
      <c r="J495" s="9" t="n">
        <v>119506110</v>
      </c>
      <c r="K495" s="9" t="n">
        <v>32</v>
      </c>
      <c r="L495" s="9" t="n"/>
      <c r="M495" s="9" t="n"/>
      <c r="N495" s="9" t="n"/>
      <c r="O495" s="9" t="n">
        <v>6</v>
      </c>
      <c r="P495" s="13" t="n">
        <v>21589</v>
      </c>
      <c r="Q495" s="13" t="n">
        <v>24684</v>
      </c>
      <c r="R495" s="14">
        <f>IFERROR(P495/Q495,"")</f>
        <v/>
      </c>
      <c r="S495" s="15" t="n">
        <v>0.97</v>
      </c>
      <c r="T495" s="9">
        <f>IF(R495&gt;1,"A corregir","Válida")</f>
        <v/>
      </c>
      <c r="U495" s="13">
        <f>Q495-P495</f>
        <v/>
      </c>
      <c r="V495" s="13">
        <f>IF(S495="",0,S495*Q495)</f>
        <v/>
      </c>
      <c r="W495" s="9" t="n">
        <v>2026</v>
      </c>
      <c r="X495" s="9" t="n">
        <v>23</v>
      </c>
      <c r="Y495" s="9" t="inlineStr">
        <is>
          <t>2026-S23</t>
        </is>
      </c>
    </row>
    <row r="496">
      <c r="A496" s="9" t="n">
        <v>43048594</v>
      </c>
      <c r="B496" s="11" t="n">
        <v>46176.6991087963</v>
      </c>
      <c r="C496" s="12" t="n">
        <v>46176</v>
      </c>
      <c r="D496" s="9">
        <f>YEAR(C496)</f>
        <v/>
      </c>
      <c r="E496" s="9">
        <f>MONTH(C496)</f>
        <v/>
      </c>
      <c r="F496" s="9" t="inlineStr">
        <is>
          <t>Redondo liso</t>
        </is>
      </c>
      <c r="G496" s="9" t="inlineStr">
        <is>
          <t>REDONDO LISO 1 1/8' 6M SAE 1020 (N)</t>
        </is>
      </c>
      <c r="H496" s="9" t="inlineStr">
        <is>
          <t>REDONDO LISO 1 1/8' 6M SAE 1020 (N)</t>
        </is>
      </c>
      <c r="I496" s="9" t="inlineStr">
        <is>
          <t>RED 1,1/8L</t>
        </is>
      </c>
      <c r="J496" s="9" t="n">
        <v>109006905</v>
      </c>
      <c r="K496" s="9" t="n">
        <v>28.6</v>
      </c>
      <c r="L496" s="9" t="n"/>
      <c r="M496" s="9" t="n"/>
      <c r="N496" s="9" t="n"/>
      <c r="O496" s="9" t="n">
        <v>6</v>
      </c>
      <c r="P496" s="13" t="n">
        <v>30899</v>
      </c>
      <c r="Q496" s="13" t="n">
        <v>33211.2</v>
      </c>
      <c r="R496" s="14">
        <f>IFERROR(P496/Q496,"")</f>
        <v/>
      </c>
      <c r="S496" s="15" t="n">
        <v>0.953</v>
      </c>
      <c r="T496" s="9">
        <f>IF(R496&gt;1,"A corregir","Válida")</f>
        <v/>
      </c>
      <c r="U496" s="13">
        <f>Q496-P496</f>
        <v/>
      </c>
      <c r="V496" s="13">
        <f>IF(S496="",0,S496*Q496)</f>
        <v/>
      </c>
      <c r="W496" s="9" t="n">
        <v>2026</v>
      </c>
      <c r="X496" s="9" t="n">
        <v>23</v>
      </c>
      <c r="Y496" s="9" t="inlineStr">
        <is>
          <t>2026-S23</t>
        </is>
      </c>
    </row>
    <row r="497">
      <c r="A497" s="9" t="n">
        <v>43048548</v>
      </c>
      <c r="B497" s="11" t="n">
        <v>46176.98850694444</v>
      </c>
      <c r="C497" s="12" t="n">
        <v>46176</v>
      </c>
      <c r="D497" s="9">
        <f>YEAR(C497)</f>
        <v/>
      </c>
      <c r="E497" s="9">
        <f>MONTH(C497)</f>
        <v/>
      </c>
      <c r="F497" s="9" t="inlineStr">
        <is>
          <t>Ángulo</t>
        </is>
      </c>
      <c r="G497" s="9" t="inlineStr">
        <is>
          <t>ANGULO 50X50X6MM A270ES</t>
        </is>
      </c>
      <c r="H497" s="9" t="inlineStr">
        <is>
          <t>ANGULO SEMI 50X50X6MM A270ES</t>
        </is>
      </c>
      <c r="I497" s="9" t="inlineStr">
        <is>
          <t>ANG 50 x 6</t>
        </is>
      </c>
      <c r="J497" s="9" t="n">
        <v>106501044</v>
      </c>
      <c r="K497" s="9" t="n"/>
      <c r="L497" s="9" t="n">
        <v>50</v>
      </c>
      <c r="M497" s="9" t="n">
        <v>6</v>
      </c>
      <c r="N497" s="9" t="n"/>
      <c r="O497" s="9" t="n">
        <v>6</v>
      </c>
      <c r="P497" s="13" t="n">
        <v>60537</v>
      </c>
      <c r="Q497" s="13" t="n">
        <v>64178.4</v>
      </c>
      <c r="R497" s="14">
        <f>IFERROR(P497/Q497,"")</f>
        <v/>
      </c>
      <c r="S497" s="15" t="n">
        <v>0.946</v>
      </c>
      <c r="T497" s="9">
        <f>IF(R497&gt;1,"A corregir","Válida")</f>
        <v/>
      </c>
      <c r="U497" s="13">
        <f>Q497-P497</f>
        <v/>
      </c>
      <c r="V497" s="13">
        <f>IF(S497="",0,S497*Q497)</f>
        <v/>
      </c>
      <c r="W497" s="9" t="n">
        <v>2026</v>
      </c>
      <c r="X497" s="9" t="n">
        <v>23</v>
      </c>
      <c r="Y497" s="9" t="inlineStr">
        <is>
          <t>2026-S23</t>
        </is>
      </c>
    </row>
    <row r="498">
      <c r="A498" s="9" t="n">
        <v>43048549</v>
      </c>
      <c r="B498" s="11" t="n">
        <v>46177.15324074074</v>
      </c>
      <c r="C498" s="12" t="n">
        <v>46177</v>
      </c>
      <c r="D498" s="9">
        <f>YEAR(C498)</f>
        <v/>
      </c>
      <c r="E498" s="9">
        <f>MONTH(C498)</f>
        <v/>
      </c>
      <c r="F498" s="9" t="inlineStr">
        <is>
          <t>Ángulo</t>
        </is>
      </c>
      <c r="G498" s="9" t="inlineStr">
        <is>
          <t>ANGULO 50X50X5MM A270ES</t>
        </is>
      </c>
      <c r="H498" s="9" t="inlineStr">
        <is>
          <t>ANGULO SEMI 50X50X5MM A270ES</t>
        </is>
      </c>
      <c r="I498" s="9" t="inlineStr">
        <is>
          <t>ANG 50 x 5</t>
        </is>
      </c>
      <c r="J498" s="9" t="n">
        <v>106501037</v>
      </c>
      <c r="K498" s="9" t="n"/>
      <c r="L498" s="9" t="n">
        <v>50</v>
      </c>
      <c r="M498" s="9" t="n">
        <v>5</v>
      </c>
      <c r="N498" s="9" t="n"/>
      <c r="O498" s="9" t="n">
        <v>6</v>
      </c>
      <c r="P498" s="13" t="n">
        <v>90761</v>
      </c>
      <c r="Q498" s="13" t="n">
        <v>96940.8</v>
      </c>
      <c r="R498" s="14">
        <f>IFERROR(P498/Q498,"")</f>
        <v/>
      </c>
      <c r="S498" s="15" t="n">
        <v>0.948</v>
      </c>
      <c r="T498" s="9">
        <f>IF(R498&gt;1,"A corregir","Válida")</f>
        <v/>
      </c>
      <c r="U498" s="13">
        <f>Q498-P498</f>
        <v/>
      </c>
      <c r="V498" s="13">
        <f>IF(S498="",0,S498*Q498)</f>
        <v/>
      </c>
      <c r="W498" s="9" t="n">
        <v>2026</v>
      </c>
      <c r="X498" s="9" t="n">
        <v>23</v>
      </c>
      <c r="Y498" s="9" t="inlineStr">
        <is>
          <t>2026-S23</t>
        </is>
      </c>
    </row>
    <row r="499">
      <c r="A499" s="9" t="n">
        <v>43048550</v>
      </c>
      <c r="B499" s="11" t="n">
        <v>46177.3905787037</v>
      </c>
      <c r="C499" s="12" t="n">
        <v>46177</v>
      </c>
      <c r="D499" s="9">
        <f>YEAR(C499)</f>
        <v/>
      </c>
      <c r="E499" s="9">
        <f>MONTH(C499)</f>
        <v/>
      </c>
      <c r="F499" s="9" t="inlineStr">
        <is>
          <t>Ángulo</t>
        </is>
      </c>
      <c r="G499" s="9" t="inlineStr">
        <is>
          <t>ANGULO 50X50X4MM A270ES</t>
        </is>
      </c>
      <c r="H499" s="9" t="inlineStr">
        <is>
          <t>ANGULO SEMI 50X50X4MM A270ES</t>
        </is>
      </c>
      <c r="I499" s="9" t="inlineStr">
        <is>
          <t>ANG 50 x 4</t>
        </is>
      </c>
      <c r="J499" s="9" t="n">
        <v>106501036</v>
      </c>
      <c r="K499" s="9" t="n"/>
      <c r="L499" s="9" t="n">
        <v>50</v>
      </c>
      <c r="M499" s="9" t="n">
        <v>4</v>
      </c>
      <c r="N499" s="9" t="n"/>
      <c r="O499" s="9" t="n">
        <v>6</v>
      </c>
      <c r="P499" s="13" t="n">
        <v>155618</v>
      </c>
      <c r="Q499" s="13" t="n">
        <v>166056</v>
      </c>
      <c r="R499" s="14">
        <f>IFERROR(P499/Q499,"")</f>
        <v/>
      </c>
      <c r="S499" s="15" t="n">
        <v>0.948</v>
      </c>
      <c r="T499" s="9">
        <f>IF(R499&gt;1,"A corregir","Válida")</f>
        <v/>
      </c>
      <c r="U499" s="13">
        <f>Q499-P499</f>
        <v/>
      </c>
      <c r="V499" s="13">
        <f>IF(S499="",0,S499*Q499)</f>
        <v/>
      </c>
      <c r="W499" s="9" t="n">
        <v>2026</v>
      </c>
      <c r="X499" s="9" t="n">
        <v>23</v>
      </c>
      <c r="Y499" s="9" t="inlineStr">
        <is>
          <t>2026-S23</t>
        </is>
      </c>
    </row>
    <row r="500">
      <c r="A500" s="9" t="n">
        <v>43048551</v>
      </c>
      <c r="B500" s="11" t="n">
        <v>46178.01040509259</v>
      </c>
      <c r="C500" s="12" t="n">
        <v>46178</v>
      </c>
      <c r="D500" s="9">
        <f>YEAR(C500)</f>
        <v/>
      </c>
      <c r="E500" s="9">
        <f>MONTH(C500)</f>
        <v/>
      </c>
      <c r="F500" s="9" t="inlineStr">
        <is>
          <t>Ángulo</t>
        </is>
      </c>
      <c r="G500" s="9" t="inlineStr">
        <is>
          <t>ANGULO 50X50X3MM A270ES</t>
        </is>
      </c>
      <c r="H500" s="9" t="inlineStr">
        <is>
          <t>ANGULO SEMI 50X50X3MM A270ES</t>
        </is>
      </c>
      <c r="I500" s="9" t="inlineStr">
        <is>
          <t>ANG 50 x 3</t>
        </is>
      </c>
      <c r="J500" s="9" t="n">
        <v>106501038</v>
      </c>
      <c r="K500" s="9" t="n"/>
      <c r="L500" s="9" t="n">
        <v>50</v>
      </c>
      <c r="M500" s="9" t="n">
        <v>3</v>
      </c>
      <c r="N500" s="9" t="n"/>
      <c r="O500" s="9" t="n">
        <v>6</v>
      </c>
      <c r="P500" s="13" t="n">
        <v>263497</v>
      </c>
      <c r="Q500" s="13" t="n">
        <v>280051.2</v>
      </c>
      <c r="R500" s="14">
        <f>IFERROR(P500/Q500,"")</f>
        <v/>
      </c>
      <c r="S500" s="15" t="n">
        <v>0.953</v>
      </c>
      <c r="T500" s="9">
        <f>IF(R500&gt;1,"A corregir","Válida")</f>
        <v/>
      </c>
      <c r="U500" s="13">
        <f>Q500-P500</f>
        <v/>
      </c>
      <c r="V500" s="13">
        <f>IF(S500="",0,S500*Q500)</f>
        <v/>
      </c>
      <c r="W500" s="9" t="n">
        <v>2026</v>
      </c>
      <c r="X500" s="9" t="n">
        <v>23</v>
      </c>
      <c r="Y500" s="9" t="inlineStr">
        <is>
          <t>2026-S23</t>
        </is>
      </c>
    </row>
    <row r="501">
      <c r="A501" s="9" t="n">
        <v>43048631</v>
      </c>
      <c r="B501" s="11" t="n">
        <v>46178.97403935185</v>
      </c>
      <c r="C501" s="12" t="n">
        <v>46178</v>
      </c>
      <c r="D501" s="9">
        <f>YEAR(C501)</f>
        <v/>
      </c>
      <c r="E501" s="9">
        <f>MONTH(C501)</f>
        <v/>
      </c>
      <c r="F501" s="9" t="inlineStr">
        <is>
          <t>Saferock</t>
        </is>
      </c>
      <c r="G501" s="9" t="inlineStr">
        <is>
          <t>SAFEROCK 22MM 12M A420</t>
        </is>
      </c>
      <c r="H501" s="9" t="inlineStr">
        <is>
          <t>SAFEROCK 22MM 12M A420</t>
        </is>
      </c>
      <c r="I501" s="9" t="inlineStr">
        <is>
          <t>SFRCK 22</t>
        </is>
      </c>
      <c r="J501" s="9" t="n">
        <v>106025567</v>
      </c>
      <c r="K501" s="9" t="n">
        <v>22</v>
      </c>
      <c r="L501" s="9" t="n"/>
      <c r="M501" s="9" t="n"/>
      <c r="N501" s="9" t="n"/>
      <c r="O501" s="9" t="n">
        <v>12</v>
      </c>
      <c r="P501" s="13" t="n">
        <v>40141</v>
      </c>
      <c r="Q501" s="13" t="n">
        <v>44431.2</v>
      </c>
      <c r="R501" s="14">
        <f>IFERROR(P501/Q501,"")</f>
        <v/>
      </c>
      <c r="S501" s="15" t="n">
        <v>0.9590000000000001</v>
      </c>
      <c r="T501" s="9">
        <f>IF(R501&gt;1,"A corregir","Válida")</f>
        <v/>
      </c>
      <c r="U501" s="13">
        <f>Q501-P501</f>
        <v/>
      </c>
      <c r="V501" s="13">
        <f>IF(S501="",0,S501*Q501)</f>
        <v/>
      </c>
      <c r="W501" s="9" t="n">
        <v>2026</v>
      </c>
      <c r="X501" s="9" t="n">
        <v>23</v>
      </c>
      <c r="Y501" s="9" t="inlineStr">
        <is>
          <t>2026-S23</t>
        </is>
      </c>
    </row>
    <row r="502">
      <c r="A502" s="9" t="n">
        <v>43048652</v>
      </c>
      <c r="B502" s="11" t="n">
        <v>46179.05094907407</v>
      </c>
      <c r="C502" s="12" t="n">
        <v>46179</v>
      </c>
      <c r="D502" s="9">
        <f>YEAR(C502)</f>
        <v/>
      </c>
      <c r="E502" s="9">
        <f>MONTH(C502)</f>
        <v/>
      </c>
      <c r="F502" s="9" t="inlineStr">
        <is>
          <t>Saferock</t>
        </is>
      </c>
      <c r="G502" s="9" t="inlineStr">
        <is>
          <t>SAFEROCK 22MM 12M A280</t>
        </is>
      </c>
      <c r="H502" s="9" t="inlineStr">
        <is>
          <t>SAFEROCK 22MM 12M A280</t>
        </is>
      </c>
      <c r="I502" s="9" t="inlineStr">
        <is>
          <t>SFRCK 22</t>
        </is>
      </c>
      <c r="J502" s="9" t="n">
        <v>106025569</v>
      </c>
      <c r="K502" s="9" t="n">
        <v>22</v>
      </c>
      <c r="L502" s="9" t="n"/>
      <c r="M502" s="9" t="n"/>
      <c r="N502" s="9" t="n"/>
      <c r="O502" s="9" t="n">
        <v>12</v>
      </c>
      <c r="P502" s="13" t="n">
        <v>68569</v>
      </c>
      <c r="Q502" s="13" t="n">
        <v>71808</v>
      </c>
      <c r="R502" s="14">
        <f>IFERROR(P502/Q502,"")</f>
        <v/>
      </c>
      <c r="S502" s="15" t="n">
        <v>0.9590000000000001</v>
      </c>
      <c r="T502" s="9">
        <f>IF(R502&gt;1,"A corregir","Válida")</f>
        <v/>
      </c>
      <c r="U502" s="13">
        <f>Q502-P502</f>
        <v/>
      </c>
      <c r="V502" s="13">
        <f>IF(S502="",0,S502*Q502)</f>
        <v/>
      </c>
      <c r="W502" s="9" t="n">
        <v>2026</v>
      </c>
      <c r="X502" s="9" t="n">
        <v>23</v>
      </c>
      <c r="Y502" s="9" t="inlineStr">
        <is>
          <t>2026-S23</t>
        </is>
      </c>
    </row>
    <row r="503">
      <c r="A503" s="9" t="n">
        <v>43048554</v>
      </c>
      <c r="B503" s="11" t="n">
        <v>46179.17826388889</v>
      </c>
      <c r="C503" s="12" t="n">
        <v>46179</v>
      </c>
      <c r="D503" s="9">
        <f>YEAR(C503)</f>
        <v/>
      </c>
      <c r="E503" s="9">
        <f>MONTH(C503)</f>
        <v/>
      </c>
      <c r="F503" s="9" t="inlineStr">
        <is>
          <t>Saferock</t>
        </is>
      </c>
      <c r="G503" s="9" t="inlineStr">
        <is>
          <t>SAFEROCK 22MM 12M A280</t>
        </is>
      </c>
      <c r="H503" s="9" t="inlineStr">
        <is>
          <t>SAFEROCK SEMI 22MM 12M A280</t>
        </is>
      </c>
      <c r="I503" s="9" t="inlineStr">
        <is>
          <t>SFRCK 22</t>
        </is>
      </c>
      <c r="J503" s="9" t="n">
        <v>106025569</v>
      </c>
      <c r="K503" s="9" t="n">
        <v>22</v>
      </c>
      <c r="L503" s="9" t="n"/>
      <c r="M503" s="9" t="n"/>
      <c r="N503" s="9" t="n"/>
      <c r="O503" s="9" t="n">
        <v>12</v>
      </c>
      <c r="P503" s="13" t="n">
        <v>73815</v>
      </c>
      <c r="Q503" s="13" t="n">
        <v>76876.8</v>
      </c>
      <c r="R503" s="14">
        <f>IFERROR(P503/Q503,"")</f>
        <v/>
      </c>
      <c r="S503" s="15" t="n">
        <v>0.9590000000000001</v>
      </c>
      <c r="T503" s="9">
        <f>IF(R503&gt;1,"A corregir","Válida")</f>
        <v/>
      </c>
      <c r="U503" s="13">
        <f>Q503-P503</f>
        <v/>
      </c>
      <c r="V503" s="13">
        <f>IF(S503="",0,S503*Q503)</f>
        <v/>
      </c>
      <c r="W503" s="9" t="n">
        <v>2026</v>
      </c>
      <c r="X503" s="9" t="n">
        <v>23</v>
      </c>
      <c r="Y503" s="9" t="inlineStr">
        <is>
          <t>2026-S23</t>
        </is>
      </c>
    </row>
    <row r="504">
      <c r="A504" s="9" t="n">
        <v>43048555</v>
      </c>
      <c r="B504" s="11" t="n">
        <v>46179.3112962963</v>
      </c>
      <c r="C504" s="12" t="n">
        <v>46179</v>
      </c>
      <c r="D504" s="9">
        <f>YEAR(C504)</f>
        <v/>
      </c>
      <c r="E504" s="9">
        <f>MONTH(C504)</f>
        <v/>
      </c>
      <c r="F504" s="9" t="inlineStr">
        <is>
          <t>Saferock</t>
        </is>
      </c>
      <c r="G504" s="9" t="inlineStr">
        <is>
          <t>SAFEROCK 22MM 10,5M A280</t>
        </is>
      </c>
      <c r="H504" s="9" t="inlineStr">
        <is>
          <t>SAFEROCK SEMI 22MM 10,5M A280</t>
        </is>
      </c>
      <c r="I504" s="9" t="inlineStr">
        <is>
          <t>SFRCK 22</t>
        </is>
      </c>
      <c r="J504" s="9" t="n">
        <v>106501802</v>
      </c>
      <c r="K504" s="9" t="n">
        <v>22</v>
      </c>
      <c r="L504" s="9" t="n"/>
      <c r="M504" s="9" t="n"/>
      <c r="N504" s="9" t="n"/>
      <c r="O504" s="9" t="n">
        <v>10.5</v>
      </c>
      <c r="P504" s="13" t="n">
        <v>17914</v>
      </c>
      <c r="Q504" s="13" t="n">
        <v>18585.6</v>
      </c>
      <c r="R504" s="14">
        <f>IFERROR(P504/Q504,"")</f>
        <v/>
      </c>
      <c r="S504" s="15" t="n">
        <v>0.958</v>
      </c>
      <c r="T504" s="9">
        <f>IF(R504&gt;1,"A corregir","Válida")</f>
        <v/>
      </c>
      <c r="U504" s="13">
        <f>Q504-P504</f>
        <v/>
      </c>
      <c r="V504" s="13">
        <f>IF(S504="",0,S504*Q504)</f>
        <v/>
      </c>
      <c r="W504" s="9" t="n">
        <v>2026</v>
      </c>
      <c r="X504" s="9" t="n">
        <v>23</v>
      </c>
      <c r="Y504" s="9" t="inlineStr">
        <is>
          <t>2026-S23</t>
        </is>
      </c>
    </row>
    <row r="505">
      <c r="A505" s="9" t="n">
        <v>43048556</v>
      </c>
      <c r="B505" s="11" t="n">
        <v>46179.42569444444</v>
      </c>
      <c r="C505" s="12" t="n">
        <v>46179</v>
      </c>
      <c r="D505" s="9">
        <f>YEAR(C505)</f>
        <v/>
      </c>
      <c r="E505" s="9">
        <f>MONTH(C505)</f>
        <v/>
      </c>
      <c r="F505" s="9" t="inlineStr">
        <is>
          <t>Saferock</t>
        </is>
      </c>
      <c r="G505" s="9" t="inlineStr">
        <is>
          <t>SAFEROCK 22MM 10M A280</t>
        </is>
      </c>
      <c r="H505" s="9" t="inlineStr">
        <is>
          <t>SAFEROCK SEMI 22MM 10M A280</t>
        </is>
      </c>
      <c r="I505" s="9" t="inlineStr">
        <is>
          <t>SFRCK 22</t>
        </is>
      </c>
      <c r="J505" s="9" t="n">
        <v>106043322</v>
      </c>
      <c r="K505" s="9" t="n">
        <v>22</v>
      </c>
      <c r="L505" s="9" t="n"/>
      <c r="M505" s="9" t="n"/>
      <c r="N505" s="9" t="n"/>
      <c r="O505" s="9" t="n">
        <v>10</v>
      </c>
      <c r="P505" s="13" t="n">
        <v>30980</v>
      </c>
      <c r="Q505" s="13" t="n">
        <v>34557.6</v>
      </c>
      <c r="R505" s="14">
        <f>IFERROR(P505/Q505,"")</f>
        <v/>
      </c>
      <c r="S505" s="15" t="n">
        <v>0.953</v>
      </c>
      <c r="T505" s="9">
        <f>IF(R505&gt;1,"A corregir","Válida")</f>
        <v/>
      </c>
      <c r="U505" s="13">
        <f>Q505-P505</f>
        <v/>
      </c>
      <c r="V505" s="13">
        <f>IF(S505="",0,S505*Q505)</f>
        <v/>
      </c>
      <c r="W505" s="9" t="n">
        <v>2026</v>
      </c>
      <c r="X505" s="9" t="n">
        <v>23</v>
      </c>
      <c r="Y505" s="9" t="inlineStr">
        <is>
          <t>2026-S23</t>
        </is>
      </c>
    </row>
    <row r="506">
      <c r="A506" s="9" t="n">
        <v>43048557</v>
      </c>
      <c r="B506" s="11" t="n">
        <v>46179.49136574074</v>
      </c>
      <c r="C506" s="12" t="n">
        <v>46179</v>
      </c>
      <c r="D506" s="9">
        <f>YEAR(C506)</f>
        <v/>
      </c>
      <c r="E506" s="9">
        <f>MONTH(C506)</f>
        <v/>
      </c>
      <c r="F506" s="9" t="inlineStr">
        <is>
          <t>Saferock</t>
        </is>
      </c>
      <c r="G506" s="9" t="inlineStr">
        <is>
          <t>SAFEROCK 22MM 9,6M A280</t>
        </is>
      </c>
      <c r="H506" s="9" t="inlineStr">
        <is>
          <t>SAFEROCK SEMI 22MM 9,6M A280</t>
        </is>
      </c>
      <c r="I506" s="9" t="inlineStr">
        <is>
          <t>SFRCK 22</t>
        </is>
      </c>
      <c r="J506" s="9" t="n">
        <v>106503248</v>
      </c>
      <c r="K506" s="9" t="n">
        <v>22</v>
      </c>
      <c r="L506" s="9" t="n"/>
      <c r="M506" s="9" t="n"/>
      <c r="N506" s="9" t="n"/>
      <c r="O506" s="9" t="n">
        <v>9.6</v>
      </c>
      <c r="P506" s="13" t="n">
        <v>32963</v>
      </c>
      <c r="Q506" s="13" t="n">
        <v>34557.6</v>
      </c>
      <c r="R506" s="14">
        <f>IFERROR(P506/Q506,"")</f>
        <v/>
      </c>
      <c r="S506" s="15" t="n">
        <v>0.9570000000000001</v>
      </c>
      <c r="T506" s="9">
        <f>IF(R506&gt;1,"A corregir","Válida")</f>
        <v/>
      </c>
      <c r="U506" s="13">
        <f>Q506-P506</f>
        <v/>
      </c>
      <c r="V506" s="13">
        <f>IF(S506="",0,S506*Q506)</f>
        <v/>
      </c>
      <c r="W506" s="9" t="n">
        <v>2026</v>
      </c>
      <c r="X506" s="9" t="n">
        <v>23</v>
      </c>
      <c r="Y506" s="9" t="inlineStr">
        <is>
          <t>2026-S23</t>
        </is>
      </c>
    </row>
    <row r="507">
      <c r="A507" s="9" t="n">
        <v>43048558</v>
      </c>
      <c r="B507" s="11" t="n">
        <v>46179.60694444444</v>
      </c>
      <c r="C507" s="12" t="n">
        <v>46179</v>
      </c>
      <c r="D507" s="9">
        <f>YEAR(C507)</f>
        <v/>
      </c>
      <c r="E507" s="9">
        <f>MONTH(C507)</f>
        <v/>
      </c>
      <c r="F507" s="9" t="inlineStr">
        <is>
          <t>Saferock</t>
        </is>
      </c>
      <c r="G507" s="9" t="inlineStr">
        <is>
          <t>SAFEROCK 19MM 11,96M A520</t>
        </is>
      </c>
      <c r="H507" s="9" t="inlineStr">
        <is>
          <t>SAFEROCK 19MM 11,96M A520</t>
        </is>
      </c>
      <c r="I507" s="9" t="inlineStr">
        <is>
          <t>SFRCK 19</t>
        </is>
      </c>
      <c r="J507" s="9" t="n">
        <v>119505901</v>
      </c>
      <c r="K507" s="9" t="n">
        <v>19</v>
      </c>
      <c r="L507" s="9" t="n"/>
      <c r="M507" s="9" t="n"/>
      <c r="N507" s="9" t="n"/>
      <c r="O507" s="9" t="n">
        <v>6</v>
      </c>
      <c r="P507" s="13" t="n">
        <v>18910</v>
      </c>
      <c r="Q507" s="13" t="n">
        <v>20644.8</v>
      </c>
      <c r="R507" s="14">
        <f>IFERROR(P507/Q507,"")</f>
        <v/>
      </c>
      <c r="S507" s="15" t="n">
        <v>0.97</v>
      </c>
      <c r="T507" s="9">
        <f>IF(R507&gt;1,"A corregir","Válida")</f>
        <v/>
      </c>
      <c r="U507" s="13">
        <f>Q507-P507</f>
        <v/>
      </c>
      <c r="V507" s="13">
        <f>IF(S507="",0,S507*Q507)</f>
        <v/>
      </c>
      <c r="W507" s="9" t="n">
        <v>2026</v>
      </c>
      <c r="X507" s="9" t="n">
        <v>23</v>
      </c>
      <c r="Y507" s="9" t="inlineStr">
        <is>
          <t>2026-S23</t>
        </is>
      </c>
    </row>
    <row r="508">
      <c r="A508" s="9" t="n">
        <v>43048559</v>
      </c>
      <c r="B508" s="11" t="n">
        <v>46179.6508912037</v>
      </c>
      <c r="C508" s="12" t="n">
        <v>46179</v>
      </c>
      <c r="D508" s="9">
        <f>YEAR(C508)</f>
        <v/>
      </c>
      <c r="E508" s="9">
        <f>MONTH(C508)</f>
        <v/>
      </c>
      <c r="F508" s="9" t="inlineStr">
        <is>
          <t>Saferock</t>
        </is>
      </c>
      <c r="G508" s="9" t="inlineStr">
        <is>
          <t>SAFEROCK 19MM 10,5M A520</t>
        </is>
      </c>
      <c r="H508" s="9" t="inlineStr">
        <is>
          <t>SAFEROCK 19MM 10,5M A520</t>
        </is>
      </c>
      <c r="I508" s="9" t="inlineStr">
        <is>
          <t>SFRCK 19</t>
        </is>
      </c>
      <c r="J508" s="9" t="n">
        <v>119505900</v>
      </c>
      <c r="K508" s="9" t="n">
        <v>19</v>
      </c>
      <c r="L508" s="9" t="n"/>
      <c r="M508" s="9" t="n"/>
      <c r="N508" s="9" t="n"/>
      <c r="O508" s="9" t="n">
        <v>10.5</v>
      </c>
      <c r="P508" s="13" t="n">
        <v>19066</v>
      </c>
      <c r="Q508" s="13" t="n">
        <v>20196</v>
      </c>
      <c r="R508" s="14">
        <f>IFERROR(P508/Q508,"")</f>
        <v/>
      </c>
      <c r="S508" s="15" t="n">
        <v>0.97</v>
      </c>
      <c r="T508" s="9">
        <f>IF(R508&gt;1,"A corregir","Válida")</f>
        <v/>
      </c>
      <c r="U508" s="13">
        <f>Q508-P508</f>
        <v/>
      </c>
      <c r="V508" s="13">
        <f>IF(S508="",0,S508*Q508)</f>
        <v/>
      </c>
      <c r="W508" s="9" t="n">
        <v>2026</v>
      </c>
      <c r="X508" s="9" t="n">
        <v>23</v>
      </c>
      <c r="Y508" s="9" t="inlineStr">
        <is>
          <t>2026-S23</t>
        </is>
      </c>
    </row>
    <row r="509">
      <c r="A509" s="9" t="n">
        <v>43048578</v>
      </c>
      <c r="B509" s="11" t="n">
        <v>46179.71274305556</v>
      </c>
      <c r="C509" s="12" t="n">
        <v>46179</v>
      </c>
      <c r="D509" s="9">
        <f>YEAR(C509)</f>
        <v/>
      </c>
      <c r="E509" s="9">
        <f>MONTH(C509)</f>
        <v/>
      </c>
      <c r="F509" s="9" t="inlineStr">
        <is>
          <t>Cuadrado</t>
        </is>
      </c>
      <c r="G509" s="9" t="inlineStr">
        <is>
          <t>CUADRADO 16MM 6M COMERCIAL (N)</t>
        </is>
      </c>
      <c r="H509" s="9" t="inlineStr">
        <is>
          <t>CUADRADO 16MM 6M COMERCIAL (N)</t>
        </is>
      </c>
      <c r="I509" s="9" t="inlineStr">
        <is>
          <t>CUAD 16</t>
        </is>
      </c>
      <c r="J509" s="9" t="n">
        <v>109007062</v>
      </c>
      <c r="K509" s="9" t="n"/>
      <c r="L509" s="9" t="n"/>
      <c r="M509" s="9" t="n"/>
      <c r="N509" s="9" t="n">
        <v>16</v>
      </c>
      <c r="O509" s="9" t="n">
        <v>6</v>
      </c>
      <c r="P509" s="13" t="n">
        <v>21155</v>
      </c>
      <c r="Q509" s="13" t="n">
        <v>22440</v>
      </c>
      <c r="R509" s="14">
        <f>IFERROR(P509/Q509,"")</f>
        <v/>
      </c>
      <c r="S509" s="15" t="n">
        <v>0.955</v>
      </c>
      <c r="T509" s="9">
        <f>IF(R509&gt;1,"A corregir","Válida")</f>
        <v/>
      </c>
      <c r="U509" s="13">
        <f>Q509-P509</f>
        <v/>
      </c>
      <c r="V509" s="13">
        <f>IF(S509="",0,S509*Q509)</f>
        <v/>
      </c>
      <c r="W509" s="9" t="n">
        <v>2026</v>
      </c>
      <c r="X509" s="9" t="n">
        <v>23</v>
      </c>
      <c r="Y509" s="9" t="inlineStr">
        <is>
          <t>2026-S23</t>
        </is>
      </c>
    </row>
    <row r="510">
      <c r="A510" s="9" t="n">
        <v>43048560</v>
      </c>
      <c r="B510" s="11" t="n">
        <v>46180.99324074074</v>
      </c>
      <c r="C510" s="12" t="n">
        <v>46180</v>
      </c>
      <c r="D510" s="9">
        <f>YEAR(C510)</f>
        <v/>
      </c>
      <c r="E510" s="9">
        <f>MONTH(C510)</f>
        <v/>
      </c>
      <c r="F510" s="9" t="inlineStr">
        <is>
          <t>Ángulo</t>
        </is>
      </c>
      <c r="G510" s="9" t="inlineStr">
        <is>
          <t>ANGULO 30X30X3MM A270ES</t>
        </is>
      </c>
      <c r="H510" s="9" t="inlineStr">
        <is>
          <t>ANGULO SEMI 30X30X3MM A270ES</t>
        </is>
      </c>
      <c r="I510" s="9" t="inlineStr">
        <is>
          <t>ANG 30 x 3</t>
        </is>
      </c>
      <c r="J510" s="9" t="n">
        <v>106501029</v>
      </c>
      <c r="K510" s="9" t="n"/>
      <c r="L510" s="9" t="n">
        <v>30</v>
      </c>
      <c r="M510" s="9" t="n">
        <v>3</v>
      </c>
      <c r="N510" s="9" t="n"/>
      <c r="O510" s="9" t="n">
        <v>6</v>
      </c>
      <c r="P510" s="13" t="n">
        <v>311918</v>
      </c>
      <c r="Q510" s="13" t="n">
        <v>327175.2</v>
      </c>
      <c r="R510" s="14">
        <f>IFERROR(P510/Q510,"")</f>
        <v/>
      </c>
      <c r="S510" s="15" t="n">
        <v>0.96</v>
      </c>
      <c r="T510" s="9">
        <f>IF(R510&gt;1,"A corregir","Válida")</f>
        <v/>
      </c>
      <c r="U510" s="13">
        <f>Q510-P510</f>
        <v/>
      </c>
      <c r="V510" s="13">
        <f>IF(S510="",0,S510*Q510)</f>
        <v/>
      </c>
      <c r="W510" s="9" t="n">
        <v>2026</v>
      </c>
      <c r="X510" s="9" t="n">
        <v>23</v>
      </c>
      <c r="Y510" s="9" t="inlineStr">
        <is>
          <t>2026-S23</t>
        </is>
      </c>
    </row>
    <row r="511">
      <c r="A511" s="9" t="n">
        <v>43048573</v>
      </c>
      <c r="B511" s="11" t="n">
        <v>46181.96962962963</v>
      </c>
      <c r="C511" s="12" t="n">
        <v>46181</v>
      </c>
      <c r="D511" s="9">
        <f>YEAR(C511)</f>
        <v/>
      </c>
      <c r="E511" s="9">
        <f>MONTH(C511)</f>
        <v/>
      </c>
      <c r="F511" s="9" t="inlineStr">
        <is>
          <t>Plana</t>
        </is>
      </c>
      <c r="G511" s="9" t="inlineStr">
        <is>
          <t>PLANA 75X12MM 6M A270ES</t>
        </is>
      </c>
      <c r="H511" s="9" t="inlineStr">
        <is>
          <t>PLANA 75X12MM 6M A270ES</t>
        </is>
      </c>
      <c r="I511" s="9" t="n"/>
      <c r="J511" s="9" t="n"/>
      <c r="K511" s="9" t="n"/>
      <c r="L511" s="9" t="n">
        <v>75</v>
      </c>
      <c r="M511" s="9" t="n">
        <v>12</v>
      </c>
      <c r="N511" s="9" t="n"/>
      <c r="O511" s="9" t="n">
        <v>6</v>
      </c>
      <c r="P511" s="13" t="n">
        <v>63335</v>
      </c>
      <c r="Q511" s="13" t="n">
        <v>67768.8</v>
      </c>
      <c r="R511" s="14">
        <f>IFERROR(P511/Q511,"")</f>
        <v/>
      </c>
      <c r="S511" s="15" t="n">
        <v>0.945</v>
      </c>
      <c r="T511" s="9">
        <f>IF(R511&gt;1,"A corregir","Válida")</f>
        <v/>
      </c>
      <c r="U511" s="13">
        <f>Q511-P511</f>
        <v/>
      </c>
      <c r="V511" s="13">
        <f>IF(S511="",0,S511*Q511)</f>
        <v/>
      </c>
      <c r="W511" s="9" t="n">
        <v>2026</v>
      </c>
      <c r="X511" s="9" t="n">
        <v>24</v>
      </c>
      <c r="Y511" s="9" t="inlineStr">
        <is>
          <t>2026-S24</t>
        </is>
      </c>
    </row>
    <row r="512">
      <c r="A512" s="9" t="n">
        <v>43048574</v>
      </c>
      <c r="B512" s="11" t="n">
        <v>46182.10996527778</v>
      </c>
      <c r="C512" s="12" t="n">
        <v>46182</v>
      </c>
      <c r="D512" s="9">
        <f>YEAR(C512)</f>
        <v/>
      </c>
      <c r="E512" s="9">
        <f>MONTH(C512)</f>
        <v/>
      </c>
      <c r="F512" s="9" t="inlineStr">
        <is>
          <t>Plana</t>
        </is>
      </c>
      <c r="G512" s="9" t="inlineStr">
        <is>
          <t>PLANA 75X10MM 6M A270ES (N)</t>
        </is>
      </c>
      <c r="H512" s="9" t="inlineStr">
        <is>
          <t>PLANA 75X10MM 6M A270ES (N)</t>
        </is>
      </c>
      <c r="I512" s="9" t="inlineStr">
        <is>
          <t>PL 75 x 10</t>
        </is>
      </c>
      <c r="J512" s="9" t="n">
        <v>109013907</v>
      </c>
      <c r="K512" s="9" t="n"/>
      <c r="L512" s="9" t="n">
        <v>75</v>
      </c>
      <c r="M512" s="9" t="n">
        <v>10</v>
      </c>
      <c r="N512" s="9" t="n"/>
      <c r="O512" s="9" t="n">
        <v>6</v>
      </c>
      <c r="P512" s="13" t="n">
        <v>51289</v>
      </c>
      <c r="Q512" s="13" t="n">
        <v>54304.8</v>
      </c>
      <c r="R512" s="14">
        <f>IFERROR(P512/Q512,"")</f>
        <v/>
      </c>
      <c r="S512" s="15" t="n">
        <v>0.9470000000000001</v>
      </c>
      <c r="T512" s="9">
        <f>IF(R512&gt;1,"A corregir","Válida")</f>
        <v/>
      </c>
      <c r="U512" s="13">
        <f>Q512-P512</f>
        <v/>
      </c>
      <c r="V512" s="13">
        <f>IF(S512="",0,S512*Q512)</f>
        <v/>
      </c>
      <c r="W512" s="9" t="n">
        <v>2026</v>
      </c>
      <c r="X512" s="9" t="n">
        <v>24</v>
      </c>
      <c r="Y512" s="9" t="inlineStr">
        <is>
          <t>2026-S24</t>
        </is>
      </c>
    </row>
    <row r="513">
      <c r="A513" s="9" t="n">
        <v>43048575</v>
      </c>
      <c r="B513" s="11" t="n">
        <v>46182.22136574074</v>
      </c>
      <c r="C513" s="12" t="n">
        <v>46182</v>
      </c>
      <c r="D513" s="9">
        <f>YEAR(C513)</f>
        <v/>
      </c>
      <c r="E513" s="9">
        <f>MONTH(C513)</f>
        <v/>
      </c>
      <c r="F513" s="9" t="inlineStr">
        <is>
          <t>Plana</t>
        </is>
      </c>
      <c r="G513" s="9" t="inlineStr">
        <is>
          <t>PLANA 75X8MM 6M A270ES (N)</t>
        </is>
      </c>
      <c r="H513" s="9" t="inlineStr">
        <is>
          <t>PLANA 75X8MM 6M A270ES (N)</t>
        </is>
      </c>
      <c r="I513" s="9" t="inlineStr">
        <is>
          <t>PL 75 x 8</t>
        </is>
      </c>
      <c r="J513" s="9" t="n">
        <v>109013909</v>
      </c>
      <c r="K513" s="9" t="n"/>
      <c r="L513" s="9" t="n">
        <v>75</v>
      </c>
      <c r="M513" s="9" t="n">
        <v>8</v>
      </c>
      <c r="N513" s="9" t="n"/>
      <c r="O513" s="9" t="n">
        <v>6</v>
      </c>
      <c r="P513" s="13" t="n">
        <v>50770</v>
      </c>
      <c r="Q513" s="13" t="n">
        <v>53856</v>
      </c>
      <c r="R513" s="14">
        <f>IFERROR(P513/Q513,"")</f>
        <v/>
      </c>
      <c r="S513" s="15" t="n">
        <v>0.951</v>
      </c>
      <c r="T513" s="9">
        <f>IF(R513&gt;1,"A corregir","Válida")</f>
        <v/>
      </c>
      <c r="U513" s="13">
        <f>Q513-P513</f>
        <v/>
      </c>
      <c r="V513" s="13">
        <f>IF(S513="",0,S513*Q513)</f>
        <v/>
      </c>
      <c r="W513" s="9" t="n">
        <v>2026</v>
      </c>
      <c r="X513" s="9" t="n">
        <v>24</v>
      </c>
      <c r="Y513" s="9" t="inlineStr">
        <is>
          <t>2026-S24</t>
        </is>
      </c>
    </row>
    <row r="514">
      <c r="A514" s="9" t="n">
        <v>43048576</v>
      </c>
      <c r="B514" s="11" t="n">
        <v>46182.38564814815</v>
      </c>
      <c r="C514" s="12" t="n">
        <v>46182</v>
      </c>
      <c r="D514" s="9">
        <f>YEAR(C514)</f>
        <v/>
      </c>
      <c r="E514" s="9">
        <f>MONTH(C514)</f>
        <v/>
      </c>
      <c r="F514" s="9" t="inlineStr">
        <is>
          <t>Plana</t>
        </is>
      </c>
      <c r="G514" s="9" t="inlineStr">
        <is>
          <t>PLANA 75X6MM 6M A270ES (N)</t>
        </is>
      </c>
      <c r="H514" s="9" t="inlineStr">
        <is>
          <t>PLANA 75X6MM 6M A270ES (N)</t>
        </is>
      </c>
      <c r="I514" s="9" t="inlineStr">
        <is>
          <t>PL 75 x 6</t>
        </is>
      </c>
      <c r="J514" s="9" t="n">
        <v>109013911</v>
      </c>
      <c r="K514" s="9" t="n"/>
      <c r="L514" s="9" t="n">
        <v>75</v>
      </c>
      <c r="M514" s="9" t="n">
        <v>6</v>
      </c>
      <c r="N514" s="9" t="n"/>
      <c r="O514" s="9" t="n">
        <v>6</v>
      </c>
      <c r="P514" s="13" t="n">
        <v>53643</v>
      </c>
      <c r="Q514" s="13" t="n">
        <v>58792.8</v>
      </c>
      <c r="R514" s="14">
        <f>IFERROR(P514/Q514,"")</f>
        <v/>
      </c>
      <c r="S514" s="15" t="n">
        <v>0.9540000000000001</v>
      </c>
      <c r="T514" s="9">
        <f>IF(R514&gt;1,"A corregir","Válida")</f>
        <v/>
      </c>
      <c r="U514" s="13">
        <f>Q514-P514</f>
        <v/>
      </c>
      <c r="V514" s="13">
        <f>IF(S514="",0,S514*Q514)</f>
        <v/>
      </c>
      <c r="W514" s="9" t="n">
        <v>2026</v>
      </c>
      <c r="X514" s="9" t="n">
        <v>24</v>
      </c>
      <c r="Y514" s="9" t="inlineStr">
        <is>
          <t>2026-S24</t>
        </is>
      </c>
    </row>
    <row r="515">
      <c r="A515" s="9" t="n">
        <v>43048577</v>
      </c>
      <c r="B515" s="11" t="n">
        <v>46182.52685185185</v>
      </c>
      <c r="C515" s="12" t="n">
        <v>46182</v>
      </c>
      <c r="D515" s="9">
        <f>YEAR(C515)</f>
        <v/>
      </c>
      <c r="E515" s="9">
        <f>MONTH(C515)</f>
        <v/>
      </c>
      <c r="F515" s="9" t="inlineStr">
        <is>
          <t>Plana</t>
        </is>
      </c>
      <c r="G515" s="9" t="inlineStr">
        <is>
          <t>PLANA 75X5MM 6M A270ES (N)</t>
        </is>
      </c>
      <c r="H515" s="9" t="inlineStr">
        <is>
          <t>PLANA 75X5MM 6M A270ES (N)</t>
        </is>
      </c>
      <c r="I515" s="9" t="inlineStr">
        <is>
          <t>PL 75 x 5</t>
        </is>
      </c>
      <c r="J515" s="9" t="n">
        <v>109013908</v>
      </c>
      <c r="K515" s="9" t="n"/>
      <c r="L515" s="9" t="n">
        <v>75</v>
      </c>
      <c r="M515" s="9" t="n">
        <v>5</v>
      </c>
      <c r="N515" s="9" t="n"/>
      <c r="O515" s="9" t="n">
        <v>6</v>
      </c>
      <c r="P515" s="13" t="n">
        <v>80574</v>
      </c>
      <c r="Q515" s="13" t="n">
        <v>85720.8</v>
      </c>
      <c r="R515" s="14">
        <f>IFERROR(P515/Q515,"")</f>
        <v/>
      </c>
      <c r="S515" s="15" t="n">
        <v>0.956</v>
      </c>
      <c r="T515" s="9">
        <f>IF(R515&gt;1,"A corregir","Válida")</f>
        <v/>
      </c>
      <c r="U515" s="13">
        <f>Q515-P515</f>
        <v/>
      </c>
      <c r="V515" s="13">
        <f>IF(S515="",0,S515*Q515)</f>
        <v/>
      </c>
      <c r="W515" s="9" t="n">
        <v>2026</v>
      </c>
      <c r="X515" s="9" t="n">
        <v>24</v>
      </c>
      <c r="Y515" s="9" t="inlineStr">
        <is>
          <t>2026-S24</t>
        </is>
      </c>
    </row>
    <row r="516">
      <c r="A516" s="9" t="n">
        <v>43048633</v>
      </c>
      <c r="B516" s="11" t="n">
        <v>46182.98809027778</v>
      </c>
      <c r="C516" s="12" t="n">
        <v>46182</v>
      </c>
      <c r="D516" s="9">
        <f>YEAR(C516)</f>
        <v/>
      </c>
      <c r="E516" s="9">
        <f>MONTH(C516)</f>
        <v/>
      </c>
      <c r="F516" s="9" t="inlineStr">
        <is>
          <t>Saferock</t>
        </is>
      </c>
      <c r="G516" s="9" t="inlineStr">
        <is>
          <t>SAFEROCK 22MM 12M A420</t>
        </is>
      </c>
      <c r="H516" s="9" t="inlineStr">
        <is>
          <t>SAFEROCK 22MM 12M A420</t>
        </is>
      </c>
      <c r="I516" s="9" t="inlineStr">
        <is>
          <t>SFRCK 22</t>
        </is>
      </c>
      <c r="J516" s="9" t="n">
        <v>106025567</v>
      </c>
      <c r="K516" s="9" t="n">
        <v>22</v>
      </c>
      <c r="L516" s="9" t="n"/>
      <c r="M516" s="9" t="n"/>
      <c r="N516" s="9" t="n"/>
      <c r="O516" s="9" t="n">
        <v>12</v>
      </c>
      <c r="P516" s="13" t="n">
        <v>80466</v>
      </c>
      <c r="Q516" s="13" t="n">
        <v>85747.2</v>
      </c>
      <c r="R516" s="14">
        <f>IFERROR(P516/Q516,"")</f>
        <v/>
      </c>
      <c r="S516" s="15" t="n">
        <v>0.9590000000000001</v>
      </c>
      <c r="T516" s="9">
        <f>IF(R516&gt;1,"A corregir","Válida")</f>
        <v/>
      </c>
      <c r="U516" s="13">
        <f>Q516-P516</f>
        <v/>
      </c>
      <c r="V516" s="13">
        <f>IF(S516="",0,S516*Q516)</f>
        <v/>
      </c>
      <c r="W516" s="9" t="n">
        <v>2026</v>
      </c>
      <c r="X516" s="9" t="n">
        <v>24</v>
      </c>
      <c r="Y516" s="9" t="inlineStr">
        <is>
          <t>2026-S24</t>
        </is>
      </c>
    </row>
    <row r="517">
      <c r="A517" s="9" t="n">
        <v>43048634</v>
      </c>
      <c r="B517" s="11" t="n">
        <v>46183.15028935186</v>
      </c>
      <c r="C517" s="12" t="n">
        <v>46183</v>
      </c>
      <c r="D517" s="9">
        <f>YEAR(C517)</f>
        <v/>
      </c>
      <c r="E517" s="9">
        <f>MONTH(C517)</f>
        <v/>
      </c>
      <c r="F517" s="9" t="inlineStr">
        <is>
          <t>Saferock</t>
        </is>
      </c>
      <c r="G517" s="9" t="inlineStr">
        <is>
          <t>SAFEROCK 22MM 12M A280</t>
        </is>
      </c>
      <c r="H517" s="9" t="inlineStr">
        <is>
          <t>SAFEROCK SEMI 22MM 12M A280</t>
        </is>
      </c>
      <c r="I517" s="9" t="inlineStr">
        <is>
          <t>SFRCK 22</t>
        </is>
      </c>
      <c r="J517" s="9" t="n">
        <v>106025569</v>
      </c>
      <c r="K517" s="9" t="n">
        <v>22</v>
      </c>
      <c r="L517" s="9" t="n"/>
      <c r="M517" s="9" t="n"/>
      <c r="N517" s="9" t="n"/>
      <c r="O517" s="9" t="n">
        <v>12</v>
      </c>
      <c r="P517" s="13" t="n">
        <v>128605</v>
      </c>
      <c r="Q517" s="13" t="n">
        <v>135590.4</v>
      </c>
      <c r="R517" s="14">
        <f>IFERROR(P517/Q517,"")</f>
        <v/>
      </c>
      <c r="S517" s="15" t="n">
        <v>0.9590000000000001</v>
      </c>
      <c r="T517" s="9">
        <f>IF(R517&gt;1,"A corregir","Válida")</f>
        <v/>
      </c>
      <c r="U517" s="13">
        <f>Q517-P517</f>
        <v/>
      </c>
      <c r="V517" s="13">
        <f>IF(S517="",0,S517*Q517)</f>
        <v/>
      </c>
      <c r="W517" s="9" t="n">
        <v>2026</v>
      </c>
      <c r="X517" s="9" t="n">
        <v>24</v>
      </c>
      <c r="Y517" s="9" t="inlineStr">
        <is>
          <t>2026-S24</t>
        </is>
      </c>
    </row>
    <row r="518">
      <c r="A518" s="9" t="n">
        <v>43048661</v>
      </c>
      <c r="B518" s="11" t="n">
        <v>46183.47369212963</v>
      </c>
      <c r="C518" s="12" t="n">
        <v>46183</v>
      </c>
      <c r="D518" s="9">
        <f>YEAR(C518)</f>
        <v/>
      </c>
      <c r="E518" s="9">
        <f>MONTH(C518)</f>
        <v/>
      </c>
      <c r="F518" s="9" t="inlineStr">
        <is>
          <t>Plana</t>
        </is>
      </c>
      <c r="G518" s="9" t="inlineStr">
        <is>
          <t>PLANA 38X10MM 6M A270ES (N)</t>
        </is>
      </c>
      <c r="H518" s="9" t="inlineStr">
        <is>
          <t>PLANA 38X10MM 6M A270ES (N)</t>
        </is>
      </c>
      <c r="I518" s="9" t="inlineStr">
        <is>
          <t>PL 38 x 10</t>
        </is>
      </c>
      <c r="J518" s="9" t="n">
        <v>109013898</v>
      </c>
      <c r="K518" s="9" t="n"/>
      <c r="L518" s="9" t="n">
        <v>38</v>
      </c>
      <c r="M518" s="9" t="n">
        <v>10</v>
      </c>
      <c r="N518" s="9" t="n"/>
      <c r="O518" s="9" t="n">
        <v>6</v>
      </c>
      <c r="P518" s="13" t="n">
        <v>20250</v>
      </c>
      <c r="Q518" s="13" t="n">
        <v>21542.4</v>
      </c>
      <c r="R518" s="14">
        <f>IFERROR(P518/Q518,"")</f>
        <v/>
      </c>
      <c r="S518" s="15" t="n">
        <v>0.958</v>
      </c>
      <c r="T518" s="9">
        <f>IF(R518&gt;1,"A corregir","Válida")</f>
        <v/>
      </c>
      <c r="U518" s="13">
        <f>Q518-P518</f>
        <v/>
      </c>
      <c r="V518" s="13">
        <f>IF(S518="",0,S518*Q518)</f>
        <v/>
      </c>
      <c r="W518" s="9" t="n">
        <v>2026</v>
      </c>
      <c r="X518" s="9" t="n">
        <v>24</v>
      </c>
      <c r="Y518" s="9" t="inlineStr">
        <is>
          <t>2026-S24</t>
        </is>
      </c>
    </row>
    <row r="519">
      <c r="A519" s="9" t="n">
        <v>43048662</v>
      </c>
      <c r="B519" s="11" t="n">
        <v>46183.53474537037</v>
      </c>
      <c r="C519" s="12" t="n">
        <v>46183</v>
      </c>
      <c r="D519" s="9">
        <f>YEAR(C519)</f>
        <v/>
      </c>
      <c r="E519" s="9">
        <f>MONTH(C519)</f>
        <v/>
      </c>
      <c r="F519" s="9" t="inlineStr">
        <is>
          <t>Plana</t>
        </is>
      </c>
      <c r="G519" s="9" t="inlineStr">
        <is>
          <t>PLANA 38X8MM 6M A270ES (N)</t>
        </is>
      </c>
      <c r="H519" s="9" t="inlineStr">
        <is>
          <t>PLANA 38X8MM 6M A270ES (N)</t>
        </is>
      </c>
      <c r="I519" s="9" t="inlineStr">
        <is>
          <t>PL 38 x 8</t>
        </is>
      </c>
      <c r="J519" s="9" t="n">
        <v>109013912</v>
      </c>
      <c r="K519" s="9" t="n"/>
      <c r="L519" s="9" t="n">
        <v>38</v>
      </c>
      <c r="M519" s="9" t="n">
        <v>8</v>
      </c>
      <c r="N519" s="9" t="n"/>
      <c r="O519" s="9" t="n">
        <v>6</v>
      </c>
      <c r="P519" s="13" t="n">
        <v>20300</v>
      </c>
      <c r="Q519" s="13" t="n">
        <v>21542.4</v>
      </c>
      <c r="R519" s="14">
        <f>IFERROR(P519/Q519,"")</f>
        <v/>
      </c>
      <c r="S519" s="15" t="n">
        <v>0.96</v>
      </c>
      <c r="T519" s="9">
        <f>IF(R519&gt;1,"A corregir","Válida")</f>
        <v/>
      </c>
      <c r="U519" s="13">
        <f>Q519-P519</f>
        <v/>
      </c>
      <c r="V519" s="13">
        <f>IF(S519="",0,S519*Q519)</f>
        <v/>
      </c>
      <c r="W519" s="9" t="n">
        <v>2026</v>
      </c>
      <c r="X519" s="9" t="n">
        <v>24</v>
      </c>
      <c r="Y519" s="9" t="inlineStr">
        <is>
          <t>2026-S24</t>
        </is>
      </c>
    </row>
    <row r="520">
      <c r="A520" s="9" t="n">
        <v>43048552</v>
      </c>
      <c r="B520" s="11" t="n">
        <v>46183.62792824074</v>
      </c>
      <c r="C520" s="12" t="n">
        <v>46183</v>
      </c>
      <c r="D520" s="9">
        <f>YEAR(C520)</f>
        <v/>
      </c>
      <c r="E520" s="9">
        <f>MONTH(C520)</f>
        <v/>
      </c>
      <c r="F520" s="9" t="inlineStr">
        <is>
          <t>Redondo liso</t>
        </is>
      </c>
      <c r="G520" s="9" t="inlineStr">
        <is>
          <t>BARRA TRASPASO CARGA 22MM 6,2M A630-420H</t>
        </is>
      </c>
      <c r="H520" s="9" t="inlineStr">
        <is>
          <t>BARRA TRASPASO CARGA 22MM 6,2M A630-420H</t>
        </is>
      </c>
      <c r="I520" s="9" t="inlineStr">
        <is>
          <t>RED 7/8</t>
        </is>
      </c>
      <c r="J520" s="9" t="n">
        <v>119506107</v>
      </c>
      <c r="K520" s="9" t="n">
        <v>22</v>
      </c>
      <c r="L520" s="9" t="n"/>
      <c r="M520" s="9" t="n"/>
      <c r="N520" s="9" t="n"/>
      <c r="O520" s="9" t="n">
        <v>6.2</v>
      </c>
      <c r="P520" s="13" t="n">
        <v>46773</v>
      </c>
      <c r="Q520" s="13" t="n">
        <v>49368</v>
      </c>
      <c r="R520" s="14">
        <f>IFERROR(P520/Q520,"")</f>
        <v/>
      </c>
      <c r="S520" s="15" t="n">
        <v>0.97</v>
      </c>
      <c r="T520" s="9">
        <f>IF(R520&gt;1,"A corregir","Válida")</f>
        <v/>
      </c>
      <c r="U520" s="13">
        <f>Q520-P520</f>
        <v/>
      </c>
      <c r="V520" s="13">
        <f>IF(S520="",0,S520*Q520)</f>
        <v/>
      </c>
      <c r="W520" s="9" t="n">
        <v>2026</v>
      </c>
      <c r="X520" s="9" t="n">
        <v>24</v>
      </c>
      <c r="Y520" s="9" t="inlineStr">
        <is>
          <t>2026-S24</t>
        </is>
      </c>
    </row>
    <row r="521">
      <c r="A521" s="9" t="n">
        <v>43048636</v>
      </c>
      <c r="B521" s="11" t="n">
        <v>46183.72506944444</v>
      </c>
      <c r="C521" s="12" t="n">
        <v>46183</v>
      </c>
      <c r="D521" s="9">
        <f>YEAR(C521)</f>
        <v/>
      </c>
      <c r="E521" s="9">
        <f>MONTH(C521)</f>
        <v/>
      </c>
      <c r="F521" s="9" t="inlineStr">
        <is>
          <t>Redondo liso</t>
        </is>
      </c>
      <c r="G521" s="9" t="inlineStr">
        <is>
          <t>REDONDO LISO 7/8' 6M ASTM A 36 (N)</t>
        </is>
      </c>
      <c r="H521" s="9" t="inlineStr">
        <is>
          <t>REDONDO LISO 7/8' 6M ASTM A 36 (N)</t>
        </is>
      </c>
      <c r="I521" s="9" t="inlineStr">
        <is>
          <t>RED 7/8</t>
        </is>
      </c>
      <c r="J521" s="9" t="n">
        <v>109006936</v>
      </c>
      <c r="K521" s="9" t="n">
        <v>22.2</v>
      </c>
      <c r="L521" s="9" t="n"/>
      <c r="M521" s="9" t="n"/>
      <c r="N521" s="9" t="n"/>
      <c r="O521" s="9" t="n">
        <v>6</v>
      </c>
      <c r="P521" s="13" t="n">
        <v>8448</v>
      </c>
      <c r="Q521" s="13" t="n">
        <v>8527.200000000001</v>
      </c>
      <c r="R521" s="14">
        <f>IFERROR(P521/Q521,"")</f>
        <v/>
      </c>
      <c r="S521" s="15" t="n">
        <v>0.95</v>
      </c>
      <c r="T521" s="9">
        <f>IF(R521&gt;1,"A corregir","Válida")</f>
        <v/>
      </c>
      <c r="U521" s="13">
        <f>Q521-P521</f>
        <v/>
      </c>
      <c r="V521" s="13">
        <f>IF(S521="",0,S521*Q521)</f>
        <v/>
      </c>
      <c r="W521" s="9" t="n">
        <v>2026</v>
      </c>
      <c r="X521" s="9" t="n">
        <v>24</v>
      </c>
      <c r="Y521" s="9" t="inlineStr">
        <is>
          <t>2026-S24</t>
        </is>
      </c>
    </row>
    <row r="522">
      <c r="A522" s="9" t="n">
        <v>43048637</v>
      </c>
      <c r="B522" s="11" t="n">
        <v>46183.96922453704</v>
      </c>
      <c r="C522" s="12" t="n">
        <v>46183</v>
      </c>
      <c r="D522" s="9">
        <f>YEAR(C522)</f>
        <v/>
      </c>
      <c r="E522" s="9">
        <f>MONTH(C522)</f>
        <v/>
      </c>
      <c r="F522" s="9" t="inlineStr">
        <is>
          <t>Redondo liso</t>
        </is>
      </c>
      <c r="G522" s="9" t="inlineStr">
        <is>
          <t>REDONDO LISO 3/4' 6M ASTM A 36 (N)</t>
        </is>
      </c>
      <c r="H522" s="9" t="inlineStr">
        <is>
          <t>REDONDO LISO 3/4' 6M ASTM A 36 (N)</t>
        </is>
      </c>
      <c r="I522" s="9" t="inlineStr">
        <is>
          <t>RED 19</t>
        </is>
      </c>
      <c r="J522" s="9" t="n">
        <v>109006937</v>
      </c>
      <c r="K522" s="9" t="n">
        <v>19</v>
      </c>
      <c r="L522" s="9" t="n"/>
      <c r="M522" s="9" t="n"/>
      <c r="N522" s="9" t="n"/>
      <c r="O522" s="9" t="n">
        <v>6</v>
      </c>
      <c r="P522" s="13" t="n">
        <v>63841</v>
      </c>
      <c r="Q522" s="13" t="n">
        <v>68217.60000000001</v>
      </c>
      <c r="R522" s="14">
        <f>IFERROR(P522/Q522,"")</f>
        <v/>
      </c>
      <c r="S522" s="15" t="n">
        <v>0.9520000000000001</v>
      </c>
      <c r="T522" s="9">
        <f>IF(R522&gt;1,"A corregir","Válida")</f>
        <v/>
      </c>
      <c r="U522" s="13">
        <f>Q522-P522</f>
        <v/>
      </c>
      <c r="V522" s="13">
        <f>IF(S522="",0,S522*Q522)</f>
        <v/>
      </c>
      <c r="W522" s="9" t="n">
        <v>2026</v>
      </c>
      <c r="X522" s="9" t="n">
        <v>24</v>
      </c>
      <c r="Y522" s="9" t="inlineStr">
        <is>
          <t>2026-S24</t>
        </is>
      </c>
    </row>
    <row r="523">
      <c r="A523" s="9" t="n">
        <v>43048638</v>
      </c>
      <c r="B523" s="11" t="n">
        <v>46184.09145833334</v>
      </c>
      <c r="C523" s="12" t="n">
        <v>46184</v>
      </c>
      <c r="D523" s="9">
        <f>YEAR(C523)</f>
        <v/>
      </c>
      <c r="E523" s="9">
        <f>MONTH(C523)</f>
        <v/>
      </c>
      <c r="F523" s="9" t="inlineStr">
        <is>
          <t>Redondo liso</t>
        </is>
      </c>
      <c r="G523" s="9" t="inlineStr">
        <is>
          <t>REDONDO LISO 3/4' 6M SAE 1045 (N)</t>
        </is>
      </c>
      <c r="H523" s="9" t="inlineStr">
        <is>
          <t>REDONDO LISO 3/4' 6M SAE 1045 (N)</t>
        </is>
      </c>
      <c r="I523" s="9" t="inlineStr">
        <is>
          <t>RED 19</t>
        </is>
      </c>
      <c r="J523" s="9" t="n">
        <v>109006877</v>
      </c>
      <c r="K523" s="9" t="n">
        <v>19</v>
      </c>
      <c r="L523" s="9" t="n"/>
      <c r="M523" s="9" t="n"/>
      <c r="N523" s="9" t="n"/>
      <c r="O523" s="9" t="n">
        <v>6</v>
      </c>
      <c r="P523" s="13" t="n">
        <v>22745</v>
      </c>
      <c r="Q523" s="13" t="n">
        <v>24684</v>
      </c>
      <c r="R523" s="14">
        <f>IFERROR(P523/Q523,"")</f>
        <v/>
      </c>
      <c r="S523" s="15" t="n">
        <v>0.9520000000000001</v>
      </c>
      <c r="T523" s="9">
        <f>IF(R523&gt;1,"A corregir","Válida")</f>
        <v/>
      </c>
      <c r="U523" s="13">
        <f>Q523-P523</f>
        <v/>
      </c>
      <c r="V523" s="13">
        <f>IF(S523="",0,S523*Q523)</f>
        <v/>
      </c>
      <c r="W523" s="9" t="n">
        <v>2026</v>
      </c>
      <c r="X523" s="9" t="n">
        <v>24</v>
      </c>
      <c r="Y523" s="9" t="inlineStr">
        <is>
          <t>2026-S24</t>
        </is>
      </c>
    </row>
    <row r="524">
      <c r="A524" s="9" t="n">
        <v>43048639</v>
      </c>
      <c r="B524" s="11" t="n">
        <v>46184.14048611111</v>
      </c>
      <c r="C524" s="12" t="n">
        <v>46184</v>
      </c>
      <c r="D524" s="9">
        <f>YEAR(C524)</f>
        <v/>
      </c>
      <c r="E524" s="9">
        <f>MONTH(C524)</f>
        <v/>
      </c>
      <c r="F524" s="9" t="inlineStr">
        <is>
          <t>Redondo liso</t>
        </is>
      </c>
      <c r="G524" s="9" t="inlineStr">
        <is>
          <t>REDONDO LISO 3/4' 6M SAE 1020 (N)</t>
        </is>
      </c>
      <c r="H524" s="9" t="inlineStr">
        <is>
          <t>REDONDO LISO 3/4' 6M SAE 1020 (N)</t>
        </is>
      </c>
      <c r="I524" s="9" t="inlineStr">
        <is>
          <t>RED 19</t>
        </is>
      </c>
      <c r="J524" s="9" t="n">
        <v>109006926</v>
      </c>
      <c r="K524" s="9" t="n">
        <v>19</v>
      </c>
      <c r="L524" s="9" t="n"/>
      <c r="M524" s="9" t="n"/>
      <c r="N524" s="9" t="n"/>
      <c r="O524" s="9" t="n">
        <v>6</v>
      </c>
      <c r="P524" s="13" t="n">
        <v>66105</v>
      </c>
      <c r="Q524" s="13" t="n">
        <v>68666.39999999999</v>
      </c>
      <c r="R524" s="14">
        <f>IFERROR(P524/Q524,"")</f>
        <v/>
      </c>
      <c r="S524" s="15" t="n">
        <v>0.9520000000000001</v>
      </c>
      <c r="T524" s="9">
        <f>IF(R524&gt;1,"A corregir","Válida")</f>
        <v/>
      </c>
      <c r="U524" s="13">
        <f>Q524-P524</f>
        <v/>
      </c>
      <c r="V524" s="13">
        <f>IF(S524="",0,S524*Q524)</f>
        <v/>
      </c>
      <c r="W524" s="9" t="n">
        <v>2026</v>
      </c>
      <c r="X524" s="9" t="n">
        <v>24</v>
      </c>
      <c r="Y524" s="9" t="inlineStr">
        <is>
          <t>2026-S24</t>
        </is>
      </c>
    </row>
    <row r="525">
      <c r="A525" s="9" t="n">
        <v>43048640</v>
      </c>
      <c r="B525" s="11" t="n">
        <v>46184.26753472222</v>
      </c>
      <c r="C525" s="12" t="n">
        <v>46184</v>
      </c>
      <c r="D525" s="9">
        <f>YEAR(C525)</f>
        <v/>
      </c>
      <c r="E525" s="9">
        <f>MONTH(C525)</f>
        <v/>
      </c>
      <c r="F525" s="9" t="inlineStr">
        <is>
          <t>Redondo liso</t>
        </is>
      </c>
      <c r="G525" s="9" t="inlineStr">
        <is>
          <t>REDONDO LISO 19MM 6M SAE 1020 (N)</t>
        </is>
      </c>
      <c r="H525" s="9" t="inlineStr">
        <is>
          <t>REDONDO LISO 19MM 6M SAE 1020 (N)</t>
        </is>
      </c>
      <c r="I525" s="9" t="inlineStr">
        <is>
          <t>RED 19</t>
        </is>
      </c>
      <c r="J525" s="9" t="n">
        <v>109006918</v>
      </c>
      <c r="K525" s="9" t="n">
        <v>19</v>
      </c>
      <c r="L525" s="9" t="n"/>
      <c r="M525" s="9" t="n"/>
      <c r="N525" s="9" t="n"/>
      <c r="O525" s="9" t="n">
        <v>6</v>
      </c>
      <c r="P525" s="13" t="n">
        <v>88639</v>
      </c>
      <c r="Q525" s="13" t="n">
        <v>95145.60000000001</v>
      </c>
      <c r="R525" s="14">
        <f>IFERROR(P525/Q525,"")</f>
        <v/>
      </c>
      <c r="S525" s="15" t="n">
        <v>0.9520000000000001</v>
      </c>
      <c r="T525" s="9">
        <f>IF(R525&gt;1,"A corregir","Válida")</f>
        <v/>
      </c>
      <c r="U525" s="13">
        <f>Q525-P525</f>
        <v/>
      </c>
      <c r="V525" s="13">
        <f>IF(S525="",0,S525*Q525)</f>
        <v/>
      </c>
      <c r="W525" s="9" t="n">
        <v>2026</v>
      </c>
      <c r="X525" s="9" t="n">
        <v>24</v>
      </c>
      <c r="Y525" s="9" t="inlineStr">
        <is>
          <t>2026-S24</t>
        </is>
      </c>
    </row>
    <row r="526">
      <c r="A526" s="9" t="n">
        <v>43048641</v>
      </c>
      <c r="B526" s="11" t="n">
        <v>46184.46699074074</v>
      </c>
      <c r="C526" s="12" t="n">
        <v>46184</v>
      </c>
      <c r="D526" s="9">
        <f>YEAR(C526)</f>
        <v/>
      </c>
      <c r="E526" s="9">
        <f>MONTH(C526)</f>
        <v/>
      </c>
      <c r="F526" s="9" t="inlineStr">
        <is>
          <t>Redondo liso</t>
        </is>
      </c>
      <c r="G526" s="9" t="inlineStr">
        <is>
          <t>REDONDO LISO 18MM 6M SAE 1020 (N)</t>
        </is>
      </c>
      <c r="H526" s="9" t="inlineStr">
        <is>
          <t>REDONDO LISO 18MM 6M SAE 1020 (N)</t>
        </is>
      </c>
      <c r="I526" s="9" t="inlineStr">
        <is>
          <t>RED 18</t>
        </is>
      </c>
      <c r="J526" s="9" t="n">
        <v>109006919</v>
      </c>
      <c r="K526" s="9" t="n">
        <v>18</v>
      </c>
      <c r="L526" s="9" t="n"/>
      <c r="M526" s="9" t="n"/>
      <c r="N526" s="9" t="n"/>
      <c r="O526" s="9" t="n">
        <v>6</v>
      </c>
      <c r="P526" s="13" t="n">
        <v>33716</v>
      </c>
      <c r="Q526" s="13" t="n">
        <v>36352.8</v>
      </c>
      <c r="R526" s="14">
        <f>IFERROR(P526/Q526,"")</f>
        <v/>
      </c>
      <c r="S526" s="15" t="n">
        <v>0.953</v>
      </c>
      <c r="T526" s="9">
        <f>IF(R526&gt;1,"A corregir","Válida")</f>
        <v/>
      </c>
      <c r="U526" s="13">
        <f>Q526-P526</f>
        <v/>
      </c>
      <c r="V526" s="13">
        <f>IF(S526="",0,S526*Q526)</f>
        <v/>
      </c>
      <c r="W526" s="9" t="n">
        <v>2026</v>
      </c>
      <c r="X526" s="9" t="n">
        <v>24</v>
      </c>
      <c r="Y526" s="9" t="inlineStr">
        <is>
          <t>2026-S24</t>
        </is>
      </c>
    </row>
    <row r="527">
      <c r="A527" s="9" t="n">
        <v>43048635</v>
      </c>
      <c r="B527" s="11" t="n">
        <v>46184.61252314815</v>
      </c>
      <c r="C527" s="12" t="n">
        <v>46184</v>
      </c>
      <c r="D527" s="9">
        <f>YEAR(C527)</f>
        <v/>
      </c>
      <c r="E527" s="9">
        <f>MONTH(C527)</f>
        <v/>
      </c>
      <c r="F527" s="9" t="inlineStr">
        <is>
          <t>Plana</t>
        </is>
      </c>
      <c r="G527" s="9" t="inlineStr">
        <is>
          <t>PLANA 50X3 MM 6M A270ES (N)</t>
        </is>
      </c>
      <c r="H527" s="9" t="inlineStr">
        <is>
          <t>PLANA 50X3 MM 6M A270ES (N)</t>
        </is>
      </c>
      <c r="I527" s="9" t="inlineStr">
        <is>
          <t>PL 50 x 3</t>
        </is>
      </c>
      <c r="J527" s="9" t="n">
        <v>109013903</v>
      </c>
      <c r="K527" s="9" t="n"/>
      <c r="L527" s="9" t="n">
        <v>50</v>
      </c>
      <c r="M527" s="9" t="n">
        <v>3</v>
      </c>
      <c r="N527" s="9" t="n"/>
      <c r="O527" s="9" t="n">
        <v>6</v>
      </c>
      <c r="P527" s="13" t="n">
        <v>117918</v>
      </c>
      <c r="Q527" s="13" t="n">
        <v>129703.2</v>
      </c>
      <c r="R527" s="14">
        <f>IFERROR(P527/Q527,"")</f>
        <v/>
      </c>
      <c r="S527" s="15" t="n">
        <v>0.963</v>
      </c>
      <c r="T527" s="9">
        <f>IF(R527&gt;1,"A corregir","Válida")</f>
        <v/>
      </c>
      <c r="U527" s="13">
        <f>Q527-P527</f>
        <v/>
      </c>
      <c r="V527" s="13">
        <f>IF(S527="",0,S527*Q527)</f>
        <v/>
      </c>
      <c r="W527" s="9" t="n">
        <v>2026</v>
      </c>
      <c r="X527" s="9" t="n">
        <v>24</v>
      </c>
      <c r="Y527" s="9" t="inlineStr">
        <is>
          <t>2026-S24</t>
        </is>
      </c>
    </row>
    <row r="528">
      <c r="A528" s="9" t="n">
        <v>43048642</v>
      </c>
      <c r="B528" s="11" t="n">
        <v>46185.51663194445</v>
      </c>
      <c r="C528" s="12" t="n">
        <v>46185</v>
      </c>
      <c r="D528" s="9">
        <f>YEAR(C528)</f>
        <v/>
      </c>
      <c r="E528" s="9">
        <f>MONTH(C528)</f>
        <v/>
      </c>
      <c r="F528" s="9" t="inlineStr">
        <is>
          <t>Plana</t>
        </is>
      </c>
      <c r="G528" s="9" t="inlineStr">
        <is>
          <t>PLANA 50X5MM 6M A270ES (N)</t>
        </is>
      </c>
      <c r="H528" s="9" t="inlineStr">
        <is>
          <t>PLANA 50X5MM 6M A270ES (N)</t>
        </is>
      </c>
      <c r="I528" s="9" t="inlineStr">
        <is>
          <t>PL 50 x 5</t>
        </is>
      </c>
      <c r="J528" s="9" t="n">
        <v>109013902</v>
      </c>
      <c r="K528" s="9" t="n"/>
      <c r="L528" s="9" t="n">
        <v>50</v>
      </c>
      <c r="M528" s="9" t="n">
        <v>5</v>
      </c>
      <c r="N528" s="9" t="n"/>
      <c r="O528" s="9" t="n">
        <v>6</v>
      </c>
      <c r="P528" s="13" t="n">
        <v>102283</v>
      </c>
      <c r="Q528" s="13" t="n">
        <v>108160.8</v>
      </c>
      <c r="R528" s="14">
        <f>IFERROR(P528/Q528,"")</f>
        <v/>
      </c>
      <c r="S528" s="15" t="n">
        <v>0.96</v>
      </c>
      <c r="T528" s="9">
        <f>IF(R528&gt;1,"A corregir","Válida")</f>
        <v/>
      </c>
      <c r="U528" s="13">
        <f>Q528-P528</f>
        <v/>
      </c>
      <c r="V528" s="13">
        <f>IF(S528="",0,S528*Q528)</f>
        <v/>
      </c>
      <c r="W528" s="9" t="n">
        <v>2026</v>
      </c>
      <c r="X528" s="9" t="n">
        <v>24</v>
      </c>
      <c r="Y528" s="9" t="inlineStr">
        <is>
          <t>2026-S24</t>
        </is>
      </c>
    </row>
    <row r="529">
      <c r="A529" s="9" t="n">
        <v>43048677</v>
      </c>
      <c r="B529" s="11" t="n">
        <v>46185.96577546297</v>
      </c>
      <c r="C529" s="12" t="n">
        <v>46185</v>
      </c>
      <c r="D529" s="9">
        <f>YEAR(C529)</f>
        <v/>
      </c>
      <c r="E529" s="9">
        <f>MONTH(C529)</f>
        <v/>
      </c>
      <c r="F529" s="9" t="inlineStr">
        <is>
          <t>B Hormigón</t>
        </is>
      </c>
      <c r="G529" s="9" t="inlineStr">
        <is>
          <t>B HORMIGON 25MM 11M A630-420HS (N)</t>
        </is>
      </c>
      <c r="H529" s="9" t="inlineStr">
        <is>
          <t>B HORMIGON 25MM 11M A630-420HS (N)</t>
        </is>
      </c>
      <c r="I529" s="9" t="inlineStr">
        <is>
          <t>RED 25 CR</t>
        </is>
      </c>
      <c r="J529" s="9" t="n">
        <v>110007414</v>
      </c>
      <c r="K529" s="9" t="n">
        <v>25</v>
      </c>
      <c r="L529" s="9" t="n"/>
      <c r="M529" s="9" t="n"/>
      <c r="N529" s="9" t="n"/>
      <c r="O529" s="9" t="n">
        <v>11</v>
      </c>
      <c r="P529" s="13" t="n">
        <v>22233</v>
      </c>
      <c r="Q529" s="13" t="n">
        <v>23958</v>
      </c>
      <c r="R529" s="14">
        <f>IFERROR(P529/Q529,"")</f>
        <v/>
      </c>
      <c r="S529" s="15" t="n">
        <v>0.95</v>
      </c>
      <c r="T529" s="9">
        <f>IF(R529&gt;1,"A corregir","Válida")</f>
        <v/>
      </c>
      <c r="U529" s="13">
        <f>Q529-P529</f>
        <v/>
      </c>
      <c r="V529" s="13">
        <f>IF(S529="",0,S529*Q529)</f>
        <v/>
      </c>
      <c r="W529" s="9" t="n">
        <v>2026</v>
      </c>
      <c r="X529" s="9" t="n">
        <v>24</v>
      </c>
      <c r="Y529" s="9" t="inlineStr">
        <is>
          <t>2026-S24</t>
        </is>
      </c>
    </row>
    <row r="530">
      <c r="A530" s="9" t="n">
        <v>43048678</v>
      </c>
      <c r="B530" s="11" t="n">
        <v>46186.00821759259</v>
      </c>
      <c r="C530" s="12" t="n">
        <v>46186</v>
      </c>
      <c r="D530" s="9">
        <f>YEAR(C530)</f>
        <v/>
      </c>
      <c r="E530" s="9">
        <f>MONTH(C530)</f>
        <v/>
      </c>
      <c r="F530" s="9" t="inlineStr">
        <is>
          <t>B Hormigón</t>
        </is>
      </c>
      <c r="G530" s="9" t="inlineStr">
        <is>
          <t>B HORMIGON 25MM 10M A630-420HS (N)</t>
        </is>
      </c>
      <c r="H530" s="9" t="inlineStr">
        <is>
          <t>B HORMIGON 25MM 10M A630-420HS (N)</t>
        </is>
      </c>
      <c r="I530" s="9" t="inlineStr">
        <is>
          <t>RED 25 CR</t>
        </is>
      </c>
      <c r="J530" s="9" t="n">
        <v>110007864</v>
      </c>
      <c r="K530" s="9" t="n">
        <v>25</v>
      </c>
      <c r="L530" s="9" t="n"/>
      <c r="M530" s="9" t="n"/>
      <c r="N530" s="9" t="n"/>
      <c r="O530" s="9" t="n">
        <v>10</v>
      </c>
      <c r="P530" s="13" t="n">
        <v>22921</v>
      </c>
      <c r="Q530" s="13" t="n">
        <v>23958</v>
      </c>
      <c r="R530" s="14">
        <f>IFERROR(P530/Q530,"")</f>
        <v/>
      </c>
      <c r="S530" s="15" t="n">
        <v>0.96</v>
      </c>
      <c r="T530" s="9">
        <f>IF(R530&gt;1,"A corregir","Válida")</f>
        <v/>
      </c>
      <c r="U530" s="13">
        <f>Q530-P530</f>
        <v/>
      </c>
      <c r="V530" s="13">
        <f>IF(S530="",0,S530*Q530)</f>
        <v/>
      </c>
      <c r="W530" s="9" t="n">
        <v>2026</v>
      </c>
      <c r="X530" s="9" t="n">
        <v>24</v>
      </c>
      <c r="Y530" s="9" t="inlineStr">
        <is>
          <t>2026-S24</t>
        </is>
      </c>
    </row>
    <row r="531">
      <c r="A531" s="9" t="n">
        <v>43048679</v>
      </c>
      <c r="B531" s="11" t="n">
        <v>46186.06041666667</v>
      </c>
      <c r="C531" s="12" t="n">
        <v>46186</v>
      </c>
      <c r="D531" s="9">
        <f>YEAR(C531)</f>
        <v/>
      </c>
      <c r="E531" s="9">
        <f>MONTH(C531)</f>
        <v/>
      </c>
      <c r="F531" s="9" t="inlineStr">
        <is>
          <t>B Hormigón</t>
        </is>
      </c>
      <c r="G531" s="9" t="inlineStr">
        <is>
          <t>B HORMIGON 25MM 11M A630-420H (N)</t>
        </is>
      </c>
      <c r="H531" s="9" t="inlineStr">
        <is>
          <t>B HORMIGON 25MM 11M A630-420H (N)</t>
        </is>
      </c>
      <c r="I531" s="9" t="inlineStr">
        <is>
          <t>RED 25 CR</t>
        </is>
      </c>
      <c r="J531" s="9" t="n">
        <v>110002947</v>
      </c>
      <c r="K531" s="9" t="n">
        <v>25</v>
      </c>
      <c r="L531" s="9" t="n"/>
      <c r="M531" s="9" t="n"/>
      <c r="N531" s="9" t="n"/>
      <c r="O531" s="9" t="n">
        <v>11</v>
      </c>
      <c r="P531" s="13" t="n">
        <v>99371</v>
      </c>
      <c r="Q531" s="13" t="n">
        <v>105850.8</v>
      </c>
      <c r="R531" s="14">
        <f>IFERROR(P531/Q531,"")</f>
        <v/>
      </c>
      <c r="S531" s="15" t="n">
        <v>0.95</v>
      </c>
      <c r="T531" s="9">
        <f>IF(R531&gt;1,"A corregir","Válida")</f>
        <v/>
      </c>
      <c r="U531" s="13">
        <f>Q531-P531</f>
        <v/>
      </c>
      <c r="V531" s="13">
        <f>IF(S531="",0,S531*Q531)</f>
        <v/>
      </c>
      <c r="W531" s="9" t="n">
        <v>2026</v>
      </c>
      <c r="X531" s="9" t="n">
        <v>24</v>
      </c>
      <c r="Y531" s="9" t="inlineStr">
        <is>
          <t>2026-S24</t>
        </is>
      </c>
    </row>
    <row r="532">
      <c r="A532" s="9" t="n">
        <v>43048680</v>
      </c>
      <c r="B532" s="11" t="n">
        <v>46186.2379050926</v>
      </c>
      <c r="C532" s="12" t="n">
        <v>46186</v>
      </c>
      <c r="D532" s="9">
        <f>YEAR(C532)</f>
        <v/>
      </c>
      <c r="E532" s="9">
        <f>MONTH(C532)</f>
        <v/>
      </c>
      <c r="F532" s="9" t="inlineStr">
        <is>
          <t>B Hormigón</t>
        </is>
      </c>
      <c r="G532" s="9" t="inlineStr">
        <is>
          <t>B HORMIGON 25MM 8M A630-420H (N)</t>
        </is>
      </c>
      <c r="H532" s="9" t="inlineStr">
        <is>
          <t>B HORMIGON 25MM 8M A630-420H (N)</t>
        </is>
      </c>
      <c r="I532" s="9" t="inlineStr">
        <is>
          <t>RED 25 CR</t>
        </is>
      </c>
      <c r="J532" s="9" t="n">
        <v>110002921</v>
      </c>
      <c r="K532" s="9" t="n">
        <v>25</v>
      </c>
      <c r="L532" s="9" t="n"/>
      <c r="M532" s="9" t="n"/>
      <c r="N532" s="9" t="n"/>
      <c r="O532" s="9" t="n">
        <v>8</v>
      </c>
      <c r="P532" s="13" t="n">
        <v>140562</v>
      </c>
      <c r="Q532" s="13" t="n">
        <v>137332.8</v>
      </c>
      <c r="R532" s="14">
        <f>IFERROR(P532/Q532,"")</f>
        <v/>
      </c>
      <c r="S532" s="15" t="n">
        <v>0.95</v>
      </c>
      <c r="T532" s="9">
        <f>IF(R532&gt;1,"A corregir","Válida")</f>
        <v/>
      </c>
      <c r="U532" s="13">
        <f>Q532-P532</f>
        <v/>
      </c>
      <c r="V532" s="13">
        <f>IF(S532="",0,S532*Q532)</f>
        <v/>
      </c>
      <c r="W532" s="9" t="n">
        <v>2026</v>
      </c>
      <c r="X532" s="9" t="n">
        <v>24</v>
      </c>
      <c r="Y532" s="9" t="inlineStr">
        <is>
          <t>2026-S24</t>
        </is>
      </c>
    </row>
    <row r="533">
      <c r="A533" s="9" t="n">
        <v>43048681</v>
      </c>
      <c r="B533" s="11" t="n">
        <v>46186.64840277778</v>
      </c>
      <c r="C533" s="12" t="n">
        <v>46186</v>
      </c>
      <c r="D533" s="9">
        <f>YEAR(C533)</f>
        <v/>
      </c>
      <c r="E533" s="9">
        <f>MONTH(C533)</f>
        <v/>
      </c>
      <c r="F533" s="9" t="inlineStr">
        <is>
          <t>B Hormigón</t>
        </is>
      </c>
      <c r="G533" s="9" t="inlineStr">
        <is>
          <t>B HORMIGON 25MM 7M A630-420H (N)</t>
        </is>
      </c>
      <c r="H533" s="9" t="inlineStr">
        <is>
          <t>B HORMIGON 25MM 7M A630-420H (N)</t>
        </is>
      </c>
      <c r="I533" s="9" t="inlineStr">
        <is>
          <t>RED 25 CR</t>
        </is>
      </c>
      <c r="J533" s="9" t="n">
        <v>110002927</v>
      </c>
      <c r="K533" s="9" t="n">
        <v>25</v>
      </c>
      <c r="L533" s="9" t="n"/>
      <c r="M533" s="9" t="n"/>
      <c r="N533" s="9" t="n"/>
      <c r="O533" s="9" t="n">
        <v>7</v>
      </c>
      <c r="P533" s="13" t="n">
        <v>121034</v>
      </c>
      <c r="Q533" s="13" t="n">
        <v>129373.2</v>
      </c>
      <c r="R533" s="14">
        <f>IFERROR(P533/Q533,"")</f>
        <v/>
      </c>
      <c r="S533" s="15" t="n">
        <v>0.95</v>
      </c>
      <c r="T533" s="9">
        <f>IF(R533&gt;1,"A corregir","Válida")</f>
        <v/>
      </c>
      <c r="U533" s="13">
        <f>Q533-P533</f>
        <v/>
      </c>
      <c r="V533" s="13">
        <f>IF(S533="",0,S533*Q533)</f>
        <v/>
      </c>
      <c r="W533" s="9" t="n">
        <v>2026</v>
      </c>
      <c r="X533" s="9" t="n">
        <v>24</v>
      </c>
      <c r="Y533" s="9" t="inlineStr">
        <is>
          <t>2026-S24</t>
        </is>
      </c>
    </row>
    <row r="534">
      <c r="A534" s="9" t="n">
        <v>43048682</v>
      </c>
      <c r="B534" s="11" t="n">
        <v>46186.94506944445</v>
      </c>
      <c r="C534" s="12" t="n">
        <v>46186</v>
      </c>
      <c r="D534" s="9">
        <f>YEAR(C534)</f>
        <v/>
      </c>
      <c r="E534" s="9">
        <f>MONTH(C534)</f>
        <v/>
      </c>
      <c r="F534" s="9" t="inlineStr">
        <is>
          <t>Saferock</t>
        </is>
      </c>
      <c r="G534" s="9" t="inlineStr">
        <is>
          <t>SAFEROCK 25MM 8,4M A520</t>
        </is>
      </c>
      <c r="H534" s="9" t="inlineStr">
        <is>
          <t>SAFEROCK 25MM 8,4M A520</t>
        </is>
      </c>
      <c r="I534" s="9" t="inlineStr">
        <is>
          <t>SFR 25</t>
        </is>
      </c>
      <c r="J534" s="9" t="n">
        <v>119505906</v>
      </c>
      <c r="K534" s="9" t="n">
        <v>25</v>
      </c>
      <c r="L534" s="9" t="n"/>
      <c r="M534" s="9" t="n"/>
      <c r="N534" s="9" t="n"/>
      <c r="O534" s="9" t="n">
        <v>10.8</v>
      </c>
      <c r="P534" s="13" t="n">
        <v>20397</v>
      </c>
      <c r="Q534" s="13" t="n">
        <v>22440</v>
      </c>
      <c r="R534" s="14">
        <f>IFERROR(P534/Q534,"")</f>
        <v/>
      </c>
      <c r="S534" s="15" t="n">
        <v>0.97</v>
      </c>
      <c r="T534" s="9">
        <f>IF(R534&gt;1,"A corregir","Válida")</f>
        <v/>
      </c>
      <c r="U534" s="13">
        <f>Q534-P534</f>
        <v/>
      </c>
      <c r="V534" s="13">
        <f>IF(S534="",0,S534*Q534)</f>
        <v/>
      </c>
      <c r="W534" s="9" t="n">
        <v>2026</v>
      </c>
      <c r="X534" s="9" t="n">
        <v>24</v>
      </c>
      <c r="Y534" s="9" t="inlineStr">
        <is>
          <t>2026-S24</t>
        </is>
      </c>
    </row>
    <row r="535">
      <c r="A535" s="9" t="n">
        <v>43048683</v>
      </c>
      <c r="B535" s="11" t="n">
        <v>46186.99009259259</v>
      </c>
      <c r="C535" s="12" t="n">
        <v>46186</v>
      </c>
      <c r="D535" s="9">
        <f>YEAR(C535)</f>
        <v/>
      </c>
      <c r="E535" s="9">
        <f>MONTH(C535)</f>
        <v/>
      </c>
      <c r="F535" s="9" t="inlineStr">
        <is>
          <t>Saferock</t>
        </is>
      </c>
      <c r="G535" s="9" t="inlineStr">
        <is>
          <t>SAFEROCK 25MM 11,96M A520</t>
        </is>
      </c>
      <c r="H535" s="9" t="inlineStr">
        <is>
          <t>SAFEROCK 25MM 11,96M A520</t>
        </is>
      </c>
      <c r="I535" s="9" t="inlineStr">
        <is>
          <t>SFR 25</t>
        </is>
      </c>
      <c r="J535" s="9" t="n">
        <v>119505903</v>
      </c>
      <c r="K535" s="9" t="n">
        <v>25</v>
      </c>
      <c r="L535" s="9" t="n"/>
      <c r="M535" s="9" t="n"/>
      <c r="N535" s="9" t="n"/>
      <c r="O535" s="9" t="n">
        <v>6</v>
      </c>
      <c r="P535" s="13" t="n">
        <v>21288</v>
      </c>
      <c r="Q535" s="13" t="n">
        <v>22440</v>
      </c>
      <c r="R535" s="14">
        <f>IFERROR(P535/Q535,"")</f>
        <v/>
      </c>
      <c r="S535" s="15" t="n">
        <v>0.97</v>
      </c>
      <c r="T535" s="9">
        <f>IF(R535&gt;1,"A corregir","Válida")</f>
        <v/>
      </c>
      <c r="U535" s="13">
        <f>Q535-P535</f>
        <v/>
      </c>
      <c r="V535" s="13">
        <f>IF(S535="",0,S535*Q535)</f>
        <v/>
      </c>
      <c r="W535" s="9" t="n">
        <v>2026</v>
      </c>
      <c r="X535" s="9" t="n">
        <v>24</v>
      </c>
      <c r="Y535" s="9" t="inlineStr">
        <is>
          <t>2026-S24</t>
        </is>
      </c>
    </row>
    <row r="536">
      <c r="A536" s="9" t="n">
        <v>43048684</v>
      </c>
      <c r="B536" s="11" t="n">
        <v>46187.03005787037</v>
      </c>
      <c r="C536" s="12" t="n">
        <v>46187</v>
      </c>
      <c r="D536" s="9">
        <f>YEAR(C536)</f>
        <v/>
      </c>
      <c r="E536" s="9">
        <f>MONTH(C536)</f>
        <v/>
      </c>
      <c r="F536" s="9" t="inlineStr">
        <is>
          <t>Saferock</t>
        </is>
      </c>
      <c r="G536" s="9" t="inlineStr">
        <is>
          <t>SAFEROCK 25MM 12M A280</t>
        </is>
      </c>
      <c r="H536" s="9" t="inlineStr">
        <is>
          <t>SAFEROCK 25MM 12M A280</t>
        </is>
      </c>
      <c r="I536" s="9" t="inlineStr">
        <is>
          <t>SFR 25</t>
        </is>
      </c>
      <c r="J536" s="9" t="n">
        <v>106025585</v>
      </c>
      <c r="K536" s="9" t="n">
        <v>25</v>
      </c>
      <c r="L536" s="9" t="n"/>
      <c r="M536" s="9" t="n"/>
      <c r="N536" s="9" t="n"/>
      <c r="O536" s="9" t="n">
        <v>12</v>
      </c>
      <c r="P536" s="13" t="n">
        <v>32360</v>
      </c>
      <c r="Q536" s="13" t="n">
        <v>36326.4</v>
      </c>
      <c r="R536" s="14">
        <f>IFERROR(P536/Q536,"")</f>
        <v/>
      </c>
      <c r="S536" s="15" t="n">
        <v>0.966</v>
      </c>
      <c r="T536" s="9">
        <f>IF(R536&gt;1,"A corregir","Válida")</f>
        <v/>
      </c>
      <c r="U536" s="13">
        <f>Q536-P536</f>
        <v/>
      </c>
      <c r="V536" s="13">
        <f>IF(S536="",0,S536*Q536)</f>
        <v/>
      </c>
      <c r="W536" s="9" t="n">
        <v>2026</v>
      </c>
      <c r="X536" s="9" t="n">
        <v>24</v>
      </c>
      <c r="Y536" s="9" t="inlineStr">
        <is>
          <t>2026-S24</t>
        </is>
      </c>
    </row>
    <row r="537">
      <c r="A537" s="9" t="n">
        <v>43048685</v>
      </c>
      <c r="B537" s="11" t="n">
        <v>46187.21942129629</v>
      </c>
      <c r="C537" s="12" t="n">
        <v>46187</v>
      </c>
      <c r="D537" s="9">
        <f>YEAR(C537)</f>
        <v/>
      </c>
      <c r="E537" s="9">
        <f>MONTH(C537)</f>
        <v/>
      </c>
      <c r="F537" s="9" t="inlineStr">
        <is>
          <t>B Hormigón</t>
        </is>
      </c>
      <c r="G537" s="9" t="inlineStr">
        <is>
          <t>B HORMIGON 32MM 12M A630-420H (N)</t>
        </is>
      </c>
      <c r="H537" s="9" t="inlineStr">
        <is>
          <t>B HORMIGON 32MM 12M A630-420H (N)</t>
        </is>
      </c>
      <c r="I537" s="9" t="inlineStr">
        <is>
          <t>RED 32 CR</t>
        </is>
      </c>
      <c r="J537" s="9" t="n">
        <v>110002900</v>
      </c>
      <c r="K537" s="9" t="n">
        <v>32</v>
      </c>
      <c r="L537" s="9" t="n"/>
      <c r="M537" s="9" t="n"/>
      <c r="N537" s="9" t="n"/>
      <c r="O537" s="9" t="n">
        <v>12</v>
      </c>
      <c r="P537" s="13" t="n">
        <v>107368</v>
      </c>
      <c r="Q537" s="13" t="n">
        <v>113256</v>
      </c>
      <c r="R537" s="14">
        <f>IFERROR(P537/Q537,"")</f>
        <v/>
      </c>
      <c r="S537" s="15" t="n">
        <v>0.96</v>
      </c>
      <c r="T537" s="9">
        <f>IF(R537&gt;1,"A corregir","Válida")</f>
        <v/>
      </c>
      <c r="U537" s="13">
        <f>Q537-P537</f>
        <v/>
      </c>
      <c r="V537" s="13">
        <f>IF(S537="",0,S537*Q537)</f>
        <v/>
      </c>
      <c r="W537" s="9" t="n">
        <v>2026</v>
      </c>
      <c r="X537" s="9" t="n">
        <v>24</v>
      </c>
      <c r="Y537" s="9" t="inlineStr">
        <is>
          <t>2026-S24</t>
        </is>
      </c>
    </row>
    <row r="538">
      <c r="A538" s="9" t="n">
        <v>43048686</v>
      </c>
      <c r="B538" s="11" t="n">
        <v>46188.20909722222</v>
      </c>
      <c r="C538" s="12" t="n">
        <v>46188</v>
      </c>
      <c r="D538" s="9">
        <f>YEAR(C538)</f>
        <v/>
      </c>
      <c r="E538" s="9">
        <f>MONTH(C538)</f>
        <v/>
      </c>
      <c r="F538" s="9" t="inlineStr">
        <is>
          <t>B Hormigón</t>
        </is>
      </c>
      <c r="G538" s="9" t="inlineStr">
        <is>
          <t>B HORMIGON 32MM 11M A630-420H (N)</t>
        </is>
      </c>
      <c r="H538" s="9" t="inlineStr">
        <is>
          <t>B HORMIGON 32MM 11M A630-420H (N)</t>
        </is>
      </c>
      <c r="I538" s="9" t="inlineStr">
        <is>
          <t>RED 32 CR</t>
        </is>
      </c>
      <c r="J538" s="9" t="n">
        <v>110002899</v>
      </c>
      <c r="K538" s="9" t="n">
        <v>32</v>
      </c>
      <c r="L538" s="9" t="n"/>
      <c r="M538" s="9" t="n"/>
      <c r="N538" s="9" t="n"/>
      <c r="O538" s="9" t="n">
        <v>11</v>
      </c>
      <c r="P538" s="13" t="n">
        <v>49295</v>
      </c>
      <c r="Q538" s="13" t="n">
        <v>52272</v>
      </c>
      <c r="R538" s="14">
        <f>IFERROR(P538/Q538,"")</f>
        <v/>
      </c>
      <c r="S538" s="15" t="n">
        <v>0.96</v>
      </c>
      <c r="T538" s="9">
        <f>IF(R538&gt;1,"A corregir","Válida")</f>
        <v/>
      </c>
      <c r="U538" s="13">
        <f>Q538-P538</f>
        <v/>
      </c>
      <c r="V538" s="13">
        <f>IF(S538="",0,S538*Q538)</f>
        <v/>
      </c>
      <c r="W538" s="9" t="n">
        <v>2026</v>
      </c>
      <c r="X538" s="9" t="n">
        <v>25</v>
      </c>
      <c r="Y538" s="9" t="inlineStr">
        <is>
          <t>2026-S25</t>
        </is>
      </c>
    </row>
    <row r="539">
      <c r="A539" s="9" t="n">
        <v>43048687</v>
      </c>
      <c r="B539" s="11" t="n">
        <v>46188.32087962963</v>
      </c>
      <c r="C539" s="12" t="n">
        <v>46188</v>
      </c>
      <c r="D539" s="9">
        <f>YEAR(C539)</f>
        <v/>
      </c>
      <c r="E539" s="9">
        <f>MONTH(C539)</f>
        <v/>
      </c>
      <c r="F539" s="9" t="inlineStr">
        <is>
          <t>B Hormigón</t>
        </is>
      </c>
      <c r="G539" s="9" t="inlineStr">
        <is>
          <t>B HORMIGON 32MM 10M A630-420H (N)</t>
        </is>
      </c>
      <c r="H539" s="9" t="inlineStr">
        <is>
          <t>B HORMIGON 32MM 10M A630-420H (N)</t>
        </is>
      </c>
      <c r="I539" s="9" t="inlineStr">
        <is>
          <t>RED 32 CR</t>
        </is>
      </c>
      <c r="J539" s="9" t="n">
        <v>110002898</v>
      </c>
      <c r="K539" s="9" t="n">
        <v>32</v>
      </c>
      <c r="L539" s="9" t="n"/>
      <c r="M539" s="9" t="n"/>
      <c r="N539" s="9" t="n"/>
      <c r="O539" s="9" t="n">
        <v>10</v>
      </c>
      <c r="P539" s="13" t="n">
        <v>70920</v>
      </c>
      <c r="Q539" s="13" t="n">
        <v>76520.39999999999</v>
      </c>
      <c r="R539" s="14">
        <f>IFERROR(P539/Q539,"")</f>
        <v/>
      </c>
      <c r="S539" s="15" t="n">
        <v>0.96</v>
      </c>
      <c r="T539" s="9">
        <f>IF(R539&gt;1,"A corregir","Válida")</f>
        <v/>
      </c>
      <c r="U539" s="13">
        <f>Q539-P539</f>
        <v/>
      </c>
      <c r="V539" s="13">
        <f>IF(S539="",0,S539*Q539)</f>
        <v/>
      </c>
      <c r="W539" s="9" t="n">
        <v>2026</v>
      </c>
      <c r="X539" s="9" t="n">
        <v>25</v>
      </c>
      <c r="Y539" s="9" t="inlineStr">
        <is>
          <t>2026-S25</t>
        </is>
      </c>
    </row>
    <row r="540">
      <c r="A540" s="9" t="n">
        <v>43048688</v>
      </c>
      <c r="B540" s="11" t="n">
        <v>46188.51914351852</v>
      </c>
      <c r="C540" s="12" t="n">
        <v>46188</v>
      </c>
      <c r="D540" s="9">
        <f>YEAR(C540)</f>
        <v/>
      </c>
      <c r="E540" s="9">
        <f>MONTH(C540)</f>
        <v/>
      </c>
      <c r="F540" s="9" t="inlineStr">
        <is>
          <t>B Hormigón</t>
        </is>
      </c>
      <c r="G540" s="9" t="inlineStr">
        <is>
          <t>B HORMIGON 36MM 12M A630-420HS (N)</t>
        </is>
      </c>
      <c r="H540" s="9" t="inlineStr">
        <is>
          <t>B HORMIGON 36MM 12M A630-420HS (N)</t>
        </is>
      </c>
      <c r="I540" s="9" t="inlineStr">
        <is>
          <t>RED 36 CR</t>
        </is>
      </c>
      <c r="J540" s="9" t="n">
        <v>110007600</v>
      </c>
      <c r="K540" s="9" t="n">
        <v>36</v>
      </c>
      <c r="L540" s="9" t="n"/>
      <c r="M540" s="9" t="n"/>
      <c r="N540" s="9" t="n"/>
      <c r="O540" s="9" t="n">
        <v>12</v>
      </c>
      <c r="P540" s="13" t="n">
        <v>32951</v>
      </c>
      <c r="Q540" s="13" t="n">
        <v>36009.6</v>
      </c>
      <c r="R540" s="14">
        <f>IFERROR(P540/Q540,"")</f>
        <v/>
      </c>
      <c r="S540" s="15" t="n">
        <v>0.96</v>
      </c>
      <c r="T540" s="9">
        <f>IF(R540&gt;1,"A corregir","Válida")</f>
        <v/>
      </c>
      <c r="U540" s="13">
        <f>Q540-P540</f>
        <v/>
      </c>
      <c r="V540" s="13">
        <f>IF(S540="",0,S540*Q540)</f>
        <v/>
      </c>
      <c r="W540" s="9" t="n">
        <v>2026</v>
      </c>
      <c r="X540" s="9" t="n">
        <v>25</v>
      </c>
      <c r="Y540" s="9" t="inlineStr">
        <is>
          <t>2026-S25</t>
        </is>
      </c>
    </row>
    <row r="541">
      <c r="A541" s="9" t="n">
        <v>43048690</v>
      </c>
      <c r="B541" s="11" t="n">
        <v>46188.58868055556</v>
      </c>
      <c r="C541" s="12" t="n">
        <v>46188</v>
      </c>
      <c r="D541" s="9">
        <f>YEAR(C541)</f>
        <v/>
      </c>
      <c r="E541" s="9">
        <f>MONTH(C541)</f>
        <v/>
      </c>
      <c r="F541" s="9" t="inlineStr">
        <is>
          <t>B Hormigón</t>
        </is>
      </c>
      <c r="G541" s="9" t="inlineStr">
        <is>
          <t>B HORMIGON 36MM 9M A630-420HS (N)</t>
        </is>
      </c>
      <c r="H541" s="9" t="inlineStr">
        <is>
          <t>B HORMIGON 36MM 9M A630-420HS (N)</t>
        </is>
      </c>
      <c r="I541" s="9" t="inlineStr">
        <is>
          <t>RED 36 CR</t>
        </is>
      </c>
      <c r="J541" s="9" t="n">
        <v>110007602</v>
      </c>
      <c r="K541" s="9" t="n">
        <v>36</v>
      </c>
      <c r="L541" s="9" t="n"/>
      <c r="M541" s="9" t="n"/>
      <c r="N541" s="9" t="n"/>
      <c r="O541" s="9" t="n">
        <v>9</v>
      </c>
      <c r="P541" s="13" t="n">
        <v>21144</v>
      </c>
      <c r="Q541" s="13" t="n">
        <v>22968</v>
      </c>
      <c r="R541" s="14">
        <f>IFERROR(P541/Q541,"")</f>
        <v/>
      </c>
      <c r="S541" s="15" t="n">
        <v>0.97</v>
      </c>
      <c r="T541" s="9">
        <f>IF(R541&gt;1,"A corregir","Válida")</f>
        <v/>
      </c>
      <c r="U541" s="13">
        <f>Q541-P541</f>
        <v/>
      </c>
      <c r="V541" s="13">
        <f>IF(S541="",0,S541*Q541)</f>
        <v/>
      </c>
      <c r="W541" s="9" t="n">
        <v>2026</v>
      </c>
      <c r="X541" s="9" t="n">
        <v>25</v>
      </c>
      <c r="Y541" s="9" t="inlineStr">
        <is>
          <t>2026-S25</t>
        </is>
      </c>
    </row>
    <row r="542">
      <c r="A542" s="9" t="n">
        <v>43048691</v>
      </c>
      <c r="B542" s="11" t="n">
        <v>46188.63920138889</v>
      </c>
      <c r="C542" s="12" t="n">
        <v>46188</v>
      </c>
      <c r="D542" s="9">
        <f>YEAR(C542)</f>
        <v/>
      </c>
      <c r="E542" s="9">
        <f>MONTH(C542)</f>
        <v/>
      </c>
      <c r="F542" s="9" t="inlineStr">
        <is>
          <t>B Hormigón</t>
        </is>
      </c>
      <c r="G542" s="9" t="inlineStr">
        <is>
          <t>B HORMIGON 36MM 8M A630-420HS (N)</t>
        </is>
      </c>
      <c r="H542" s="9" t="inlineStr">
        <is>
          <t>B HORMIGON 36MM 8M A630-420HS (N)</t>
        </is>
      </c>
      <c r="I542" s="9" t="inlineStr">
        <is>
          <t>RED 36 CR</t>
        </is>
      </c>
      <c r="J542" s="9" t="n">
        <v>110007603</v>
      </c>
      <c r="K542" s="9" t="n">
        <v>36</v>
      </c>
      <c r="L542" s="9" t="n"/>
      <c r="M542" s="9" t="n"/>
      <c r="N542" s="9" t="n"/>
      <c r="O542" s="9" t="n">
        <v>8</v>
      </c>
      <c r="P542" s="13" t="n">
        <v>20842</v>
      </c>
      <c r="Q542" s="13" t="n">
        <v>22506</v>
      </c>
      <c r="R542" s="14">
        <f>IFERROR(P542/Q542,"")</f>
        <v/>
      </c>
      <c r="S542" s="15" t="n">
        <v>0.97</v>
      </c>
      <c r="T542" s="9">
        <f>IF(R542&gt;1,"A corregir","Válida")</f>
        <v/>
      </c>
      <c r="U542" s="13">
        <f>Q542-P542</f>
        <v/>
      </c>
      <c r="V542" s="13">
        <f>IF(S542="",0,S542*Q542)</f>
        <v/>
      </c>
      <c r="W542" s="9" t="n">
        <v>2026</v>
      </c>
      <c r="X542" s="9" t="n">
        <v>25</v>
      </c>
      <c r="Y542" s="9" t="inlineStr">
        <is>
          <t>2026-S25</t>
        </is>
      </c>
    </row>
    <row r="543">
      <c r="A543" s="9" t="n">
        <v>43048692</v>
      </c>
      <c r="B543" s="11" t="n">
        <v>46188.69300925926</v>
      </c>
      <c r="C543" s="12" t="n">
        <v>46188</v>
      </c>
      <c r="D543" s="9">
        <f>YEAR(C543)</f>
        <v/>
      </c>
      <c r="E543" s="9">
        <f>MONTH(C543)</f>
        <v/>
      </c>
      <c r="F543" s="9" t="inlineStr">
        <is>
          <t>B Hormigón</t>
        </is>
      </c>
      <c r="G543" s="9" t="inlineStr">
        <is>
          <t>B HORMIGON 36MM 12M A630-420H (N)</t>
        </is>
      </c>
      <c r="H543" s="9" t="inlineStr">
        <is>
          <t>B HORMIGON 36MM 12M A630-420H (N)</t>
        </is>
      </c>
      <c r="I543" s="9" t="inlineStr">
        <is>
          <t>RED 36 CR</t>
        </is>
      </c>
      <c r="J543" s="9" t="n">
        <v>110002907</v>
      </c>
      <c r="K543" s="9" t="n">
        <v>36</v>
      </c>
      <c r="L543" s="9" t="n"/>
      <c r="M543" s="9" t="n"/>
      <c r="N543" s="9" t="n"/>
      <c r="O543" s="9" t="n">
        <v>12</v>
      </c>
      <c r="P543" s="13" t="n">
        <v>34147</v>
      </c>
      <c r="Q543" s="13" t="n">
        <v>36828</v>
      </c>
      <c r="R543" s="14">
        <f>IFERROR(P543/Q543,"")</f>
        <v/>
      </c>
      <c r="S543" s="15" t="n">
        <v>0.96</v>
      </c>
      <c r="T543" s="9">
        <f>IF(R543&gt;1,"A corregir","Válida")</f>
        <v/>
      </c>
      <c r="U543" s="13">
        <f>Q543-P543</f>
        <v/>
      </c>
      <c r="V543" s="13">
        <f>IF(S543="",0,S543*Q543)</f>
        <v/>
      </c>
      <c r="W543" s="9" t="n">
        <v>2026</v>
      </c>
      <c r="X543" s="9" t="n">
        <v>25</v>
      </c>
      <c r="Y543" s="9" t="inlineStr">
        <is>
          <t>2026-S25</t>
        </is>
      </c>
    </row>
    <row r="544">
      <c r="A544" s="9" t="n">
        <v>43048689</v>
      </c>
      <c r="B544" s="11" t="n">
        <v>46188.99957175926</v>
      </c>
      <c r="C544" s="12" t="n">
        <v>46188</v>
      </c>
      <c r="D544" s="9">
        <f>YEAR(C544)</f>
        <v/>
      </c>
      <c r="E544" s="9">
        <f>MONTH(C544)</f>
        <v/>
      </c>
      <c r="F544" s="9" t="inlineStr">
        <is>
          <t>Ángulo</t>
        </is>
      </c>
      <c r="G544" s="9" t="inlineStr">
        <is>
          <t>ANGULO 20X20X3MM A270ES</t>
        </is>
      </c>
      <c r="H544" s="9" t="inlineStr">
        <is>
          <t>ANGULO SEMI 20X20X3MM A270ES</t>
        </is>
      </c>
      <c r="I544" s="9" t="inlineStr">
        <is>
          <t>ANG 20 x 3</t>
        </is>
      </c>
      <c r="J544" s="9" t="n">
        <v>106501016</v>
      </c>
      <c r="K544" s="9" t="n"/>
      <c r="L544" s="9" t="n">
        <v>20</v>
      </c>
      <c r="M544" s="9" t="n">
        <v>3</v>
      </c>
      <c r="N544" s="9" t="n"/>
      <c r="O544" s="9" t="n">
        <v>12</v>
      </c>
      <c r="P544" s="13" t="n">
        <v>120003</v>
      </c>
      <c r="Q544" s="13" t="n">
        <v>124608</v>
      </c>
      <c r="R544" s="14">
        <f>IFERROR(P544/Q544,"")</f>
        <v/>
      </c>
      <c r="S544" s="15" t="n">
        <v>0.963</v>
      </c>
      <c r="T544" s="9">
        <f>IF(R544&gt;1,"A corregir","Válida")</f>
        <v/>
      </c>
      <c r="U544" s="13">
        <f>Q544-P544</f>
        <v/>
      </c>
      <c r="V544" s="13">
        <f>IF(S544="",0,S544*Q544)</f>
        <v/>
      </c>
      <c r="W544" s="9" t="n">
        <v>2026</v>
      </c>
      <c r="X544" s="9" t="n">
        <v>25</v>
      </c>
      <c r="Y544" s="9" t="inlineStr">
        <is>
          <t>2026-S25</t>
        </is>
      </c>
    </row>
    <row r="545">
      <c r="A545" s="9" t="n">
        <v>43048698</v>
      </c>
      <c r="B545" s="11" t="n">
        <v>46189.40673611111</v>
      </c>
      <c r="C545" s="12" t="n">
        <v>46189</v>
      </c>
      <c r="D545" s="9">
        <f>YEAR(C545)</f>
        <v/>
      </c>
      <c r="E545" s="9">
        <f>MONTH(C545)</f>
        <v/>
      </c>
      <c r="F545" s="9" t="inlineStr">
        <is>
          <t>Plana</t>
        </is>
      </c>
      <c r="G545" s="9" t="inlineStr">
        <is>
          <t>PLANA 38X3MM 6M A270ES (N)</t>
        </is>
      </c>
      <c r="H545" s="9" t="inlineStr">
        <is>
          <t>PLANA 38X3MM 6M A270ES (N)</t>
        </is>
      </c>
      <c r="I545" s="9" t="inlineStr">
        <is>
          <t>PL 38 x 3</t>
        </is>
      </c>
      <c r="J545" s="9" t="n">
        <v>109013904</v>
      </c>
      <c r="K545" s="9" t="n"/>
      <c r="L545" s="9" t="n">
        <v>38</v>
      </c>
      <c r="M545" s="9" t="n">
        <v>3</v>
      </c>
      <c r="N545" s="9" t="n"/>
      <c r="O545" s="9" t="n">
        <v>6</v>
      </c>
      <c r="P545" s="13" t="n">
        <v>107954</v>
      </c>
      <c r="Q545" s="13" t="n">
        <v>113203.2</v>
      </c>
      <c r="R545" s="14">
        <f>IFERROR(P545/Q545,"")</f>
        <v/>
      </c>
      <c r="S545" s="15" t="n">
        <v>0.966</v>
      </c>
      <c r="T545" s="9">
        <f>IF(R545&gt;1,"A corregir","Válida")</f>
        <v/>
      </c>
      <c r="U545" s="13">
        <f>Q545-P545</f>
        <v/>
      </c>
      <c r="V545" s="13">
        <f>IF(S545="",0,S545*Q545)</f>
        <v/>
      </c>
      <c r="W545" s="9" t="n">
        <v>2026</v>
      </c>
      <c r="X545" s="9" t="n">
        <v>25</v>
      </c>
      <c r="Y545" s="9" t="inlineStr">
        <is>
          <t>2026-S25</t>
        </is>
      </c>
    </row>
    <row r="546">
      <c r="A546" s="9" t="n">
        <v>43048696</v>
      </c>
      <c r="B546" s="11" t="n">
        <v>46189.9569212963</v>
      </c>
      <c r="C546" s="12" t="n">
        <v>46189</v>
      </c>
      <c r="D546" s="9">
        <f>YEAR(C546)</f>
        <v/>
      </c>
      <c r="E546" s="9">
        <f>MONTH(C546)</f>
        <v/>
      </c>
      <c r="F546" s="9" t="inlineStr">
        <is>
          <t>Plana</t>
        </is>
      </c>
      <c r="G546" s="9" t="inlineStr">
        <is>
          <t>PLANA 32X6MM 6M A270ES (N)</t>
        </is>
      </c>
      <c r="H546" s="9" t="inlineStr">
        <is>
          <t>PLANA 32X6MM 6M A270ES (N)</t>
        </is>
      </c>
      <c r="I546" s="9" t="inlineStr">
        <is>
          <t>PL 32 x 6</t>
        </is>
      </c>
      <c r="J546" s="9" t="n">
        <v>109013916</v>
      </c>
      <c r="K546" s="9" t="n"/>
      <c r="L546" s="9" t="n">
        <v>32</v>
      </c>
      <c r="M546" s="9" t="n">
        <v>6</v>
      </c>
      <c r="N546" s="9" t="n"/>
      <c r="O546" s="9" t="n">
        <v>6</v>
      </c>
      <c r="P546" s="13" t="n">
        <v>32530</v>
      </c>
      <c r="Q546" s="13" t="n">
        <v>34214.4</v>
      </c>
      <c r="R546" s="14">
        <f>IFERROR(P546/Q546,"")</f>
        <v/>
      </c>
      <c r="S546" s="15" t="n">
        <v>0.965</v>
      </c>
      <c r="T546" s="9">
        <f>IF(R546&gt;1,"A corregir","Válida")</f>
        <v/>
      </c>
      <c r="U546" s="13">
        <f>Q546-P546</f>
        <v/>
      </c>
      <c r="V546" s="13">
        <f>IF(S546="",0,S546*Q546)</f>
        <v/>
      </c>
      <c r="W546" s="9" t="n">
        <v>2026</v>
      </c>
      <c r="X546" s="9" t="n">
        <v>25</v>
      </c>
      <c r="Y546" s="9" t="inlineStr">
        <is>
          <t>2026-S25</t>
        </is>
      </c>
    </row>
    <row r="547">
      <c r="A547" s="9" t="n">
        <v>43048697</v>
      </c>
      <c r="B547" s="11" t="n">
        <v>46190.04421296297</v>
      </c>
      <c r="C547" s="12" t="n">
        <v>46190</v>
      </c>
      <c r="D547" s="9">
        <f>YEAR(C547)</f>
        <v/>
      </c>
      <c r="E547" s="9">
        <f>MONTH(C547)</f>
        <v/>
      </c>
      <c r="F547" s="9" t="inlineStr">
        <is>
          <t>Plana</t>
        </is>
      </c>
      <c r="G547" s="9" t="inlineStr">
        <is>
          <t>PLANA 32X5MM 6M A270ES (N)</t>
        </is>
      </c>
      <c r="H547" s="9" t="inlineStr">
        <is>
          <t>PLANA 32X5MM 6M A270ES (N)</t>
        </is>
      </c>
      <c r="I547" s="9" t="inlineStr">
        <is>
          <t>PL 32 x 5</t>
        </is>
      </c>
      <c r="J547" s="9" t="n">
        <v>109013897</v>
      </c>
      <c r="K547" s="9" t="n"/>
      <c r="L547" s="9" t="n">
        <v>32</v>
      </c>
      <c r="M547" s="9" t="n">
        <v>5</v>
      </c>
      <c r="N547" s="9" t="n"/>
      <c r="O547" s="9" t="n">
        <v>6</v>
      </c>
      <c r="P547" s="13" t="n">
        <v>100242</v>
      </c>
      <c r="Q547" s="13" t="n">
        <v>106444.8</v>
      </c>
      <c r="R547" s="14">
        <f>IFERROR(P547/Q547,"")</f>
        <v/>
      </c>
      <c r="S547" s="15" t="n">
        <v>0.966</v>
      </c>
      <c r="T547" s="9">
        <f>IF(R547&gt;1,"A corregir","Válida")</f>
        <v/>
      </c>
      <c r="U547" s="13">
        <f>Q547-P547</f>
        <v/>
      </c>
      <c r="V547" s="13">
        <f>IF(S547="",0,S547*Q547)</f>
        <v/>
      </c>
      <c r="W547" s="9" t="n">
        <v>2026</v>
      </c>
      <c r="X547" s="9" t="n">
        <v>25</v>
      </c>
      <c r="Y547" s="9" t="inlineStr">
        <is>
          <t>2026-S25</t>
        </is>
      </c>
    </row>
    <row r="548">
      <c r="A548" s="9" t="n">
        <v>43048695</v>
      </c>
      <c r="B548" s="11" t="n">
        <v>46190.36256944444</v>
      </c>
      <c r="C548" s="12" t="n">
        <v>46190</v>
      </c>
      <c r="D548" s="9">
        <f>YEAR(C548)</f>
        <v/>
      </c>
      <c r="E548" s="9">
        <f>MONTH(C548)</f>
        <v/>
      </c>
      <c r="F548" s="9" t="inlineStr">
        <is>
          <t>Plana</t>
        </is>
      </c>
      <c r="G548" s="9" t="inlineStr">
        <is>
          <t>PLANA 20X10MM 6M A270ES (N)</t>
        </is>
      </c>
      <c r="H548" s="9" t="inlineStr">
        <is>
          <t>PLANA 20X10MM 6M A270ES (N)</t>
        </is>
      </c>
      <c r="I548" s="9" t="inlineStr">
        <is>
          <t>PL 20 x 10</t>
        </is>
      </c>
      <c r="J548" s="9" t="n">
        <v>119502248</v>
      </c>
      <c r="K548" s="9" t="n"/>
      <c r="L548" s="9" t="n">
        <v>20</v>
      </c>
      <c r="M548" s="9" t="n">
        <v>10</v>
      </c>
      <c r="N548" s="9" t="n"/>
      <c r="O548" s="9" t="n">
        <v>6</v>
      </c>
      <c r="P548" s="13" t="n">
        <v>44824</v>
      </c>
      <c r="Q548" s="13" t="n">
        <v>42240</v>
      </c>
      <c r="R548" s="14">
        <f>IFERROR(P548/Q548,"")</f>
        <v/>
      </c>
      <c r="S548" s="15" t="n">
        <v>0.963</v>
      </c>
      <c r="T548" s="9">
        <f>IF(R548&gt;1,"A corregir","Válida")</f>
        <v/>
      </c>
      <c r="U548" s="13">
        <f>Q548-P548</f>
        <v/>
      </c>
      <c r="V548" s="13">
        <f>IF(S548="",0,S548*Q548)</f>
        <v/>
      </c>
      <c r="W548" s="9" t="n">
        <v>2026</v>
      </c>
      <c r="X548" s="9" t="n">
        <v>25</v>
      </c>
      <c r="Y548" s="9" t="inlineStr">
        <is>
          <t>2026-S25</t>
        </is>
      </c>
    </row>
    <row r="549">
      <c r="A549" s="9" t="n">
        <v>43048752</v>
      </c>
      <c r="B549" s="11" t="n">
        <v>46190.50028935185</v>
      </c>
      <c r="C549" s="12" t="n">
        <v>46190</v>
      </c>
      <c r="D549" s="9">
        <f>YEAR(C549)</f>
        <v/>
      </c>
      <c r="E549" s="9">
        <f>MONTH(C549)</f>
        <v/>
      </c>
      <c r="F549" s="9" t="inlineStr">
        <is>
          <t>Cuadrado</t>
        </is>
      </c>
      <c r="G549" s="9" t="inlineStr">
        <is>
          <t>CUADRADO 12MM 6M COMERCIAL (N)</t>
        </is>
      </c>
      <c r="H549" s="9" t="inlineStr">
        <is>
          <t>CUADRADO 12MM 6M COMERCIAL (N)</t>
        </is>
      </c>
      <c r="I549" s="9" t="inlineStr">
        <is>
          <t>CUAD 12</t>
        </is>
      </c>
      <c r="J549" s="9" t="n">
        <v>109007065</v>
      </c>
      <c r="K549" s="9" t="n"/>
      <c r="L549" s="9" t="n"/>
      <c r="M549" s="9" t="n"/>
      <c r="N549" s="9" t="n">
        <v>12</v>
      </c>
      <c r="O549" s="9" t="n">
        <v>6</v>
      </c>
      <c r="P549" s="13" t="n">
        <v>21404</v>
      </c>
      <c r="Q549" s="13" t="n">
        <v>22809.6</v>
      </c>
      <c r="R549" s="14">
        <f>IFERROR(P549/Q549,"")</f>
        <v/>
      </c>
      <c r="S549" s="15" t="n">
        <v>0.966</v>
      </c>
      <c r="T549" s="9">
        <f>IF(R549&gt;1,"A corregir","Válida")</f>
        <v/>
      </c>
      <c r="U549" s="13">
        <f>Q549-P549</f>
        <v/>
      </c>
      <c r="V549" s="13">
        <f>IF(S549="",0,S549*Q549)</f>
        <v/>
      </c>
      <c r="W549" s="9" t="n">
        <v>2026</v>
      </c>
      <c r="X549" s="9" t="n">
        <v>25</v>
      </c>
      <c r="Y549" s="9" t="inlineStr">
        <is>
          <t>2026-S25</t>
        </is>
      </c>
    </row>
    <row r="550">
      <c r="A550" s="9" t="n">
        <v>43048694</v>
      </c>
      <c r="B550" s="11" t="n">
        <v>46190.55247685185</v>
      </c>
      <c r="C550" s="12" t="n">
        <v>46190</v>
      </c>
      <c r="D550" s="9">
        <f>YEAR(C550)</f>
        <v/>
      </c>
      <c r="E550" s="9">
        <f>MONTH(C550)</f>
        <v/>
      </c>
      <c r="F550" s="9" t="inlineStr">
        <is>
          <t>Cuadrado</t>
        </is>
      </c>
      <c r="G550" s="9" t="inlineStr">
        <is>
          <t>CUADRADO 12MM 6M COMERCIAL (N)</t>
        </is>
      </c>
      <c r="H550" s="9" t="inlineStr">
        <is>
          <t>CUADRADO 12MM 6M COMERCIAL (N)</t>
        </is>
      </c>
      <c r="I550" s="9" t="inlineStr">
        <is>
          <t>CUAD 12</t>
        </is>
      </c>
      <c r="J550" s="9" t="n">
        <v>109007065</v>
      </c>
      <c r="K550" s="9" t="n"/>
      <c r="L550" s="9" t="n"/>
      <c r="M550" s="9" t="n"/>
      <c r="N550" s="9" t="n">
        <v>12</v>
      </c>
      <c r="O550" s="9" t="n">
        <v>6</v>
      </c>
      <c r="P550" s="13" t="n">
        <v>102499</v>
      </c>
      <c r="Q550" s="13" t="n">
        <v>108134.4</v>
      </c>
      <c r="R550" s="14">
        <f>IFERROR(P550/Q550,"")</f>
        <v/>
      </c>
      <c r="S550" s="15" t="n">
        <v>0.966</v>
      </c>
      <c r="T550" s="9">
        <f>IF(R550&gt;1,"A corregir","Válida")</f>
        <v/>
      </c>
      <c r="U550" s="13">
        <f>Q550-P550</f>
        <v/>
      </c>
      <c r="V550" s="13">
        <f>IF(S550="",0,S550*Q550)</f>
        <v/>
      </c>
      <c r="W550" s="9" t="n">
        <v>2026</v>
      </c>
      <c r="X550" s="9" t="n">
        <v>25</v>
      </c>
      <c r="Y550" s="9" t="inlineStr">
        <is>
          <t>2026-S25</t>
        </is>
      </c>
    </row>
    <row r="551">
      <c r="A551" s="9" t="n">
        <v>43048758</v>
      </c>
      <c r="B551" s="11" t="n">
        <v>46190.98185185185</v>
      </c>
      <c r="C551" s="12" t="n">
        <v>46190</v>
      </c>
      <c r="D551" s="9">
        <f>YEAR(C551)</f>
        <v/>
      </c>
      <c r="E551" s="9">
        <f>MONTH(C551)</f>
        <v/>
      </c>
      <c r="F551" s="9" t="inlineStr">
        <is>
          <t>Ángulo</t>
        </is>
      </c>
      <c r="G551" s="9" t="inlineStr">
        <is>
          <t>ANGULO 25X25X3MM A270ES</t>
        </is>
      </c>
      <c r="H551" s="9" t="inlineStr">
        <is>
          <t>ANGULO SEMI 25X25X3MM A270ES</t>
        </is>
      </c>
      <c r="I551" s="9" t="inlineStr">
        <is>
          <t>ANG 25 x 3</t>
        </is>
      </c>
      <c r="J551" s="9" t="n">
        <v>106501017</v>
      </c>
      <c r="K551" s="9" t="n"/>
      <c r="L551" s="9" t="n">
        <v>25</v>
      </c>
      <c r="M551" s="9" t="n">
        <v>3</v>
      </c>
      <c r="N551" s="9" t="n"/>
      <c r="O551" s="9" t="n">
        <v>12</v>
      </c>
      <c r="P551" s="13" t="n">
        <v>16950</v>
      </c>
      <c r="Q551" s="13" t="n">
        <v>17740.8</v>
      </c>
      <c r="R551" s="14">
        <f>IFERROR(P551/Q551,"")</f>
        <v/>
      </c>
      <c r="S551" s="15" t="n">
        <v>0.963</v>
      </c>
      <c r="T551" s="9">
        <f>IF(R551&gt;1,"A corregir","Válida")</f>
        <v/>
      </c>
      <c r="U551" s="13">
        <f>Q551-P551</f>
        <v/>
      </c>
      <c r="V551" s="13">
        <f>IF(S551="",0,S551*Q551)</f>
        <v/>
      </c>
      <c r="W551" s="9" t="n">
        <v>2026</v>
      </c>
      <c r="X551" s="9" t="n">
        <v>25</v>
      </c>
      <c r="Y551" s="9" t="inlineStr">
        <is>
          <t>2026-S25</t>
        </is>
      </c>
    </row>
    <row r="552">
      <c r="A552" s="9" t="n">
        <v>43048699</v>
      </c>
      <c r="B552" s="11" t="n">
        <v>46191.01498842592</v>
      </c>
      <c r="C552" s="12" t="n">
        <v>46191</v>
      </c>
      <c r="D552" s="9">
        <f>YEAR(C552)</f>
        <v/>
      </c>
      <c r="E552" s="9">
        <f>MONTH(C552)</f>
        <v/>
      </c>
      <c r="F552" s="9" t="inlineStr">
        <is>
          <t>Ángulo</t>
        </is>
      </c>
      <c r="G552" s="9" t="inlineStr">
        <is>
          <t>ANGULO 25X25X3MM A270ES</t>
        </is>
      </c>
      <c r="H552" s="9" t="inlineStr">
        <is>
          <t>ANGULO SEMI 25X25X3MM A270ES</t>
        </is>
      </c>
      <c r="I552" s="9" t="inlineStr">
        <is>
          <t>ANG 25 x 3</t>
        </is>
      </c>
      <c r="J552" s="9" t="n">
        <v>106501017</v>
      </c>
      <c r="K552" s="9" t="n"/>
      <c r="L552" s="9" t="n">
        <v>25</v>
      </c>
      <c r="M552" s="9" t="n">
        <v>3</v>
      </c>
      <c r="N552" s="9" t="n"/>
      <c r="O552" s="9" t="n">
        <v>12</v>
      </c>
      <c r="P552" s="13" t="n">
        <v>67222</v>
      </c>
      <c r="Q552" s="13" t="n">
        <v>69564</v>
      </c>
      <c r="R552" s="14">
        <f>IFERROR(P552/Q552,"")</f>
        <v/>
      </c>
      <c r="S552" s="15" t="n">
        <v>0.963</v>
      </c>
      <c r="T552" s="9">
        <f>IF(R552&gt;1,"A corregir","Válida")</f>
        <v/>
      </c>
      <c r="U552" s="13">
        <f>Q552-P552</f>
        <v/>
      </c>
      <c r="V552" s="13">
        <f>IF(S552="",0,S552*Q552)</f>
        <v/>
      </c>
      <c r="W552" s="9" t="n">
        <v>2026</v>
      </c>
      <c r="X552" s="9" t="n">
        <v>25</v>
      </c>
      <c r="Y552" s="9" t="inlineStr">
        <is>
          <t>2026-S25</t>
        </is>
      </c>
    </row>
    <row r="553">
      <c r="A553" s="9" t="n">
        <v>43048700</v>
      </c>
      <c r="B553" s="11" t="n">
        <v>46191.24142361111</v>
      </c>
      <c r="C553" s="12" t="n">
        <v>46191</v>
      </c>
      <c r="D553" s="9">
        <f>YEAR(C553)</f>
        <v/>
      </c>
      <c r="E553" s="9">
        <f>MONTH(C553)</f>
        <v/>
      </c>
      <c r="F553" s="9" t="inlineStr">
        <is>
          <t>Redondo liso</t>
        </is>
      </c>
      <c r="G553" s="9" t="inlineStr">
        <is>
          <t>REDONDO LISO 16MM 6M SAE 1020 (N)</t>
        </is>
      </c>
      <c r="H553" s="9" t="inlineStr">
        <is>
          <t>REDONDO LISO 16MM 6M SAE 1020 (N)</t>
        </is>
      </c>
      <c r="I553" s="9" t="inlineStr">
        <is>
          <t>RED 16</t>
        </is>
      </c>
      <c r="J553" s="9" t="n">
        <v>119502683</v>
      </c>
      <c r="K553" s="9" t="n">
        <v>16</v>
      </c>
      <c r="L553" s="9" t="n"/>
      <c r="M553" s="9" t="n"/>
      <c r="N553" s="9" t="n"/>
      <c r="O553" s="9" t="n">
        <v>6</v>
      </c>
      <c r="P553" s="13" t="n">
        <v>145073</v>
      </c>
      <c r="Q553" s="13" t="n">
        <v>153040.8</v>
      </c>
      <c r="R553" s="14">
        <f>IFERROR(P553/Q553,"")</f>
        <v/>
      </c>
      <c r="S553" s="15" t="n">
        <v>0.958</v>
      </c>
      <c r="T553" s="9">
        <f>IF(R553&gt;1,"A corregir","Válida")</f>
        <v/>
      </c>
      <c r="U553" s="13">
        <f>Q553-P553</f>
        <v/>
      </c>
      <c r="V553" s="13">
        <f>IF(S553="",0,S553*Q553)</f>
        <v/>
      </c>
      <c r="W553" s="9" t="n">
        <v>2026</v>
      </c>
      <c r="X553" s="9" t="n">
        <v>25</v>
      </c>
      <c r="Y553" s="9" t="inlineStr">
        <is>
          <t>2026-S25</t>
        </is>
      </c>
    </row>
    <row r="554">
      <c r="A554" s="9" t="n">
        <v>43048702</v>
      </c>
      <c r="B554" s="11" t="n">
        <v>46191.56743055556</v>
      </c>
      <c r="C554" s="12" t="n">
        <v>46191</v>
      </c>
      <c r="D554" s="9">
        <f>YEAR(C554)</f>
        <v/>
      </c>
      <c r="E554" s="9">
        <f>MONTH(C554)</f>
        <v/>
      </c>
      <c r="F554" s="9" t="inlineStr">
        <is>
          <t>Redondo liso</t>
        </is>
      </c>
      <c r="G554" s="9" t="inlineStr">
        <is>
          <t>REDONDO LISO 5/8' 6M SAE 1020 (N)</t>
        </is>
      </c>
      <c r="H554" s="9" t="inlineStr">
        <is>
          <t>REDONDO LISO 5/8' 6M SAE 1020 (N)</t>
        </is>
      </c>
      <c r="I554" s="9" t="inlineStr">
        <is>
          <t>RED 16</t>
        </is>
      </c>
      <c r="J554" s="9" t="n">
        <v>109006913</v>
      </c>
      <c r="K554" s="9" t="n">
        <v>15.9</v>
      </c>
      <c r="L554" s="9" t="n"/>
      <c r="M554" s="9" t="n"/>
      <c r="N554" s="9" t="n"/>
      <c r="O554" s="9" t="n">
        <v>6</v>
      </c>
      <c r="P554" s="13" t="n">
        <v>38070</v>
      </c>
      <c r="Q554" s="13" t="n">
        <v>39494.4</v>
      </c>
      <c r="R554" s="14">
        <f>IFERROR(P554/Q554,"")</f>
        <v/>
      </c>
      <c r="S554" s="15" t="n">
        <v>0.9590000000000001</v>
      </c>
      <c r="T554" s="9">
        <f>IF(R554&gt;1,"A corregir","Válida")</f>
        <v/>
      </c>
      <c r="U554" s="13">
        <f>Q554-P554</f>
        <v/>
      </c>
      <c r="V554" s="13">
        <f>IF(S554="",0,S554*Q554)</f>
        <v/>
      </c>
      <c r="W554" s="9" t="n">
        <v>2026</v>
      </c>
      <c r="X554" s="9" t="n">
        <v>25</v>
      </c>
      <c r="Y554" s="9" t="inlineStr">
        <is>
          <t>2026-S25</t>
        </is>
      </c>
    </row>
    <row r="555">
      <c r="A555" s="9" t="n">
        <v>43048703</v>
      </c>
      <c r="B555" s="11" t="n">
        <v>46191.63239583333</v>
      </c>
      <c r="C555" s="12" t="n">
        <v>46191</v>
      </c>
      <c r="D555" s="9">
        <f>YEAR(C555)</f>
        <v/>
      </c>
      <c r="E555" s="9">
        <f>MONTH(C555)</f>
        <v/>
      </c>
      <c r="F555" s="9" t="inlineStr">
        <is>
          <t>Redondo liso</t>
        </is>
      </c>
      <c r="G555" s="9" t="inlineStr">
        <is>
          <t>REDONDO LISO 5/8' 6M SAE 1045 (N)</t>
        </is>
      </c>
      <c r="H555" s="9" t="inlineStr">
        <is>
          <t>REDONDO LISO 5/8' 6M SAE 1045 (N)</t>
        </is>
      </c>
      <c r="I555" s="9" t="inlineStr">
        <is>
          <t>RED 16</t>
        </is>
      </c>
      <c r="J555" s="9" t="n">
        <v>109006878</v>
      </c>
      <c r="K555" s="9" t="n">
        <v>15.9</v>
      </c>
      <c r="L555" s="9" t="n"/>
      <c r="M555" s="9" t="n"/>
      <c r="N555" s="9" t="n"/>
      <c r="O555" s="9" t="n">
        <v>6</v>
      </c>
      <c r="P555" s="13" t="n">
        <v>21550</v>
      </c>
      <c r="Q555" s="13" t="n">
        <v>22440</v>
      </c>
      <c r="R555" s="14">
        <f>IFERROR(P555/Q555,"")</f>
        <v/>
      </c>
      <c r="S555" s="15" t="n">
        <v>0.9590000000000001</v>
      </c>
      <c r="T555" s="9">
        <f>IF(R555&gt;1,"A corregir","Válida")</f>
        <v/>
      </c>
      <c r="U555" s="13">
        <f>Q555-P555</f>
        <v/>
      </c>
      <c r="V555" s="13">
        <f>IF(S555="",0,S555*Q555)</f>
        <v/>
      </c>
      <c r="W555" s="9" t="n">
        <v>2026</v>
      </c>
      <c r="X555" s="9" t="n">
        <v>25</v>
      </c>
      <c r="Y555" s="9" t="inlineStr">
        <is>
          <t>2026-S25</t>
        </is>
      </c>
    </row>
    <row r="556">
      <c r="A556" s="9" t="n">
        <v>43048701</v>
      </c>
      <c r="B556" s="11" t="n">
        <v>46191.6700462963</v>
      </c>
      <c r="C556" s="12" t="n">
        <v>46191</v>
      </c>
      <c r="D556" s="9">
        <f>YEAR(C556)</f>
        <v/>
      </c>
      <c r="E556" s="9">
        <f>MONTH(C556)</f>
        <v/>
      </c>
      <c r="F556" s="9" t="inlineStr">
        <is>
          <t>Redondo liso</t>
        </is>
      </c>
      <c r="G556" s="9" t="inlineStr">
        <is>
          <t>REDONDO LISO 5/8' 6M ASTM A 36 (N)</t>
        </is>
      </c>
      <c r="H556" s="9" t="inlineStr">
        <is>
          <t>REDONDO LISO 5/8' 6M ASTM A 36 (N)</t>
        </is>
      </c>
      <c r="I556" s="9" t="inlineStr">
        <is>
          <t>RED 16</t>
        </is>
      </c>
      <c r="J556" s="9" t="n">
        <v>109006935</v>
      </c>
      <c r="K556" s="9" t="n">
        <v>15.9</v>
      </c>
      <c r="L556" s="9" t="n"/>
      <c r="M556" s="9" t="n"/>
      <c r="N556" s="9" t="n"/>
      <c r="O556" s="9" t="n">
        <v>6</v>
      </c>
      <c r="P556" s="13" t="n">
        <v>37749</v>
      </c>
      <c r="Q556" s="13" t="n">
        <v>39494.4</v>
      </c>
      <c r="R556" s="14">
        <f>IFERROR(P556/Q556,"")</f>
        <v/>
      </c>
      <c r="S556" s="15" t="n">
        <v>0.9590000000000001</v>
      </c>
      <c r="T556" s="9">
        <f>IF(R556&gt;1,"A corregir","Válida")</f>
        <v/>
      </c>
      <c r="U556" s="13">
        <f>Q556-P556</f>
        <v/>
      </c>
      <c r="V556" s="13">
        <f>IF(S556="",0,S556*Q556)</f>
        <v/>
      </c>
      <c r="W556" s="9" t="n">
        <v>2026</v>
      </c>
      <c r="X556" s="9" t="n">
        <v>25</v>
      </c>
      <c r="Y556" s="9" t="inlineStr">
        <is>
          <t>2026-S25</t>
        </is>
      </c>
    </row>
    <row r="557">
      <c r="A557" s="9" t="n">
        <v>43048733</v>
      </c>
      <c r="B557" s="11" t="n">
        <v>46191.96881944445</v>
      </c>
      <c r="C557" s="12" t="n">
        <v>46191</v>
      </c>
      <c r="D557" s="9">
        <f>YEAR(C557)</f>
        <v/>
      </c>
      <c r="E557" s="9">
        <f>MONTH(C557)</f>
        <v/>
      </c>
      <c r="F557" s="9" t="inlineStr">
        <is>
          <t>Plana</t>
        </is>
      </c>
      <c r="G557" s="9" t="inlineStr">
        <is>
          <t>PLANA 25X3MM 6M A270ES (N)</t>
        </is>
      </c>
      <c r="H557" s="9" t="inlineStr">
        <is>
          <t>PLANA 25X3MM 6M A270ES (N)</t>
        </is>
      </c>
      <c r="I557" s="9" t="inlineStr">
        <is>
          <t>PL 25 x 3</t>
        </is>
      </c>
      <c r="J557" s="9" t="n">
        <v>109013858</v>
      </c>
      <c r="K557" s="9" t="n"/>
      <c r="L557" s="9" t="n">
        <v>25</v>
      </c>
      <c r="M557" s="9" t="n">
        <v>3</v>
      </c>
      <c r="N557" s="9" t="n"/>
      <c r="O557" s="9" t="n">
        <v>6</v>
      </c>
      <c r="P557" s="13" t="n">
        <v>59631</v>
      </c>
      <c r="Q557" s="13" t="n">
        <v>63544.8</v>
      </c>
      <c r="R557" s="14">
        <f>IFERROR(P557/Q557,"")</f>
        <v/>
      </c>
      <c r="S557" s="15" t="n">
        <v>0.968</v>
      </c>
      <c r="T557" s="9">
        <f>IF(R557&gt;1,"A corregir","Válida")</f>
        <v/>
      </c>
      <c r="U557" s="13">
        <f>Q557-P557</f>
        <v/>
      </c>
      <c r="V557" s="13">
        <f>IF(S557="",0,S557*Q557)</f>
        <v/>
      </c>
      <c r="W557" s="9" t="n">
        <v>2026</v>
      </c>
      <c r="X557" s="9" t="n">
        <v>25</v>
      </c>
      <c r="Y557" s="9" t="inlineStr">
        <is>
          <t>2026-S25</t>
        </is>
      </c>
    </row>
    <row r="558">
      <c r="A558" s="9" t="n">
        <v>43048760</v>
      </c>
      <c r="B558" s="11" t="n">
        <v>46192.21212962963</v>
      </c>
      <c r="C558" s="12" t="n">
        <v>46192</v>
      </c>
      <c r="D558" s="9">
        <f>YEAR(C558)</f>
        <v/>
      </c>
      <c r="E558" s="9">
        <f>MONTH(C558)</f>
        <v/>
      </c>
      <c r="F558" s="9" t="inlineStr">
        <is>
          <t>Plana</t>
        </is>
      </c>
      <c r="G558" s="9" t="inlineStr">
        <is>
          <t>PLANA 1"X1/8" X 7,315m ASTM A36 (P)</t>
        </is>
      </c>
      <c r="H558" s="9" t="inlineStr">
        <is>
          <t>PLANA 1"X1/8" X 7,315m ASTM A36 (P)</t>
        </is>
      </c>
      <c r="I558" s="9" t="n"/>
      <c r="J558" s="9" t="n"/>
      <c r="K558" s="9" t="n"/>
      <c r="L558" s="9" t="n">
        <v>25.4</v>
      </c>
      <c r="M558" s="9" t="n">
        <v>3.2</v>
      </c>
      <c r="N558" s="9" t="n"/>
      <c r="O558" s="9" t="n">
        <v>7.315</v>
      </c>
      <c r="P558" s="13" t="n">
        <v>110903</v>
      </c>
      <c r="Q558" s="13" t="n">
        <v>116754</v>
      </c>
      <c r="R558" s="14">
        <f>IFERROR(P558/Q558,"")</f>
        <v/>
      </c>
      <c r="S558" s="15" t="n">
        <v>0.97</v>
      </c>
      <c r="T558" s="9">
        <f>IF(R558&gt;1,"A corregir","Válida")</f>
        <v/>
      </c>
      <c r="U558" s="13">
        <f>Q558-P558</f>
        <v/>
      </c>
      <c r="V558" s="13">
        <f>IF(S558="",0,S558*Q558)</f>
        <v/>
      </c>
      <c r="W558" s="9" t="n">
        <v>2026</v>
      </c>
      <c r="X558" s="9" t="n">
        <v>25</v>
      </c>
      <c r="Y558" s="9" t="inlineStr">
        <is>
          <t>2026-S25</t>
        </is>
      </c>
    </row>
    <row r="559">
      <c r="A559" s="9" t="n">
        <v>43048730</v>
      </c>
      <c r="B559" s="11" t="n">
        <v>46192.96721064814</v>
      </c>
      <c r="C559" s="12" t="n">
        <v>46192</v>
      </c>
      <c r="D559" s="9">
        <f>YEAR(C559)</f>
        <v/>
      </c>
      <c r="E559" s="9">
        <f>MONTH(C559)</f>
        <v/>
      </c>
      <c r="F559" s="9" t="inlineStr">
        <is>
          <t>Redondo liso</t>
        </is>
      </c>
      <c r="G559" s="9" t="inlineStr">
        <is>
          <t>REDONDO LISO 12MM 6M SAE 1020 (N)</t>
        </is>
      </c>
      <c r="H559" s="9" t="inlineStr">
        <is>
          <t>REDONDO LISO 12MM 6M SAE 1020 (N)</t>
        </is>
      </c>
      <c r="I559" s="9" t="inlineStr">
        <is>
          <t>RED 12</t>
        </is>
      </c>
      <c r="J559" s="9" t="n">
        <v>109007067</v>
      </c>
      <c r="K559" s="9" t="n">
        <v>12</v>
      </c>
      <c r="L559" s="9" t="n"/>
      <c r="M559" s="9" t="n"/>
      <c r="N559" s="9" t="n"/>
      <c r="O559" s="9" t="n">
        <v>6</v>
      </c>
      <c r="P559" s="13" t="n">
        <v>371541</v>
      </c>
      <c r="Q559" s="13" t="n">
        <v>390456</v>
      </c>
      <c r="R559" s="14">
        <f>IFERROR(P559/Q559,"")</f>
        <v/>
      </c>
      <c r="S559" s="15" t="n">
        <v>0.9590000000000001</v>
      </c>
      <c r="T559" s="9">
        <f>IF(R559&gt;1,"A corregir","Válida")</f>
        <v/>
      </c>
      <c r="U559" s="13">
        <f>Q559-P559</f>
        <v/>
      </c>
      <c r="V559" s="13">
        <f>IF(S559="",0,S559*Q559)</f>
        <v/>
      </c>
      <c r="W559" s="9" t="n">
        <v>2026</v>
      </c>
      <c r="X559" s="9" t="n">
        <v>25</v>
      </c>
      <c r="Y559" s="9" t="inlineStr">
        <is>
          <t>2026-S25</t>
        </is>
      </c>
    </row>
    <row r="560">
      <c r="A560" s="9" t="n">
        <v>43048731</v>
      </c>
      <c r="B560" s="11" t="n">
        <v>46194.04009259259</v>
      </c>
      <c r="C560" s="12" t="n">
        <v>46194</v>
      </c>
      <c r="D560" s="9">
        <f>YEAR(C560)</f>
        <v/>
      </c>
      <c r="E560" s="9">
        <f>MONTH(C560)</f>
        <v/>
      </c>
      <c r="F560" s="9" t="inlineStr">
        <is>
          <t>Redondo liso</t>
        </is>
      </c>
      <c r="G560" s="9" t="inlineStr">
        <is>
          <t>REDONDO LISO 1/2' 6M SAE 1045 (N)</t>
        </is>
      </c>
      <c r="H560" s="9" t="inlineStr">
        <is>
          <t>REDONDO LISO 1/2' 6M SAE 1045 (N)</t>
        </is>
      </c>
      <c r="I560" s="9" t="inlineStr">
        <is>
          <t>RED 1/2"</t>
        </is>
      </c>
      <c r="J560" s="9" t="n">
        <v>109006879</v>
      </c>
      <c r="K560" s="9" t="n">
        <v>12.7</v>
      </c>
      <c r="L560" s="9" t="n"/>
      <c r="M560" s="9" t="n"/>
      <c r="N560" s="9" t="n"/>
      <c r="O560" s="9" t="n">
        <v>6</v>
      </c>
      <c r="P560" s="13" t="n">
        <v>31926</v>
      </c>
      <c r="Q560" s="13" t="n">
        <v>33686.4</v>
      </c>
      <c r="R560" s="14">
        <f>IFERROR(P560/Q560,"")</f>
        <v/>
      </c>
      <c r="S560" s="15" t="n">
        <v>0.96</v>
      </c>
      <c r="T560" s="9">
        <f>IF(R560&gt;1,"A corregir","Válida")</f>
        <v/>
      </c>
      <c r="U560" s="13">
        <f>Q560-P560</f>
        <v/>
      </c>
      <c r="V560" s="13">
        <f>IF(S560="",0,S560*Q560)</f>
        <v/>
      </c>
      <c r="W560" s="9" t="n">
        <v>2026</v>
      </c>
      <c r="X560" s="9" t="n">
        <v>25</v>
      </c>
      <c r="Y560" s="9" t="inlineStr">
        <is>
          <t>2026-S25</t>
        </is>
      </c>
    </row>
    <row r="561">
      <c r="A561" s="9" t="n">
        <v>43048801</v>
      </c>
      <c r="B561" s="11" t="n">
        <v>46194.11355324074</v>
      </c>
      <c r="C561" s="12" t="n">
        <v>46194</v>
      </c>
      <c r="D561" s="9">
        <f>YEAR(C561)</f>
        <v/>
      </c>
      <c r="E561" s="9">
        <f>MONTH(C561)</f>
        <v/>
      </c>
      <c r="F561" s="9" t="inlineStr">
        <is>
          <t>Redondo liso</t>
        </is>
      </c>
      <c r="G561" s="9" t="inlineStr">
        <is>
          <t>REDONDO LISO 1/2' 6M ASTM A 36 (N)</t>
        </is>
      </c>
      <c r="H561" s="9" t="inlineStr">
        <is>
          <t>REDONDO LISO 1/2' 6M ASTM A 36 (N)</t>
        </is>
      </c>
      <c r="I561" s="9" t="inlineStr">
        <is>
          <t>RED 1/2"</t>
        </is>
      </c>
      <c r="J561" s="9" t="n">
        <v>109006907</v>
      </c>
      <c r="K561" s="9" t="n">
        <v>12.7</v>
      </c>
      <c r="L561" s="9" t="n"/>
      <c r="M561" s="9" t="n"/>
      <c r="N561" s="9" t="n"/>
      <c r="O561" s="9" t="n">
        <v>6</v>
      </c>
      <c r="P561" s="13" t="n">
        <v>25485</v>
      </c>
      <c r="Q561" s="13" t="n">
        <v>26796</v>
      </c>
      <c r="R561" s="14">
        <f>IFERROR(P561/Q561,"")</f>
        <v/>
      </c>
      <c r="S561" s="15" t="n">
        <v>0.96</v>
      </c>
      <c r="T561" s="9">
        <f>IF(R561&gt;1,"A corregir","Válida")</f>
        <v/>
      </c>
      <c r="U561" s="13">
        <f>Q561-P561</f>
        <v/>
      </c>
      <c r="V561" s="13">
        <f>IF(S561="",0,S561*Q561)</f>
        <v/>
      </c>
      <c r="W561" s="9" t="n">
        <v>2026</v>
      </c>
      <c r="X561" s="9" t="n">
        <v>25</v>
      </c>
      <c r="Y561" s="9" t="inlineStr">
        <is>
          <t>2026-S25</t>
        </is>
      </c>
    </row>
    <row r="562">
      <c r="A562" s="9" t="n">
        <v>43048728</v>
      </c>
      <c r="B562" s="11" t="n">
        <v>46194.21114583333</v>
      </c>
      <c r="C562" s="12" t="n">
        <v>46194</v>
      </c>
      <c r="D562" s="9">
        <f>YEAR(C562)</f>
        <v/>
      </c>
      <c r="E562" s="9">
        <f>MONTH(C562)</f>
        <v/>
      </c>
      <c r="F562" s="9" t="inlineStr">
        <is>
          <t>Plana</t>
        </is>
      </c>
      <c r="G562" s="9" t="inlineStr">
        <is>
          <t>PLANA 18X8MM 6M COMERCIAL (N)</t>
        </is>
      </c>
      <c r="H562" s="9" t="inlineStr">
        <is>
          <t>PLANA 18X8MM 6M COMERCIAL (N)</t>
        </is>
      </c>
      <c r="I562" s="9" t="inlineStr">
        <is>
          <t>PL 18 x 8</t>
        </is>
      </c>
      <c r="J562" s="9" t="n">
        <v>109007087</v>
      </c>
      <c r="K562" s="9" t="n"/>
      <c r="L562" s="9" t="n">
        <v>18</v>
      </c>
      <c r="M562" s="9" t="n">
        <v>8</v>
      </c>
      <c r="N562" s="9" t="n"/>
      <c r="O562" s="9" t="n">
        <v>6</v>
      </c>
      <c r="P562" s="13" t="n">
        <v>32844</v>
      </c>
      <c r="Q562" s="13" t="n">
        <v>34452</v>
      </c>
      <c r="R562" s="14">
        <f>IFERROR(P562/Q562,"")</f>
        <v/>
      </c>
      <c r="S562" s="15" t="n">
        <v>0.966</v>
      </c>
      <c r="T562" s="9">
        <f>IF(R562&gt;1,"A corregir","Válida")</f>
        <v/>
      </c>
      <c r="U562" s="13">
        <f>Q562-P562</f>
        <v/>
      </c>
      <c r="V562" s="13">
        <f>IF(S562="",0,S562*Q562)</f>
        <v/>
      </c>
      <c r="W562" s="9" t="n">
        <v>2026</v>
      </c>
      <c r="X562" s="9" t="n">
        <v>25</v>
      </c>
      <c r="Y562" s="9" t="inlineStr">
        <is>
          <t>2026-S25</t>
        </is>
      </c>
    </row>
    <row r="563">
      <c r="A563" s="9" t="n">
        <v>43048729</v>
      </c>
      <c r="B563" s="11" t="n">
        <v>46195.04269675926</v>
      </c>
      <c r="C563" s="12" t="n">
        <v>46195</v>
      </c>
      <c r="D563" s="9">
        <f>YEAR(C563)</f>
        <v/>
      </c>
      <c r="E563" s="9">
        <f>MONTH(C563)</f>
        <v/>
      </c>
      <c r="F563" s="9" t="inlineStr">
        <is>
          <t>Plana</t>
        </is>
      </c>
      <c r="G563" s="9" t="inlineStr">
        <is>
          <t>PLANA 25X5MM 6M A270ES (N)</t>
        </is>
      </c>
      <c r="H563" s="9" t="inlineStr">
        <is>
          <t>PLANA 25X5MM 6M A270ES (N)</t>
        </is>
      </c>
      <c r="I563" s="9" t="inlineStr">
        <is>
          <t>PL 25 x 5</t>
        </is>
      </c>
      <c r="J563" s="9" t="n">
        <v>109013945</v>
      </c>
      <c r="K563" s="9" t="n"/>
      <c r="L563" s="9" t="n">
        <v>25</v>
      </c>
      <c r="M563" s="9" t="n">
        <v>5</v>
      </c>
      <c r="N563" s="9" t="n"/>
      <c r="O563" s="9" t="n">
        <v>6</v>
      </c>
      <c r="P563" s="13" t="n">
        <v>44026</v>
      </c>
      <c r="Q563" s="13" t="n">
        <v>45936</v>
      </c>
      <c r="R563" s="14">
        <f>IFERROR(P563/Q563,"")</f>
        <v/>
      </c>
      <c r="S563" s="15" t="n">
        <v>0.965</v>
      </c>
      <c r="T563" s="9">
        <f>IF(R563&gt;1,"A corregir","Válida")</f>
        <v/>
      </c>
      <c r="U563" s="13">
        <f>Q563-P563</f>
        <v/>
      </c>
      <c r="V563" s="13">
        <f>IF(S563="",0,S563*Q563)</f>
        <v/>
      </c>
      <c r="W563" s="9" t="n">
        <v>2026</v>
      </c>
      <c r="X563" s="9" t="n">
        <v>26</v>
      </c>
      <c r="Y563" s="9" t="inlineStr">
        <is>
          <t>2026-S26</t>
        </is>
      </c>
    </row>
    <row r="564">
      <c r="A564" s="9" t="n">
        <v>43048727</v>
      </c>
      <c r="B564" s="11" t="n">
        <v>46195.20649305556</v>
      </c>
      <c r="C564" s="12" t="n">
        <v>46195</v>
      </c>
      <c r="D564" s="9">
        <f>YEAR(C564)</f>
        <v/>
      </c>
      <c r="E564" s="9">
        <f>MONTH(C564)</f>
        <v/>
      </c>
      <c r="F564" s="9" t="inlineStr">
        <is>
          <t>Plana</t>
        </is>
      </c>
      <c r="G564" s="9" t="inlineStr">
        <is>
          <t>PLANA 32X3MM 6M A270ES (N)</t>
        </is>
      </c>
      <c r="H564" s="9" t="inlineStr">
        <is>
          <t>PLANA 32X3MM 6M A270ES (N)</t>
        </is>
      </c>
      <c r="I564" s="9" t="inlineStr">
        <is>
          <t>PL 32 x 3</t>
        </is>
      </c>
      <c r="J564" s="9" t="n">
        <v>109013879</v>
      </c>
      <c r="K564" s="9" t="n"/>
      <c r="L564" s="9" t="n">
        <v>32</v>
      </c>
      <c r="M564" s="9" t="n">
        <v>3</v>
      </c>
      <c r="N564" s="9" t="n"/>
      <c r="O564" s="9" t="n">
        <v>6</v>
      </c>
      <c r="P564" s="13" t="n">
        <v>115692</v>
      </c>
      <c r="Q564" s="13" t="n">
        <v>122113.2</v>
      </c>
      <c r="R564" s="14">
        <f>IFERROR(P564/Q564,"")</f>
        <v/>
      </c>
      <c r="S564" s="15" t="n">
        <v>0.966</v>
      </c>
      <c r="T564" s="9">
        <f>IF(R564&gt;1,"A corregir","Válida")</f>
        <v/>
      </c>
      <c r="U564" s="13">
        <f>Q564-P564</f>
        <v/>
      </c>
      <c r="V564" s="13">
        <f>IF(S564="",0,S564*Q564)</f>
        <v/>
      </c>
      <c r="W564" s="9" t="n">
        <v>2026</v>
      </c>
      <c r="X564" s="9" t="n">
        <v>26</v>
      </c>
      <c r="Y564" s="9" t="inlineStr">
        <is>
          <t>2026-S26</t>
        </is>
      </c>
    </row>
    <row r="565">
      <c r="A565" s="9" t="n">
        <v>43048762</v>
      </c>
      <c r="B565" s="11" t="n">
        <v>46195.97068287037</v>
      </c>
      <c r="C565" s="12" t="n">
        <v>46195</v>
      </c>
      <c r="D565" s="9">
        <f>YEAR(C565)</f>
        <v/>
      </c>
      <c r="E565" s="9">
        <f>MONTH(C565)</f>
        <v/>
      </c>
      <c r="F565" s="9" t="inlineStr">
        <is>
          <t>Ángulo</t>
        </is>
      </c>
      <c r="G565" s="9" t="inlineStr">
        <is>
          <t>ANGULO 40X40X5MM A270ES</t>
        </is>
      </c>
      <c r="H565" s="9" t="inlineStr">
        <is>
          <t>ANGULO SEMI 40X40X5MM A270ES</t>
        </is>
      </c>
      <c r="I565" s="9" t="inlineStr">
        <is>
          <t>ANG 40 x 5</t>
        </is>
      </c>
      <c r="J565" s="9" t="n">
        <v>106501035</v>
      </c>
      <c r="K565" s="9" t="n"/>
      <c r="L565" s="9" t="n">
        <v>40</v>
      </c>
      <c r="M565" s="9" t="n">
        <v>5</v>
      </c>
      <c r="N565" s="9" t="n"/>
      <c r="O565" s="9" t="n">
        <v>6</v>
      </c>
      <c r="P565" s="13" t="n">
        <v>50458</v>
      </c>
      <c r="Q565" s="13" t="n">
        <v>54304.8</v>
      </c>
      <c r="R565" s="14">
        <f>IFERROR(P565/Q565,"")</f>
        <v/>
      </c>
      <c r="S565" s="15" t="n">
        <v>0.9540000000000001</v>
      </c>
      <c r="T565" s="9">
        <f>IF(R565&gt;1,"A corregir","Válida")</f>
        <v/>
      </c>
      <c r="U565" s="13">
        <f>Q565-P565</f>
        <v/>
      </c>
      <c r="V565" s="13">
        <f>IF(S565="",0,S565*Q565)</f>
        <v/>
      </c>
      <c r="W565" s="9" t="n">
        <v>2026</v>
      </c>
      <c r="X565" s="9" t="n">
        <v>26</v>
      </c>
      <c r="Y565" s="9" t="inlineStr">
        <is>
          <t>2026-S26</t>
        </is>
      </c>
    </row>
    <row r="566">
      <c r="A566" s="9" t="n">
        <v>43048763</v>
      </c>
      <c r="B566" s="11" t="n">
        <v>46196.10709490741</v>
      </c>
      <c r="C566" s="12" t="n">
        <v>46196</v>
      </c>
      <c r="D566" s="9">
        <f>YEAR(C566)</f>
        <v/>
      </c>
      <c r="E566" s="9">
        <f>MONTH(C566)</f>
        <v/>
      </c>
      <c r="F566" s="9" t="inlineStr">
        <is>
          <t>Ángulo</t>
        </is>
      </c>
      <c r="G566" s="9" t="inlineStr">
        <is>
          <t>ANGULO 40X40X4MM A270ES</t>
        </is>
      </c>
      <c r="H566" s="9" t="inlineStr">
        <is>
          <t>ANGULO SEMI 40X40X4MM A270ES</t>
        </is>
      </c>
      <c r="I566" s="9" t="inlineStr">
        <is>
          <t>ANG 40 x 4</t>
        </is>
      </c>
      <c r="J566" s="9" t="n">
        <v>106501034</v>
      </c>
      <c r="K566" s="9" t="n"/>
      <c r="L566" s="9" t="n">
        <v>40</v>
      </c>
      <c r="M566" s="9" t="n">
        <v>4</v>
      </c>
      <c r="N566" s="9" t="n"/>
      <c r="O566" s="9" t="n">
        <v>6</v>
      </c>
      <c r="P566" s="13" t="n">
        <v>65957</v>
      </c>
      <c r="Q566" s="13" t="n">
        <v>70461.60000000001</v>
      </c>
      <c r="R566" s="14">
        <f>IFERROR(P566/Q566,"")</f>
        <v/>
      </c>
      <c r="S566" s="15" t="n">
        <v>0.953</v>
      </c>
      <c r="T566" s="9">
        <f>IF(R566&gt;1,"A corregir","Válida")</f>
        <v/>
      </c>
      <c r="U566" s="13">
        <f>Q566-P566</f>
        <v/>
      </c>
      <c r="V566" s="13">
        <f>IF(S566="",0,S566*Q566)</f>
        <v/>
      </c>
      <c r="W566" s="9" t="n">
        <v>2026</v>
      </c>
      <c r="X566" s="9" t="n">
        <v>26</v>
      </c>
      <c r="Y566" s="9" t="inlineStr">
        <is>
          <t>2026-S26</t>
        </is>
      </c>
    </row>
    <row r="567">
      <c r="A567" s="9" t="n">
        <v>43048764</v>
      </c>
      <c r="B567" s="11" t="n">
        <v>46196.3421875</v>
      </c>
      <c r="C567" s="12" t="n">
        <v>46196</v>
      </c>
      <c r="D567" s="9">
        <f>YEAR(C567)</f>
        <v/>
      </c>
      <c r="E567" s="9">
        <f>MONTH(C567)</f>
        <v/>
      </c>
      <c r="F567" s="9" t="inlineStr">
        <is>
          <t>Ángulo</t>
        </is>
      </c>
      <c r="G567" s="9" t="inlineStr">
        <is>
          <t>ANGULO 40X40X3MM A270ES</t>
        </is>
      </c>
      <c r="H567" s="9" t="inlineStr">
        <is>
          <t>ANGULO SEMI 40X40X3MM A270ES</t>
        </is>
      </c>
      <c r="I567" s="9" t="inlineStr">
        <is>
          <t>ANG 40 x 3</t>
        </is>
      </c>
      <c r="J567" s="9" t="n">
        <v>106501033</v>
      </c>
      <c r="K567" s="9" t="n"/>
      <c r="L567" s="9" t="n">
        <v>40</v>
      </c>
      <c r="M567" s="9" t="n">
        <v>3</v>
      </c>
      <c r="N567" s="9" t="n"/>
      <c r="O567" s="9" t="n">
        <v>6</v>
      </c>
      <c r="P567" s="13" t="n">
        <v>187695</v>
      </c>
      <c r="Q567" s="13" t="n">
        <v>195676.8</v>
      </c>
      <c r="R567" s="14">
        <f>IFERROR(P567/Q567,"")</f>
        <v/>
      </c>
      <c r="S567" s="15" t="n">
        <v>0.9570000000000001</v>
      </c>
      <c r="T567" s="9">
        <f>IF(R567&gt;1,"A corregir","Válida")</f>
        <v/>
      </c>
      <c r="U567" s="13">
        <f>Q567-P567</f>
        <v/>
      </c>
      <c r="V567" s="13">
        <f>IF(S567="",0,S567*Q567)</f>
        <v/>
      </c>
      <c r="W567" s="9" t="n">
        <v>2026</v>
      </c>
      <c r="X567" s="9" t="n">
        <v>26</v>
      </c>
      <c r="Y567" s="9" t="inlineStr">
        <is>
          <t>2026-S26</t>
        </is>
      </c>
    </row>
    <row r="568">
      <c r="A568" s="9" t="n">
        <v>43048765</v>
      </c>
      <c r="B568" s="11" t="n">
        <v>46196.99577546296</v>
      </c>
      <c r="C568" s="12" t="n">
        <v>46196</v>
      </c>
      <c r="D568" s="9">
        <f>YEAR(C568)</f>
        <v/>
      </c>
      <c r="E568" s="9">
        <f>MONTH(C568)</f>
        <v/>
      </c>
      <c r="F568" s="9" t="inlineStr">
        <is>
          <t>Saferock</t>
        </is>
      </c>
      <c r="G568" s="9" t="inlineStr">
        <is>
          <t>SAFEROCK 22MM 9,6M A280</t>
        </is>
      </c>
      <c r="H568" s="9" t="inlineStr">
        <is>
          <t>SAFEROCK SEMI 22MM 9,6M A280</t>
        </is>
      </c>
      <c r="I568" s="9" t="inlineStr">
        <is>
          <t>SFRCK 22</t>
        </is>
      </c>
      <c r="J568" s="9" t="n">
        <v>106503248</v>
      </c>
      <c r="K568" s="9" t="n">
        <v>22</v>
      </c>
      <c r="L568" s="9" t="n"/>
      <c r="M568" s="9" t="n"/>
      <c r="N568" s="9" t="n"/>
      <c r="O568" s="9" t="n">
        <v>9.6</v>
      </c>
      <c r="P568" s="13" t="n">
        <v>103139</v>
      </c>
      <c r="Q568" s="13" t="n">
        <v>108609.6</v>
      </c>
      <c r="R568" s="14">
        <f>IFERROR(P568/Q568,"")</f>
        <v/>
      </c>
      <c r="S568" s="15" t="n">
        <v>0.9570000000000001</v>
      </c>
      <c r="T568" s="9">
        <f>IF(R568&gt;1,"A corregir","Válida")</f>
        <v/>
      </c>
      <c r="U568" s="13">
        <f>Q568-P568</f>
        <v/>
      </c>
      <c r="V568" s="13">
        <f>IF(S568="",0,S568*Q568)</f>
        <v/>
      </c>
      <c r="W568" s="9" t="n">
        <v>2026</v>
      </c>
      <c r="X568" s="9" t="n">
        <v>26</v>
      </c>
      <c r="Y568" s="9" t="inlineStr">
        <is>
          <t>2026-S26</t>
        </is>
      </c>
    </row>
    <row r="569">
      <c r="A569" s="9" t="n">
        <v>43048766</v>
      </c>
      <c r="B569" s="11" t="n">
        <v>46197.18341435185</v>
      </c>
      <c r="C569" s="12" t="n">
        <v>46197</v>
      </c>
      <c r="D569" s="9">
        <f>YEAR(C569)</f>
        <v/>
      </c>
      <c r="E569" s="9">
        <f>MONTH(C569)</f>
        <v/>
      </c>
      <c r="F569" s="9" t="inlineStr">
        <is>
          <t>Saferock</t>
        </is>
      </c>
      <c r="G569" s="9" t="inlineStr">
        <is>
          <t>SAFEROCK 22MM 10M A280</t>
        </is>
      </c>
      <c r="H569" s="9" t="inlineStr">
        <is>
          <t>SAFEROCK SEMI 22MM 10M A280</t>
        </is>
      </c>
      <c r="I569" s="9" t="inlineStr">
        <is>
          <t>SFRCK 22</t>
        </is>
      </c>
      <c r="J569" s="9" t="n">
        <v>106043322</v>
      </c>
      <c r="K569" s="9" t="n">
        <v>22</v>
      </c>
      <c r="L569" s="9" t="n"/>
      <c r="M569" s="9" t="n"/>
      <c r="N569" s="9" t="n"/>
      <c r="O569" s="9" t="n">
        <v>10</v>
      </c>
      <c r="P569" s="13" t="n">
        <v>74081</v>
      </c>
      <c r="Q569" s="13" t="n">
        <v>78988.8</v>
      </c>
      <c r="R569" s="14">
        <f>IFERROR(P569/Q569,"")</f>
        <v/>
      </c>
      <c r="S569" s="15" t="n">
        <v>0.953</v>
      </c>
      <c r="T569" s="9">
        <f>IF(R569&gt;1,"A corregir","Válida")</f>
        <v/>
      </c>
      <c r="U569" s="13">
        <f>Q569-P569</f>
        <v/>
      </c>
      <c r="V569" s="13">
        <f>IF(S569="",0,S569*Q569)</f>
        <v/>
      </c>
      <c r="W569" s="9" t="n">
        <v>2026</v>
      </c>
      <c r="X569" s="9" t="n">
        <v>26</v>
      </c>
      <c r="Y569" s="9" t="inlineStr">
        <is>
          <t>2026-S26</t>
        </is>
      </c>
    </row>
    <row r="570">
      <c r="A570" s="9" t="n">
        <v>43048767</v>
      </c>
      <c r="B570" s="11" t="n">
        <v>46197.3412962963</v>
      </c>
      <c r="C570" s="12" t="n">
        <v>46197</v>
      </c>
      <c r="D570" s="9">
        <f>YEAR(C570)</f>
        <v/>
      </c>
      <c r="E570" s="9">
        <f>MONTH(C570)</f>
        <v/>
      </c>
      <c r="F570" s="9" t="inlineStr">
        <is>
          <t>Saferock</t>
        </is>
      </c>
      <c r="G570" s="9" t="inlineStr">
        <is>
          <t>SAFEROCK 22MM 10,5M A280</t>
        </is>
      </c>
      <c r="H570" s="9" t="inlineStr">
        <is>
          <t>SAFEROCK SEMI 22MM 10,5M A280</t>
        </is>
      </c>
      <c r="I570" s="9" t="inlineStr">
        <is>
          <t>SFRCK 22</t>
        </is>
      </c>
      <c r="J570" s="9" t="n">
        <v>106501802</v>
      </c>
      <c r="K570" s="9" t="n">
        <v>22</v>
      </c>
      <c r="L570" s="9" t="n"/>
      <c r="M570" s="9" t="n"/>
      <c r="N570" s="9" t="n"/>
      <c r="O570" s="9" t="n">
        <v>10.5</v>
      </c>
      <c r="P570" s="13" t="n">
        <v>30998</v>
      </c>
      <c r="Q570" s="13" t="n">
        <v>32524.8</v>
      </c>
      <c r="R570" s="14">
        <f>IFERROR(P570/Q570,"")</f>
        <v/>
      </c>
      <c r="S570" s="15" t="n">
        <v>0.958</v>
      </c>
      <c r="T570" s="9">
        <f>IF(R570&gt;1,"A corregir","Válida")</f>
        <v/>
      </c>
      <c r="U570" s="13">
        <f>Q570-P570</f>
        <v/>
      </c>
      <c r="V570" s="13">
        <f>IF(S570="",0,S570*Q570)</f>
        <v/>
      </c>
      <c r="W570" s="9" t="n">
        <v>2026</v>
      </c>
      <c r="X570" s="9" t="n">
        <v>26</v>
      </c>
      <c r="Y570" s="9" t="inlineStr">
        <is>
          <t>2026-S26</t>
        </is>
      </c>
    </row>
    <row r="571">
      <c r="A571" s="9" t="n">
        <v>43048768</v>
      </c>
      <c r="B571" s="11" t="n">
        <v>46197.40092592593</v>
      </c>
      <c r="C571" s="12" t="n">
        <v>46197</v>
      </c>
      <c r="D571" s="9">
        <f>YEAR(C571)</f>
        <v/>
      </c>
      <c r="E571" s="9">
        <f>MONTH(C571)</f>
        <v/>
      </c>
      <c r="F571" s="9" t="inlineStr">
        <is>
          <t>Saferock</t>
        </is>
      </c>
      <c r="G571" s="9" t="inlineStr">
        <is>
          <t>SAFEROCK 22MM 12M A280</t>
        </is>
      </c>
      <c r="H571" s="9" t="inlineStr">
        <is>
          <t>SAFEROCK SEMI 22MM 12M A280</t>
        </is>
      </c>
      <c r="I571" s="9" t="inlineStr">
        <is>
          <t>SFRCK 22</t>
        </is>
      </c>
      <c r="J571" s="9" t="n">
        <v>106025569</v>
      </c>
      <c r="K571" s="9" t="n">
        <v>22</v>
      </c>
      <c r="L571" s="9" t="n"/>
      <c r="M571" s="9" t="n"/>
      <c r="N571" s="9" t="n"/>
      <c r="O571" s="9" t="n">
        <v>12</v>
      </c>
      <c r="P571" s="13" t="n">
        <v>166162</v>
      </c>
      <c r="Q571" s="13" t="n">
        <v>173184</v>
      </c>
      <c r="R571" s="14">
        <f>IFERROR(P571/Q571,"")</f>
        <v/>
      </c>
      <c r="S571" s="15" t="n">
        <v>0.9590000000000001</v>
      </c>
      <c r="T571" s="9">
        <f>IF(R571&gt;1,"A corregir","Válida")</f>
        <v/>
      </c>
      <c r="U571" s="13">
        <f>Q571-P571</f>
        <v/>
      </c>
      <c r="V571" s="13">
        <f>IF(S571="",0,S571*Q571)</f>
        <v/>
      </c>
      <c r="W571" s="9" t="n">
        <v>2026</v>
      </c>
      <c r="X571" s="9" t="n">
        <v>26</v>
      </c>
      <c r="Y571" s="9" t="inlineStr">
        <is>
          <t>2026-S26</t>
        </is>
      </c>
    </row>
    <row r="572">
      <c r="A572" s="9" t="n">
        <v>43048769</v>
      </c>
      <c r="B572" s="11" t="n">
        <v>46197.9494675926</v>
      </c>
      <c r="C572" s="12" t="n">
        <v>46197</v>
      </c>
      <c r="D572" s="9">
        <f>YEAR(C572)</f>
        <v/>
      </c>
      <c r="E572" s="9">
        <f>MONTH(C572)</f>
        <v/>
      </c>
      <c r="F572" s="9" t="inlineStr">
        <is>
          <t>Saferock</t>
        </is>
      </c>
      <c r="G572" s="9" t="inlineStr">
        <is>
          <t>SAFEROCK 22MM 12M A280</t>
        </is>
      </c>
      <c r="H572" s="9" t="inlineStr">
        <is>
          <t>SAFEROCK 22MM 12M A280</t>
        </is>
      </c>
      <c r="I572" s="9" t="inlineStr">
        <is>
          <t>SFRCK 22</t>
        </is>
      </c>
      <c r="J572" s="9" t="n">
        <v>106025569</v>
      </c>
      <c r="K572" s="9" t="n">
        <v>22</v>
      </c>
      <c r="L572" s="9" t="n"/>
      <c r="M572" s="9" t="n"/>
      <c r="N572" s="9" t="n"/>
      <c r="O572" s="9" t="n">
        <v>12</v>
      </c>
      <c r="P572" s="13" t="n">
        <v>98892</v>
      </c>
      <c r="Q572" s="13" t="n">
        <v>102220.8</v>
      </c>
      <c r="R572" s="14">
        <f>IFERROR(P572/Q572,"")</f>
        <v/>
      </c>
      <c r="S572" s="15" t="n">
        <v>0.9590000000000001</v>
      </c>
      <c r="T572" s="9">
        <f>IF(R572&gt;1,"A corregir","Válida")</f>
        <v/>
      </c>
      <c r="U572" s="13">
        <f>Q572-P572</f>
        <v/>
      </c>
      <c r="V572" s="13">
        <f>IF(S572="",0,S572*Q572)</f>
        <v/>
      </c>
      <c r="W572" s="9" t="n">
        <v>2026</v>
      </c>
      <c r="X572" s="9" t="n">
        <v>26</v>
      </c>
      <c r="Y572" s="9" t="inlineStr">
        <is>
          <t>2026-S26</t>
        </is>
      </c>
    </row>
    <row r="573">
      <c r="A573" s="9" t="n">
        <v>43048770</v>
      </c>
      <c r="B573" s="11" t="n">
        <v>46198.15251157407</v>
      </c>
      <c r="C573" s="12" t="n">
        <v>46198</v>
      </c>
      <c r="D573" s="9">
        <f>YEAR(C573)</f>
        <v/>
      </c>
      <c r="E573" s="9">
        <f>MONTH(C573)</f>
        <v/>
      </c>
      <c r="F573" s="9" t="inlineStr">
        <is>
          <t>Saferock</t>
        </is>
      </c>
      <c r="G573" s="9" t="inlineStr">
        <is>
          <t>SAFEROCK 22MM 12M A420</t>
        </is>
      </c>
      <c r="H573" s="9" t="inlineStr">
        <is>
          <t>SAFEROCK 22MM 12M A420</t>
        </is>
      </c>
      <c r="I573" s="9" t="inlineStr">
        <is>
          <t>SFRCK 22</t>
        </is>
      </c>
      <c r="J573" s="9" t="n">
        <v>106025567</v>
      </c>
      <c r="K573" s="9" t="n">
        <v>22</v>
      </c>
      <c r="L573" s="9" t="n"/>
      <c r="M573" s="9" t="n"/>
      <c r="N573" s="9" t="n"/>
      <c r="O573" s="9" t="n">
        <v>12</v>
      </c>
      <c r="P573" s="13" t="n">
        <v>161858</v>
      </c>
      <c r="Q573" s="13" t="n">
        <v>171916.8</v>
      </c>
      <c r="R573" s="14">
        <f>IFERROR(P573/Q573,"")</f>
        <v/>
      </c>
      <c r="S573" s="15" t="n">
        <v>0.9590000000000001</v>
      </c>
      <c r="T573" s="9">
        <f>IF(R573&gt;1,"A corregir","Válida")</f>
        <v/>
      </c>
      <c r="U573" s="13">
        <f>Q573-P573</f>
        <v/>
      </c>
      <c r="V573" s="13">
        <f>IF(S573="",0,S573*Q573)</f>
        <v/>
      </c>
      <c r="W573" s="9" t="n">
        <v>2026</v>
      </c>
      <c r="X573" s="9" t="n">
        <v>26</v>
      </c>
      <c r="Y573" s="9" t="inlineStr">
        <is>
          <t>2026-S26</t>
        </is>
      </c>
    </row>
    <row r="574">
      <c r="A574" s="9" t="n">
        <v>43048771</v>
      </c>
      <c r="B574" s="11" t="n">
        <v>46198.50826388889</v>
      </c>
      <c r="C574" s="12" t="n">
        <v>46198</v>
      </c>
      <c r="D574" s="9">
        <f>YEAR(C574)</f>
        <v/>
      </c>
      <c r="E574" s="9">
        <f>MONTH(C574)</f>
        <v/>
      </c>
      <c r="F574" s="9" t="inlineStr">
        <is>
          <t>B Hormigón</t>
        </is>
      </c>
      <c r="G574" s="9" t="inlineStr">
        <is>
          <t>B HORMIGON 22MM 12M A630-420H (N)</t>
        </is>
      </c>
      <c r="H574" s="9" t="inlineStr">
        <is>
          <t>B HORMIGON 22MM 12M A630-420H (N)</t>
        </is>
      </c>
      <c r="I574" s="9" t="inlineStr">
        <is>
          <t>RED 22 CR</t>
        </is>
      </c>
      <c r="J574" s="9" t="n">
        <v>110002948</v>
      </c>
      <c r="K574" s="9" t="n">
        <v>22</v>
      </c>
      <c r="L574" s="9" t="n"/>
      <c r="M574" s="9" t="n"/>
      <c r="N574" s="9" t="n"/>
      <c r="O574" s="9" t="n">
        <v>12</v>
      </c>
      <c r="P574" s="13" t="n">
        <v>332999</v>
      </c>
      <c r="Q574" s="13" t="n">
        <v>353548.8</v>
      </c>
      <c r="R574" s="14">
        <f>IFERROR(P574/Q574,"")</f>
        <v/>
      </c>
      <c r="S574" s="15" t="n">
        <v>0.9740000000000001</v>
      </c>
      <c r="T574" s="9">
        <f>IF(R574&gt;1,"A corregir","Válida")</f>
        <v/>
      </c>
      <c r="U574" s="13">
        <f>Q574-P574</f>
        <v/>
      </c>
      <c r="V574" s="13">
        <f>IF(S574="",0,S574*Q574)</f>
        <v/>
      </c>
      <c r="W574" s="9" t="n">
        <v>2026</v>
      </c>
      <c r="X574" s="9" t="n">
        <v>26</v>
      </c>
      <c r="Y574" s="9" t="inlineStr">
        <is>
          <t>2026-S26</t>
        </is>
      </c>
    </row>
    <row r="575">
      <c r="A575" s="9" t="n">
        <v>43048823</v>
      </c>
      <c r="B575" s="11" t="n">
        <v>46199.33358796296</v>
      </c>
      <c r="C575" s="12" t="n">
        <v>46199</v>
      </c>
      <c r="D575" s="9">
        <f>YEAR(C575)</f>
        <v/>
      </c>
      <c r="E575" s="9">
        <f>MONTH(C575)</f>
        <v/>
      </c>
      <c r="F575" s="9" t="inlineStr">
        <is>
          <t>B Hormigón</t>
        </is>
      </c>
      <c r="G575" s="9" t="inlineStr">
        <is>
          <t>B HORMIGON 22MM 11M A630-420H (N)</t>
        </is>
      </c>
      <c r="H575" s="9" t="inlineStr">
        <is>
          <t>B HORMIGON 22MM 11M A630-420H (N)</t>
        </is>
      </c>
      <c r="I575" s="9" t="inlineStr">
        <is>
          <t>RED 22 CR</t>
        </is>
      </c>
      <c r="J575" s="9" t="n">
        <v>110002949</v>
      </c>
      <c r="K575" s="9" t="n">
        <v>22</v>
      </c>
      <c r="L575" s="9" t="n"/>
      <c r="M575" s="9" t="n"/>
      <c r="N575" s="9" t="n"/>
      <c r="O575" s="9" t="n">
        <v>11</v>
      </c>
      <c r="P575" s="13" t="n">
        <v>81266</v>
      </c>
      <c r="Q575" s="13" t="n">
        <v>85522.8</v>
      </c>
      <c r="R575" s="14">
        <f>IFERROR(P575/Q575,"")</f>
        <v/>
      </c>
      <c r="S575" s="15" t="n">
        <v>0.9740000000000001</v>
      </c>
      <c r="T575" s="9">
        <f>IF(R575&gt;1,"A corregir","Válida")</f>
        <v/>
      </c>
      <c r="U575" s="13">
        <f>Q575-P575</f>
        <v/>
      </c>
      <c r="V575" s="13">
        <f>IF(S575="",0,S575*Q575)</f>
        <v/>
      </c>
      <c r="W575" s="9" t="n">
        <v>2026</v>
      </c>
      <c r="X575" s="9" t="n">
        <v>26</v>
      </c>
      <c r="Y575" s="9" t="inlineStr">
        <is>
          <t>2026-S26</t>
        </is>
      </c>
    </row>
    <row r="576">
      <c r="A576" s="9" t="n">
        <v>43048824</v>
      </c>
      <c r="B576" s="11" t="n">
        <v>46199.49399305556</v>
      </c>
      <c r="C576" s="12" t="n">
        <v>46199</v>
      </c>
      <c r="D576" s="9">
        <f>YEAR(C576)</f>
        <v/>
      </c>
      <c r="E576" s="9">
        <f>MONTH(C576)</f>
        <v/>
      </c>
      <c r="F576" s="9" t="inlineStr">
        <is>
          <t>B Hormigón</t>
        </is>
      </c>
      <c r="G576" s="9" t="inlineStr">
        <is>
          <t>B HORMIGON 22MM 10M A630-420H (N)</t>
        </is>
      </c>
      <c r="H576" s="9" t="inlineStr">
        <is>
          <t>B HORMIGON 22MM 10M A630-420H (N)</t>
        </is>
      </c>
      <c r="I576" s="9" t="inlineStr">
        <is>
          <t>RED 22 CR</t>
        </is>
      </c>
      <c r="J576" s="9" t="n">
        <v>110002950</v>
      </c>
      <c r="K576" s="9" t="n">
        <v>22</v>
      </c>
      <c r="L576" s="9" t="n"/>
      <c r="M576" s="9" t="n"/>
      <c r="N576" s="9" t="n"/>
      <c r="O576" s="9" t="n">
        <v>10</v>
      </c>
      <c r="P576" s="13" t="n">
        <v>112321</v>
      </c>
      <c r="Q576" s="13" t="n">
        <v>118047.6</v>
      </c>
      <c r="R576" s="14">
        <f>IFERROR(P576/Q576,"")</f>
        <v/>
      </c>
      <c r="S576" s="15" t="n">
        <v>0.9740000000000001</v>
      </c>
      <c r="T576" s="9">
        <f>IF(R576&gt;1,"A corregir","Válida")</f>
        <v/>
      </c>
      <c r="U576" s="13">
        <f>Q576-P576</f>
        <v/>
      </c>
      <c r="V576" s="13">
        <f>IF(S576="",0,S576*Q576)</f>
        <v/>
      </c>
      <c r="W576" s="9" t="n">
        <v>2026</v>
      </c>
      <c r="X576" s="9" t="n">
        <v>26</v>
      </c>
      <c r="Y576" s="9" t="inlineStr">
        <is>
          <t>2026-S26</t>
        </is>
      </c>
    </row>
    <row r="577">
      <c r="A577" s="9" t="n">
        <v>43048825</v>
      </c>
      <c r="B577" s="11" t="n">
        <v>46199.70782407407</v>
      </c>
      <c r="C577" s="12" t="n">
        <v>46199</v>
      </c>
      <c r="D577" s="9">
        <f>YEAR(C577)</f>
        <v/>
      </c>
      <c r="E577" s="9">
        <f>MONTH(C577)</f>
        <v/>
      </c>
      <c r="F577" s="9" t="inlineStr">
        <is>
          <t>B Hormigón</t>
        </is>
      </c>
      <c r="G577" s="9" t="inlineStr">
        <is>
          <t>B HORMIGON 22MM 9M A630-420H (N)</t>
        </is>
      </c>
      <c r="H577" s="9" t="inlineStr">
        <is>
          <t>B HORMIGON 22MM 9M A630-420H (N)</t>
        </is>
      </c>
      <c r="I577" s="9" t="inlineStr">
        <is>
          <t>RED 22 CR</t>
        </is>
      </c>
      <c r="J577" s="9" t="n">
        <v>110002944</v>
      </c>
      <c r="K577" s="9" t="n">
        <v>22</v>
      </c>
      <c r="L577" s="9" t="n"/>
      <c r="M577" s="9" t="n"/>
      <c r="N577" s="9" t="n"/>
      <c r="O577" s="9" t="n">
        <v>9</v>
      </c>
      <c r="P577" s="13" t="n">
        <v>160003</v>
      </c>
      <c r="Q577" s="13" t="n">
        <v>168300</v>
      </c>
      <c r="R577" s="14">
        <f>IFERROR(P577/Q577,"")</f>
        <v/>
      </c>
      <c r="S577" s="15" t="n">
        <v>0.9740000000000001</v>
      </c>
      <c r="T577" s="9">
        <f>IF(R577&gt;1,"A corregir","Válida")</f>
        <v/>
      </c>
      <c r="U577" s="13">
        <f>Q577-P577</f>
        <v/>
      </c>
      <c r="V577" s="13">
        <f>IF(S577="",0,S577*Q577)</f>
        <v/>
      </c>
      <c r="W577" s="9" t="n">
        <v>2026</v>
      </c>
      <c r="X577" s="9" t="n">
        <v>26</v>
      </c>
      <c r="Y577" s="9" t="inlineStr">
        <is>
          <t>2026-S26</t>
        </is>
      </c>
    </row>
    <row r="578">
      <c r="A578" s="9" t="n">
        <v>43048826</v>
      </c>
      <c r="B578" s="11" t="n">
        <v>46200.18487268518</v>
      </c>
      <c r="C578" s="12" t="n">
        <v>46200</v>
      </c>
      <c r="D578" s="9">
        <f>YEAR(C578)</f>
        <v/>
      </c>
      <c r="E578" s="9">
        <f>MONTH(C578)</f>
        <v/>
      </c>
      <c r="F578" s="9" t="inlineStr">
        <is>
          <t>B Hormigón</t>
        </is>
      </c>
      <c r="G578" s="9" t="inlineStr">
        <is>
          <t>B HORMIGON 22MM 8M A630-420H (N)</t>
        </is>
      </c>
      <c r="H578" s="9" t="inlineStr">
        <is>
          <t>B HORMIGON 22MM 8M A630-420H (N)</t>
        </is>
      </c>
      <c r="I578" s="9" t="inlineStr">
        <is>
          <t>RED 22 CR</t>
        </is>
      </c>
      <c r="J578" s="9" t="n">
        <v>110002945</v>
      </c>
      <c r="K578" s="9" t="n">
        <v>22</v>
      </c>
      <c r="L578" s="9" t="n"/>
      <c r="M578" s="9" t="n"/>
      <c r="N578" s="9" t="n"/>
      <c r="O578" s="9" t="n">
        <v>8</v>
      </c>
      <c r="P578" s="13" t="n">
        <v>99495</v>
      </c>
      <c r="Q578" s="13" t="n">
        <v>104544</v>
      </c>
      <c r="R578" s="14">
        <f>IFERROR(P578/Q578,"")</f>
        <v/>
      </c>
      <c r="S578" s="15" t="n">
        <v>0.9740000000000001</v>
      </c>
      <c r="T578" s="9">
        <f>IF(R578&gt;1,"A corregir","Válida")</f>
        <v/>
      </c>
      <c r="U578" s="13">
        <f>Q578-P578</f>
        <v/>
      </c>
      <c r="V578" s="13">
        <f>IF(S578="",0,S578*Q578)</f>
        <v/>
      </c>
      <c r="W578" s="9" t="n">
        <v>2026</v>
      </c>
      <c r="X578" s="9" t="n">
        <v>26</v>
      </c>
      <c r="Y578" s="9" t="inlineStr">
        <is>
          <t>2026-S26</t>
        </is>
      </c>
    </row>
    <row r="579">
      <c r="A579" s="9" t="n">
        <v>43048827</v>
      </c>
      <c r="B579" s="11" t="n">
        <v>46200.40383101852</v>
      </c>
      <c r="C579" s="12" t="n">
        <v>46200</v>
      </c>
      <c r="D579" s="9">
        <f>YEAR(C579)</f>
        <v/>
      </c>
      <c r="E579" s="9">
        <f>MONTH(C579)</f>
        <v/>
      </c>
      <c r="F579" s="9" t="inlineStr">
        <is>
          <t>B Hormigón</t>
        </is>
      </c>
      <c r="G579" s="9" t="inlineStr">
        <is>
          <t>B HORMIGON 22MM 7M A630-420H (N)</t>
        </is>
      </c>
      <c r="H579" s="9" t="inlineStr">
        <is>
          <t>B HORMIGON 22MM 7M A630-420H (N)</t>
        </is>
      </c>
      <c r="I579" s="9" t="inlineStr">
        <is>
          <t>RED 22 CR</t>
        </is>
      </c>
      <c r="J579" s="9" t="n">
        <v>110002946</v>
      </c>
      <c r="K579" s="9" t="n">
        <v>22</v>
      </c>
      <c r="L579" s="9" t="n"/>
      <c r="M579" s="9" t="n"/>
      <c r="N579" s="9" t="n"/>
      <c r="O579" s="9" t="n">
        <v>7</v>
      </c>
      <c r="P579" s="13" t="n">
        <v>157407</v>
      </c>
      <c r="Q579" s="13" t="n">
        <v>97574.39999999999</v>
      </c>
      <c r="R579" s="14">
        <f>IFERROR(P579/Q579,"")</f>
        <v/>
      </c>
      <c r="S579" s="15" t="n">
        <v>0.9740000000000001</v>
      </c>
      <c r="T579" s="9">
        <f>IF(R579&gt;1,"A corregir","Válida")</f>
        <v/>
      </c>
      <c r="U579" s="13">
        <f>Q579-P579</f>
        <v/>
      </c>
      <c r="V579" s="13">
        <f>IF(S579="",0,S579*Q579)</f>
        <v/>
      </c>
      <c r="W579" s="9" t="n">
        <v>2026</v>
      </c>
      <c r="X579" s="9" t="n">
        <v>26</v>
      </c>
      <c r="Y579" s="9" t="inlineStr">
        <is>
          <t>2026-S26</t>
        </is>
      </c>
    </row>
    <row r="580">
      <c r="A580" s="9" t="n">
        <v>43048828</v>
      </c>
      <c r="B580" s="11" t="n">
        <v>46200.7128125</v>
      </c>
      <c r="C580" s="12" t="n">
        <v>46200</v>
      </c>
      <c r="D580" s="9">
        <f>YEAR(C580)</f>
        <v/>
      </c>
      <c r="E580" s="9">
        <f>MONTH(C580)</f>
        <v/>
      </c>
      <c r="F580" s="9" t="inlineStr">
        <is>
          <t>B Hormigón</t>
        </is>
      </c>
      <c r="G580" s="9" t="inlineStr">
        <is>
          <t>B HORMIGON 22MM 6M A630-420H (N)</t>
        </is>
      </c>
      <c r="H580" s="9" t="inlineStr">
        <is>
          <t>B HORMIGON 22MM 6M A630-420H (N)</t>
        </is>
      </c>
      <c r="I580" s="9" t="inlineStr">
        <is>
          <t>RED 22 CR</t>
        </is>
      </c>
      <c r="J580" s="9" t="n">
        <v>110002953</v>
      </c>
      <c r="K580" s="9" t="n">
        <v>22</v>
      </c>
      <c r="L580" s="9" t="n"/>
      <c r="M580" s="9" t="n"/>
      <c r="N580" s="9" t="n"/>
      <c r="O580" s="9" t="n">
        <v>6</v>
      </c>
      <c r="P580" s="13" t="n">
        <v>160198</v>
      </c>
      <c r="Q580" s="13" t="n">
        <v>166544.4</v>
      </c>
      <c r="R580" s="14">
        <f>IFERROR(P580/Q580,"")</f>
        <v/>
      </c>
      <c r="S580" s="15" t="n">
        <v>0.9740000000000001</v>
      </c>
      <c r="T580" s="9">
        <f>IF(R580&gt;1,"A corregir","Válida")</f>
        <v/>
      </c>
      <c r="U580" s="13">
        <f>Q580-P580</f>
        <v/>
      </c>
      <c r="V580" s="13">
        <f>IF(S580="",0,S580*Q580)</f>
        <v/>
      </c>
      <c r="W580" s="9" t="n">
        <v>2026</v>
      </c>
      <c r="X580" s="9" t="n">
        <v>26</v>
      </c>
      <c r="Y580" s="9" t="inlineStr">
        <is>
          <t>2026-S26</t>
        </is>
      </c>
    </row>
    <row r="581">
      <c r="A581" s="9" t="n">
        <v>43048829</v>
      </c>
      <c r="B581" s="11" t="n">
        <v>46201.02482638889</v>
      </c>
      <c r="C581" s="12" t="n">
        <v>46201</v>
      </c>
      <c r="D581" s="9">
        <f>YEAR(C581)</f>
        <v/>
      </c>
      <c r="E581" s="9">
        <f>MONTH(C581)</f>
        <v/>
      </c>
      <c r="F581" s="9" t="inlineStr">
        <is>
          <t>B Hormigón</t>
        </is>
      </c>
      <c r="G581" s="9" t="inlineStr">
        <is>
          <t>B HORMIGON 22MM 11M A630-420HS (N)</t>
        </is>
      </c>
      <c r="H581" s="9" t="inlineStr">
        <is>
          <t>B HORMIGON 22MM 11M A630-420HS (N)</t>
        </is>
      </c>
      <c r="I581" s="9" t="inlineStr">
        <is>
          <t>RED 22 CR</t>
        </is>
      </c>
      <c r="J581" s="9" t="n">
        <v>110007127</v>
      </c>
      <c r="K581" s="9" t="n">
        <v>22</v>
      </c>
      <c r="L581" s="9" t="n"/>
      <c r="M581" s="9" t="n"/>
      <c r="N581" s="9" t="n"/>
      <c r="O581" s="9" t="n">
        <v>11</v>
      </c>
      <c r="P581" s="13" t="n">
        <v>54599</v>
      </c>
      <c r="Q581" s="13" t="n">
        <v>57697.2</v>
      </c>
      <c r="R581" s="14">
        <f>IFERROR(P581/Q581,"")</f>
        <v/>
      </c>
      <c r="S581" s="15" t="n">
        <v>0.97</v>
      </c>
      <c r="T581" s="9">
        <f>IF(R581&gt;1,"A corregir","Válida")</f>
        <v/>
      </c>
      <c r="U581" s="13">
        <f>Q581-P581</f>
        <v/>
      </c>
      <c r="V581" s="13">
        <f>IF(S581="",0,S581*Q581)</f>
        <v/>
      </c>
      <c r="W581" s="9" t="n">
        <v>2026</v>
      </c>
      <c r="X581" s="9" t="n">
        <v>26</v>
      </c>
      <c r="Y581" s="9" t="inlineStr">
        <is>
          <t>2026-S26</t>
        </is>
      </c>
    </row>
    <row r="582">
      <c r="A582" s="9" t="n">
        <v>43048830</v>
      </c>
      <c r="B582" s="11" t="n">
        <v>46201.12675925926</v>
      </c>
      <c r="C582" s="12" t="n">
        <v>46201</v>
      </c>
      <c r="D582" s="9">
        <f>YEAR(C582)</f>
        <v/>
      </c>
      <c r="E582" s="9">
        <f>MONTH(C582)</f>
        <v/>
      </c>
      <c r="F582" s="9" t="inlineStr">
        <is>
          <t>B Hormigón</t>
        </is>
      </c>
      <c r="G582" s="9" t="inlineStr">
        <is>
          <t>B HORMIGON 22MM 10M A630-420HS (N)</t>
        </is>
      </c>
      <c r="H582" s="9" t="inlineStr">
        <is>
          <t>B HORMIGON 22MM 10M A630-420HS (N)</t>
        </is>
      </c>
      <c r="I582" s="9" t="inlineStr">
        <is>
          <t>RED 22 CR</t>
        </is>
      </c>
      <c r="J582" s="9" t="n">
        <v>110007124</v>
      </c>
      <c r="K582" s="9" t="n">
        <v>22</v>
      </c>
      <c r="L582" s="9" t="n"/>
      <c r="M582" s="9" t="n"/>
      <c r="N582" s="9" t="n"/>
      <c r="O582" s="9" t="n">
        <v>10</v>
      </c>
      <c r="P582" s="13" t="n">
        <v>58365</v>
      </c>
      <c r="Q582" s="13" t="n">
        <v>61419.6</v>
      </c>
      <c r="R582" s="14">
        <f>IFERROR(P582/Q582,"")</f>
        <v/>
      </c>
      <c r="S582" s="15" t="n">
        <v>0.97</v>
      </c>
      <c r="T582" s="9">
        <f>IF(R582&gt;1,"A corregir","Válida")</f>
        <v/>
      </c>
      <c r="U582" s="13">
        <f>Q582-P582</f>
        <v/>
      </c>
      <c r="V582" s="13">
        <f>IF(S582="",0,S582*Q582)</f>
        <v/>
      </c>
      <c r="W582" s="9" t="n">
        <v>2026</v>
      </c>
      <c r="X582" s="9" t="n">
        <v>26</v>
      </c>
      <c r="Y582" s="9" t="inlineStr">
        <is>
          <t>2026-S26</t>
        </is>
      </c>
    </row>
    <row r="583">
      <c r="A583" s="9" t="n">
        <v>43048831</v>
      </c>
      <c r="B583" s="11" t="n">
        <v>46202.03776620371</v>
      </c>
      <c r="C583" s="12" t="n">
        <v>46202</v>
      </c>
      <c r="D583" s="9">
        <f>YEAR(C583)</f>
        <v/>
      </c>
      <c r="E583" s="9">
        <f>MONTH(C583)</f>
        <v/>
      </c>
      <c r="F583" s="9" t="inlineStr">
        <is>
          <t>B Hormigón</t>
        </is>
      </c>
      <c r="G583" s="9" t="inlineStr">
        <is>
          <t>B HORMIGON 18MM 11M A630-420HS (N)</t>
        </is>
      </c>
      <c r="H583" s="9" t="inlineStr">
        <is>
          <t>B HORMIGON 18MM 11M A630-420HS (N)</t>
        </is>
      </c>
      <c r="I583" s="9" t="inlineStr">
        <is>
          <t>RED 18 CR</t>
        </is>
      </c>
      <c r="J583" s="9" t="n">
        <v>110007314</v>
      </c>
      <c r="K583" s="9" t="n">
        <v>18</v>
      </c>
      <c r="L583" s="9" t="n"/>
      <c r="M583" s="9" t="n"/>
      <c r="N583" s="9" t="n"/>
      <c r="O583" s="9" t="n">
        <v>11</v>
      </c>
      <c r="P583" s="13" t="n">
        <v>27208</v>
      </c>
      <c r="Q583" s="13" t="n">
        <v>29620.8</v>
      </c>
      <c r="R583" s="14">
        <f>IFERROR(P583/Q583,"")</f>
        <v/>
      </c>
      <c r="S583" s="15" t="n">
        <v>0.95</v>
      </c>
      <c r="T583" s="9">
        <f>IF(R583&gt;1,"A corregir","Válida")</f>
        <v/>
      </c>
      <c r="U583" s="13">
        <f>Q583-P583</f>
        <v/>
      </c>
      <c r="V583" s="13">
        <f>IF(S583="",0,S583*Q583)</f>
        <v/>
      </c>
      <c r="W583" s="9" t="n">
        <v>2026</v>
      </c>
      <c r="X583" s="9" t="n">
        <v>27</v>
      </c>
      <c r="Y583" s="9" t="inlineStr">
        <is>
          <t>2026-S27</t>
        </is>
      </c>
    </row>
    <row r="584">
      <c r="A584" s="9" t="n">
        <v>43048832</v>
      </c>
      <c r="B584" s="11" t="n">
        <v>46202.09342592592</v>
      </c>
      <c r="C584" s="12" t="n">
        <v>46202</v>
      </c>
      <c r="D584" s="9">
        <f>YEAR(C584)</f>
        <v/>
      </c>
      <c r="E584" s="9">
        <f>MONTH(C584)</f>
        <v/>
      </c>
      <c r="F584" s="9" t="inlineStr">
        <is>
          <t>B Hormigón</t>
        </is>
      </c>
      <c r="G584" s="9" t="inlineStr">
        <is>
          <t>B HORMIGON 18MM 10M A630-420HS (N)</t>
        </is>
      </c>
      <c r="H584" s="9" t="inlineStr">
        <is>
          <t>B HORMIGON 18MM 10M A630-420HS (N)</t>
        </is>
      </c>
      <c r="I584" s="9" t="inlineStr">
        <is>
          <t>RED 18 CR</t>
        </is>
      </c>
      <c r="J584" s="9" t="n">
        <v>110007323</v>
      </c>
      <c r="K584" s="9" t="n">
        <v>18</v>
      </c>
      <c r="L584" s="9" t="n"/>
      <c r="M584" s="9" t="n"/>
      <c r="N584" s="9" t="n"/>
      <c r="O584" s="9" t="n">
        <v>10</v>
      </c>
      <c r="P584" s="13" t="n">
        <v>27626</v>
      </c>
      <c r="Q584" s="13" t="n">
        <v>29620.8</v>
      </c>
      <c r="R584" s="14">
        <f>IFERROR(P584/Q584,"")</f>
        <v/>
      </c>
      <c r="S584" s="15" t="n">
        <v>0.95</v>
      </c>
      <c r="T584" s="9">
        <f>IF(R584&gt;1,"A corregir","Válida")</f>
        <v/>
      </c>
      <c r="U584" s="13">
        <f>Q584-P584</f>
        <v/>
      </c>
      <c r="V584" s="13">
        <f>IF(S584="",0,S584*Q584)</f>
        <v/>
      </c>
      <c r="W584" s="9" t="n">
        <v>2026</v>
      </c>
      <c r="X584" s="9" t="n">
        <v>27</v>
      </c>
      <c r="Y584" s="9" t="inlineStr">
        <is>
          <t>2026-S27</t>
        </is>
      </c>
    </row>
    <row r="585">
      <c r="A585" s="9" t="n">
        <v>43048882</v>
      </c>
      <c r="B585" s="11" t="n">
        <v>46202.14319444444</v>
      </c>
      <c r="C585" s="12" t="n">
        <v>46202</v>
      </c>
      <c r="D585" s="9">
        <f>YEAR(C585)</f>
        <v/>
      </c>
      <c r="E585" s="9">
        <f>MONTH(C585)</f>
        <v/>
      </c>
      <c r="F585" s="9" t="inlineStr">
        <is>
          <t>B Hormigón</t>
        </is>
      </c>
      <c r="G585" s="9" t="inlineStr">
        <is>
          <t>B HORMIGON 18MM 10M A630-420HS (N)</t>
        </is>
      </c>
      <c r="H585" s="9" t="inlineStr">
        <is>
          <t>B HORMIGON 18MM 10M A630-420HS (N)</t>
        </is>
      </c>
      <c r="I585" s="9" t="inlineStr">
        <is>
          <t>RED 18 CR</t>
        </is>
      </c>
      <c r="J585" s="9" t="n">
        <v>110007323</v>
      </c>
      <c r="K585" s="9" t="n">
        <v>18</v>
      </c>
      <c r="L585" s="9" t="n"/>
      <c r="M585" s="9" t="n"/>
      <c r="N585" s="9" t="n"/>
      <c r="O585" s="9" t="n">
        <v>10</v>
      </c>
      <c r="P585" s="13" t="n">
        <v>8321</v>
      </c>
      <c r="Q585" s="13" t="n">
        <v>8870.4</v>
      </c>
      <c r="R585" s="14">
        <f>IFERROR(P585/Q585,"")</f>
        <v/>
      </c>
      <c r="S585" s="15" t="n">
        <v>0.95</v>
      </c>
      <c r="T585" s="9">
        <f>IF(R585&gt;1,"A corregir","Válida")</f>
        <v/>
      </c>
      <c r="U585" s="13">
        <f>Q585-P585</f>
        <v/>
      </c>
      <c r="V585" s="13">
        <f>IF(S585="",0,S585*Q585)</f>
        <v/>
      </c>
      <c r="W585" s="9" t="n">
        <v>2026</v>
      </c>
      <c r="X585" s="9" t="n">
        <v>27</v>
      </c>
      <c r="Y585" s="9" t="inlineStr">
        <is>
          <t>2026-S27</t>
        </is>
      </c>
    </row>
    <row r="586">
      <c r="A586" s="9" t="n">
        <v>43048833</v>
      </c>
      <c r="B586" s="11" t="n">
        <v>46202.16892361111</v>
      </c>
      <c r="C586" s="12" t="n">
        <v>46202</v>
      </c>
      <c r="D586" s="9">
        <f>YEAR(C586)</f>
        <v/>
      </c>
      <c r="E586" s="9">
        <f>MONTH(C586)</f>
        <v/>
      </c>
      <c r="F586" s="9" t="inlineStr">
        <is>
          <t>B Hormigón</t>
        </is>
      </c>
      <c r="G586" s="9" t="inlineStr">
        <is>
          <t>B HORMIGON 18MM 12M A630-420H (N)</t>
        </is>
      </c>
      <c r="H586" s="9" t="inlineStr">
        <is>
          <t>B HORMIGON 18MM 12M A630-420H (N)</t>
        </is>
      </c>
      <c r="I586" s="9" t="inlineStr">
        <is>
          <t>RED 18 CR</t>
        </is>
      </c>
      <c r="J586" s="9" t="n">
        <v>110002938</v>
      </c>
      <c r="K586" s="9" t="n">
        <v>18</v>
      </c>
      <c r="L586" s="9" t="n"/>
      <c r="M586" s="9" t="n"/>
      <c r="N586" s="9" t="n"/>
      <c r="O586" s="9" t="n">
        <v>12</v>
      </c>
      <c r="P586" s="13" t="n">
        <v>348997</v>
      </c>
      <c r="Q586" s="13" t="n">
        <v>365323.2</v>
      </c>
      <c r="R586" s="14">
        <f>IFERROR(P586/Q586,"")</f>
        <v/>
      </c>
      <c r="S586" s="15" t="n">
        <v>0.96</v>
      </c>
      <c r="T586" s="9">
        <f>IF(R586&gt;1,"A corregir","Válida")</f>
        <v/>
      </c>
      <c r="U586" s="13">
        <f>Q586-P586</f>
        <v/>
      </c>
      <c r="V586" s="13">
        <f>IF(S586="",0,S586*Q586)</f>
        <v/>
      </c>
      <c r="W586" s="9" t="n">
        <v>2026</v>
      </c>
      <c r="X586" s="9" t="n">
        <v>27</v>
      </c>
      <c r="Y586" s="9" t="inlineStr">
        <is>
          <t>2026-S27</t>
        </is>
      </c>
    </row>
    <row r="587">
      <c r="A587" s="9" t="n">
        <v>43048834</v>
      </c>
      <c r="B587" s="11" t="n">
        <v>46202.82636574074</v>
      </c>
      <c r="C587" s="12" t="n">
        <v>46202</v>
      </c>
      <c r="D587" s="9">
        <f>YEAR(C587)</f>
        <v/>
      </c>
      <c r="E587" s="9">
        <f>MONTH(C587)</f>
        <v/>
      </c>
      <c r="F587" s="9" t="inlineStr">
        <is>
          <t>B Hormigón</t>
        </is>
      </c>
      <c r="G587" s="9" t="inlineStr">
        <is>
          <t>B HORMIGON 18MM 11M A630-420H (N)</t>
        </is>
      </c>
      <c r="H587" s="9" t="inlineStr">
        <is>
          <t>B HORMIGON 18MM 11M A630-420H (N)</t>
        </is>
      </c>
      <c r="I587" s="9" t="inlineStr">
        <is>
          <t>RED 18 CR</t>
        </is>
      </c>
      <c r="J587" s="9" t="n">
        <v>110002937</v>
      </c>
      <c r="K587" s="9" t="n">
        <v>18</v>
      </c>
      <c r="L587" s="9" t="n"/>
      <c r="M587" s="9" t="n"/>
      <c r="N587" s="9" t="n"/>
      <c r="O587" s="9" t="n">
        <v>11</v>
      </c>
      <c r="P587" s="13" t="n">
        <v>60458</v>
      </c>
      <c r="Q587" s="13" t="n">
        <v>64178.4</v>
      </c>
      <c r="R587" s="14">
        <f>IFERROR(P587/Q587,"")</f>
        <v/>
      </c>
      <c r="S587" s="15" t="n">
        <v>0.96</v>
      </c>
      <c r="T587" s="9">
        <f>IF(R587&gt;1,"A corregir","Válida")</f>
        <v/>
      </c>
      <c r="U587" s="13">
        <f>Q587-P587</f>
        <v/>
      </c>
      <c r="V587" s="13">
        <f>IF(S587="",0,S587*Q587)</f>
        <v/>
      </c>
      <c r="W587" s="9" t="n">
        <v>2026</v>
      </c>
      <c r="X587" s="9" t="n">
        <v>27</v>
      </c>
      <c r="Y587" s="9" t="inlineStr">
        <is>
          <t>2026-S27</t>
        </is>
      </c>
    </row>
    <row r="588">
      <c r="A588" s="9" t="n">
        <v>43048835</v>
      </c>
      <c r="B588" s="11" t="n">
        <v>46202.95979166667</v>
      </c>
      <c r="C588" s="12" t="n">
        <v>46202</v>
      </c>
      <c r="D588" s="9">
        <f>YEAR(C588)</f>
        <v/>
      </c>
      <c r="E588" s="9">
        <f>MONTH(C588)</f>
        <v/>
      </c>
      <c r="F588" s="9" t="inlineStr">
        <is>
          <t>B Hormigón</t>
        </is>
      </c>
      <c r="G588" s="9" t="inlineStr">
        <is>
          <t>B HORMIGON 18MM 10M A630-420H (N)</t>
        </is>
      </c>
      <c r="H588" s="9" t="inlineStr">
        <is>
          <t>B HORMIGON 18MM 10M A630-420H (N)</t>
        </is>
      </c>
      <c r="I588" s="9" t="inlineStr">
        <is>
          <t>RED 18 CR</t>
        </is>
      </c>
      <c r="J588" s="9" t="n">
        <v>110002924</v>
      </c>
      <c r="K588" s="9" t="n">
        <v>18</v>
      </c>
      <c r="L588" s="9" t="n"/>
      <c r="M588" s="9" t="n"/>
      <c r="N588" s="9" t="n"/>
      <c r="O588" s="9" t="n">
        <v>10</v>
      </c>
      <c r="P588" s="13" t="n">
        <v>141751</v>
      </c>
      <c r="Q588" s="13" t="n">
        <v>148104</v>
      </c>
      <c r="R588" s="14">
        <f>IFERROR(P588/Q588,"")</f>
        <v/>
      </c>
      <c r="S588" s="15" t="n">
        <v>0.96</v>
      </c>
      <c r="T588" s="9">
        <f>IF(R588&gt;1,"A corregir","Válida")</f>
        <v/>
      </c>
      <c r="U588" s="13">
        <f>Q588-P588</f>
        <v/>
      </c>
      <c r="V588" s="13">
        <f>IF(S588="",0,S588*Q588)</f>
        <v/>
      </c>
      <c r="W588" s="9" t="n">
        <v>2026</v>
      </c>
      <c r="X588" s="9" t="n">
        <v>27</v>
      </c>
      <c r="Y588" s="9" t="inlineStr">
        <is>
          <t>2026-S27</t>
        </is>
      </c>
    </row>
    <row r="589">
      <c r="A589" s="9" t="n">
        <v>43048836</v>
      </c>
      <c r="B589" s="11" t="n">
        <v>46203.2115625</v>
      </c>
      <c r="C589" s="12" t="n">
        <v>46203</v>
      </c>
      <c r="D589" s="9">
        <f>YEAR(C589)</f>
        <v/>
      </c>
      <c r="E589" s="9">
        <f>MONTH(C589)</f>
        <v/>
      </c>
      <c r="F589" s="9" t="inlineStr">
        <is>
          <t>B Hormigón</t>
        </is>
      </c>
      <c r="G589" s="9" t="inlineStr">
        <is>
          <t>B HORMIGON 18MM 9M A630-420H (N)</t>
        </is>
      </c>
      <c r="H589" s="9" t="inlineStr">
        <is>
          <t>B HORMIGON 18MM 9M A630-420H (N)</t>
        </is>
      </c>
      <c r="I589" s="9" t="inlineStr">
        <is>
          <t>RED 18 CR</t>
        </is>
      </c>
      <c r="J589" s="9" t="n">
        <v>110002951</v>
      </c>
      <c r="K589" s="9" t="n">
        <v>18</v>
      </c>
      <c r="L589" s="9" t="n"/>
      <c r="M589" s="9" t="n"/>
      <c r="N589" s="9" t="n"/>
      <c r="O589" s="9" t="n">
        <v>9</v>
      </c>
      <c r="P589" s="13" t="n">
        <v>62371</v>
      </c>
      <c r="Q589" s="13" t="n">
        <v>65524.8</v>
      </c>
      <c r="R589" s="14">
        <f>IFERROR(P589/Q589,"")</f>
        <v/>
      </c>
      <c r="S589" s="15" t="n">
        <v>0.9590000000000001</v>
      </c>
      <c r="T589" s="9">
        <f>IF(R589&gt;1,"A corregir","Válida")</f>
        <v/>
      </c>
      <c r="U589" s="13">
        <f>Q589-P589</f>
        <v/>
      </c>
      <c r="V589" s="13">
        <f>IF(S589="",0,S589*Q589)</f>
        <v/>
      </c>
      <c r="W589" s="9" t="n">
        <v>2026</v>
      </c>
      <c r="X589" s="9" t="n">
        <v>27</v>
      </c>
      <c r="Y589" s="9" t="inlineStr">
        <is>
          <t>2026-S27</t>
        </is>
      </c>
    </row>
    <row r="590">
      <c r="A590" s="9" t="n">
        <v>43048837</v>
      </c>
      <c r="B590" s="11" t="n">
        <v>46203.3265625</v>
      </c>
      <c r="C590" s="12" t="n">
        <v>46203</v>
      </c>
      <c r="D590" s="9">
        <f>YEAR(C590)</f>
        <v/>
      </c>
      <c r="E590" s="9">
        <f>MONTH(C590)</f>
        <v/>
      </c>
      <c r="F590" s="9" t="inlineStr">
        <is>
          <t>B Hormigón</t>
        </is>
      </c>
      <c r="G590" s="9" t="inlineStr">
        <is>
          <t>B HORMIGON 18MM 8M A630-420H (N)</t>
        </is>
      </c>
      <c r="H590" s="9" t="inlineStr">
        <is>
          <t>B HORMIGON 18MM 8M A630-420H (N)</t>
        </is>
      </c>
      <c r="I590" s="9" t="inlineStr">
        <is>
          <t>RED 18 CR</t>
        </is>
      </c>
      <c r="J590" s="9" t="n">
        <v>110002952</v>
      </c>
      <c r="K590" s="9" t="n">
        <v>18</v>
      </c>
      <c r="L590" s="9" t="n"/>
      <c r="M590" s="9" t="n"/>
      <c r="N590" s="9" t="n"/>
      <c r="O590" s="9" t="n">
        <v>8</v>
      </c>
      <c r="P590" s="13" t="n">
        <v>49394</v>
      </c>
      <c r="Q590" s="13" t="n">
        <v>51612</v>
      </c>
      <c r="R590" s="14">
        <f>IFERROR(P590/Q590,"")</f>
        <v/>
      </c>
      <c r="S590" s="15" t="n">
        <v>0.96</v>
      </c>
      <c r="T590" s="9">
        <f>IF(R590&gt;1,"A corregir","Válida")</f>
        <v/>
      </c>
      <c r="U590" s="13">
        <f>Q590-P590</f>
        <v/>
      </c>
      <c r="V590" s="13">
        <f>IF(S590="",0,S590*Q590)</f>
        <v/>
      </c>
      <c r="W590" s="9" t="n">
        <v>2026</v>
      </c>
      <c r="X590" s="9" t="n">
        <v>27</v>
      </c>
      <c r="Y590" s="9" t="inlineStr">
        <is>
          <t>2026-S27</t>
        </is>
      </c>
    </row>
    <row r="591">
      <c r="A591" s="9" t="n">
        <v>43048838</v>
      </c>
      <c r="B591" s="11" t="n">
        <v>46203.42168981482</v>
      </c>
      <c r="C591" s="12" t="n">
        <v>46203</v>
      </c>
      <c r="D591" s="9">
        <f>YEAR(C591)</f>
        <v/>
      </c>
      <c r="E591" s="9">
        <f>MONTH(C591)</f>
        <v/>
      </c>
      <c r="F591" s="9" t="inlineStr">
        <is>
          <t>B Hormigón</t>
        </is>
      </c>
      <c r="G591" s="9" t="inlineStr">
        <is>
          <t>B HORMIGON 18MM 7M A630-420H (N)</t>
        </is>
      </c>
      <c r="H591" s="9" t="inlineStr">
        <is>
          <t>B HORMIGON 18MM 7M A630-420H (N)</t>
        </is>
      </c>
      <c r="I591" s="9" t="inlineStr">
        <is>
          <t>RED 18 CR</t>
        </is>
      </c>
      <c r="J591" s="9" t="n">
        <v>110002940</v>
      </c>
      <c r="K591" s="9" t="n">
        <v>18</v>
      </c>
      <c r="L591" s="9" t="n"/>
      <c r="M591" s="9" t="n"/>
      <c r="N591" s="9" t="n"/>
      <c r="O591" s="9" t="n">
        <v>7</v>
      </c>
      <c r="P591" s="13" t="n">
        <v>77692</v>
      </c>
      <c r="Q591" s="13" t="n">
        <v>80784</v>
      </c>
      <c r="R591" s="14">
        <f>IFERROR(P591/Q591,"")</f>
        <v/>
      </c>
      <c r="S591" s="15" t="n">
        <v>0.9590000000000001</v>
      </c>
      <c r="T591" s="9">
        <f>IF(R591&gt;1,"A corregir","Válida")</f>
        <v/>
      </c>
      <c r="U591" s="13">
        <f>Q591-P591</f>
        <v/>
      </c>
      <c r="V591" s="13">
        <f>IF(S591="",0,S591*Q591)</f>
        <v/>
      </c>
      <c r="W591" s="9" t="n">
        <v>2026</v>
      </c>
      <c r="X591" s="9" t="n">
        <v>27</v>
      </c>
      <c r="Y591" s="9" t="inlineStr">
        <is>
          <t>2026-S27</t>
        </is>
      </c>
    </row>
    <row r="592">
      <c r="A592" s="9" t="n">
        <v>43048839</v>
      </c>
      <c r="B592" s="11" t="n">
        <v>46203.57655092593</v>
      </c>
      <c r="C592" s="12" t="n">
        <v>46203</v>
      </c>
      <c r="D592" s="9">
        <f>YEAR(C592)</f>
        <v/>
      </c>
      <c r="E592" s="9">
        <f>MONTH(C592)</f>
        <v/>
      </c>
      <c r="F592" s="9" t="inlineStr">
        <is>
          <t>B Hormigón</t>
        </is>
      </c>
      <c r="G592" s="9" t="inlineStr">
        <is>
          <t>B HORMIGON 18MM 6M A630-420H (N)</t>
        </is>
      </c>
      <c r="H592" s="9" t="inlineStr">
        <is>
          <t>B HORMIGON 18MM 6M A630-420H (N)</t>
        </is>
      </c>
      <c r="I592" s="9" t="inlineStr">
        <is>
          <t>RED 18 CR</t>
        </is>
      </c>
      <c r="J592" s="9" t="n">
        <v>110002942</v>
      </c>
      <c r="K592" s="9" t="n">
        <v>18</v>
      </c>
      <c r="L592" s="9" t="n"/>
      <c r="M592" s="9" t="n"/>
      <c r="N592" s="9" t="n"/>
      <c r="O592" s="9" t="n">
        <v>6</v>
      </c>
      <c r="P592" s="13" t="n">
        <v>35603</v>
      </c>
      <c r="Q592" s="13" t="n">
        <v>37250.4</v>
      </c>
      <c r="R592" s="14">
        <f>IFERROR(P592/Q592,"")</f>
        <v/>
      </c>
      <c r="S592" s="15" t="n">
        <v>0.96</v>
      </c>
      <c r="T592" s="9">
        <f>IF(R592&gt;1,"A corregir","Válida")</f>
        <v/>
      </c>
      <c r="U592" s="13">
        <f>Q592-P592</f>
        <v/>
      </c>
      <c r="V592" s="13">
        <f>IF(S592="",0,S592*Q592)</f>
        <v/>
      </c>
      <c r="W592" s="9" t="n">
        <v>2026</v>
      </c>
      <c r="X592" s="9" t="n">
        <v>27</v>
      </c>
      <c r="Y592" s="9" t="inlineStr">
        <is>
          <t>2026-S27</t>
        </is>
      </c>
    </row>
    <row r="593">
      <c r="A593" s="9" t="n">
        <v>43048888</v>
      </c>
      <c r="B593" s="11" t="n">
        <v>46203.65787037037</v>
      </c>
      <c r="C593" s="12" t="n">
        <v>46203</v>
      </c>
      <c r="D593" s="9">
        <f>YEAR(C593)</f>
        <v/>
      </c>
      <c r="E593" s="9">
        <f>MONTH(C593)</f>
        <v/>
      </c>
      <c r="F593" s="9" t="inlineStr">
        <is>
          <t>B Hormigón</t>
        </is>
      </c>
      <c r="G593" s="9" t="inlineStr">
        <is>
          <t>B HORMIGON 18MM 11M A630-420HS (N)</t>
        </is>
      </c>
      <c r="H593" s="9" t="inlineStr">
        <is>
          <t>B HORMIGON 18MM 11M A630-420HS (N)</t>
        </is>
      </c>
      <c r="I593" s="9" t="inlineStr">
        <is>
          <t>RED 18 CR</t>
        </is>
      </c>
      <c r="J593" s="9" t="n">
        <v>110007314</v>
      </c>
      <c r="K593" s="9" t="n">
        <v>18</v>
      </c>
      <c r="L593" s="9" t="n"/>
      <c r="M593" s="9" t="n"/>
      <c r="N593" s="9" t="n"/>
      <c r="O593" s="9" t="n">
        <v>11</v>
      </c>
      <c r="P593" s="13" t="n">
        <v>35052</v>
      </c>
      <c r="Q593" s="13" t="n">
        <v>38280</v>
      </c>
      <c r="R593" s="14">
        <f>IFERROR(P593/Q593,"")</f>
        <v/>
      </c>
      <c r="S593" s="15" t="n">
        <v>0.95</v>
      </c>
      <c r="T593" s="9">
        <f>IF(R593&gt;1,"A corregir","Válida")</f>
        <v/>
      </c>
      <c r="U593" s="13">
        <f>Q593-P593</f>
        <v/>
      </c>
      <c r="V593" s="13">
        <f>IF(S593="",0,S593*Q593)</f>
        <v/>
      </c>
      <c r="W593" s="9" t="n">
        <v>2026</v>
      </c>
      <c r="X593" s="9" t="n">
        <v>27</v>
      </c>
      <c r="Y593" s="9" t="inlineStr">
        <is>
          <t>2026-S27</t>
        </is>
      </c>
    </row>
    <row r="594">
      <c r="A594" s="9" t="n">
        <v>43048840</v>
      </c>
      <c r="B594" s="11" t="n">
        <v>46203.98214120371</v>
      </c>
      <c r="C594" s="12" t="n">
        <v>46203</v>
      </c>
      <c r="D594" s="9">
        <f>YEAR(C594)</f>
        <v/>
      </c>
      <c r="E594" s="9">
        <f>MONTH(C594)</f>
        <v/>
      </c>
      <c r="F594" s="9" t="inlineStr">
        <is>
          <t>Ángulo</t>
        </is>
      </c>
      <c r="G594" s="9" t="inlineStr">
        <is>
          <t>ANGULO 50X50X5MM A270ES</t>
        </is>
      </c>
      <c r="H594" s="9" t="inlineStr">
        <is>
          <t>ANGULO SEMI 50X50X5MM A270ES</t>
        </is>
      </c>
      <c r="I594" s="9" t="inlineStr">
        <is>
          <t>ANG 50 x 5</t>
        </is>
      </c>
      <c r="J594" s="9" t="n">
        <v>106501037</v>
      </c>
      <c r="K594" s="9" t="n"/>
      <c r="L594" s="9" t="n">
        <v>50</v>
      </c>
      <c r="M594" s="9" t="n">
        <v>5</v>
      </c>
      <c r="N594" s="9" t="n"/>
      <c r="O594" s="9" t="n">
        <v>6</v>
      </c>
      <c r="P594" s="13" t="n">
        <v>3300</v>
      </c>
      <c r="Q594" s="13" t="n">
        <v>4039.2</v>
      </c>
      <c r="R594" s="14">
        <f>IFERROR(P594/Q594,"")</f>
        <v/>
      </c>
      <c r="S594" s="15" t="n">
        <v>0.948</v>
      </c>
      <c r="T594" s="9">
        <f>IF(R594&gt;1,"A corregir","Válida")</f>
        <v/>
      </c>
      <c r="U594" s="13">
        <f>Q594-P594</f>
        <v/>
      </c>
      <c r="V594" s="13">
        <f>IF(S594="",0,S594*Q594)</f>
        <v/>
      </c>
      <c r="W594" s="9" t="n">
        <v>2026</v>
      </c>
      <c r="X594" s="9" t="n">
        <v>27</v>
      </c>
      <c r="Y594" s="9" t="inlineStr">
        <is>
          <t>2026-S27</t>
        </is>
      </c>
    </row>
    <row r="595">
      <c r="A595" s="9" t="n">
        <v>43048978</v>
      </c>
      <c r="B595" s="11" t="n">
        <v>46204.03563657407</v>
      </c>
      <c r="C595" s="12" t="n">
        <v>46204</v>
      </c>
      <c r="D595" s="9">
        <f>YEAR(C595)</f>
        <v/>
      </c>
      <c r="E595" s="9">
        <f>MONTH(C595)</f>
        <v/>
      </c>
      <c r="F595" s="9" t="inlineStr">
        <is>
          <t>Ángulo</t>
        </is>
      </c>
      <c r="G595" s="9" t="inlineStr">
        <is>
          <t>ANGULO 50X50X5MM A270ES</t>
        </is>
      </c>
      <c r="H595" s="9" t="inlineStr">
        <is>
          <t>ANGULO SEMI 50X50X5MM A270ES</t>
        </is>
      </c>
      <c r="I595" s="9" t="inlineStr">
        <is>
          <t>ANG 50 x 5</t>
        </is>
      </c>
      <c r="J595" s="9" t="n">
        <v>106501037</v>
      </c>
      <c r="K595" s="9" t="n"/>
      <c r="L595" s="9" t="n">
        <v>50</v>
      </c>
      <c r="M595" s="9" t="n">
        <v>5</v>
      </c>
      <c r="N595" s="9" t="n"/>
      <c r="O595" s="9" t="n">
        <v>6</v>
      </c>
      <c r="P595" s="13" t="n">
        <v>322294</v>
      </c>
      <c r="Q595" s="13" t="n">
        <v>337946.4</v>
      </c>
      <c r="R595" s="14">
        <f>IFERROR(P595/Q595,"")</f>
        <v/>
      </c>
      <c r="S595" s="15" t="n">
        <v>0.948</v>
      </c>
      <c r="T595" s="9">
        <f>IF(R595&gt;1,"A corregir","Válida")</f>
        <v/>
      </c>
      <c r="U595" s="13">
        <f>Q595-P595</f>
        <v/>
      </c>
      <c r="V595" s="13">
        <f>IF(S595="",0,S595*Q595)</f>
        <v/>
      </c>
      <c r="W595" s="9" t="n">
        <v>2026</v>
      </c>
      <c r="X595" s="9" t="n">
        <v>27</v>
      </c>
      <c r="Y595" s="9" t="inlineStr">
        <is>
          <t>2026-S27</t>
        </is>
      </c>
    </row>
    <row r="596">
      <c r="A596" s="9" t="n">
        <v>43048979</v>
      </c>
      <c r="B596" s="11" t="n">
        <v>46204.99151620371</v>
      </c>
      <c r="C596" s="12" t="n">
        <v>46204</v>
      </c>
      <c r="D596" s="9">
        <f>YEAR(C596)</f>
        <v/>
      </c>
      <c r="E596" s="9">
        <f>MONTH(C596)</f>
        <v/>
      </c>
      <c r="F596" s="9" t="inlineStr">
        <is>
          <t>Ángulo</t>
        </is>
      </c>
      <c r="G596" s="9" t="inlineStr">
        <is>
          <t>ANGULO 50X50X3MM A270ES</t>
        </is>
      </c>
      <c r="H596" s="9" t="inlineStr">
        <is>
          <t>ANGULO SEMI 50X50X3MM A270ES</t>
        </is>
      </c>
      <c r="I596" s="9" t="inlineStr">
        <is>
          <t>ANG 50 x 3</t>
        </is>
      </c>
      <c r="J596" s="9" t="n">
        <v>106501038</v>
      </c>
      <c r="K596" s="9" t="n"/>
      <c r="L596" s="9" t="n">
        <v>50</v>
      </c>
      <c r="M596" s="9" t="n">
        <v>3</v>
      </c>
      <c r="N596" s="9" t="n"/>
      <c r="O596" s="9" t="n">
        <v>6</v>
      </c>
      <c r="P596" s="13" t="n">
        <v>339863</v>
      </c>
      <c r="Q596" s="13" t="n">
        <v>357244.8</v>
      </c>
      <c r="R596" s="14">
        <f>IFERROR(P596/Q596,"")</f>
        <v/>
      </c>
      <c r="S596" s="15" t="n">
        <v>0.953</v>
      </c>
      <c r="T596" s="9">
        <f>IF(R596&gt;1,"A corregir","Válida")</f>
        <v/>
      </c>
      <c r="U596" s="13">
        <f>Q596-P596</f>
        <v/>
      </c>
      <c r="V596" s="13">
        <f>IF(S596="",0,S596*Q596)</f>
        <v/>
      </c>
      <c r="W596" s="9" t="n">
        <v>2026</v>
      </c>
      <c r="X596" s="9" t="n">
        <v>27</v>
      </c>
      <c r="Y596" s="9" t="inlineStr">
        <is>
          <t>2026-S27</t>
        </is>
      </c>
    </row>
    <row r="597">
      <c r="A597" s="9" t="n">
        <v>43048859</v>
      </c>
      <c r="B597" s="11" t="n">
        <v>46205.98490740741</v>
      </c>
      <c r="C597" s="12" t="n">
        <v>46205</v>
      </c>
      <c r="D597" s="9">
        <f>YEAR(C597)</f>
        <v/>
      </c>
      <c r="E597" s="9">
        <f>MONTH(C597)</f>
        <v/>
      </c>
      <c r="F597" s="9" t="inlineStr">
        <is>
          <t>Redondo liso</t>
        </is>
      </c>
      <c r="G597" s="9" t="inlineStr">
        <is>
          <t>REDONDO LISO 1' 6M ASTM A 36 (N)</t>
        </is>
      </c>
      <c r="H597" s="9" t="inlineStr">
        <is>
          <t>REDONDO LISO 1' 6M ASTM A 36 (N)</t>
        </is>
      </c>
      <c r="I597" s="9" t="inlineStr">
        <is>
          <t>RED 1</t>
        </is>
      </c>
      <c r="J597" s="9" t="n">
        <v>109006880</v>
      </c>
      <c r="K597" s="9" t="n">
        <v>25.4</v>
      </c>
      <c r="L597" s="9" t="n"/>
      <c r="M597" s="9" t="n"/>
      <c r="N597" s="9" t="n"/>
      <c r="O597" s="9" t="n">
        <v>6</v>
      </c>
      <c r="P597" s="13" t="n">
        <v>91323</v>
      </c>
      <c r="Q597" s="13" t="n">
        <v>95145.60000000001</v>
      </c>
      <c r="R597" s="14">
        <f>IFERROR(P597/Q597,"")</f>
        <v/>
      </c>
      <c r="S597" s="15" t="n">
        <v>0.9470000000000001</v>
      </c>
      <c r="T597" s="9">
        <f>IF(R597&gt;1,"A corregir","Válida")</f>
        <v/>
      </c>
      <c r="U597" s="13">
        <f>Q597-P597</f>
        <v/>
      </c>
      <c r="V597" s="13">
        <f>IF(S597="",0,S597*Q597)</f>
        <v/>
      </c>
      <c r="W597" s="9" t="n">
        <v>2026</v>
      </c>
      <c r="X597" s="9" t="n">
        <v>27</v>
      </c>
      <c r="Y597" s="9" t="inlineStr">
        <is>
          <t>2026-S27</t>
        </is>
      </c>
    </row>
    <row r="598">
      <c r="A598" s="9" t="n">
        <v>43048860</v>
      </c>
      <c r="B598" s="11" t="n">
        <v>46206.1496875</v>
      </c>
      <c r="C598" s="12" t="n">
        <v>46206</v>
      </c>
      <c r="D598" s="9">
        <f>YEAR(C598)</f>
        <v/>
      </c>
      <c r="E598" s="9">
        <f>MONTH(C598)</f>
        <v/>
      </c>
      <c r="F598" s="9" t="inlineStr">
        <is>
          <t>Redondo liso</t>
        </is>
      </c>
      <c r="G598" s="9" t="inlineStr">
        <is>
          <t>REDONDO LISO 1' 6M SAE 1020 (N)</t>
        </is>
      </c>
      <c r="H598" s="9" t="inlineStr">
        <is>
          <t>REDONDO LISO 1' 6M SAE 1020 (N)</t>
        </is>
      </c>
      <c r="I598" s="9" t="inlineStr">
        <is>
          <t>RED 1</t>
        </is>
      </c>
      <c r="J598" s="9" t="n">
        <v>109006911</v>
      </c>
      <c r="K598" s="9" t="n">
        <v>25.4</v>
      </c>
      <c r="L598" s="9" t="n"/>
      <c r="M598" s="9" t="n"/>
      <c r="N598" s="9" t="n"/>
      <c r="O598" s="9" t="n">
        <v>6</v>
      </c>
      <c r="P598" s="13" t="n">
        <v>173827</v>
      </c>
      <c r="Q598" s="13" t="n">
        <v>182661.6</v>
      </c>
      <c r="R598" s="14">
        <f>IFERROR(P598/Q598,"")</f>
        <v/>
      </c>
      <c r="S598" s="15" t="n">
        <v>0.9470000000000001</v>
      </c>
      <c r="T598" s="9">
        <f>IF(R598&gt;1,"A corregir","Válida")</f>
        <v/>
      </c>
      <c r="U598" s="13">
        <f>Q598-P598</f>
        <v/>
      </c>
      <c r="V598" s="13">
        <f>IF(S598="",0,S598*Q598)</f>
        <v/>
      </c>
      <c r="W598" s="9" t="n">
        <v>2026</v>
      </c>
      <c r="X598" s="9" t="n">
        <v>27</v>
      </c>
      <c r="Y598" s="9" t="inlineStr">
        <is>
          <t>2026-S27</t>
        </is>
      </c>
    </row>
    <row r="599">
      <c r="A599" s="9" t="n">
        <v>43048861</v>
      </c>
      <c r="B599" s="11" t="n">
        <v>46206.47704861111</v>
      </c>
      <c r="C599" s="12" t="n">
        <v>46206</v>
      </c>
      <c r="D599" s="9">
        <f>YEAR(C599)</f>
        <v/>
      </c>
      <c r="E599" s="9">
        <f>MONTH(C599)</f>
        <v/>
      </c>
      <c r="F599" s="9" t="inlineStr">
        <is>
          <t>Redondo liso</t>
        </is>
      </c>
      <c r="G599" s="9" t="inlineStr">
        <is>
          <t>REDONDO LISO 1' 6M SAE 1045 (N)</t>
        </is>
      </c>
      <c r="H599" s="9" t="inlineStr">
        <is>
          <t>REDONDO LISO 1' 6M SAE 1045 (N)</t>
        </is>
      </c>
      <c r="I599" s="9" t="inlineStr">
        <is>
          <t>RED 1</t>
        </is>
      </c>
      <c r="J599" s="9" t="n">
        <v>109006875</v>
      </c>
      <c r="K599" s="9" t="n">
        <v>25.4</v>
      </c>
      <c r="L599" s="9" t="n"/>
      <c r="M599" s="9" t="n"/>
      <c r="N599" s="9" t="n"/>
      <c r="O599" s="9" t="n">
        <v>6</v>
      </c>
      <c r="P599" s="13" t="n">
        <v>121156</v>
      </c>
      <c r="Q599" s="13" t="n">
        <v>127908</v>
      </c>
      <c r="R599" s="14">
        <f>IFERROR(P599/Q599,"")</f>
        <v/>
      </c>
      <c r="S599" s="15" t="n">
        <v>0.9470000000000001</v>
      </c>
      <c r="T599" s="9">
        <f>IF(R599&gt;1,"A corregir","Válida")</f>
        <v/>
      </c>
      <c r="U599" s="13">
        <f>Q599-P599</f>
        <v/>
      </c>
      <c r="V599" s="13">
        <f>IF(S599="",0,S599*Q599)</f>
        <v/>
      </c>
      <c r="W599" s="9" t="n">
        <v>2026</v>
      </c>
      <c r="X599" s="9" t="n">
        <v>27</v>
      </c>
      <c r="Y599" s="9" t="inlineStr">
        <is>
          <t>2026-S27</t>
        </is>
      </c>
    </row>
    <row r="600">
      <c r="A600" s="9" t="n">
        <v>43049063</v>
      </c>
      <c r="B600" s="11" t="n">
        <v>46206.69350694444</v>
      </c>
      <c r="C600" s="12" t="n">
        <v>46206</v>
      </c>
      <c r="D600" s="9">
        <f>YEAR(C600)</f>
        <v/>
      </c>
      <c r="E600" s="9">
        <f>MONTH(C600)</f>
        <v/>
      </c>
      <c r="F600" s="9" t="inlineStr">
        <is>
          <t>Redondo liso</t>
        </is>
      </c>
      <c r="G600" s="9" t="inlineStr">
        <is>
          <t>REDONDO LISO 1' 6M SAE 1020 (N)</t>
        </is>
      </c>
      <c r="H600" s="9" t="inlineStr">
        <is>
          <t>REDONDO LISO 1' 6M SAE 1020 (N)</t>
        </is>
      </c>
      <c r="I600" s="9" t="inlineStr">
        <is>
          <t>RED 1</t>
        </is>
      </c>
      <c r="J600" s="9" t="n">
        <v>109006911</v>
      </c>
      <c r="K600" s="9" t="n">
        <v>25.4</v>
      </c>
      <c r="L600" s="9" t="n"/>
      <c r="M600" s="9" t="n"/>
      <c r="N600" s="9" t="n"/>
      <c r="O600" s="9" t="n">
        <v>6</v>
      </c>
      <c r="P600" s="13" t="n">
        <v>31479</v>
      </c>
      <c r="Q600" s="13" t="n">
        <v>33369.6</v>
      </c>
      <c r="R600" s="14">
        <f>IFERROR(P600/Q600,"")</f>
        <v/>
      </c>
      <c r="S600" s="15" t="n">
        <v>0.9470000000000001</v>
      </c>
      <c r="T600" s="9">
        <f>IF(R600&gt;1,"A corregir","Válida")</f>
        <v/>
      </c>
      <c r="U600" s="13">
        <f>Q600-P600</f>
        <v/>
      </c>
      <c r="V600" s="13">
        <f>IF(S600="",0,S600*Q600)</f>
        <v/>
      </c>
      <c r="W600" s="9" t="n">
        <v>2026</v>
      </c>
      <c r="X600" s="9" t="n">
        <v>27</v>
      </c>
      <c r="Y600" s="9" t="inlineStr">
        <is>
          <t>2026-S27</t>
        </is>
      </c>
    </row>
    <row r="601">
      <c r="A601" s="9" t="n">
        <v>43048863</v>
      </c>
      <c r="B601" s="11" t="n">
        <v>46206.95443287037</v>
      </c>
      <c r="C601" s="12" t="n">
        <v>46206</v>
      </c>
      <c r="D601" s="9">
        <f>YEAR(C601)</f>
        <v/>
      </c>
      <c r="E601" s="9">
        <f>MONTH(C601)</f>
        <v/>
      </c>
      <c r="F601" s="9" t="inlineStr">
        <is>
          <t>B Hormigón</t>
        </is>
      </c>
      <c r="G601" s="9" t="inlineStr">
        <is>
          <t>B HORMIGON 25MM 12M A630-420H (N)</t>
        </is>
      </c>
      <c r="H601" s="9" t="inlineStr">
        <is>
          <t>B HORMIGON 25MM 12M A630-420H (N)</t>
        </is>
      </c>
      <c r="I601" s="9" t="inlineStr">
        <is>
          <t>RED 25 CR</t>
        </is>
      </c>
      <c r="J601" s="9" t="n">
        <v>110002941</v>
      </c>
      <c r="K601" s="9" t="n">
        <v>25</v>
      </c>
      <c r="L601" s="9" t="n"/>
      <c r="M601" s="9" t="n"/>
      <c r="N601" s="9" t="n"/>
      <c r="O601" s="9" t="n">
        <v>12</v>
      </c>
      <c r="P601" s="13" t="n">
        <v>324108</v>
      </c>
      <c r="Q601" s="13" t="n">
        <v>339332.4</v>
      </c>
      <c r="R601" s="14">
        <f>IFERROR(P601/Q601,"")</f>
        <v/>
      </c>
      <c r="S601" s="15" t="n">
        <v>0.95</v>
      </c>
      <c r="T601" s="9">
        <f>IF(R601&gt;1,"A corregir","Válida")</f>
        <v/>
      </c>
      <c r="U601" s="13">
        <f>Q601-P601</f>
        <v/>
      </c>
      <c r="V601" s="13">
        <f>IF(S601="",0,S601*Q601)</f>
        <v/>
      </c>
      <c r="W601" s="9" t="n">
        <v>2026</v>
      </c>
      <c r="X601" s="9" t="n">
        <v>27</v>
      </c>
      <c r="Y601" s="9" t="inlineStr">
        <is>
          <t>2026-S27</t>
        </is>
      </c>
    </row>
    <row r="602">
      <c r="A602" s="9" t="n">
        <v>43048864</v>
      </c>
      <c r="B602" s="11" t="n">
        <v>46207.58295138889</v>
      </c>
      <c r="C602" s="12" t="n">
        <v>46207</v>
      </c>
      <c r="D602" s="9">
        <f>YEAR(C602)</f>
        <v/>
      </c>
      <c r="E602" s="9">
        <f>MONTH(C602)</f>
        <v/>
      </c>
      <c r="F602" s="9" t="inlineStr">
        <is>
          <t>B Hormigón</t>
        </is>
      </c>
      <c r="G602" s="9" t="inlineStr">
        <is>
          <t>B HORMIGON 25MM 11M A630-420H (N)</t>
        </is>
      </c>
      <c r="H602" s="9" t="inlineStr">
        <is>
          <t>B HORMIGON 25MM 11M A630-420H (N)</t>
        </is>
      </c>
      <c r="I602" s="9" t="inlineStr">
        <is>
          <t>RED 25 CR</t>
        </is>
      </c>
      <c r="J602" s="9" t="n">
        <v>110002947</v>
      </c>
      <c r="K602" s="9" t="n">
        <v>25</v>
      </c>
      <c r="L602" s="9" t="n"/>
      <c r="M602" s="9" t="n"/>
      <c r="N602" s="9" t="n"/>
      <c r="O602" s="9" t="n">
        <v>11</v>
      </c>
      <c r="P602" s="13" t="n">
        <v>25339</v>
      </c>
      <c r="Q602" s="13" t="n">
        <v>26571.6</v>
      </c>
      <c r="R602" s="14">
        <f>IFERROR(P602/Q602,"")</f>
        <v/>
      </c>
      <c r="S602" s="15" t="n">
        <v>0.95</v>
      </c>
      <c r="T602" s="9">
        <f>IF(R602&gt;1,"A corregir","Válida")</f>
        <v/>
      </c>
      <c r="U602" s="13">
        <f>Q602-P602</f>
        <v/>
      </c>
      <c r="V602" s="13">
        <f>IF(S602="",0,S602*Q602)</f>
        <v/>
      </c>
      <c r="W602" s="9" t="n">
        <v>2026</v>
      </c>
      <c r="X602" s="9" t="n">
        <v>27</v>
      </c>
      <c r="Y602" s="9" t="inlineStr">
        <is>
          <t>2026-S27</t>
        </is>
      </c>
    </row>
    <row r="603">
      <c r="A603" s="9" t="n">
        <v>43048865</v>
      </c>
      <c r="B603" s="11" t="n">
        <v>46207.63836805556</v>
      </c>
      <c r="C603" s="12" t="n">
        <v>46207</v>
      </c>
      <c r="D603" s="9">
        <f>YEAR(C603)</f>
        <v/>
      </c>
      <c r="E603" s="9">
        <f>MONTH(C603)</f>
        <v/>
      </c>
      <c r="F603" s="9" t="inlineStr">
        <is>
          <t>B Hormigón</t>
        </is>
      </c>
      <c r="G603" s="9" t="inlineStr">
        <is>
          <t>B HORMIGON 25MM 9M A630-420H (N)</t>
        </is>
      </c>
      <c r="H603" s="9" t="inlineStr">
        <is>
          <t>B HORMIGON 25MM 9M A630-420H (N)</t>
        </is>
      </c>
      <c r="I603" s="9" t="inlineStr">
        <is>
          <t>RED 25 CR</t>
        </is>
      </c>
      <c r="J603" s="9" t="n">
        <v>110002905</v>
      </c>
      <c r="K603" s="9" t="n">
        <v>25</v>
      </c>
      <c r="L603" s="9" t="n"/>
      <c r="M603" s="9" t="n"/>
      <c r="N603" s="9" t="n"/>
      <c r="O603" s="9" t="n">
        <v>9</v>
      </c>
      <c r="P603" s="13" t="n">
        <v>94126</v>
      </c>
      <c r="Q603" s="13" t="n">
        <v>99792</v>
      </c>
      <c r="R603" s="14">
        <f>IFERROR(P603/Q603,"")</f>
        <v/>
      </c>
      <c r="S603" s="15" t="n">
        <v>0.95</v>
      </c>
      <c r="T603" s="9">
        <f>IF(R603&gt;1,"A corregir","Válida")</f>
        <v/>
      </c>
      <c r="U603" s="13">
        <f>Q603-P603</f>
        <v/>
      </c>
      <c r="V603" s="13">
        <f>IF(S603="",0,S603*Q603)</f>
        <v/>
      </c>
      <c r="W603" s="9" t="n">
        <v>2026</v>
      </c>
      <c r="X603" s="9" t="n">
        <v>27</v>
      </c>
      <c r="Y603" s="9" t="inlineStr">
        <is>
          <t>2026-S27</t>
        </is>
      </c>
    </row>
    <row r="604">
      <c r="A604" s="9" t="n">
        <v>43048862</v>
      </c>
      <c r="B604" s="11" t="n">
        <v>46207.75634259259</v>
      </c>
      <c r="C604" s="12" t="n">
        <v>46207</v>
      </c>
      <c r="D604" s="9">
        <f>YEAR(C604)</f>
        <v/>
      </c>
      <c r="E604" s="9">
        <f>MONTH(C604)</f>
        <v/>
      </c>
      <c r="F604" s="9" t="inlineStr">
        <is>
          <t>B Hormigón</t>
        </is>
      </c>
      <c r="G604" s="9" t="inlineStr">
        <is>
          <t>B HORMIGON 25MM 8M A630-420H (N)</t>
        </is>
      </c>
      <c r="H604" s="9" t="inlineStr">
        <is>
          <t>B HORMIGON 25MM 8M A630-420H (N)</t>
        </is>
      </c>
      <c r="I604" s="9" t="inlineStr">
        <is>
          <t>RED 25 CR</t>
        </is>
      </c>
      <c r="J604" s="9" t="n">
        <v>110002921</v>
      </c>
      <c r="K604" s="9" t="n">
        <v>25</v>
      </c>
      <c r="L604" s="9" t="n"/>
      <c r="M604" s="9" t="n"/>
      <c r="N604" s="9" t="n"/>
      <c r="O604" s="9" t="n">
        <v>8</v>
      </c>
      <c r="P604" s="13" t="n">
        <v>130338</v>
      </c>
      <c r="Q604" s="13" t="n">
        <v>135537.6</v>
      </c>
      <c r="R604" s="14">
        <f>IFERROR(P604/Q604,"")</f>
        <v/>
      </c>
      <c r="S604" s="15" t="n">
        <v>0.95</v>
      </c>
      <c r="T604" s="9">
        <f>IF(R604&gt;1,"A corregir","Válida")</f>
        <v/>
      </c>
      <c r="U604" s="13">
        <f>Q604-P604</f>
        <v/>
      </c>
      <c r="V604" s="13">
        <f>IF(S604="",0,S604*Q604)</f>
        <v/>
      </c>
      <c r="W604" s="9" t="n">
        <v>2026</v>
      </c>
      <c r="X604" s="9" t="n">
        <v>27</v>
      </c>
      <c r="Y604" s="9" t="inlineStr">
        <is>
          <t>2026-S27</t>
        </is>
      </c>
    </row>
    <row r="605">
      <c r="A605" s="9" t="n">
        <v>43048866</v>
      </c>
      <c r="B605" s="11" t="n">
        <v>46208.01464120371</v>
      </c>
      <c r="C605" s="12" t="n">
        <v>46208</v>
      </c>
      <c r="D605" s="9">
        <f>YEAR(C605)</f>
        <v/>
      </c>
      <c r="E605" s="9">
        <f>MONTH(C605)</f>
        <v/>
      </c>
      <c r="F605" s="9" t="inlineStr">
        <is>
          <t>B Hormigón</t>
        </is>
      </c>
      <c r="G605" s="9" t="inlineStr">
        <is>
          <t>B HORMIGON 25MM 7M A630-420H (N)</t>
        </is>
      </c>
      <c r="H605" s="9" t="inlineStr">
        <is>
          <t>B HORMIGON 25MM 7M A630-420H (N)</t>
        </is>
      </c>
      <c r="I605" s="9" t="inlineStr">
        <is>
          <t>RED 25 CR</t>
        </is>
      </c>
      <c r="J605" s="9" t="n">
        <v>110002927</v>
      </c>
      <c r="K605" s="9" t="n">
        <v>25</v>
      </c>
      <c r="L605" s="9" t="n"/>
      <c r="M605" s="9" t="n"/>
      <c r="N605" s="9" t="n"/>
      <c r="O605" s="9" t="n">
        <v>7</v>
      </c>
      <c r="P605" s="13" t="n">
        <v>91220</v>
      </c>
      <c r="Q605" s="13" t="n">
        <v>95145.60000000001</v>
      </c>
      <c r="R605" s="14">
        <f>IFERROR(P605/Q605,"")</f>
        <v/>
      </c>
      <c r="S605" s="15" t="n">
        <v>0.95</v>
      </c>
      <c r="T605" s="9">
        <f>IF(R605&gt;1,"A corregir","Válida")</f>
        <v/>
      </c>
      <c r="U605" s="13">
        <f>Q605-P605</f>
        <v/>
      </c>
      <c r="V605" s="13">
        <f>IF(S605="",0,S605*Q605)</f>
        <v/>
      </c>
      <c r="W605" s="9" t="n">
        <v>2026</v>
      </c>
      <c r="X605" s="9" t="n">
        <v>27</v>
      </c>
      <c r="Y605" s="9" t="inlineStr">
        <is>
          <t>2026-S27</t>
        </is>
      </c>
    </row>
    <row r="606">
      <c r="A606" s="9" t="n">
        <v>43048966</v>
      </c>
      <c r="B606" s="11" t="n">
        <v>46209.05523148148</v>
      </c>
      <c r="C606" s="12" t="n">
        <v>46209</v>
      </c>
      <c r="D606" s="9">
        <f>YEAR(C606)</f>
        <v/>
      </c>
      <c r="E606" s="9">
        <f>MONTH(C606)</f>
        <v/>
      </c>
      <c r="F606" s="9" t="inlineStr">
        <is>
          <t>B Hormigón</t>
        </is>
      </c>
      <c r="G606" s="9" t="inlineStr">
        <is>
          <t>B HORMIGON 32MM 12M A630-420HS (N)</t>
        </is>
      </c>
      <c r="H606" s="9" t="inlineStr">
        <is>
          <t>B HORMIGON 32MM 12M A630-420HS (N)</t>
        </is>
      </c>
      <c r="I606" s="9" t="inlineStr">
        <is>
          <t>RED 32 CR</t>
        </is>
      </c>
      <c r="J606" s="9" t="n">
        <v>110005868</v>
      </c>
      <c r="K606" s="9" t="n">
        <v>32</v>
      </c>
      <c r="L606" s="9" t="n"/>
      <c r="M606" s="9" t="n"/>
      <c r="N606" s="9" t="n"/>
      <c r="O606" s="9" t="n">
        <v>12</v>
      </c>
      <c r="P606" s="13" t="n">
        <v>147866</v>
      </c>
      <c r="Q606" s="13" t="n">
        <v>158004</v>
      </c>
      <c r="R606" s="14">
        <f>IFERROR(P606/Q606,"")</f>
        <v/>
      </c>
      <c r="S606" s="15" t="n">
        <v>0.96</v>
      </c>
      <c r="T606" s="9">
        <f>IF(R606&gt;1,"A corregir","Válida")</f>
        <v/>
      </c>
      <c r="U606" s="13">
        <f>Q606-P606</f>
        <v/>
      </c>
      <c r="V606" s="13">
        <f>IF(S606="",0,S606*Q606)</f>
        <v/>
      </c>
      <c r="W606" s="9" t="n">
        <v>2026</v>
      </c>
      <c r="X606" s="9" t="n">
        <v>28</v>
      </c>
      <c r="Y606" s="9" t="inlineStr">
        <is>
          <t>2026-S28</t>
        </is>
      </c>
    </row>
    <row r="607">
      <c r="A607" s="9" t="n">
        <v>43048965</v>
      </c>
      <c r="B607" s="11" t="n">
        <v>46209.33346064815</v>
      </c>
      <c r="C607" s="12" t="n">
        <v>46209</v>
      </c>
      <c r="D607" s="9">
        <f>YEAR(C607)</f>
        <v/>
      </c>
      <c r="E607" s="9">
        <f>MONTH(C607)</f>
        <v/>
      </c>
      <c r="F607" s="9" t="inlineStr">
        <is>
          <t>B Hormigón</t>
        </is>
      </c>
      <c r="G607" s="9" t="inlineStr">
        <is>
          <t>B HORMIGON 32MM 11M A630-420HS (N)</t>
        </is>
      </c>
      <c r="H607" s="9" t="inlineStr">
        <is>
          <t>B HORMIGON 32MM 11M A630-420HS (N)</t>
        </is>
      </c>
      <c r="I607" s="9" t="inlineStr">
        <is>
          <t>RED 32 CR</t>
        </is>
      </c>
      <c r="J607" s="9" t="n">
        <v>110007132</v>
      </c>
      <c r="K607" s="9" t="n">
        <v>32</v>
      </c>
      <c r="L607" s="9" t="n"/>
      <c r="M607" s="9" t="n"/>
      <c r="N607" s="9" t="n"/>
      <c r="O607" s="9" t="n">
        <v>11</v>
      </c>
      <c r="P607" s="13" t="n">
        <v>8848</v>
      </c>
      <c r="Q607" s="13" t="n">
        <v>8712</v>
      </c>
      <c r="R607" s="14">
        <f>IFERROR(P607/Q607,"")</f>
        <v/>
      </c>
      <c r="S607" s="15" t="n">
        <v>0.96</v>
      </c>
      <c r="T607" s="9">
        <f>IF(R607&gt;1,"A corregir","Válida")</f>
        <v/>
      </c>
      <c r="U607" s="13">
        <f>Q607-P607</f>
        <v/>
      </c>
      <c r="V607" s="13">
        <f>IF(S607="",0,S607*Q607)</f>
        <v/>
      </c>
      <c r="W607" s="9" t="n">
        <v>2026</v>
      </c>
      <c r="X607" s="9" t="n">
        <v>28</v>
      </c>
      <c r="Y607" s="9" t="inlineStr">
        <is>
          <t>2026-S28</t>
        </is>
      </c>
    </row>
    <row r="608">
      <c r="A608" s="9" t="n">
        <v>43048964</v>
      </c>
      <c r="B608" s="11" t="n">
        <v>46209.35302083333</v>
      </c>
      <c r="C608" s="12" t="n">
        <v>46209</v>
      </c>
      <c r="D608" s="9">
        <f>YEAR(C608)</f>
        <v/>
      </c>
      <c r="E608" s="9">
        <f>MONTH(C608)</f>
        <v/>
      </c>
      <c r="F608" s="9" t="inlineStr">
        <is>
          <t>B Hormigón</t>
        </is>
      </c>
      <c r="G608" s="9" t="inlineStr">
        <is>
          <t>B HORMIGON 32MM 7M A630-420HS (N)</t>
        </is>
      </c>
      <c r="H608" s="9" t="inlineStr">
        <is>
          <t>B HORMIGON 32MM 7M A630-420HS (N).</t>
        </is>
      </c>
      <c r="I608" s="9" t="inlineStr">
        <is>
          <t>RED 32 CR</t>
        </is>
      </c>
      <c r="J608" s="9" t="n">
        <v>110007164</v>
      </c>
      <c r="K608" s="9" t="n">
        <v>32</v>
      </c>
      <c r="L608" s="9" t="n"/>
      <c r="M608" s="9" t="n"/>
      <c r="N608" s="9" t="n"/>
      <c r="O608" s="9" t="n">
        <v>7</v>
      </c>
      <c r="P608" s="13" t="n">
        <v>20975</v>
      </c>
      <c r="Q608" s="13" t="n">
        <v>22809.6</v>
      </c>
      <c r="R608" s="14">
        <f>IFERROR(P608/Q608,"")</f>
        <v/>
      </c>
      <c r="S608" s="15" t="n">
        <v>0.97</v>
      </c>
      <c r="T608" s="9">
        <f>IF(R608&gt;1,"A corregir","Válida")</f>
        <v/>
      </c>
      <c r="U608" s="13">
        <f>Q608-P608</f>
        <v/>
      </c>
      <c r="V608" s="13">
        <f>IF(S608="",0,S608*Q608)</f>
        <v/>
      </c>
      <c r="W608" s="9" t="n">
        <v>2026</v>
      </c>
      <c r="X608" s="9" t="n">
        <v>28</v>
      </c>
      <c r="Y608" s="9" t="inlineStr">
        <is>
          <t>2026-S28</t>
        </is>
      </c>
    </row>
    <row r="609">
      <c r="A609" s="9" t="n">
        <v>43048967</v>
      </c>
      <c r="B609" s="11" t="n">
        <v>46209.41133101852</v>
      </c>
      <c r="C609" s="12" t="n">
        <v>46209</v>
      </c>
      <c r="D609" s="9">
        <f>YEAR(C609)</f>
        <v/>
      </c>
      <c r="E609" s="9">
        <f>MONTH(C609)</f>
        <v/>
      </c>
      <c r="F609" s="9" t="inlineStr">
        <is>
          <t>B Hormigón</t>
        </is>
      </c>
      <c r="G609" s="9" t="inlineStr">
        <is>
          <t>B HORMIGON 32MM 12M A630-420H (N)</t>
        </is>
      </c>
      <c r="H609" s="9" t="inlineStr">
        <is>
          <t>B HORMIGON 32MM 12M A630-420H (N)</t>
        </is>
      </c>
      <c r="I609" s="9" t="inlineStr">
        <is>
          <t>RED 32 CR</t>
        </is>
      </c>
      <c r="J609" s="9" t="n">
        <v>110002900</v>
      </c>
      <c r="K609" s="9" t="n">
        <v>32</v>
      </c>
      <c r="L609" s="9" t="n"/>
      <c r="M609" s="9" t="n"/>
      <c r="N609" s="9" t="n"/>
      <c r="O609" s="9" t="n">
        <v>12</v>
      </c>
      <c r="P609" s="13" t="n">
        <v>122277</v>
      </c>
      <c r="Q609" s="13" t="n">
        <v>130680</v>
      </c>
      <c r="R609" s="14">
        <f>IFERROR(P609/Q609,"")</f>
        <v/>
      </c>
      <c r="S609" s="15" t="n">
        <v>0.96</v>
      </c>
      <c r="T609" s="9">
        <f>IF(R609&gt;1,"A corregir","Válida")</f>
        <v/>
      </c>
      <c r="U609" s="13">
        <f>Q609-P609</f>
        <v/>
      </c>
      <c r="V609" s="13">
        <f>IF(S609="",0,S609*Q609)</f>
        <v/>
      </c>
      <c r="W609" s="9" t="n">
        <v>2026</v>
      </c>
      <c r="X609" s="9" t="n">
        <v>28</v>
      </c>
      <c r="Y609" s="9" t="inlineStr">
        <is>
          <t>2026-S28</t>
        </is>
      </c>
    </row>
    <row r="610">
      <c r="A610" s="9" t="n">
        <v>43048984</v>
      </c>
      <c r="B610" s="11" t="n">
        <v>46209.64791666667</v>
      </c>
      <c r="C610" s="12" t="n">
        <v>46209</v>
      </c>
      <c r="D610" s="9">
        <f>YEAR(C610)</f>
        <v/>
      </c>
      <c r="E610" s="9">
        <f>MONTH(C610)</f>
        <v/>
      </c>
      <c r="F610" s="9" t="inlineStr">
        <is>
          <t>B Hormigón</t>
        </is>
      </c>
      <c r="G610" s="9" t="inlineStr">
        <is>
          <t>B HORMIGON 32MM 11M A630-420H (N)</t>
        </is>
      </c>
      <c r="H610" s="9" t="inlineStr">
        <is>
          <t>B HORMIGON 32MM 11M A630-420H (N)</t>
        </is>
      </c>
      <c r="I610" s="9" t="inlineStr">
        <is>
          <t>RED 32 CR</t>
        </is>
      </c>
      <c r="J610" s="9" t="n">
        <v>110002899</v>
      </c>
      <c r="K610" s="9" t="n">
        <v>32</v>
      </c>
      <c r="L610" s="9" t="n"/>
      <c r="M610" s="9" t="n"/>
      <c r="N610" s="9" t="n"/>
      <c r="O610" s="9" t="n">
        <v>11</v>
      </c>
      <c r="P610" s="13" t="n">
        <v>52308</v>
      </c>
      <c r="Q610" s="13" t="n">
        <v>55321.2</v>
      </c>
      <c r="R610" s="14">
        <f>IFERROR(P610/Q610,"")</f>
        <v/>
      </c>
      <c r="S610" s="15" t="n">
        <v>0.96</v>
      </c>
      <c r="T610" s="9">
        <f>IF(R610&gt;1,"A corregir","Válida")</f>
        <v/>
      </c>
      <c r="U610" s="13">
        <f>Q610-P610</f>
        <v/>
      </c>
      <c r="V610" s="13">
        <f>IF(S610="",0,S610*Q610)</f>
        <v/>
      </c>
      <c r="W610" s="9" t="n">
        <v>2026</v>
      </c>
      <c r="X610" s="9" t="n">
        <v>28</v>
      </c>
      <c r="Y610" s="9" t="inlineStr">
        <is>
          <t>2026-S28</t>
        </is>
      </c>
    </row>
    <row r="611">
      <c r="A611" s="9" t="n">
        <v>43049067</v>
      </c>
      <c r="B611" s="11" t="n">
        <v>46209.99497685185</v>
      </c>
      <c r="C611" s="12" t="n">
        <v>46209</v>
      </c>
      <c r="D611" s="9">
        <f>YEAR(C611)</f>
        <v/>
      </c>
      <c r="E611" s="9">
        <f>MONTH(C611)</f>
        <v/>
      </c>
      <c r="F611" s="9" t="inlineStr">
        <is>
          <t>Ángulo</t>
        </is>
      </c>
      <c r="G611" s="9" t="inlineStr">
        <is>
          <t>ANGULO 30X30X5MM A270ES</t>
        </is>
      </c>
      <c r="H611" s="9" t="inlineStr">
        <is>
          <t>ANGULO SEMI 30X30X5MM A270ES</t>
        </is>
      </c>
      <c r="I611" s="9" t="inlineStr">
        <is>
          <t>ANG 30 x 5</t>
        </is>
      </c>
      <c r="J611" s="9" t="n">
        <v>106501813</v>
      </c>
      <c r="K611" s="9" t="n"/>
      <c r="L611" s="9" t="n">
        <v>30</v>
      </c>
      <c r="M611" s="9" t="n">
        <v>5</v>
      </c>
      <c r="N611" s="9" t="n"/>
      <c r="O611" s="9" t="n">
        <v>6</v>
      </c>
      <c r="P611" s="13" t="n">
        <v>70022</v>
      </c>
      <c r="Q611" s="13" t="n">
        <v>74949.60000000001</v>
      </c>
      <c r="R611" s="14">
        <f>IFERROR(P611/Q611,"")</f>
        <v/>
      </c>
      <c r="S611" s="15" t="n">
        <v>0.958</v>
      </c>
      <c r="T611" s="9">
        <f>IF(R611&gt;1,"A corregir","Válida")</f>
        <v/>
      </c>
      <c r="U611" s="13">
        <f>Q611-P611</f>
        <v/>
      </c>
      <c r="V611" s="13">
        <f>IF(S611="",0,S611*Q611)</f>
        <v/>
      </c>
      <c r="W611" s="9" t="n">
        <v>2026</v>
      </c>
      <c r="X611" s="9" t="n">
        <v>28</v>
      </c>
      <c r="Y611" s="9" t="inlineStr">
        <is>
          <t>2026-S28</t>
        </is>
      </c>
    </row>
    <row r="612">
      <c r="A612" s="9" t="n">
        <v>43049068</v>
      </c>
      <c r="B612" s="11" t="n">
        <v>46210.24621527778</v>
      </c>
      <c r="C612" s="12" t="n">
        <v>46210</v>
      </c>
      <c r="D612" s="9">
        <f>YEAR(C612)</f>
        <v/>
      </c>
      <c r="E612" s="9">
        <f>MONTH(C612)</f>
        <v/>
      </c>
      <c r="F612" s="9" t="inlineStr">
        <is>
          <t>Ángulo</t>
        </is>
      </c>
      <c r="G612" s="9" t="inlineStr">
        <is>
          <t>ANGULO 30X30X3MM A270ES</t>
        </is>
      </c>
      <c r="H612" s="9" t="inlineStr">
        <is>
          <t>ANGULO SEMI 30X30X3MM A270ES</t>
        </is>
      </c>
      <c r="I612" s="9" t="inlineStr">
        <is>
          <t>ANG 30 x 3</t>
        </is>
      </c>
      <c r="J612" s="9" t="n">
        <v>106501029</v>
      </c>
      <c r="K612" s="9" t="n"/>
      <c r="L612" s="9" t="n">
        <v>30</v>
      </c>
      <c r="M612" s="9" t="n">
        <v>3</v>
      </c>
      <c r="N612" s="9" t="n"/>
      <c r="O612" s="9" t="n">
        <v>6</v>
      </c>
      <c r="P612" s="13" t="n">
        <v>65203</v>
      </c>
      <c r="Q612" s="13" t="n">
        <v>67768.8</v>
      </c>
      <c r="R612" s="14">
        <f>IFERROR(P612/Q612,"")</f>
        <v/>
      </c>
      <c r="S612" s="15" t="n">
        <v>0.96</v>
      </c>
      <c r="T612" s="9">
        <f>IF(R612&gt;1,"A corregir","Válida")</f>
        <v/>
      </c>
      <c r="U612" s="13">
        <f>Q612-P612</f>
        <v/>
      </c>
      <c r="V612" s="13">
        <f>IF(S612="",0,S612*Q612)</f>
        <v/>
      </c>
      <c r="W612" s="9" t="n">
        <v>2026</v>
      </c>
      <c r="X612" s="9" t="n">
        <v>28</v>
      </c>
      <c r="Y612" s="9" t="inlineStr">
        <is>
          <t>2026-S28</t>
        </is>
      </c>
    </row>
    <row r="613">
      <c r="A613" s="9" t="n">
        <v>43048969</v>
      </c>
      <c r="B613" s="11" t="n">
        <v>46210.42918981481</v>
      </c>
      <c r="C613" s="12" t="n">
        <v>46210</v>
      </c>
      <c r="D613" s="9">
        <f>YEAR(C613)</f>
        <v/>
      </c>
      <c r="E613" s="9">
        <f>MONTH(C613)</f>
        <v/>
      </c>
      <c r="F613" s="9" t="inlineStr">
        <is>
          <t>Plana</t>
        </is>
      </c>
      <c r="G613" s="9" t="inlineStr">
        <is>
          <t>PLANA 50X3 MM 6M A270ES (N)</t>
        </is>
      </c>
      <c r="H613" s="9" t="inlineStr">
        <is>
          <t>PLANA 50X3 MM 6M A270ES (N)</t>
        </is>
      </c>
      <c r="I613" s="9" t="inlineStr">
        <is>
          <t>PL 50 x 3</t>
        </is>
      </c>
      <c r="J613" s="9" t="n">
        <v>109013903</v>
      </c>
      <c r="K613" s="9" t="n"/>
      <c r="L613" s="9" t="n">
        <v>50</v>
      </c>
      <c r="M613" s="9" t="n">
        <v>3</v>
      </c>
      <c r="N613" s="9" t="n"/>
      <c r="O613" s="9" t="n">
        <v>6</v>
      </c>
      <c r="P613" s="13" t="n">
        <v>52367</v>
      </c>
      <c r="Q613" s="13" t="n">
        <v>57446.4</v>
      </c>
      <c r="R613" s="14">
        <f>IFERROR(P613/Q613,"")</f>
        <v/>
      </c>
      <c r="S613" s="15" t="n">
        <v>0.963</v>
      </c>
      <c r="T613" s="9">
        <f>IF(R613&gt;1,"A corregir","Válida")</f>
        <v/>
      </c>
      <c r="U613" s="13">
        <f>Q613-P613</f>
        <v/>
      </c>
      <c r="V613" s="13">
        <f>IF(S613="",0,S613*Q613)</f>
        <v/>
      </c>
      <c r="W613" s="9" t="n">
        <v>2026</v>
      </c>
      <c r="X613" s="9" t="n">
        <v>28</v>
      </c>
      <c r="Y613" s="9" t="inlineStr">
        <is>
          <t>2026-S28</t>
        </is>
      </c>
    </row>
    <row r="614">
      <c r="A614" s="9" t="n">
        <v>43048991</v>
      </c>
      <c r="B614" s="11" t="n">
        <v>46211.00513888889</v>
      </c>
      <c r="C614" s="12" t="n">
        <v>46211</v>
      </c>
      <c r="D614" s="9">
        <f>YEAR(C614)</f>
        <v/>
      </c>
      <c r="E614" s="9">
        <f>MONTH(C614)</f>
        <v/>
      </c>
      <c r="F614" s="9" t="inlineStr">
        <is>
          <t>Ángulo</t>
        </is>
      </c>
      <c r="G614" s="9" t="inlineStr">
        <is>
          <t>ANGULO 80X80X10MM A270ES</t>
        </is>
      </c>
      <c r="H614" s="9" t="inlineStr">
        <is>
          <t>ANGULO SEMI 80X80X10MM A270ES</t>
        </is>
      </c>
      <c r="I614" s="9" t="inlineStr">
        <is>
          <t>ANG 80 x 10</t>
        </is>
      </c>
      <c r="J614" s="9" t="n">
        <v>106501048</v>
      </c>
      <c r="K614" s="9" t="n"/>
      <c r="L614" s="9" t="n">
        <v>80</v>
      </c>
      <c r="M614" s="9" t="n">
        <v>10</v>
      </c>
      <c r="N614" s="9" t="n"/>
      <c r="O614" s="9" t="n">
        <v>6</v>
      </c>
      <c r="P614" s="13" t="n">
        <v>1541</v>
      </c>
      <c r="Q614" s="13" t="n">
        <v>1795.2</v>
      </c>
      <c r="R614" s="14">
        <f>IFERROR(P614/Q614,"")</f>
        <v/>
      </c>
      <c r="S614" s="15" t="n">
        <v>0.9409999999999999</v>
      </c>
      <c r="T614" s="9">
        <f>IF(R614&gt;1,"A corregir","Válida")</f>
        <v/>
      </c>
      <c r="U614" s="13">
        <f>Q614-P614</f>
        <v/>
      </c>
      <c r="V614" s="13">
        <f>IF(S614="",0,S614*Q614)</f>
        <v/>
      </c>
      <c r="W614" s="9" t="n">
        <v>2026</v>
      </c>
      <c r="X614" s="9" t="n">
        <v>28</v>
      </c>
      <c r="Y614" s="9" t="inlineStr">
        <is>
          <t>2026-S28</t>
        </is>
      </c>
    </row>
    <row r="615">
      <c r="A615" s="9" t="n">
        <v>43049087</v>
      </c>
      <c r="B615" s="11" t="n">
        <v>46211.01015046296</v>
      </c>
      <c r="C615" s="12" t="n">
        <v>46211</v>
      </c>
      <c r="D615" s="9">
        <f>YEAR(C615)</f>
        <v/>
      </c>
      <c r="E615" s="9">
        <f>MONTH(C615)</f>
        <v/>
      </c>
      <c r="F615" s="9" t="inlineStr">
        <is>
          <t>Ángulo</t>
        </is>
      </c>
      <c r="G615" s="9" t="inlineStr">
        <is>
          <t>ANGULO 80X80X10MM A270ES</t>
        </is>
      </c>
      <c r="H615" s="9" t="inlineStr">
        <is>
          <t>ANGULO SEMI 80X80X10MM A270ES</t>
        </is>
      </c>
      <c r="I615" s="9" t="inlineStr">
        <is>
          <t>ANG 80 x 10</t>
        </is>
      </c>
      <c r="J615" s="9" t="n">
        <v>106501048</v>
      </c>
      <c r="K615" s="9" t="n"/>
      <c r="L615" s="9" t="n">
        <v>80</v>
      </c>
      <c r="M615" s="9" t="n">
        <v>10</v>
      </c>
      <c r="N615" s="9" t="n"/>
      <c r="O615" s="9" t="n">
        <v>6</v>
      </c>
      <c r="P615" s="13" t="n">
        <v>34154</v>
      </c>
      <c r="Q615" s="13" t="n">
        <v>36352.8</v>
      </c>
      <c r="R615" s="14">
        <f>IFERROR(P615/Q615,"")</f>
        <v/>
      </c>
      <c r="S615" s="15" t="n">
        <v>0.9409999999999999</v>
      </c>
      <c r="T615" s="9">
        <f>IF(R615&gt;1,"A corregir","Válida")</f>
        <v/>
      </c>
      <c r="U615" s="13">
        <f>Q615-P615</f>
        <v/>
      </c>
      <c r="V615" s="13">
        <f>IF(S615="",0,S615*Q615)</f>
        <v/>
      </c>
      <c r="W615" s="9" t="n">
        <v>2026</v>
      </c>
      <c r="X615" s="9" t="n">
        <v>28</v>
      </c>
      <c r="Y615" s="9" t="inlineStr">
        <is>
          <t>2026-S28</t>
        </is>
      </c>
    </row>
    <row r="616">
      <c r="A616" s="9" t="n">
        <v>43048992</v>
      </c>
      <c r="B616" s="11" t="n">
        <v>46211.13680555556</v>
      </c>
      <c r="C616" s="12" t="n">
        <v>46211</v>
      </c>
      <c r="D616" s="9">
        <f>YEAR(C616)</f>
        <v/>
      </c>
      <c r="E616" s="9">
        <f>MONTH(C616)</f>
        <v/>
      </c>
      <c r="F616" s="9" t="inlineStr">
        <is>
          <t>Ángulo</t>
        </is>
      </c>
      <c r="G616" s="9" t="inlineStr">
        <is>
          <t>ANGULO 80X80X6MM A270ES</t>
        </is>
      </c>
      <c r="H616" s="9" t="inlineStr">
        <is>
          <t>ANGULO SEMI 80X80X6MM A270ES</t>
        </is>
      </c>
      <c r="I616" s="9" t="inlineStr">
        <is>
          <t>ANG 80 x 6</t>
        </is>
      </c>
      <c r="J616" s="9" t="n">
        <v>106501050</v>
      </c>
      <c r="K616" s="9" t="n"/>
      <c r="L616" s="9" t="n">
        <v>80</v>
      </c>
      <c r="M616" s="9" t="n">
        <v>6</v>
      </c>
      <c r="N616" s="9" t="n"/>
      <c r="O616" s="9" t="n">
        <v>6</v>
      </c>
      <c r="P616" s="13" t="n">
        <v>152727</v>
      </c>
      <c r="Q616" s="13" t="n">
        <v>164709.6</v>
      </c>
      <c r="R616" s="14">
        <f>IFERROR(P616/Q616,"")</f>
        <v/>
      </c>
      <c r="S616" s="15" t="n">
        <v>0.9490000000000001</v>
      </c>
      <c r="T616" s="9">
        <f>IF(R616&gt;1,"A corregir","Válida")</f>
        <v/>
      </c>
      <c r="U616" s="13">
        <f>Q616-P616</f>
        <v/>
      </c>
      <c r="V616" s="13">
        <f>IF(S616="",0,S616*Q616)</f>
        <v/>
      </c>
      <c r="W616" s="9" t="n">
        <v>2026</v>
      </c>
      <c r="X616" s="9" t="n">
        <v>28</v>
      </c>
      <c r="Y616" s="9" t="inlineStr">
        <is>
          <t>2026-S28</t>
        </is>
      </c>
    </row>
    <row r="617">
      <c r="A617" s="9" t="n">
        <v>43048993</v>
      </c>
      <c r="B617" s="11" t="n">
        <v>46211.53697916667</v>
      </c>
      <c r="C617" s="12" t="n">
        <v>46211</v>
      </c>
      <c r="D617" s="9">
        <f>YEAR(C617)</f>
        <v/>
      </c>
      <c r="E617" s="9">
        <f>MONTH(C617)</f>
        <v/>
      </c>
      <c r="F617" s="9" t="inlineStr">
        <is>
          <t>Ángulo</t>
        </is>
      </c>
      <c r="G617" s="9" t="inlineStr">
        <is>
          <t>ANG 80X80X6MM 12M ASTM A572 T2 (N)</t>
        </is>
      </c>
      <c r="H617" s="9" t="inlineStr">
        <is>
          <t>ANG SEMI 80X80X6MM 12M ASTM A572 T2 (N)</t>
        </is>
      </c>
      <c r="I617" s="9" t="inlineStr">
        <is>
          <t>ANG 80 x 6</t>
        </is>
      </c>
      <c r="J617" s="9" t="n">
        <v>119502821</v>
      </c>
      <c r="K617" s="9" t="n"/>
      <c r="L617" s="9" t="n">
        <v>80</v>
      </c>
      <c r="M617" s="9" t="n">
        <v>6</v>
      </c>
      <c r="N617" s="9" t="n"/>
      <c r="O617" s="9" t="n">
        <v>12</v>
      </c>
      <c r="P617" s="13" t="n">
        <v>31381</v>
      </c>
      <c r="Q617" s="13" t="n">
        <v>34108.8</v>
      </c>
      <c r="R617" s="14">
        <f>IFERROR(P617/Q617,"")</f>
        <v/>
      </c>
      <c r="S617" s="15" t="n">
        <v>0.97</v>
      </c>
      <c r="T617" s="9">
        <f>IF(R617&gt;1,"A corregir","Válida")</f>
        <v/>
      </c>
      <c r="U617" s="13">
        <f>Q617-P617</f>
        <v/>
      </c>
      <c r="V617" s="13">
        <f>IF(S617="",0,S617*Q617)</f>
        <v/>
      </c>
      <c r="W617" s="9" t="n">
        <v>2026</v>
      </c>
      <c r="X617" s="9" t="n">
        <v>28</v>
      </c>
      <c r="Y617" s="9" t="inlineStr">
        <is>
          <t>2026-S28</t>
        </is>
      </c>
    </row>
    <row r="618">
      <c r="A618" s="9" t="n">
        <v>43049118</v>
      </c>
      <c r="B618" s="11" t="n">
        <v>46211.60724537037</v>
      </c>
      <c r="C618" s="12" t="n">
        <v>46211</v>
      </c>
      <c r="D618" s="9">
        <f>YEAR(C618)</f>
        <v/>
      </c>
      <c r="E618" s="9">
        <f>MONTH(C618)</f>
        <v/>
      </c>
      <c r="F618" s="9" t="inlineStr">
        <is>
          <t>Ángulo</t>
        </is>
      </c>
      <c r="G618" s="9" t="inlineStr">
        <is>
          <t>ANGULO 80X80X6MM A270ES</t>
        </is>
      </c>
      <c r="H618" s="9" t="inlineStr">
        <is>
          <t>ANGULO SEMI 80X80X6MM A270ES</t>
        </is>
      </c>
      <c r="I618" s="9" t="inlineStr">
        <is>
          <t>ANG 80 x 6</t>
        </is>
      </c>
      <c r="J618" s="9" t="n">
        <v>106501050</v>
      </c>
      <c r="K618" s="9" t="n"/>
      <c r="L618" s="9" t="n">
        <v>80</v>
      </c>
      <c r="M618" s="9" t="n">
        <v>6</v>
      </c>
      <c r="N618" s="9" t="n"/>
      <c r="O618" s="9" t="n">
        <v>6</v>
      </c>
      <c r="P618" s="13" t="n">
        <v>18509</v>
      </c>
      <c r="Q618" s="13" t="n">
        <v>19747.2</v>
      </c>
      <c r="R618" s="14">
        <f>IFERROR(P618/Q618,"")</f>
        <v/>
      </c>
      <c r="S618" s="15" t="n">
        <v>0.9490000000000001</v>
      </c>
      <c r="T618" s="9">
        <f>IF(R618&gt;1,"A corregir","Válida")</f>
        <v/>
      </c>
      <c r="U618" s="13">
        <f>Q618-P618</f>
        <v/>
      </c>
      <c r="V618" s="13">
        <f>IF(S618="",0,S618*Q618)</f>
        <v/>
      </c>
      <c r="W618" s="9" t="n">
        <v>2026</v>
      </c>
      <c r="X618" s="9" t="n">
        <v>28</v>
      </c>
      <c r="Y618" s="9" t="inlineStr">
        <is>
          <t>2026-S28</t>
        </is>
      </c>
    </row>
    <row r="619">
      <c r="A619" s="9" t="n">
        <v>43048988</v>
      </c>
      <c r="B619" s="11" t="n">
        <v>46211.96317129629</v>
      </c>
      <c r="C619" s="12" t="n">
        <v>46211</v>
      </c>
      <c r="D619" s="9">
        <f>YEAR(C619)</f>
        <v/>
      </c>
      <c r="E619" s="9">
        <f>MONTH(C619)</f>
        <v/>
      </c>
      <c r="F619" s="9" t="inlineStr">
        <is>
          <t>Plana</t>
        </is>
      </c>
      <c r="G619" s="9" t="inlineStr">
        <is>
          <t>PLANA 100X10MM 6M A270ES (N)</t>
        </is>
      </c>
      <c r="H619" s="9" t="inlineStr">
        <is>
          <t>PLANA 100X10MM 6M A270ES (N)</t>
        </is>
      </c>
      <c r="I619" s="9" t="inlineStr">
        <is>
          <t>PL 100 x 10</t>
        </is>
      </c>
      <c r="J619" s="9" t="n">
        <v>109007136</v>
      </c>
      <c r="K619" s="9" t="n"/>
      <c r="L619" s="9" t="n">
        <v>100</v>
      </c>
      <c r="M619" s="9" t="n">
        <v>10</v>
      </c>
      <c r="N619" s="9" t="n"/>
      <c r="O619" s="9" t="n">
        <v>6</v>
      </c>
      <c r="P619" s="13" t="n">
        <v>52780</v>
      </c>
      <c r="Q619" s="13" t="n">
        <v>55756.8</v>
      </c>
      <c r="R619" s="14">
        <f>IFERROR(P619/Q619,"")</f>
        <v/>
      </c>
      <c r="S619" s="15" t="n">
        <v>0.955</v>
      </c>
      <c r="T619" s="9">
        <f>IF(R619&gt;1,"A corregir","Válida")</f>
        <v/>
      </c>
      <c r="U619" s="13">
        <f>Q619-P619</f>
        <v/>
      </c>
      <c r="V619" s="13">
        <f>IF(S619="",0,S619*Q619)</f>
        <v/>
      </c>
      <c r="W619" s="9" t="n">
        <v>2026</v>
      </c>
      <c r="X619" s="9" t="n">
        <v>28</v>
      </c>
      <c r="Y619" s="9" t="inlineStr">
        <is>
          <t>2026-S28</t>
        </is>
      </c>
    </row>
    <row r="620">
      <c r="A620" s="9" t="n">
        <v>43049094</v>
      </c>
      <c r="B620" s="11" t="n">
        <v>46212.08591435185</v>
      </c>
      <c r="C620" s="12" t="n">
        <v>46212</v>
      </c>
      <c r="D620" s="9">
        <f>YEAR(C620)</f>
        <v/>
      </c>
      <c r="E620" s="9">
        <f>MONTH(C620)</f>
        <v/>
      </c>
      <c r="F620" s="9" t="inlineStr">
        <is>
          <t>Plana</t>
        </is>
      </c>
      <c r="G620" s="9" t="inlineStr">
        <is>
          <t>PLANA 100X8MM 6M A270ES (N)</t>
        </is>
      </c>
      <c r="H620" s="9" t="inlineStr">
        <is>
          <t>PLANA 100X8MM 6M A270ES (N)</t>
        </is>
      </c>
      <c r="I620" s="9" t="inlineStr">
        <is>
          <t>PL 100 x 8</t>
        </is>
      </c>
      <c r="J620" s="9" t="n">
        <v>109007137</v>
      </c>
      <c r="K620" s="9" t="n"/>
      <c r="L620" s="9" t="n">
        <v>100</v>
      </c>
      <c r="M620" s="9" t="n">
        <v>8</v>
      </c>
      <c r="N620" s="9" t="n"/>
      <c r="O620" s="9" t="n">
        <v>6</v>
      </c>
      <c r="P620" s="13" t="n">
        <v>40171</v>
      </c>
      <c r="Q620" s="13" t="n">
        <v>42187.2</v>
      </c>
      <c r="R620" s="14">
        <f>IFERROR(P620/Q620,"")</f>
        <v/>
      </c>
      <c r="S620" s="15" t="n">
        <v>0.9520000000000001</v>
      </c>
      <c r="T620" s="9">
        <f>IF(R620&gt;1,"A corregir","Válida")</f>
        <v/>
      </c>
      <c r="U620" s="13">
        <f>Q620-P620</f>
        <v/>
      </c>
      <c r="V620" s="13">
        <f>IF(S620="",0,S620*Q620)</f>
        <v/>
      </c>
      <c r="W620" s="9" t="n">
        <v>2026</v>
      </c>
      <c r="X620" s="9" t="n">
        <v>28</v>
      </c>
      <c r="Y620" s="9" t="inlineStr">
        <is>
          <t>2026-S28</t>
        </is>
      </c>
    </row>
    <row r="621">
      <c r="A621" s="9" t="n">
        <v>43048989</v>
      </c>
      <c r="B621" s="11" t="n">
        <v>46212.1994212963</v>
      </c>
      <c r="C621" s="12" t="n">
        <v>46212</v>
      </c>
      <c r="D621" s="9">
        <f>YEAR(C621)</f>
        <v/>
      </c>
      <c r="E621" s="9">
        <f>MONTH(C621)</f>
        <v/>
      </c>
      <c r="F621" s="9" t="inlineStr">
        <is>
          <t>Plana</t>
        </is>
      </c>
      <c r="G621" s="9" t="inlineStr">
        <is>
          <t>PLANA 100X6MM 6M A270ES (N)</t>
        </is>
      </c>
      <c r="H621" s="9" t="inlineStr">
        <is>
          <t>PLANA 100X6MM 6M A270ES (N)</t>
        </is>
      </c>
      <c r="I621" s="9" t="inlineStr">
        <is>
          <t>PL 100 x 6</t>
        </is>
      </c>
      <c r="J621" s="9" t="n">
        <v>109007138</v>
      </c>
      <c r="K621" s="9" t="n"/>
      <c r="L621" s="9" t="n">
        <v>100</v>
      </c>
      <c r="M621" s="9" t="n">
        <v>6</v>
      </c>
      <c r="N621" s="9" t="n"/>
      <c r="O621" s="9" t="n">
        <v>6</v>
      </c>
      <c r="P621" s="13" t="n">
        <v>41313</v>
      </c>
      <c r="Q621" s="13" t="n">
        <v>43084.8</v>
      </c>
      <c r="R621" s="14">
        <f>IFERROR(P621/Q621,"")</f>
        <v/>
      </c>
      <c r="S621" s="15" t="n">
        <v>0.9570000000000001</v>
      </c>
      <c r="T621" s="9">
        <f>IF(R621&gt;1,"A corregir","Válida")</f>
        <v/>
      </c>
      <c r="U621" s="13">
        <f>Q621-P621</f>
        <v/>
      </c>
      <c r="V621" s="13">
        <f>IF(S621="",0,S621*Q621)</f>
        <v/>
      </c>
      <c r="W621" s="9" t="n">
        <v>2026</v>
      </c>
      <c r="X621" s="9" t="n">
        <v>28</v>
      </c>
      <c r="Y621" s="9" t="inlineStr">
        <is>
          <t>2026-S28</t>
        </is>
      </c>
    </row>
    <row r="622">
      <c r="A622" s="9" t="n">
        <v>43048990</v>
      </c>
      <c r="B622" s="11" t="n">
        <v>46212.28273148148</v>
      </c>
      <c r="C622" s="12" t="n">
        <v>46212</v>
      </c>
      <c r="D622" s="9">
        <f>YEAR(C622)</f>
        <v/>
      </c>
      <c r="E622" s="9">
        <f>MONTH(C622)</f>
        <v/>
      </c>
      <c r="F622" s="9" t="inlineStr">
        <is>
          <t>Plana</t>
        </is>
      </c>
      <c r="G622" s="9" t="inlineStr">
        <is>
          <t>PLANA 100X5MM 6M A270ES (N)</t>
        </is>
      </c>
      <c r="H622" s="9" t="inlineStr">
        <is>
          <t>PLANA 100X5MM 6M A270ES (N)</t>
        </is>
      </c>
      <c r="I622" s="9" t="inlineStr">
        <is>
          <t>PL 100 x 5</t>
        </is>
      </c>
      <c r="J622" s="9" t="n">
        <v>109007139</v>
      </c>
      <c r="K622" s="9" t="n"/>
      <c r="L622" s="9" t="n">
        <v>100</v>
      </c>
      <c r="M622" s="9" t="n">
        <v>5</v>
      </c>
      <c r="N622" s="9" t="n"/>
      <c r="O622" s="9" t="n">
        <v>6</v>
      </c>
      <c r="P622" s="13" t="n">
        <v>221930</v>
      </c>
      <c r="Q622" s="13" t="n">
        <v>232029.6</v>
      </c>
      <c r="R622" s="14">
        <f>IFERROR(P622/Q622,"")</f>
        <v/>
      </c>
      <c r="S622" s="15" t="n">
        <v>0.96</v>
      </c>
      <c r="T622" s="9">
        <f>IF(R622&gt;1,"A corregir","Válida")</f>
        <v/>
      </c>
      <c r="U622" s="13">
        <f>Q622-P622</f>
        <v/>
      </c>
      <c r="V622" s="13">
        <f>IF(S622="",0,S622*Q622)</f>
        <v/>
      </c>
      <c r="W622" s="9" t="n">
        <v>2026</v>
      </c>
      <c r="X622" s="9" t="n">
        <v>28</v>
      </c>
      <c r="Y622" s="9" t="inlineStr">
        <is>
          <t>2026-S28</t>
        </is>
      </c>
    </row>
    <row r="623">
      <c r="A623" s="9" t="n">
        <v>43048985</v>
      </c>
      <c r="B623" s="11" t="n">
        <v>46212.9975</v>
      </c>
      <c r="C623" s="12" t="n">
        <v>46212</v>
      </c>
      <c r="D623" s="9">
        <f>YEAR(C623)</f>
        <v/>
      </c>
      <c r="E623" s="9">
        <f>MONTH(C623)</f>
        <v/>
      </c>
      <c r="F623" s="9" t="inlineStr">
        <is>
          <t>Ángulo</t>
        </is>
      </c>
      <c r="G623" s="9" t="inlineStr">
        <is>
          <t>ANGULO 65X65X10MM A270ES</t>
        </is>
      </c>
      <c r="H623" s="9" t="inlineStr">
        <is>
          <t>ANGULO SEMI 65X65X10MM A270ES</t>
        </is>
      </c>
      <c r="I623" s="9" t="inlineStr">
        <is>
          <t>ANG 65 x 10</t>
        </is>
      </c>
      <c r="J623" s="9" t="n">
        <v>106501052</v>
      </c>
      <c r="K623" s="9" t="n"/>
      <c r="L623" s="9" t="n">
        <v>65</v>
      </c>
      <c r="M623" s="9" t="n">
        <v>10</v>
      </c>
      <c r="N623" s="9" t="n"/>
      <c r="O623" s="9" t="n">
        <v>6</v>
      </c>
      <c r="P623" s="13" t="n">
        <v>37071</v>
      </c>
      <c r="Q623" s="13" t="n">
        <v>40392</v>
      </c>
      <c r="R623" s="14">
        <f>IFERROR(P623/Q623,"")</f>
        <v/>
      </c>
      <c r="S623" s="15" t="n">
        <v>0.9470000000000001</v>
      </c>
      <c r="T623" s="9">
        <f>IF(R623&gt;1,"A corregir","Válida")</f>
        <v/>
      </c>
      <c r="U623" s="13">
        <f>Q623-P623</f>
        <v/>
      </c>
      <c r="V623" s="13">
        <f>IF(S623="",0,S623*Q623)</f>
        <v/>
      </c>
      <c r="W623" s="9" t="n">
        <v>2026</v>
      </c>
      <c r="X623" s="9" t="n">
        <v>28</v>
      </c>
      <c r="Y623" s="9" t="inlineStr">
        <is>
          <t>2026-S28</t>
        </is>
      </c>
    </row>
    <row r="624">
      <c r="A624" s="9" t="n">
        <v>43048986</v>
      </c>
      <c r="B624" s="11" t="n">
        <v>46213.11585648148</v>
      </c>
      <c r="C624" s="12" t="n">
        <v>46213</v>
      </c>
      <c r="D624" s="9">
        <f>YEAR(C624)</f>
        <v/>
      </c>
      <c r="E624" s="9">
        <f>MONTH(C624)</f>
        <v/>
      </c>
      <c r="F624" s="9" t="inlineStr">
        <is>
          <t>Ángulo</t>
        </is>
      </c>
      <c r="G624" s="9" t="inlineStr">
        <is>
          <t>ANGULO 65X65X6MM A270ES</t>
        </is>
      </c>
      <c r="H624" s="9" t="inlineStr">
        <is>
          <t>ANGULO SEMI 65X65X6MM A270ES</t>
        </is>
      </c>
      <c r="I624" s="9" t="inlineStr">
        <is>
          <t>ANG 65 x 6</t>
        </is>
      </c>
      <c r="J624" s="9" t="n">
        <v>106501057</v>
      </c>
      <c r="K624" s="9" t="n"/>
      <c r="L624" s="9" t="n">
        <v>65</v>
      </c>
      <c r="M624" s="9" t="n">
        <v>6</v>
      </c>
      <c r="N624" s="9" t="n"/>
      <c r="O624" s="9" t="n">
        <v>6</v>
      </c>
      <c r="P624" s="13" t="n">
        <v>110912</v>
      </c>
      <c r="Q624" s="13" t="n">
        <v>116239.2</v>
      </c>
      <c r="R624" s="14">
        <f>IFERROR(P624/Q624,"")</f>
        <v/>
      </c>
      <c r="S624" s="15" t="n">
        <v>0.951</v>
      </c>
      <c r="T624" s="9">
        <f>IF(R624&gt;1,"A corregir","Válida")</f>
        <v/>
      </c>
      <c r="U624" s="13">
        <f>Q624-P624</f>
        <v/>
      </c>
      <c r="V624" s="13">
        <f>IF(S624="",0,S624*Q624)</f>
        <v/>
      </c>
      <c r="W624" s="9" t="n">
        <v>2026</v>
      </c>
      <c r="X624" s="9" t="n">
        <v>28</v>
      </c>
      <c r="Y624" s="9" t="inlineStr">
        <is>
          <t>2026-S28</t>
        </is>
      </c>
    </row>
    <row r="625">
      <c r="A625" s="9" t="n">
        <v>43048987</v>
      </c>
      <c r="B625" s="11" t="n">
        <v>46213.4290625</v>
      </c>
      <c r="C625" s="12" t="n">
        <v>46213</v>
      </c>
      <c r="D625" s="9">
        <f>YEAR(C625)</f>
        <v/>
      </c>
      <c r="E625" s="9">
        <f>MONTH(C625)</f>
        <v/>
      </c>
      <c r="F625" s="9" t="inlineStr">
        <is>
          <t>Ángulo</t>
        </is>
      </c>
      <c r="G625" s="9" t="inlineStr">
        <is>
          <t>ANGULO 65X65X5MM A270ES</t>
        </is>
      </c>
      <c r="H625" s="9" t="inlineStr">
        <is>
          <t>ANGULO SEMI 65X65X5MM A270ES</t>
        </is>
      </c>
      <c r="I625" s="9" t="inlineStr">
        <is>
          <t>ANG 65 x 5</t>
        </is>
      </c>
      <c r="J625" s="9" t="n">
        <v>106501053</v>
      </c>
      <c r="K625" s="9" t="n"/>
      <c r="L625" s="9" t="n">
        <v>65</v>
      </c>
      <c r="M625" s="9" t="n">
        <v>5</v>
      </c>
      <c r="N625" s="9" t="n"/>
      <c r="O625" s="9" t="n">
        <v>6</v>
      </c>
      <c r="P625" s="13" t="n">
        <v>50387</v>
      </c>
      <c r="Q625" s="13" t="n">
        <v>54304.8</v>
      </c>
      <c r="R625" s="14">
        <f>IFERROR(P625/Q625,"")</f>
        <v/>
      </c>
      <c r="S625" s="15" t="n">
        <v>0.951</v>
      </c>
      <c r="T625" s="9">
        <f>IF(R625&gt;1,"A corregir","Válida")</f>
        <v/>
      </c>
      <c r="U625" s="13">
        <f>Q625-P625</f>
        <v/>
      </c>
      <c r="V625" s="13">
        <f>IF(S625="",0,S625*Q625)</f>
        <v/>
      </c>
      <c r="W625" s="9" t="n">
        <v>2026</v>
      </c>
      <c r="X625" s="9" t="n">
        <v>28</v>
      </c>
      <c r="Y625" s="9" t="inlineStr">
        <is>
          <t>2026-S28</t>
        </is>
      </c>
    </row>
    <row r="626">
      <c r="A626" s="9" t="n">
        <v>43048994</v>
      </c>
      <c r="B626" s="11" t="n">
        <v>46213.73840277778</v>
      </c>
      <c r="C626" s="12" t="n">
        <v>46213</v>
      </c>
      <c r="D626" s="9">
        <f>YEAR(C626)</f>
        <v/>
      </c>
      <c r="E626" s="9">
        <f>MONTH(C626)</f>
        <v/>
      </c>
      <c r="F626" s="9" t="inlineStr">
        <is>
          <t>B Hormigón</t>
        </is>
      </c>
      <c r="G626" s="9" t="inlineStr">
        <is>
          <t>B HORMIGON 36MM 12M A630-420H (N)</t>
        </is>
      </c>
      <c r="H626" s="9" t="inlineStr">
        <is>
          <t>B HORMIGON 36MM 12M A630-420H (N)</t>
        </is>
      </c>
      <c r="I626" s="9" t="inlineStr">
        <is>
          <t>RED 36 CR</t>
        </is>
      </c>
      <c r="J626" s="9" t="n">
        <v>110002907</v>
      </c>
      <c r="K626" s="9" t="n">
        <v>36</v>
      </c>
      <c r="L626" s="9" t="n"/>
      <c r="M626" s="9" t="n"/>
      <c r="N626" s="9" t="n"/>
      <c r="O626" s="9" t="n">
        <v>12</v>
      </c>
      <c r="P626" s="13" t="n">
        <v>116162</v>
      </c>
      <c r="Q626" s="13" t="n">
        <v>125624.4</v>
      </c>
      <c r="R626" s="14">
        <f>IFERROR(P626/Q626,"")</f>
        <v/>
      </c>
      <c r="S626" s="15" t="n">
        <v>0.96</v>
      </c>
      <c r="T626" s="9">
        <f>IF(R626&gt;1,"A corregir","Válida")</f>
        <v/>
      </c>
      <c r="U626" s="13">
        <f>Q626-P626</f>
        <v/>
      </c>
      <c r="V626" s="13">
        <f>IF(S626="",0,S626*Q626)</f>
        <v/>
      </c>
      <c r="W626" s="9" t="n">
        <v>2026</v>
      </c>
      <c r="X626" s="9" t="n">
        <v>28</v>
      </c>
      <c r="Y626" s="9" t="inlineStr">
        <is>
          <t>2026-S28</t>
        </is>
      </c>
    </row>
    <row r="627">
      <c r="A627" s="9" t="n">
        <v>43048995</v>
      </c>
      <c r="B627" s="11" t="n">
        <v>46214.1571875</v>
      </c>
      <c r="C627" s="12" t="n">
        <v>46214</v>
      </c>
      <c r="D627" s="9">
        <f>YEAR(C627)</f>
        <v/>
      </c>
      <c r="E627" s="9">
        <f>MONTH(C627)</f>
        <v/>
      </c>
      <c r="F627" s="9" t="inlineStr">
        <is>
          <t>B Hormigón</t>
        </is>
      </c>
      <c r="G627" s="9" t="inlineStr">
        <is>
          <t>B HORMIGON 36MM 11M A630-420H (N)</t>
        </is>
      </c>
      <c r="H627" s="9" t="inlineStr">
        <is>
          <t>B HORMIGON 36MM 11M A630-420H (N)</t>
        </is>
      </c>
      <c r="I627" s="9" t="inlineStr">
        <is>
          <t>RED 36 CR</t>
        </is>
      </c>
      <c r="J627" s="9" t="n">
        <v>110002920</v>
      </c>
      <c r="K627" s="9" t="n">
        <v>36</v>
      </c>
      <c r="L627" s="9" t="n"/>
      <c r="M627" s="9" t="n"/>
      <c r="N627" s="9" t="n"/>
      <c r="O627" s="9" t="n">
        <v>11</v>
      </c>
      <c r="P627" s="13" t="n">
        <v>31141</v>
      </c>
      <c r="Q627" s="13" t="n">
        <v>33686.4</v>
      </c>
      <c r="R627" s="14">
        <f>IFERROR(P627/Q627,"")</f>
        <v/>
      </c>
      <c r="S627" s="15" t="n">
        <v>0.96</v>
      </c>
      <c r="T627" s="9">
        <f>IF(R627&gt;1,"A corregir","Válida")</f>
        <v/>
      </c>
      <c r="U627" s="13">
        <f>Q627-P627</f>
        <v/>
      </c>
      <c r="V627" s="13">
        <f>IF(S627="",0,S627*Q627)</f>
        <v/>
      </c>
      <c r="W627" s="9" t="n">
        <v>2026</v>
      </c>
      <c r="X627" s="9" t="n">
        <v>28</v>
      </c>
      <c r="Y627" s="9" t="inlineStr">
        <is>
          <t>2026-S28</t>
        </is>
      </c>
    </row>
    <row r="628">
      <c r="A628" s="9" t="n">
        <v>43048996</v>
      </c>
      <c r="B628" s="11" t="n">
        <v>46214.21778935185</v>
      </c>
      <c r="C628" s="12" t="n">
        <v>46214</v>
      </c>
      <c r="D628" s="9">
        <f>YEAR(C628)</f>
        <v/>
      </c>
      <c r="E628" s="9">
        <f>MONTH(C628)</f>
        <v/>
      </c>
      <c r="F628" s="9" t="inlineStr">
        <is>
          <t>B Hormigón</t>
        </is>
      </c>
      <c r="G628" s="9" t="inlineStr">
        <is>
          <t>B HORMIGON 36MM 7M A630-420H (N)</t>
        </is>
      </c>
      <c r="H628" s="9" t="inlineStr">
        <is>
          <t>B HORMIGON 36MM 7M A630-420H (N)</t>
        </is>
      </c>
      <c r="I628" s="9" t="inlineStr">
        <is>
          <t>RED 36 CR</t>
        </is>
      </c>
      <c r="J628" s="9" t="n">
        <v>110002908</v>
      </c>
      <c r="K628" s="9" t="n">
        <v>36</v>
      </c>
      <c r="L628" s="9" t="n"/>
      <c r="M628" s="9" t="n"/>
      <c r="N628" s="9" t="n"/>
      <c r="O628" s="9" t="n">
        <v>7</v>
      </c>
      <c r="P628" s="13" t="n">
        <v>18551</v>
      </c>
      <c r="Q628" s="13" t="n">
        <v>22915.2</v>
      </c>
      <c r="R628" s="14">
        <f>IFERROR(P628/Q628,"")</f>
        <v/>
      </c>
      <c r="S628" s="15" t="n">
        <v>0.96</v>
      </c>
      <c r="T628" s="9">
        <f>IF(R628&gt;1,"A corregir","Válida")</f>
        <v/>
      </c>
      <c r="U628" s="13">
        <f>Q628-P628</f>
        <v/>
      </c>
      <c r="V628" s="13">
        <f>IF(S628="",0,S628*Q628)</f>
        <v/>
      </c>
      <c r="W628" s="9" t="n">
        <v>2026</v>
      </c>
      <c r="X628" s="9" t="n">
        <v>28</v>
      </c>
      <c r="Y628" s="9" t="inlineStr">
        <is>
          <t>2026-S28</t>
        </is>
      </c>
    </row>
    <row r="629">
      <c r="A629" s="9" t="n">
        <v>43048997</v>
      </c>
      <c r="B629" s="11" t="n">
        <v>46214.32143518519</v>
      </c>
      <c r="C629" s="12" t="n">
        <v>46214</v>
      </c>
      <c r="D629" s="9">
        <f>YEAR(C629)</f>
        <v/>
      </c>
      <c r="E629" s="9">
        <f>MONTH(C629)</f>
        <v/>
      </c>
      <c r="F629" s="9" t="inlineStr">
        <is>
          <t>B Hormigón</t>
        </is>
      </c>
      <c r="G629" s="9" t="inlineStr">
        <is>
          <t>B HORMIGON 36MM 6M A630-420H (N)</t>
        </is>
      </c>
      <c r="H629" s="9" t="inlineStr">
        <is>
          <t>B HORMIGON 36MM 6M A630-420H (N)</t>
        </is>
      </c>
      <c r="I629" s="9" t="inlineStr">
        <is>
          <t>RED 36 CR</t>
        </is>
      </c>
      <c r="J629" s="9" t="n">
        <v>110002919</v>
      </c>
      <c r="K629" s="9" t="n">
        <v>36</v>
      </c>
      <c r="L629" s="9" t="n"/>
      <c r="M629" s="9" t="n"/>
      <c r="N629" s="9" t="n"/>
      <c r="O629" s="9" t="n">
        <v>6</v>
      </c>
      <c r="P629" s="13" t="n">
        <v>30808</v>
      </c>
      <c r="Q629" s="13" t="n">
        <v>32762.4</v>
      </c>
      <c r="R629" s="14">
        <f>IFERROR(P629/Q629,"")</f>
        <v/>
      </c>
      <c r="S629" s="15" t="n">
        <v>0.97</v>
      </c>
      <c r="T629" s="9">
        <f>IF(R629&gt;1,"A corregir","Válida")</f>
        <v/>
      </c>
      <c r="U629" s="13">
        <f>Q629-P629</f>
        <v/>
      </c>
      <c r="V629" s="13">
        <f>IF(S629="",0,S629*Q629)</f>
        <v/>
      </c>
      <c r="W629" s="9" t="n">
        <v>2026</v>
      </c>
      <c r="X629" s="9" t="n">
        <v>28</v>
      </c>
      <c r="Y629" s="9" t="inlineStr">
        <is>
          <t>2026-S28</t>
        </is>
      </c>
    </row>
    <row r="630">
      <c r="A630" s="9" t="n">
        <v>43049152</v>
      </c>
      <c r="B630" s="11" t="n">
        <v>46214.45336805555</v>
      </c>
      <c r="C630" s="12" t="n">
        <v>46214</v>
      </c>
      <c r="D630" s="9">
        <f>YEAR(C630)</f>
        <v/>
      </c>
      <c r="E630" s="9">
        <f>MONTH(C630)</f>
        <v/>
      </c>
      <c r="F630" s="9" t="inlineStr">
        <is>
          <t>B Hormigón</t>
        </is>
      </c>
      <c r="G630" s="9" t="inlineStr">
        <is>
          <t>B HORMIGON 25MM 12M A630-420H (N)</t>
        </is>
      </c>
      <c r="H630" s="9" t="inlineStr">
        <is>
          <t>B HORMIGON 25MM 12M A630-420H (N)</t>
        </is>
      </c>
      <c r="I630" s="9" t="inlineStr">
        <is>
          <t>RED 25 CR</t>
        </is>
      </c>
      <c r="J630" s="9" t="n">
        <v>110002941</v>
      </c>
      <c r="K630" s="9" t="n">
        <v>25</v>
      </c>
      <c r="L630" s="9" t="n"/>
      <c r="M630" s="9" t="n"/>
      <c r="N630" s="9" t="n"/>
      <c r="O630" s="9" t="n">
        <v>12</v>
      </c>
      <c r="P630" s="13" t="n">
        <v>357856</v>
      </c>
      <c r="Q630" s="13" t="n">
        <v>372979.2</v>
      </c>
      <c r="R630" s="14">
        <f>IFERROR(P630/Q630,"")</f>
        <v/>
      </c>
      <c r="S630" s="15" t="n">
        <v>0.95</v>
      </c>
      <c r="T630" s="9">
        <f>IF(R630&gt;1,"A corregir","Válida")</f>
        <v/>
      </c>
      <c r="U630" s="13">
        <f>Q630-P630</f>
        <v/>
      </c>
      <c r="V630" s="13">
        <f>IF(S630="",0,S630*Q630)</f>
        <v/>
      </c>
      <c r="W630" s="9" t="n">
        <v>2026</v>
      </c>
      <c r="X630" s="9" t="n">
        <v>28</v>
      </c>
      <c r="Y630" s="9" t="inlineStr">
        <is>
          <t>2026-S28</t>
        </is>
      </c>
    </row>
    <row r="631">
      <c r="A631" s="9" t="n">
        <v>43049154</v>
      </c>
      <c r="B631" s="11" t="n">
        <v>46215.10120370371</v>
      </c>
      <c r="C631" s="12" t="n">
        <v>46215</v>
      </c>
      <c r="D631" s="9">
        <f>YEAR(C631)</f>
        <v/>
      </c>
      <c r="E631" s="9">
        <f>MONTH(C631)</f>
        <v/>
      </c>
      <c r="F631" s="9" t="inlineStr">
        <is>
          <t>B Hormigón</t>
        </is>
      </c>
      <c r="G631" s="9" t="inlineStr">
        <is>
          <t>B HORMIGON R 25MM 12M A630-420HS(N)</t>
        </is>
      </c>
      <c r="H631" s="9" t="inlineStr">
        <is>
          <t>B HORMIGON R 25MM 12M A630-420HS(N)</t>
        </is>
      </c>
      <c r="I631" s="9" t="inlineStr">
        <is>
          <t>RED 25 CR</t>
        </is>
      </c>
      <c r="J631" s="9" t="n">
        <v>119506789</v>
      </c>
      <c r="K631" s="9" t="n">
        <v>25</v>
      </c>
      <c r="L631" s="9" t="n"/>
      <c r="M631" s="9" t="n"/>
      <c r="N631" s="9" t="n"/>
      <c r="O631" s="9" t="n">
        <v>12</v>
      </c>
      <c r="P631" s="13" t="n">
        <v>23537</v>
      </c>
      <c r="Q631" s="13" t="n">
        <v>25132.8</v>
      </c>
      <c r="R631" s="14">
        <f>IFERROR(P631/Q631,"")</f>
        <v/>
      </c>
      <c r="S631" s="15" t="n">
        <v>0.97</v>
      </c>
      <c r="T631" s="9">
        <f>IF(R631&gt;1,"A corregir","Válida")</f>
        <v/>
      </c>
      <c r="U631" s="13">
        <f>Q631-P631</f>
        <v/>
      </c>
      <c r="V631" s="13">
        <f>IF(S631="",0,S631*Q631)</f>
        <v/>
      </c>
      <c r="W631" s="9" t="n">
        <v>2026</v>
      </c>
      <c r="X631" s="9" t="n">
        <v>28</v>
      </c>
      <c r="Y631" s="9" t="inlineStr">
        <is>
          <t>2026-S28</t>
        </is>
      </c>
    </row>
    <row r="632">
      <c r="A632" s="9" t="n">
        <v>43049141</v>
      </c>
      <c r="B632" s="11" t="n">
        <v>46215.15670138889</v>
      </c>
      <c r="C632" s="12" t="n">
        <v>46215</v>
      </c>
      <c r="D632" s="9">
        <f>YEAR(C632)</f>
        <v/>
      </c>
      <c r="E632" s="9">
        <f>MONTH(C632)</f>
        <v/>
      </c>
      <c r="F632" s="9" t="inlineStr">
        <is>
          <t>B Hormigón</t>
        </is>
      </c>
      <c r="G632" s="9" t="inlineStr">
        <is>
          <t>B HORMIGON 25MM 11M A630-420H (N)</t>
        </is>
      </c>
      <c r="H632" s="9" t="inlineStr">
        <is>
          <t>B HORMIGON 25MM 11M A630-420H (N)</t>
        </is>
      </c>
      <c r="I632" s="9" t="inlineStr">
        <is>
          <t>RED 25 CR</t>
        </is>
      </c>
      <c r="J632" s="9" t="n">
        <v>110002947</v>
      </c>
      <c r="K632" s="9" t="n">
        <v>25</v>
      </c>
      <c r="L632" s="9" t="n"/>
      <c r="M632" s="9" t="n"/>
      <c r="N632" s="9" t="n"/>
      <c r="O632" s="9" t="n">
        <v>11</v>
      </c>
      <c r="P632" s="13" t="n">
        <v>134404</v>
      </c>
      <c r="Q632" s="13" t="n">
        <v>134600.4</v>
      </c>
      <c r="R632" s="14">
        <f>IFERROR(P632/Q632,"")</f>
        <v/>
      </c>
      <c r="S632" s="15" t="n">
        <v>0.95</v>
      </c>
      <c r="T632" s="9">
        <f>IF(R632&gt;1,"A corregir","Válida")</f>
        <v/>
      </c>
      <c r="U632" s="13">
        <f>Q632-P632</f>
        <v/>
      </c>
      <c r="V632" s="13">
        <f>IF(S632="",0,S632*Q632)</f>
        <v/>
      </c>
      <c r="W632" s="9" t="n">
        <v>2026</v>
      </c>
      <c r="X632" s="9" t="n">
        <v>28</v>
      </c>
      <c r="Y632" s="9" t="inlineStr">
        <is>
          <t>2026-S28</t>
        </is>
      </c>
    </row>
    <row r="633">
      <c r="A633" s="9" t="n">
        <v>43049153</v>
      </c>
      <c r="B633" s="11" t="n">
        <v>46216.42859953704</v>
      </c>
      <c r="C633" s="12" t="n">
        <v>46216</v>
      </c>
      <c r="D633" s="9">
        <f>YEAR(C633)</f>
        <v/>
      </c>
      <c r="E633" s="9">
        <f>MONTH(C633)</f>
        <v/>
      </c>
      <c r="F633" s="9" t="inlineStr">
        <is>
          <t>B Hormigón</t>
        </is>
      </c>
      <c r="G633" s="9" t="inlineStr">
        <is>
          <t>B HORMIGON 25MM 10M A630-420H (N)</t>
        </is>
      </c>
      <c r="H633" s="9" t="inlineStr">
        <is>
          <t>B HORMIGON 25MM 10M A630-420H (N)</t>
        </is>
      </c>
      <c r="I633" s="9" t="inlineStr">
        <is>
          <t>RED 25 CR</t>
        </is>
      </c>
      <c r="J633" s="9" t="n">
        <v>110002943</v>
      </c>
      <c r="K633" s="9" t="n">
        <v>25</v>
      </c>
      <c r="L633" s="9" t="n"/>
      <c r="M633" s="9" t="n"/>
      <c r="N633" s="9" t="n"/>
      <c r="O633" s="9" t="n">
        <v>10</v>
      </c>
      <c r="P633" s="13" t="n">
        <v>67051</v>
      </c>
      <c r="Q633" s="13" t="n">
        <v>74342.39999999999</v>
      </c>
      <c r="R633" s="14">
        <f>IFERROR(P633/Q633,"")</f>
        <v/>
      </c>
      <c r="S633" s="15" t="n">
        <v>0.95</v>
      </c>
      <c r="T633" s="9">
        <f>IF(R633&gt;1,"A corregir","Válida")</f>
        <v/>
      </c>
      <c r="U633" s="13">
        <f>Q633-P633</f>
        <v/>
      </c>
      <c r="V633" s="13">
        <f>IF(S633="",0,S633*Q633)</f>
        <v/>
      </c>
      <c r="W633" s="9" t="n">
        <v>2026</v>
      </c>
      <c r="X633" s="9" t="n">
        <v>29</v>
      </c>
      <c r="Y633" s="9" t="inlineStr">
        <is>
          <t>2026-S29</t>
        </is>
      </c>
    </row>
    <row r="634">
      <c r="A634" s="9" t="n">
        <v>43049142</v>
      </c>
      <c r="B634" s="11" t="n">
        <v>46216.54042824074</v>
      </c>
      <c r="C634" s="12" t="n">
        <v>46216</v>
      </c>
      <c r="D634" s="9">
        <f>YEAR(C634)</f>
        <v/>
      </c>
      <c r="E634" s="9">
        <f>MONTH(C634)</f>
        <v/>
      </c>
      <c r="F634" s="9" t="inlineStr">
        <is>
          <t>B Hormigón</t>
        </is>
      </c>
      <c r="G634" s="9" t="inlineStr">
        <is>
          <t>B HORMIGON 25MM 9M A630-420H (N)</t>
        </is>
      </c>
      <c r="H634" s="9" t="inlineStr">
        <is>
          <t>B HORMIGON 25MM 9M A630-420H (N)</t>
        </is>
      </c>
      <c r="I634" s="9" t="inlineStr">
        <is>
          <t>RED 25 CR</t>
        </is>
      </c>
      <c r="J634" s="9" t="n">
        <v>110002905</v>
      </c>
      <c r="K634" s="9" t="n">
        <v>25</v>
      </c>
      <c r="L634" s="9" t="n"/>
      <c r="M634" s="9" t="n"/>
      <c r="N634" s="9" t="n"/>
      <c r="O634" s="9" t="n">
        <v>9</v>
      </c>
      <c r="P634" s="13" t="n">
        <v>73319</v>
      </c>
      <c r="Q634" s="13" t="n">
        <v>78012</v>
      </c>
      <c r="R634" s="14">
        <f>IFERROR(P634/Q634,"")</f>
        <v/>
      </c>
      <c r="S634" s="15" t="n">
        <v>0.95</v>
      </c>
      <c r="T634" s="9">
        <f>IF(R634&gt;1,"A corregir","Válida")</f>
        <v/>
      </c>
      <c r="U634" s="13">
        <f>Q634-P634</f>
        <v/>
      </c>
      <c r="V634" s="13">
        <f>IF(S634="",0,S634*Q634)</f>
        <v/>
      </c>
      <c r="W634" s="9" t="n">
        <v>2026</v>
      </c>
      <c r="X634" s="9" t="n">
        <v>29</v>
      </c>
      <c r="Y634" s="9" t="inlineStr">
        <is>
          <t>2026-S29</t>
        </is>
      </c>
    </row>
    <row r="635">
      <c r="A635" s="9" t="n">
        <v>43049143</v>
      </c>
      <c r="B635" s="11" t="n">
        <v>46216.56318287037</v>
      </c>
      <c r="C635" s="12" t="n">
        <v>46216</v>
      </c>
      <c r="D635" s="9">
        <f>YEAR(C635)</f>
        <v/>
      </c>
      <c r="E635" s="9">
        <f>MONTH(C635)</f>
        <v/>
      </c>
      <c r="F635" s="9" t="inlineStr">
        <is>
          <t>B Hormigón</t>
        </is>
      </c>
      <c r="G635" s="9" t="inlineStr">
        <is>
          <t>B HORMIGON 25MM 8M A630-420H (N)</t>
        </is>
      </c>
      <c r="H635" s="9" t="inlineStr">
        <is>
          <t>B HORMIGON 25MM 8M A630-420H (N)</t>
        </is>
      </c>
      <c r="I635" s="9" t="inlineStr">
        <is>
          <t>RED 25 CR</t>
        </is>
      </c>
      <c r="J635" s="9" t="n">
        <v>110002921</v>
      </c>
      <c r="K635" s="9" t="n">
        <v>25</v>
      </c>
      <c r="L635" s="9" t="n"/>
      <c r="M635" s="9" t="n"/>
      <c r="N635" s="9" t="n"/>
      <c r="O635" s="9" t="n">
        <v>8</v>
      </c>
      <c r="P635" s="13" t="n">
        <v>83549</v>
      </c>
      <c r="Q635" s="13" t="n">
        <v>83925.60000000001</v>
      </c>
      <c r="R635" s="14">
        <f>IFERROR(P635/Q635,"")</f>
        <v/>
      </c>
      <c r="S635" s="15" t="n">
        <v>0.95</v>
      </c>
      <c r="T635" s="9">
        <f>IF(R635&gt;1,"A corregir","Válida")</f>
        <v/>
      </c>
      <c r="U635" s="13">
        <f>Q635-P635</f>
        <v/>
      </c>
      <c r="V635" s="13">
        <f>IF(S635="",0,S635*Q635)</f>
        <v/>
      </c>
      <c r="W635" s="9" t="n">
        <v>2026</v>
      </c>
      <c r="X635" s="9" t="n">
        <v>29</v>
      </c>
      <c r="Y635" s="9" t="inlineStr">
        <is>
          <t>2026-S29</t>
        </is>
      </c>
    </row>
    <row r="636">
      <c r="A636" s="9" t="n">
        <v>43049144</v>
      </c>
      <c r="B636" s="11" t="n">
        <v>46216.58155092593</v>
      </c>
      <c r="C636" s="12" t="n">
        <v>46216</v>
      </c>
      <c r="D636" s="9">
        <f>YEAR(C636)</f>
        <v/>
      </c>
      <c r="E636" s="9">
        <f>MONTH(C636)</f>
        <v/>
      </c>
      <c r="F636" s="9" t="inlineStr">
        <is>
          <t>B Hormigón</t>
        </is>
      </c>
      <c r="G636" s="9" t="inlineStr">
        <is>
          <t>B HORMIGON 25MM 7M A630-420H (N)</t>
        </is>
      </c>
      <c r="H636" s="9" t="inlineStr">
        <is>
          <t>B HORMIGON 25MM 7M A630-420H (N)</t>
        </is>
      </c>
      <c r="I636" s="9" t="inlineStr">
        <is>
          <t>RED 25 CR</t>
        </is>
      </c>
      <c r="J636" s="9" t="n">
        <v>110002927</v>
      </c>
      <c r="K636" s="9" t="n">
        <v>25</v>
      </c>
      <c r="L636" s="9" t="n"/>
      <c r="M636" s="9" t="n"/>
      <c r="N636" s="9" t="n"/>
      <c r="O636" s="9" t="n">
        <v>7</v>
      </c>
      <c r="P636" s="13" t="n">
        <v>71460</v>
      </c>
      <c r="Q636" s="13" t="n">
        <v>74949.60000000001</v>
      </c>
      <c r="R636" s="14">
        <f>IFERROR(P636/Q636,"")</f>
        <v/>
      </c>
      <c r="S636" s="15" t="n">
        <v>0.95</v>
      </c>
      <c r="T636" s="9">
        <f>IF(R636&gt;1,"A corregir","Válida")</f>
        <v/>
      </c>
      <c r="U636" s="13">
        <f>Q636-P636</f>
        <v/>
      </c>
      <c r="V636" s="13">
        <f>IF(S636="",0,S636*Q636)</f>
        <v/>
      </c>
      <c r="W636" s="9" t="n">
        <v>2026</v>
      </c>
      <c r="X636" s="9" t="n">
        <v>29</v>
      </c>
      <c r="Y636" s="9" t="inlineStr">
        <is>
          <t>2026-S29</t>
        </is>
      </c>
    </row>
    <row r="637">
      <c r="A637" s="9" t="n">
        <v>43049168</v>
      </c>
      <c r="B637" s="11" t="n">
        <v>46216.70697916667</v>
      </c>
      <c r="C637" s="12" t="n">
        <v>46216</v>
      </c>
      <c r="D637" s="9">
        <f>YEAR(C637)</f>
        <v/>
      </c>
      <c r="E637" s="9">
        <f>MONTH(C637)</f>
        <v/>
      </c>
      <c r="F637" s="9" t="inlineStr">
        <is>
          <t>B Hormigón</t>
        </is>
      </c>
      <c r="G637" s="9" t="inlineStr">
        <is>
          <t>B HORMIGON 25MM 7M A630-420H (N)</t>
        </is>
      </c>
      <c r="H637" s="9" t="inlineStr">
        <is>
          <t>B HORMIGON 25MM 7M A630-420H (N)</t>
        </is>
      </c>
      <c r="I637" s="9" t="inlineStr">
        <is>
          <t>RED 25 CR</t>
        </is>
      </c>
      <c r="J637" s="9" t="n">
        <v>110002927</v>
      </c>
      <c r="K637" s="9" t="n">
        <v>25</v>
      </c>
      <c r="L637" s="9" t="n"/>
      <c r="M637" s="9" t="n"/>
      <c r="N637" s="9" t="n"/>
      <c r="O637" s="9" t="n">
        <v>7</v>
      </c>
      <c r="P637" s="13" t="n">
        <v>17689</v>
      </c>
      <c r="Q637" s="13" t="n">
        <v>18585.6</v>
      </c>
      <c r="R637" s="14">
        <f>IFERROR(P637/Q637,"")</f>
        <v/>
      </c>
      <c r="S637" s="15" t="n">
        <v>0.95</v>
      </c>
      <c r="T637" s="9">
        <f>IF(R637&gt;1,"A corregir","Válida")</f>
        <v/>
      </c>
      <c r="U637" s="13">
        <f>Q637-P637</f>
        <v/>
      </c>
      <c r="V637" s="13">
        <f>IF(S637="",0,S637*Q637)</f>
        <v/>
      </c>
      <c r="W637" s="9" t="n">
        <v>2026</v>
      </c>
      <c r="X637" s="9" t="n">
        <v>29</v>
      </c>
      <c r="Y637" s="9" t="inlineStr">
        <is>
          <t>2026-S29</t>
        </is>
      </c>
    </row>
    <row r="638">
      <c r="A638" s="9" t="n">
        <v>43049103</v>
      </c>
      <c r="B638" s="11" t="n">
        <v>46216.99300925926</v>
      </c>
      <c r="C638" s="12" t="n">
        <v>46216</v>
      </c>
      <c r="D638" s="9">
        <f>YEAR(C638)</f>
        <v/>
      </c>
      <c r="E638" s="9">
        <f>MONTH(C638)</f>
        <v/>
      </c>
      <c r="F638" s="9" t="inlineStr">
        <is>
          <t>Plana</t>
        </is>
      </c>
      <c r="G638" s="9" t="inlineStr">
        <is>
          <t>PLANA 25X3MM 6M A270ES (N)</t>
        </is>
      </c>
      <c r="H638" s="9" t="inlineStr">
        <is>
          <t>PLANA 25X3MM 6M A270ES (N)</t>
        </is>
      </c>
      <c r="I638" s="9" t="inlineStr">
        <is>
          <t>PL 25 x 3</t>
        </is>
      </c>
      <c r="J638" s="9" t="n">
        <v>109013858</v>
      </c>
      <c r="K638" s="9" t="n"/>
      <c r="L638" s="9" t="n">
        <v>25</v>
      </c>
      <c r="M638" s="9" t="n">
        <v>3</v>
      </c>
      <c r="N638" s="9" t="n"/>
      <c r="O638" s="9" t="n">
        <v>6</v>
      </c>
      <c r="P638" s="13" t="n">
        <v>94661</v>
      </c>
      <c r="Q638" s="13" t="n">
        <v>101059.2</v>
      </c>
      <c r="R638" s="14">
        <f>IFERROR(P638/Q638,"")</f>
        <v/>
      </c>
      <c r="S638" s="15" t="n">
        <v>0.968</v>
      </c>
      <c r="T638" s="9">
        <f>IF(R638&gt;1,"A corregir","Válida")</f>
        <v/>
      </c>
      <c r="U638" s="13">
        <f>Q638-P638</f>
        <v/>
      </c>
      <c r="V638" s="13">
        <f>IF(S638="",0,S638*Q638)</f>
        <v/>
      </c>
      <c r="W638" s="9" t="n">
        <v>2026</v>
      </c>
      <c r="X638" s="9" t="n">
        <v>29</v>
      </c>
      <c r="Y638" s="9" t="inlineStr">
        <is>
          <t>2026-S29</t>
        </is>
      </c>
    </row>
    <row r="639">
      <c r="A639" s="9" t="n">
        <v>43049104</v>
      </c>
      <c r="B639" s="11" t="n">
        <v>46217.45204861111</v>
      </c>
      <c r="C639" s="12" t="n">
        <v>46217</v>
      </c>
      <c r="D639" s="9">
        <f>YEAR(C639)</f>
        <v/>
      </c>
      <c r="E639" s="9">
        <f>MONTH(C639)</f>
        <v/>
      </c>
      <c r="F639" s="9" t="inlineStr">
        <is>
          <t>Plana</t>
        </is>
      </c>
      <c r="G639" s="9" t="inlineStr">
        <is>
          <t>PLANA 20X6MM 6M A270ES (N)</t>
        </is>
      </c>
      <c r="H639" s="9" t="inlineStr">
        <is>
          <t>PLANA 20X6MM 6M A270ES (N)</t>
        </is>
      </c>
      <c r="I639" s="9" t="inlineStr">
        <is>
          <t>PL 20 x 6</t>
        </is>
      </c>
      <c r="J639" s="9" t="n">
        <v>119502246</v>
      </c>
      <c r="K639" s="9" t="n"/>
      <c r="L639" s="9" t="n">
        <v>20</v>
      </c>
      <c r="M639" s="9" t="n">
        <v>6</v>
      </c>
      <c r="N639" s="9" t="n"/>
      <c r="O639" s="9" t="n">
        <v>6</v>
      </c>
      <c r="P639" s="13" t="n">
        <v>33228</v>
      </c>
      <c r="Q639" s="13" t="n">
        <v>34834.8</v>
      </c>
      <c r="R639" s="14">
        <f>IFERROR(P639/Q639,"")</f>
        <v/>
      </c>
      <c r="S639" s="15" t="n">
        <v>0.966</v>
      </c>
      <c r="T639" s="9">
        <f>IF(R639&gt;1,"A corregir","Válida")</f>
        <v/>
      </c>
      <c r="U639" s="13">
        <f>Q639-P639</f>
        <v/>
      </c>
      <c r="V639" s="13">
        <f>IF(S639="",0,S639*Q639)</f>
        <v/>
      </c>
      <c r="W639" s="9" t="n">
        <v>2026</v>
      </c>
      <c r="X639" s="9" t="n">
        <v>29</v>
      </c>
      <c r="Y639" s="9" t="inlineStr">
        <is>
          <t>2026-S29</t>
        </is>
      </c>
    </row>
    <row r="640">
      <c r="A640" s="9" t="n">
        <v>43049105</v>
      </c>
      <c r="B640" s="11" t="n">
        <v>46217.57611111111</v>
      </c>
      <c r="C640" s="12" t="n">
        <v>46217</v>
      </c>
      <c r="D640" s="9">
        <f>YEAR(C640)</f>
        <v/>
      </c>
      <c r="E640" s="9">
        <f>MONTH(C640)</f>
        <v/>
      </c>
      <c r="F640" s="9" t="inlineStr">
        <is>
          <t>Plana</t>
        </is>
      </c>
      <c r="G640" s="9" t="inlineStr">
        <is>
          <t>PLANA 20X5MM 6M A270ES (N)</t>
        </is>
      </c>
      <c r="H640" s="9" t="inlineStr">
        <is>
          <t>PLANA 20X5MM 6M A270ES (N)</t>
        </is>
      </c>
      <c r="I640" s="9" t="inlineStr">
        <is>
          <t>PL 20 x 5</t>
        </is>
      </c>
      <c r="J640" s="9" t="n">
        <v>119502244</v>
      </c>
      <c r="K640" s="9" t="n"/>
      <c r="L640" s="9" t="n">
        <v>20</v>
      </c>
      <c r="M640" s="9" t="n">
        <v>5</v>
      </c>
      <c r="N640" s="9" t="n"/>
      <c r="O640" s="9" t="n">
        <v>6</v>
      </c>
      <c r="P640" s="13" t="n">
        <v>30864</v>
      </c>
      <c r="Q640" s="13" t="n">
        <v>32155.2</v>
      </c>
      <c r="R640" s="14">
        <f>IFERROR(P640/Q640,"")</f>
        <v/>
      </c>
      <c r="S640" s="15" t="n">
        <v>0.9670000000000001</v>
      </c>
      <c r="T640" s="9">
        <f>IF(R640&gt;1,"A corregir","Válida")</f>
        <v/>
      </c>
      <c r="U640" s="13">
        <f>Q640-P640</f>
        <v/>
      </c>
      <c r="V640" s="13">
        <f>IF(S640="",0,S640*Q640)</f>
        <v/>
      </c>
      <c r="W640" s="9" t="n">
        <v>2026</v>
      </c>
      <c r="X640" s="9" t="n">
        <v>29</v>
      </c>
      <c r="Y640" s="9" t="inlineStr">
        <is>
          <t>2026-S29</t>
        </is>
      </c>
    </row>
    <row r="641">
      <c r="A641" s="9" t="n">
        <v>43049171</v>
      </c>
      <c r="B641" s="11" t="n">
        <v>46217.69135416667</v>
      </c>
      <c r="C641" s="12" t="n">
        <v>46217</v>
      </c>
      <c r="D641" s="9">
        <f>YEAR(C641)</f>
        <v/>
      </c>
      <c r="E641" s="9">
        <f>MONTH(C641)</f>
        <v/>
      </c>
      <c r="F641" s="9" t="inlineStr">
        <is>
          <t>Cuadrado</t>
        </is>
      </c>
      <c r="G641" s="9" t="inlineStr">
        <is>
          <t>CUADRADO 10MM 6M COMERCIAL (N)</t>
        </is>
      </c>
      <c r="H641" s="9" t="inlineStr">
        <is>
          <t>CUADRADO 10MM 6M COMERCIAL (N)</t>
        </is>
      </c>
      <c r="I641" s="9" t="inlineStr">
        <is>
          <t>CUAD 10</t>
        </is>
      </c>
      <c r="J641" s="9" t="n">
        <v>109007066</v>
      </c>
      <c r="K641" s="9" t="n"/>
      <c r="L641" s="9" t="n"/>
      <c r="M641" s="9" t="n"/>
      <c r="N641" s="9" t="n">
        <v>10</v>
      </c>
      <c r="O641" s="9" t="n">
        <v>6</v>
      </c>
      <c r="P641" s="13" t="n">
        <v>23364</v>
      </c>
      <c r="Q641" s="13" t="n">
        <v>24116.4</v>
      </c>
      <c r="R641" s="14">
        <f>IFERROR(P641/Q641,"")</f>
        <v/>
      </c>
      <c r="S641" s="15" t="n">
        <v>0.9670000000000001</v>
      </c>
      <c r="T641" s="9">
        <f>IF(R641&gt;1,"A corregir","Válida")</f>
        <v/>
      </c>
      <c r="U641" s="13">
        <f>Q641-P641</f>
        <v/>
      </c>
      <c r="V641" s="13">
        <f>IF(S641="",0,S641*Q641)</f>
        <v/>
      </c>
      <c r="W641" s="9" t="n">
        <v>2026</v>
      </c>
      <c r="X641" s="9" t="n">
        <v>29</v>
      </c>
      <c r="Y641" s="9" t="inlineStr">
        <is>
          <t>2026-S29</t>
        </is>
      </c>
    </row>
    <row r="642">
      <c r="A642" s="9" t="n">
        <v>43049106</v>
      </c>
      <c r="B642" s="11" t="n">
        <v>46217.96743055555</v>
      </c>
      <c r="C642" s="12" t="n">
        <v>46217</v>
      </c>
      <c r="D642" s="9">
        <f>YEAR(C642)</f>
        <v/>
      </c>
      <c r="E642" s="9">
        <f>MONTH(C642)</f>
        <v/>
      </c>
      <c r="F642" s="9" t="inlineStr">
        <is>
          <t>Plana</t>
        </is>
      </c>
      <c r="G642" s="9" t="inlineStr">
        <is>
          <t>PLANA 32X10MM 6M A270ES (N)</t>
        </is>
      </c>
      <c r="H642" s="9" t="inlineStr">
        <is>
          <t>PLANA 32X10MM 6M A270ES (N)</t>
        </is>
      </c>
      <c r="I642" s="9" t="inlineStr">
        <is>
          <t>PL 32 x 10</t>
        </is>
      </c>
      <c r="J642" s="9" t="n">
        <v>109013877</v>
      </c>
      <c r="K642" s="9" t="n"/>
      <c r="L642" s="9" t="n">
        <v>32</v>
      </c>
      <c r="M642" s="9" t="n">
        <v>10</v>
      </c>
      <c r="N642" s="9" t="n"/>
      <c r="O642" s="9" t="n">
        <v>6</v>
      </c>
      <c r="P642" s="13" t="n">
        <v>31829</v>
      </c>
      <c r="Q642" s="13" t="n">
        <v>33660</v>
      </c>
      <c r="R642" s="14">
        <f>IFERROR(P642/Q642,"")</f>
        <v/>
      </c>
      <c r="S642" s="15" t="n">
        <v>0.963</v>
      </c>
      <c r="T642" s="9">
        <f>IF(R642&gt;1,"A corregir","Válida")</f>
        <v/>
      </c>
      <c r="U642" s="13">
        <f>Q642-P642</f>
        <v/>
      </c>
      <c r="V642" s="13">
        <f>IF(S642="",0,S642*Q642)</f>
        <v/>
      </c>
      <c r="W642" s="9" t="n">
        <v>2026</v>
      </c>
      <c r="X642" s="9" t="n">
        <v>29</v>
      </c>
      <c r="Y642" s="9" t="inlineStr">
        <is>
          <t>2026-S29</t>
        </is>
      </c>
    </row>
    <row r="643">
      <c r="A643" s="9" t="n">
        <v>43049107</v>
      </c>
      <c r="B643" s="11" t="n">
        <v>46218.08246527778</v>
      </c>
      <c r="C643" s="12" t="n">
        <v>46218</v>
      </c>
      <c r="D643" s="9">
        <f>YEAR(C643)</f>
        <v/>
      </c>
      <c r="E643" s="9">
        <f>MONTH(C643)</f>
        <v/>
      </c>
      <c r="F643" s="9" t="inlineStr">
        <is>
          <t>Plana</t>
        </is>
      </c>
      <c r="G643" s="9" t="inlineStr">
        <is>
          <t>PLANA 38X6MM 6M A270ES (N)</t>
        </is>
      </c>
      <c r="H643" s="9" t="inlineStr">
        <is>
          <t>PLANA 38X6MM 6M A270ES (N)</t>
        </is>
      </c>
      <c r="I643" s="9" t="inlineStr">
        <is>
          <t>PL 38 x 6</t>
        </is>
      </c>
      <c r="J643" s="9" t="n">
        <v>109013913</v>
      </c>
      <c r="K643" s="9" t="n"/>
      <c r="L643" s="9" t="n">
        <v>38</v>
      </c>
      <c r="M643" s="9" t="n">
        <v>6</v>
      </c>
      <c r="N643" s="9" t="n"/>
      <c r="O643" s="9" t="n">
        <v>6</v>
      </c>
      <c r="P643" s="13" t="n">
        <v>38517</v>
      </c>
      <c r="Q643" s="13" t="n">
        <v>40392</v>
      </c>
      <c r="R643" s="14">
        <f>IFERROR(P643/Q643,"")</f>
        <v/>
      </c>
      <c r="S643" s="15" t="n">
        <v>0.9640000000000001</v>
      </c>
      <c r="T643" s="9">
        <f>IF(R643&gt;1,"A corregir","Válida")</f>
        <v/>
      </c>
      <c r="U643" s="13">
        <f>Q643-P643</f>
        <v/>
      </c>
      <c r="V643" s="13">
        <f>IF(S643="",0,S643*Q643)</f>
        <v/>
      </c>
      <c r="W643" s="9" t="n">
        <v>2026</v>
      </c>
      <c r="X643" s="9" t="n">
        <v>29</v>
      </c>
      <c r="Y643" s="9" t="inlineStr">
        <is>
          <t>2026-S29</t>
        </is>
      </c>
    </row>
    <row r="644">
      <c r="A644" s="9" t="n">
        <v>43049108</v>
      </c>
      <c r="B644" s="11" t="n">
        <v>46218.189375</v>
      </c>
      <c r="C644" s="12" t="n">
        <v>46218</v>
      </c>
      <c r="D644" s="9">
        <f>YEAR(C644)</f>
        <v/>
      </c>
      <c r="E644" s="9">
        <f>MONTH(C644)</f>
        <v/>
      </c>
      <c r="F644" s="9" t="inlineStr">
        <is>
          <t>Plana</t>
        </is>
      </c>
      <c r="G644" s="9" t="inlineStr">
        <is>
          <t>PLANA 38X5MM 6M A270ES (N)</t>
        </is>
      </c>
      <c r="H644" s="9" t="inlineStr">
        <is>
          <t>PLANA 38X5MM 6M A270ES (N)</t>
        </is>
      </c>
      <c r="I644" s="9" t="inlineStr">
        <is>
          <t>PL 38 x 5</t>
        </is>
      </c>
      <c r="J644" s="9" t="n">
        <v>109013914</v>
      </c>
      <c r="K644" s="9" t="n"/>
      <c r="L644" s="9" t="n">
        <v>38</v>
      </c>
      <c r="M644" s="9" t="n">
        <v>5</v>
      </c>
      <c r="N644" s="9" t="n"/>
      <c r="O644" s="9" t="n">
        <v>6</v>
      </c>
      <c r="P644" s="13" t="n">
        <v>278754</v>
      </c>
      <c r="Q644" s="13" t="n">
        <v>291720</v>
      </c>
      <c r="R644" s="14">
        <f>IFERROR(P644/Q644,"")</f>
        <v/>
      </c>
      <c r="S644" s="15" t="n">
        <v>0.965</v>
      </c>
      <c r="T644" s="9">
        <f>IF(R644&gt;1,"A corregir","Válida")</f>
        <v/>
      </c>
      <c r="U644" s="13">
        <f>Q644-P644</f>
        <v/>
      </c>
      <c r="V644" s="13">
        <f>IF(S644="",0,S644*Q644)</f>
        <v/>
      </c>
      <c r="W644" s="9" t="n">
        <v>2026</v>
      </c>
      <c r="X644" s="9" t="n">
        <v>29</v>
      </c>
      <c r="Y644" s="9" t="inlineStr">
        <is>
          <t>2026-S29</t>
        </is>
      </c>
    </row>
    <row r="645">
      <c r="A645" s="9" t="n">
        <v>43049145</v>
      </c>
      <c r="B645" s="11" t="n">
        <v>46218.96412037037</v>
      </c>
      <c r="C645" s="12" t="n">
        <v>46218</v>
      </c>
      <c r="D645" s="9">
        <f>YEAR(C645)</f>
        <v/>
      </c>
      <c r="E645" s="9">
        <f>MONTH(C645)</f>
        <v/>
      </c>
      <c r="F645" s="9" t="inlineStr">
        <is>
          <t>Saferock</t>
        </is>
      </c>
      <c r="G645" s="9" t="inlineStr">
        <is>
          <t>SAFEROCK 22MM 12M A520</t>
        </is>
      </c>
      <c r="H645" s="9" t="inlineStr">
        <is>
          <t>SAFEROCK SEMI 22MM 12M A520</t>
        </is>
      </c>
      <c r="I645" s="9" t="inlineStr">
        <is>
          <t>SFRCK 22</t>
        </is>
      </c>
      <c r="J645" s="9" t="n">
        <v>119506376</v>
      </c>
      <c r="K645" s="9" t="n">
        <v>22</v>
      </c>
      <c r="L645" s="9" t="n"/>
      <c r="M645" s="9" t="n"/>
      <c r="N645" s="9" t="n"/>
      <c r="O645" s="9" t="n">
        <v>12</v>
      </c>
      <c r="P645" s="13" t="n">
        <v>30470</v>
      </c>
      <c r="Q645" s="13" t="n">
        <v>32524.8</v>
      </c>
      <c r="R645" s="14">
        <f>IFERROR(P645/Q645,"")</f>
        <v/>
      </c>
      <c r="S645" s="15" t="n">
        <v>0.97</v>
      </c>
      <c r="T645" s="9">
        <f>IF(R645&gt;1,"A corregir","Válida")</f>
        <v/>
      </c>
      <c r="U645" s="13">
        <f>Q645-P645</f>
        <v/>
      </c>
      <c r="V645" s="13">
        <f>IF(S645="",0,S645*Q645)</f>
        <v/>
      </c>
      <c r="W645" s="9" t="n">
        <v>2026</v>
      </c>
      <c r="X645" s="9" t="n">
        <v>29</v>
      </c>
      <c r="Y645" s="9" t="inlineStr">
        <is>
          <t>2026-S29</t>
        </is>
      </c>
    </row>
    <row r="646">
      <c r="A646" s="9" t="n">
        <v>43049146</v>
      </c>
      <c r="B646" s="11" t="n">
        <v>46219.03761574074</v>
      </c>
      <c r="C646" s="12" t="n">
        <v>46219</v>
      </c>
      <c r="D646" s="9">
        <f>YEAR(C646)</f>
        <v/>
      </c>
      <c r="E646" s="9">
        <f>MONTH(C646)</f>
        <v/>
      </c>
      <c r="F646" s="9" t="inlineStr">
        <is>
          <t>Saferock</t>
        </is>
      </c>
      <c r="G646" s="9" t="inlineStr">
        <is>
          <t>SAFEROCK 22MM 12M A420</t>
        </is>
      </c>
      <c r="H646" s="9" t="inlineStr">
        <is>
          <t>SAFEROCK 22MM 12M A420</t>
        </is>
      </c>
      <c r="I646" s="9" t="inlineStr">
        <is>
          <t>SFRCK 22</t>
        </is>
      </c>
      <c r="J646" s="9" t="n">
        <v>106025567</v>
      </c>
      <c r="K646" s="9" t="n">
        <v>22</v>
      </c>
      <c r="L646" s="9" t="n"/>
      <c r="M646" s="9" t="n"/>
      <c r="N646" s="9" t="n"/>
      <c r="O646" s="9" t="n">
        <v>12</v>
      </c>
      <c r="P646" s="13" t="n">
        <v>120859</v>
      </c>
      <c r="Q646" s="13" t="n">
        <v>128832</v>
      </c>
      <c r="R646" s="14">
        <f>IFERROR(P646/Q646,"")</f>
        <v/>
      </c>
      <c r="S646" s="15" t="n">
        <v>0.9590000000000001</v>
      </c>
      <c r="T646" s="9">
        <f>IF(R646&gt;1,"A corregir","Válida")</f>
        <v/>
      </c>
      <c r="U646" s="13">
        <f>Q646-P646</f>
        <v/>
      </c>
      <c r="V646" s="13">
        <f>IF(S646="",0,S646*Q646)</f>
        <v/>
      </c>
      <c r="W646" s="9" t="n">
        <v>2026</v>
      </c>
      <c r="X646" s="9" t="n">
        <v>29</v>
      </c>
      <c r="Y646" s="9" t="inlineStr">
        <is>
          <t>2026-S29</t>
        </is>
      </c>
    </row>
    <row r="647">
      <c r="A647" s="9" t="n">
        <v>43049156</v>
      </c>
      <c r="B647" s="11" t="n">
        <v>46219.30297453704</v>
      </c>
      <c r="C647" s="12" t="n">
        <v>46219</v>
      </c>
      <c r="D647" s="9">
        <f>YEAR(C647)</f>
        <v/>
      </c>
      <c r="E647" s="9">
        <f>MONTH(C647)</f>
        <v/>
      </c>
      <c r="F647" s="9" t="inlineStr">
        <is>
          <t>Saferock</t>
        </is>
      </c>
      <c r="G647" s="9" t="inlineStr">
        <is>
          <t>SAFEROCK 22MM 10M A420</t>
        </is>
      </c>
      <c r="H647" s="9" t="inlineStr">
        <is>
          <t>SAFEROCK 22MM 10M A420</t>
        </is>
      </c>
      <c r="I647" s="9" t="inlineStr">
        <is>
          <t>SFRCK 22</t>
        </is>
      </c>
      <c r="J647" s="9" t="n">
        <v>106047305</v>
      </c>
      <c r="K647" s="9" t="n">
        <v>22</v>
      </c>
      <c r="L647" s="9" t="n"/>
      <c r="M647" s="9" t="n"/>
      <c r="N647" s="9" t="n"/>
      <c r="O647" s="9" t="n">
        <v>10</v>
      </c>
      <c r="P647" s="13" t="n">
        <v>32065</v>
      </c>
      <c r="Q647" s="13" t="n">
        <v>34108.8</v>
      </c>
      <c r="R647" s="14">
        <f>IFERROR(P647/Q647,"")</f>
        <v/>
      </c>
      <c r="S647" s="15" t="n">
        <v>0.953</v>
      </c>
      <c r="T647" s="9">
        <f>IF(R647&gt;1,"A corregir","Válida")</f>
        <v/>
      </c>
      <c r="U647" s="13">
        <f>Q647-P647</f>
        <v/>
      </c>
      <c r="V647" s="13">
        <f>IF(S647="",0,S647*Q647)</f>
        <v/>
      </c>
      <c r="W647" s="9" t="n">
        <v>2026</v>
      </c>
      <c r="X647" s="9" t="n">
        <v>29</v>
      </c>
      <c r="Y647" s="9" t="inlineStr">
        <is>
          <t>2026-S29</t>
        </is>
      </c>
    </row>
    <row r="648">
      <c r="A648" s="9" t="n">
        <v>43049147</v>
      </c>
      <c r="B648" s="11" t="n">
        <v>46219.36208333333</v>
      </c>
      <c r="C648" s="12" t="n">
        <v>46219</v>
      </c>
      <c r="D648" s="9">
        <f>YEAR(C648)</f>
        <v/>
      </c>
      <c r="E648" s="9">
        <f>MONTH(C648)</f>
        <v/>
      </c>
      <c r="F648" s="9" t="inlineStr">
        <is>
          <t>Saferock</t>
        </is>
      </c>
      <c r="G648" s="9" t="inlineStr">
        <is>
          <t>SAFEROCK 22MM 12M A280</t>
        </is>
      </c>
      <c r="H648" s="9" t="inlineStr">
        <is>
          <t>SAFEROCK 22MM 12M A280</t>
        </is>
      </c>
      <c r="I648" s="9" t="inlineStr">
        <is>
          <t>SFRCK 22</t>
        </is>
      </c>
      <c r="J648" s="9" t="n">
        <v>106025569</v>
      </c>
      <c r="K648" s="9" t="n">
        <v>22</v>
      </c>
      <c r="L648" s="9" t="n"/>
      <c r="M648" s="9" t="n"/>
      <c r="N648" s="9" t="n"/>
      <c r="O648" s="9" t="n">
        <v>12</v>
      </c>
      <c r="P648" s="13" t="n">
        <v>100780</v>
      </c>
      <c r="Q648" s="13" t="n">
        <v>107289.6</v>
      </c>
      <c r="R648" s="14">
        <f>IFERROR(P648/Q648,"")</f>
        <v/>
      </c>
      <c r="S648" s="15" t="n">
        <v>0.9590000000000001</v>
      </c>
      <c r="T648" s="9">
        <f>IF(R648&gt;1,"A corregir","Válida")</f>
        <v/>
      </c>
      <c r="U648" s="13">
        <f>Q648-P648</f>
        <v/>
      </c>
      <c r="V648" s="13">
        <f>IF(S648="",0,S648*Q648)</f>
        <v/>
      </c>
      <c r="W648" s="9" t="n">
        <v>2026</v>
      </c>
      <c r="X648" s="9" t="n">
        <v>29</v>
      </c>
      <c r="Y648" s="9" t="inlineStr">
        <is>
          <t>2026-S29</t>
        </is>
      </c>
    </row>
    <row r="649">
      <c r="A649" s="9" t="n">
        <v>43049148</v>
      </c>
      <c r="B649" s="11" t="n">
        <v>46219.58547453704</v>
      </c>
      <c r="C649" s="12" t="n">
        <v>46219</v>
      </c>
      <c r="D649" s="9">
        <f>YEAR(C649)</f>
        <v/>
      </c>
      <c r="E649" s="9">
        <f>MONTH(C649)</f>
        <v/>
      </c>
      <c r="F649" s="9" t="inlineStr">
        <is>
          <t>Saferock</t>
        </is>
      </c>
      <c r="G649" s="9" t="inlineStr">
        <is>
          <t>SAFEROCK 22MM 12M A280</t>
        </is>
      </c>
      <c r="H649" s="9" t="inlineStr">
        <is>
          <t>SAFEROCK SEMI 22MM 12M A280</t>
        </is>
      </c>
      <c r="I649" s="9" t="inlineStr">
        <is>
          <t>SFRCK 22</t>
        </is>
      </c>
      <c r="J649" s="9" t="n">
        <v>106025569</v>
      </c>
      <c r="K649" s="9" t="n">
        <v>22</v>
      </c>
      <c r="L649" s="9" t="n"/>
      <c r="M649" s="9" t="n"/>
      <c r="N649" s="9" t="n"/>
      <c r="O649" s="9" t="n">
        <v>12</v>
      </c>
      <c r="P649" s="13" t="n">
        <v>108486</v>
      </c>
      <c r="Q649" s="13" t="n">
        <v>114048</v>
      </c>
      <c r="R649" s="14">
        <f>IFERROR(P649/Q649,"")</f>
        <v/>
      </c>
      <c r="S649" s="15" t="n">
        <v>0.9590000000000001</v>
      </c>
      <c r="T649" s="9">
        <f>IF(R649&gt;1,"A corregir","Válida")</f>
        <v/>
      </c>
      <c r="U649" s="13">
        <f>Q649-P649</f>
        <v/>
      </c>
      <c r="V649" s="13">
        <f>IF(S649="",0,S649*Q649)</f>
        <v/>
      </c>
      <c r="W649" s="9" t="n">
        <v>2026</v>
      </c>
      <c r="X649" s="9" t="n">
        <v>29</v>
      </c>
      <c r="Y649" s="9" t="inlineStr">
        <is>
          <t>2026-S29</t>
        </is>
      </c>
    </row>
    <row r="650">
      <c r="A650" s="9" t="n">
        <v>43049149</v>
      </c>
      <c r="B650" s="11" t="n">
        <v>46219.80407407408</v>
      </c>
      <c r="C650" s="12" t="n">
        <v>46219</v>
      </c>
      <c r="D650" s="9">
        <f>YEAR(C650)</f>
        <v/>
      </c>
      <c r="E650" s="9">
        <f>MONTH(C650)</f>
        <v/>
      </c>
      <c r="F650" s="9" t="inlineStr">
        <is>
          <t>Saferock</t>
        </is>
      </c>
      <c r="G650" s="9" t="inlineStr">
        <is>
          <t>SAFEROCK 22MM 10,5M A280</t>
        </is>
      </c>
      <c r="H650" s="9" t="inlineStr">
        <is>
          <t>SAFEROCK SEMI 22MM 10,5M A280</t>
        </is>
      </c>
      <c r="I650" s="9" t="inlineStr">
        <is>
          <t>SFRCK 22</t>
        </is>
      </c>
      <c r="J650" s="9" t="n">
        <v>106501802</v>
      </c>
      <c r="K650" s="9" t="n">
        <v>22</v>
      </c>
      <c r="L650" s="9" t="n"/>
      <c r="M650" s="9" t="n"/>
      <c r="N650" s="9" t="n"/>
      <c r="O650" s="9" t="n">
        <v>10.5</v>
      </c>
      <c r="P650" s="13" t="n">
        <v>41564</v>
      </c>
      <c r="Q650" s="13" t="n">
        <v>43507.2</v>
      </c>
      <c r="R650" s="14">
        <f>IFERROR(P650/Q650,"")</f>
        <v/>
      </c>
      <c r="S650" s="15" t="n">
        <v>0.958</v>
      </c>
      <c r="T650" s="9">
        <f>IF(R650&gt;1,"A corregir","Válida")</f>
        <v/>
      </c>
      <c r="U650" s="13">
        <f>Q650-P650</f>
        <v/>
      </c>
      <c r="V650" s="13">
        <f>IF(S650="",0,S650*Q650)</f>
        <v/>
      </c>
      <c r="W650" s="9" t="n">
        <v>2026</v>
      </c>
      <c r="X650" s="9" t="n">
        <v>29</v>
      </c>
      <c r="Y650" s="9" t="inlineStr">
        <is>
          <t>2026-S29</t>
        </is>
      </c>
    </row>
    <row r="651">
      <c r="A651" s="9" t="n">
        <v>43049150</v>
      </c>
      <c r="B651" s="11" t="n">
        <v>46219.94185185185</v>
      </c>
      <c r="C651" s="12" t="n">
        <v>46219</v>
      </c>
      <c r="D651" s="9">
        <f>YEAR(C651)</f>
        <v/>
      </c>
      <c r="E651" s="9">
        <f>MONTH(C651)</f>
        <v/>
      </c>
      <c r="F651" s="9" t="inlineStr">
        <is>
          <t>Saferock</t>
        </is>
      </c>
      <c r="G651" s="9" t="inlineStr">
        <is>
          <t>SAFEROCK 22MM 10M A280</t>
        </is>
      </c>
      <c r="H651" s="9" t="inlineStr">
        <is>
          <t>SAFEROCK SEMI 22MM 10M A280</t>
        </is>
      </c>
      <c r="I651" s="9" t="inlineStr">
        <is>
          <t>SFRCK 22</t>
        </is>
      </c>
      <c r="J651" s="9" t="n">
        <v>106043322</v>
      </c>
      <c r="K651" s="9" t="n">
        <v>22</v>
      </c>
      <c r="L651" s="9" t="n"/>
      <c r="M651" s="9" t="n"/>
      <c r="N651" s="9" t="n"/>
      <c r="O651" s="9" t="n">
        <v>10</v>
      </c>
      <c r="P651" s="13" t="n">
        <v>113662</v>
      </c>
      <c r="Q651" s="13" t="n">
        <v>120727.2</v>
      </c>
      <c r="R651" s="14">
        <f>IFERROR(P651/Q651,"")</f>
        <v/>
      </c>
      <c r="S651" s="15" t="n">
        <v>0.953</v>
      </c>
      <c r="T651" s="9">
        <f>IF(R651&gt;1,"A corregir","Válida")</f>
        <v/>
      </c>
      <c r="U651" s="13">
        <f>Q651-P651</f>
        <v/>
      </c>
      <c r="V651" s="13">
        <f>IF(S651="",0,S651*Q651)</f>
        <v/>
      </c>
      <c r="W651" s="9" t="n">
        <v>2026</v>
      </c>
      <c r="X651" s="9" t="n">
        <v>29</v>
      </c>
      <c r="Y651" s="9" t="inlineStr">
        <is>
          <t>2026-S29</t>
        </is>
      </c>
    </row>
    <row r="652">
      <c r="A652" s="9" t="n">
        <v>43049151</v>
      </c>
      <c r="B652" s="11" t="n">
        <v>46220.20592592593</v>
      </c>
      <c r="C652" s="12" t="n">
        <v>46220</v>
      </c>
      <c r="D652" s="9">
        <f>YEAR(C652)</f>
        <v/>
      </c>
      <c r="E652" s="9">
        <f>MONTH(C652)</f>
        <v/>
      </c>
      <c r="F652" s="9" t="inlineStr">
        <is>
          <t>Saferock</t>
        </is>
      </c>
      <c r="G652" s="9" t="inlineStr">
        <is>
          <t>SAFEROCK 22MM 9,6M A280</t>
        </is>
      </c>
      <c r="H652" s="9" t="inlineStr">
        <is>
          <t>SAFEROCK SEMI 22MM 9,6M A280</t>
        </is>
      </c>
      <c r="I652" s="9" t="inlineStr">
        <is>
          <t>SFRCK 22</t>
        </is>
      </c>
      <c r="J652" s="9" t="n">
        <v>106503248</v>
      </c>
      <c r="K652" s="9" t="n">
        <v>22</v>
      </c>
      <c r="L652" s="9" t="n"/>
      <c r="M652" s="9" t="n"/>
      <c r="N652" s="9" t="n"/>
      <c r="O652" s="9" t="n">
        <v>9.6</v>
      </c>
      <c r="P652" s="13" t="n">
        <v>119980</v>
      </c>
      <c r="Q652" s="13" t="n">
        <v>126112.8</v>
      </c>
      <c r="R652" s="14">
        <f>IFERROR(P652/Q652,"")</f>
        <v/>
      </c>
      <c r="S652" s="15" t="n">
        <v>0.9570000000000001</v>
      </c>
      <c r="T652" s="9">
        <f>IF(R652&gt;1,"A corregir","Válida")</f>
        <v/>
      </c>
      <c r="U652" s="13">
        <f>Q652-P652</f>
        <v/>
      </c>
      <c r="V652" s="13">
        <f>IF(S652="",0,S652*Q652)</f>
        <v/>
      </c>
      <c r="W652" s="9" t="n">
        <v>2026</v>
      </c>
      <c r="X652" s="9" t="n">
        <v>29</v>
      </c>
      <c r="Y652" s="9" t="inlineStr">
        <is>
          <t>2026-S29</t>
        </is>
      </c>
    </row>
    <row r="653">
      <c r="A653" s="9" t="n">
        <v>43049186</v>
      </c>
      <c r="B653" s="11" t="n">
        <v>46220.56806712963</v>
      </c>
      <c r="C653" s="12" t="n">
        <v>46220</v>
      </c>
      <c r="D653" s="9">
        <f>YEAR(C653)</f>
        <v/>
      </c>
      <c r="E653" s="9">
        <f>MONTH(C653)</f>
        <v/>
      </c>
      <c r="F653" s="9" t="inlineStr">
        <is>
          <t>B Hormigón</t>
        </is>
      </c>
      <c r="G653" s="9" t="inlineStr">
        <is>
          <t>B HORMIGON 22MM 10M A630-420H (N)</t>
        </is>
      </c>
      <c r="H653" s="9" t="inlineStr">
        <is>
          <t>B HORMIGON 22MM 10M A630-420H (N)</t>
        </is>
      </c>
      <c r="I653" s="9" t="inlineStr">
        <is>
          <t>RED 22 CR</t>
        </is>
      </c>
      <c r="J653" s="9" t="n">
        <v>110002950</v>
      </c>
      <c r="K653" s="9" t="n">
        <v>22</v>
      </c>
      <c r="L653" s="9" t="n"/>
      <c r="M653" s="9" t="n"/>
      <c r="N653" s="9" t="n"/>
      <c r="O653" s="9" t="n">
        <v>10</v>
      </c>
      <c r="P653" s="13" t="n">
        <v>77598</v>
      </c>
      <c r="Q653" s="13" t="n">
        <v>81457.2</v>
      </c>
      <c r="R653" s="14">
        <f>IFERROR(P653/Q653,"")</f>
        <v/>
      </c>
      <c r="S653" s="15" t="n">
        <v>0.9740000000000001</v>
      </c>
      <c r="T653" s="9">
        <f>IF(R653&gt;1,"A corregir","Válida")</f>
        <v/>
      </c>
      <c r="U653" s="13">
        <f>Q653-P653</f>
        <v/>
      </c>
      <c r="V653" s="13">
        <f>IF(S653="",0,S653*Q653)</f>
        <v/>
      </c>
      <c r="W653" s="9" t="n">
        <v>2026</v>
      </c>
      <c r="X653" s="9" t="n">
        <v>29</v>
      </c>
      <c r="Y653" s="9" t="inlineStr">
        <is>
          <t>2026-S29</t>
        </is>
      </c>
    </row>
    <row r="654">
      <c r="A654" s="9" t="n">
        <v>43049187</v>
      </c>
      <c r="B654" s="11" t="n">
        <v>46220.7028125</v>
      </c>
      <c r="C654" s="12" t="n">
        <v>46220</v>
      </c>
      <c r="D654" s="9">
        <f>YEAR(C654)</f>
        <v/>
      </c>
      <c r="E654" s="9">
        <f>MONTH(C654)</f>
        <v/>
      </c>
      <c r="F654" s="9" t="inlineStr">
        <is>
          <t>B Hormigón</t>
        </is>
      </c>
      <c r="G654" s="9" t="inlineStr">
        <is>
          <t>B HORMIGON 22MM 7M A630-420H (N)</t>
        </is>
      </c>
      <c r="H654" s="9" t="inlineStr">
        <is>
          <t>B HORMIGON 22MM 7M A630-420H (N)</t>
        </is>
      </c>
      <c r="I654" s="9" t="inlineStr">
        <is>
          <t>RED 22 CR</t>
        </is>
      </c>
      <c r="J654" s="9" t="n">
        <v>110002946</v>
      </c>
      <c r="K654" s="9" t="n">
        <v>22</v>
      </c>
      <c r="L654" s="9" t="n"/>
      <c r="M654" s="9" t="n"/>
      <c r="N654" s="9" t="n"/>
      <c r="O654" s="9" t="n">
        <v>7</v>
      </c>
      <c r="P654" s="13" t="n">
        <v>28791</v>
      </c>
      <c r="Q654" s="13" t="n">
        <v>30056.4</v>
      </c>
      <c r="R654" s="14">
        <f>IFERROR(P654/Q654,"")</f>
        <v/>
      </c>
      <c r="S654" s="15" t="n">
        <v>0.9740000000000001</v>
      </c>
      <c r="T654" s="9">
        <f>IF(R654&gt;1,"A corregir","Válida")</f>
        <v/>
      </c>
      <c r="U654" s="13">
        <f>Q654-P654</f>
        <v/>
      </c>
      <c r="V654" s="13">
        <f>IF(S654="",0,S654*Q654)</f>
        <v/>
      </c>
      <c r="W654" s="9" t="n">
        <v>2026</v>
      </c>
      <c r="X654" s="9" t="n">
        <v>29</v>
      </c>
      <c r="Y654" s="9" t="inlineStr">
        <is>
          <t>2026-S29</t>
        </is>
      </c>
    </row>
    <row r="655">
      <c r="A655" s="9" t="n">
        <v>43049215</v>
      </c>
      <c r="B655" s="11" t="n">
        <v>46220.95993055555</v>
      </c>
      <c r="C655" s="12" t="n">
        <v>46220</v>
      </c>
      <c r="D655" s="9">
        <f>YEAR(C655)</f>
        <v/>
      </c>
      <c r="E655" s="9">
        <f>MONTH(C655)</f>
        <v/>
      </c>
      <c r="F655" s="9" t="inlineStr">
        <is>
          <t>B Hormigón</t>
        </is>
      </c>
      <c r="G655" s="9" t="inlineStr">
        <is>
          <t>B HORMIGON 28MM 12M A630-420H (N)</t>
        </is>
      </c>
      <c r="H655" s="9" t="inlineStr">
        <is>
          <t>B HORMIGON 28MM 12M A630-420H (N)</t>
        </is>
      </c>
      <c r="I655" s="9" t="inlineStr">
        <is>
          <t>RED 28 CR</t>
        </is>
      </c>
      <c r="J655" s="9" t="n">
        <v>110002894</v>
      </c>
      <c r="K655" s="9" t="n">
        <v>28</v>
      </c>
      <c r="L655" s="9" t="n"/>
      <c r="M655" s="9" t="n"/>
      <c r="N655" s="9" t="n"/>
      <c r="O655" s="9" t="n">
        <v>12</v>
      </c>
      <c r="P655" s="13" t="n">
        <v>28144</v>
      </c>
      <c r="Q655" s="13" t="n">
        <v>30492</v>
      </c>
      <c r="R655" s="14">
        <f>IFERROR(P655/Q655,"")</f>
        <v/>
      </c>
      <c r="S655" s="15" t="n">
        <v>0.96</v>
      </c>
      <c r="T655" s="9">
        <f>IF(R655&gt;1,"A corregir","Válida")</f>
        <v/>
      </c>
      <c r="U655" s="13">
        <f>Q655-P655</f>
        <v/>
      </c>
      <c r="V655" s="13">
        <f>IF(S655="",0,S655*Q655)</f>
        <v/>
      </c>
      <c r="W655" s="9" t="n">
        <v>2026</v>
      </c>
      <c r="X655" s="9" t="n">
        <v>29</v>
      </c>
      <c r="Y655" s="9" t="inlineStr">
        <is>
          <t>2026-S29</t>
        </is>
      </c>
    </row>
    <row r="656">
      <c r="A656" s="9" t="n">
        <v>43049160</v>
      </c>
      <c r="B656" s="11" t="n">
        <v>46221.01506944445</v>
      </c>
      <c r="C656" s="12" t="n">
        <v>46221</v>
      </c>
      <c r="D656" s="9">
        <f>YEAR(C656)</f>
        <v/>
      </c>
      <c r="E656" s="9">
        <f>MONTH(C656)</f>
        <v/>
      </c>
      <c r="F656" s="9" t="inlineStr">
        <is>
          <t>B Hormigón</t>
        </is>
      </c>
      <c r="G656" s="9" t="inlineStr">
        <is>
          <t>B HORMIGON 28MM 12M A630-420H (N)</t>
        </is>
      </c>
      <c r="H656" s="9" t="inlineStr">
        <is>
          <t>B HORMIGON 28MM 12M A630-420H (N)</t>
        </is>
      </c>
      <c r="I656" s="9" t="inlineStr">
        <is>
          <t>RED 28 CR</t>
        </is>
      </c>
      <c r="J656" s="9" t="n">
        <v>110002894</v>
      </c>
      <c r="K656" s="9" t="n">
        <v>28</v>
      </c>
      <c r="L656" s="9" t="n"/>
      <c r="M656" s="9" t="n"/>
      <c r="N656" s="9" t="n"/>
      <c r="O656" s="9" t="n">
        <v>12</v>
      </c>
      <c r="P656" s="13" t="n">
        <v>480700</v>
      </c>
      <c r="Q656" s="13" t="n">
        <v>506035.2</v>
      </c>
      <c r="R656" s="14">
        <f>IFERROR(P656/Q656,"")</f>
        <v/>
      </c>
      <c r="S656" s="15" t="n">
        <v>0.96</v>
      </c>
      <c r="T656" s="9">
        <f>IF(R656&gt;1,"A corregir","Válida")</f>
        <v/>
      </c>
      <c r="U656" s="13">
        <f>Q656-P656</f>
        <v/>
      </c>
      <c r="V656" s="13">
        <f>IF(S656="",0,S656*Q656)</f>
        <v/>
      </c>
      <c r="W656" s="9" t="n">
        <v>2026</v>
      </c>
      <c r="X656" s="9" t="n">
        <v>29</v>
      </c>
      <c r="Y656" s="9" t="inlineStr">
        <is>
          <t>2026-S29</t>
        </is>
      </c>
    </row>
    <row r="657">
      <c r="A657" s="9" t="n">
        <v>43049161</v>
      </c>
      <c r="B657" s="11" t="n">
        <v>46221.96458333333</v>
      </c>
      <c r="C657" s="12" t="n">
        <v>46221</v>
      </c>
      <c r="D657" s="9">
        <f>YEAR(C657)</f>
        <v/>
      </c>
      <c r="E657" s="9">
        <f>MONTH(C657)</f>
        <v/>
      </c>
      <c r="F657" s="9" t="inlineStr">
        <is>
          <t>B Hormigón</t>
        </is>
      </c>
      <c r="G657" s="9" t="inlineStr">
        <is>
          <t>B HORMIGON 28MM 11M A630-420H (N)</t>
        </is>
      </c>
      <c r="H657" s="9" t="inlineStr">
        <is>
          <t>B HORMIGON 28MM 11M A630-420H (N)</t>
        </is>
      </c>
      <c r="I657" s="9" t="inlineStr">
        <is>
          <t>RED 28 CR</t>
        </is>
      </c>
      <c r="J657" s="9" t="n">
        <v>110002893</v>
      </c>
      <c r="K657" s="9" t="n">
        <v>28</v>
      </c>
      <c r="L657" s="9" t="n"/>
      <c r="M657" s="9" t="n"/>
      <c r="N657" s="9" t="n"/>
      <c r="O657" s="9" t="n">
        <v>11</v>
      </c>
      <c r="P657" s="13" t="n">
        <v>102643</v>
      </c>
      <c r="Q657" s="13" t="n">
        <v>108900</v>
      </c>
      <c r="R657" s="14">
        <f>IFERROR(P657/Q657,"")</f>
        <v/>
      </c>
      <c r="S657" s="15" t="n">
        <v>0.9399999999999999</v>
      </c>
      <c r="T657" s="9">
        <f>IF(R657&gt;1,"A corregir","Válida")</f>
        <v/>
      </c>
      <c r="U657" s="13">
        <f>Q657-P657</f>
        <v/>
      </c>
      <c r="V657" s="13">
        <f>IF(S657="",0,S657*Q657)</f>
        <v/>
      </c>
      <c r="W657" s="9" t="n">
        <v>2026</v>
      </c>
      <c r="X657" s="9" t="n">
        <v>29</v>
      </c>
      <c r="Y657" s="9" t="inlineStr">
        <is>
          <t>2026-S29</t>
        </is>
      </c>
    </row>
    <row r="658">
      <c r="A658" s="9" t="n">
        <v>43049162</v>
      </c>
      <c r="B658" s="11" t="n">
        <v>46222.03924768518</v>
      </c>
      <c r="C658" s="12" t="n">
        <v>46222</v>
      </c>
      <c r="D658" s="9">
        <f>YEAR(C658)</f>
        <v/>
      </c>
      <c r="E658" s="9">
        <f>MONTH(C658)</f>
        <v/>
      </c>
      <c r="F658" s="9" t="inlineStr">
        <is>
          <t>B Hormigón</t>
        </is>
      </c>
      <c r="G658" s="9" t="inlineStr">
        <is>
          <t>B HORMIGON 28MM 10M A630-420H (N)</t>
        </is>
      </c>
      <c r="H658" s="9" t="inlineStr">
        <is>
          <t>B HORMIGON 28MM 10M A630-420H (N)</t>
        </is>
      </c>
      <c r="I658" s="9" t="inlineStr">
        <is>
          <t>RED 28 CR</t>
        </is>
      </c>
      <c r="J658" s="9" t="n">
        <v>110002892</v>
      </c>
      <c r="K658" s="9" t="n">
        <v>28</v>
      </c>
      <c r="L658" s="9" t="n"/>
      <c r="M658" s="9" t="n"/>
      <c r="N658" s="9" t="n"/>
      <c r="O658" s="9" t="n">
        <v>10</v>
      </c>
      <c r="P658" s="13" t="n">
        <v>35297</v>
      </c>
      <c r="Q658" s="13" t="n">
        <v>37699.2</v>
      </c>
      <c r="R658" s="14">
        <f>IFERROR(P658/Q658,"")</f>
        <v/>
      </c>
      <c r="S658" s="15" t="n">
        <v>0.96</v>
      </c>
      <c r="T658" s="9">
        <f>IF(R658&gt;1,"A corregir","Válida")</f>
        <v/>
      </c>
      <c r="U658" s="13">
        <f>Q658-P658</f>
        <v/>
      </c>
      <c r="V658" s="13">
        <f>IF(S658="",0,S658*Q658)</f>
        <v/>
      </c>
      <c r="W658" s="9" t="n">
        <v>2026</v>
      </c>
      <c r="X658" s="9" t="n">
        <v>29</v>
      </c>
      <c r="Y658" s="9" t="inlineStr">
        <is>
          <t>2026-S29</t>
        </is>
      </c>
    </row>
    <row r="659">
      <c r="A659" s="9" t="n">
        <v>43049163</v>
      </c>
      <c r="B659" s="11" t="n">
        <v>46222.10071759259</v>
      </c>
      <c r="C659" s="12" t="n">
        <v>46222</v>
      </c>
      <c r="D659" s="9">
        <f>YEAR(C659)</f>
        <v/>
      </c>
      <c r="E659" s="9">
        <f>MONTH(C659)</f>
        <v/>
      </c>
      <c r="F659" s="9" t="inlineStr">
        <is>
          <t>B Hormigón</t>
        </is>
      </c>
      <c r="G659" s="9" t="inlineStr">
        <is>
          <t>B HORMIGON 28MM 9M A630-420H (N)</t>
        </is>
      </c>
      <c r="H659" s="9" t="inlineStr">
        <is>
          <t>B HORMIGON 28MM 9M A630-420H (N)</t>
        </is>
      </c>
      <c r="I659" s="9" t="inlineStr">
        <is>
          <t>RED 28 CR</t>
        </is>
      </c>
      <c r="J659" s="9" t="n">
        <v>110002897</v>
      </c>
      <c r="K659" s="9" t="n">
        <v>28</v>
      </c>
      <c r="L659" s="9" t="n"/>
      <c r="M659" s="9" t="n"/>
      <c r="N659" s="9" t="n"/>
      <c r="O659" s="9" t="n">
        <v>9</v>
      </c>
      <c r="P659" s="13" t="n">
        <v>127646</v>
      </c>
      <c r="Q659" s="13" t="n">
        <v>136884</v>
      </c>
      <c r="R659" s="14">
        <f>IFERROR(P659/Q659,"")</f>
        <v/>
      </c>
      <c r="S659" s="15" t="n">
        <v>0.9399999999999999</v>
      </c>
      <c r="T659" s="9">
        <f>IF(R659&gt;1,"A corregir","Válida")</f>
        <v/>
      </c>
      <c r="U659" s="13">
        <f>Q659-P659</f>
        <v/>
      </c>
      <c r="V659" s="13">
        <f>IF(S659="",0,S659*Q659)</f>
        <v/>
      </c>
      <c r="W659" s="9" t="n">
        <v>2026</v>
      </c>
      <c r="X659" s="9" t="n">
        <v>29</v>
      </c>
      <c r="Y659" s="9" t="inlineStr">
        <is>
          <t>2026-S29</t>
        </is>
      </c>
    </row>
    <row r="660">
      <c r="A660" s="9" t="n">
        <v>43049164</v>
      </c>
      <c r="B660" s="11" t="n">
        <v>46223.1328587963</v>
      </c>
      <c r="C660" s="12" t="n">
        <v>46223</v>
      </c>
      <c r="D660" s="9">
        <f>YEAR(C660)</f>
        <v/>
      </c>
      <c r="E660" s="9">
        <f>MONTH(C660)</f>
        <v/>
      </c>
      <c r="F660" s="9" t="inlineStr">
        <is>
          <t>B Hormigón</t>
        </is>
      </c>
      <c r="G660" s="9" t="inlineStr">
        <is>
          <t>B HORMIGON 28MM 8M A630-420H (N)</t>
        </is>
      </c>
      <c r="H660" s="9" t="inlineStr">
        <is>
          <t>B HORMIGON 28MM 8M A630-420H (N)</t>
        </is>
      </c>
      <c r="I660" s="9" t="inlineStr">
        <is>
          <t>RED 28 CR</t>
        </is>
      </c>
      <c r="J660" s="9" t="n">
        <v>110002896</v>
      </c>
      <c r="K660" s="9" t="n">
        <v>28</v>
      </c>
      <c r="L660" s="9" t="n"/>
      <c r="M660" s="9" t="n"/>
      <c r="N660" s="9" t="n"/>
      <c r="O660" s="9" t="n">
        <v>8</v>
      </c>
      <c r="P660" s="13" t="n">
        <v>73689</v>
      </c>
      <c r="Q660" s="13" t="n">
        <v>77193.60000000001</v>
      </c>
      <c r="R660" s="14">
        <f>IFERROR(P660/Q660,"")</f>
        <v/>
      </c>
      <c r="S660" s="15" t="n">
        <v>0.96</v>
      </c>
      <c r="T660" s="9">
        <f>IF(R660&gt;1,"A corregir","Válida")</f>
        <v/>
      </c>
      <c r="U660" s="13">
        <f>Q660-P660</f>
        <v/>
      </c>
      <c r="V660" s="13">
        <f>IF(S660="",0,S660*Q660)</f>
        <v/>
      </c>
      <c r="W660" s="9" t="n">
        <v>2026</v>
      </c>
      <c r="X660" s="9" t="n">
        <v>30</v>
      </c>
      <c r="Y660" s="9" t="inlineStr">
        <is>
          <t>2026-S30</t>
        </is>
      </c>
    </row>
    <row r="661">
      <c r="A661" s="9" t="n">
        <v>43049096</v>
      </c>
      <c r="B661" s="11" t="n">
        <v>46223.44642361111</v>
      </c>
      <c r="C661" s="12" t="n">
        <v>46223</v>
      </c>
      <c r="D661" s="9">
        <f>YEAR(C661)</f>
        <v/>
      </c>
      <c r="E661" s="9">
        <f>MONTH(C661)</f>
        <v/>
      </c>
      <c r="F661" s="9" t="inlineStr">
        <is>
          <t>B Hormigón</t>
        </is>
      </c>
      <c r="G661" s="9" t="inlineStr">
        <is>
          <t>B HORMIGON 28MM 11M A630-420HS (N)</t>
        </is>
      </c>
      <c r="H661" s="9" t="inlineStr">
        <is>
          <t>B HORMIGON 28MM 11M A630-420HS (N)</t>
        </is>
      </c>
      <c r="I661" s="9" t="inlineStr">
        <is>
          <t>RED 28 CR</t>
        </is>
      </c>
      <c r="J661" s="9" t="n">
        <v>110007324</v>
      </c>
      <c r="K661" s="9" t="n">
        <v>28</v>
      </c>
      <c r="L661" s="9" t="n"/>
      <c r="M661" s="9" t="n"/>
      <c r="N661" s="9" t="n"/>
      <c r="O661" s="9" t="n">
        <v>11</v>
      </c>
      <c r="P661" s="13" t="n">
        <v>23249</v>
      </c>
      <c r="Q661" s="13" t="n">
        <v>24948</v>
      </c>
      <c r="R661" s="14">
        <f>IFERROR(P661/Q661,"")</f>
        <v/>
      </c>
      <c r="S661" s="15" t="n">
        <v>0.97</v>
      </c>
      <c r="T661" s="9">
        <f>IF(R661&gt;1,"A corregir","Válida")</f>
        <v/>
      </c>
      <c r="U661" s="13">
        <f>Q661-P661</f>
        <v/>
      </c>
      <c r="V661" s="13">
        <f>IF(S661="",0,S661*Q661)</f>
        <v/>
      </c>
      <c r="W661" s="9" t="n">
        <v>2026</v>
      </c>
      <c r="X661" s="9" t="n">
        <v>30</v>
      </c>
      <c r="Y661" s="9" t="inlineStr">
        <is>
          <t>2026-S30</t>
        </is>
      </c>
    </row>
    <row r="662">
      <c r="A662" s="9" t="n">
        <v>43049165</v>
      </c>
      <c r="B662" s="11" t="n">
        <v>46223.49983796296</v>
      </c>
      <c r="C662" s="12" t="n">
        <v>46223</v>
      </c>
      <c r="D662" s="9">
        <f>YEAR(C662)</f>
        <v/>
      </c>
      <c r="E662" s="9">
        <f>MONTH(C662)</f>
        <v/>
      </c>
      <c r="F662" s="9" t="inlineStr">
        <is>
          <t>B Hormigón</t>
        </is>
      </c>
      <c r="G662" s="9" t="inlineStr">
        <is>
          <t>B HORMIGON 28MM 7M A630-420H (N)</t>
        </is>
      </c>
      <c r="H662" s="9" t="inlineStr">
        <is>
          <t>B HORMIGON 28MM 7M A630-420H (N)</t>
        </is>
      </c>
      <c r="I662" s="9" t="inlineStr">
        <is>
          <t>RED 28 CR</t>
        </is>
      </c>
      <c r="J662" s="9" t="n">
        <v>110002895</v>
      </c>
      <c r="K662" s="9" t="n">
        <v>28</v>
      </c>
      <c r="L662" s="9" t="n"/>
      <c r="M662" s="9" t="n"/>
      <c r="N662" s="9" t="n"/>
      <c r="O662" s="9" t="n">
        <v>7</v>
      </c>
      <c r="P662" s="13" t="n">
        <v>115829</v>
      </c>
      <c r="Q662" s="13" t="n">
        <v>122918.4</v>
      </c>
      <c r="R662" s="14">
        <f>IFERROR(P662/Q662,"")</f>
        <v/>
      </c>
      <c r="S662" s="15" t="n">
        <v>0.96</v>
      </c>
      <c r="T662" s="9">
        <f>IF(R662&gt;1,"A corregir","Válida")</f>
        <v/>
      </c>
      <c r="U662" s="13">
        <f>Q662-P662</f>
        <v/>
      </c>
      <c r="V662" s="13">
        <f>IF(S662="",0,S662*Q662)</f>
        <v/>
      </c>
      <c r="W662" s="9" t="n">
        <v>2026</v>
      </c>
      <c r="X662" s="9" t="n">
        <v>30</v>
      </c>
      <c r="Y662" s="9" t="inlineStr">
        <is>
          <t>2026-S30</t>
        </is>
      </c>
    </row>
    <row r="663">
      <c r="A663" s="9" t="n">
        <v>43049157</v>
      </c>
      <c r="B663" s="11" t="n">
        <v>46223.98697916666</v>
      </c>
      <c r="C663" s="12" t="n">
        <v>46223</v>
      </c>
      <c r="D663" s="9">
        <f>YEAR(C663)</f>
        <v/>
      </c>
      <c r="E663" s="9">
        <f>MONTH(C663)</f>
        <v/>
      </c>
      <c r="F663" s="9" t="inlineStr">
        <is>
          <t>Saferock</t>
        </is>
      </c>
      <c r="G663" s="9" t="inlineStr">
        <is>
          <t>SAFEROCK 25MM 12M A420</t>
        </is>
      </c>
      <c r="H663" s="9" t="inlineStr">
        <is>
          <t>SAFEROCK 25MM 12M A420</t>
        </is>
      </c>
      <c r="I663" s="9" t="inlineStr">
        <is>
          <t>SFR 25</t>
        </is>
      </c>
      <c r="J663" s="9" t="n">
        <v>106025583</v>
      </c>
      <c r="K663" s="9" t="n">
        <v>25</v>
      </c>
      <c r="L663" s="9" t="n"/>
      <c r="M663" s="9" t="n"/>
      <c r="N663" s="9" t="n"/>
      <c r="O663" s="9" t="n">
        <v>12</v>
      </c>
      <c r="P663" s="13" t="n">
        <v>71971</v>
      </c>
      <c r="Q663" s="13" t="n">
        <v>76296</v>
      </c>
      <c r="R663" s="14">
        <f>IFERROR(P663/Q663,"")</f>
        <v/>
      </c>
      <c r="S663" s="15" t="n">
        <v>0.953</v>
      </c>
      <c r="T663" s="9">
        <f>IF(R663&gt;1,"A corregir","Válida")</f>
        <v/>
      </c>
      <c r="U663" s="13">
        <f>Q663-P663</f>
        <v/>
      </c>
      <c r="V663" s="13">
        <f>IF(S663="",0,S663*Q663)</f>
        <v/>
      </c>
      <c r="W663" s="9" t="n">
        <v>2026</v>
      </c>
      <c r="X663" s="9" t="n">
        <v>30</v>
      </c>
      <c r="Y663" s="9" t="inlineStr">
        <is>
          <t>2026-S30</t>
        </is>
      </c>
    </row>
    <row r="664">
      <c r="A664" s="9" t="n">
        <v>43049158</v>
      </c>
      <c r="B664" s="11" t="n">
        <v>46224.11523148148</v>
      </c>
      <c r="C664" s="12" t="n">
        <v>46224</v>
      </c>
      <c r="D664" s="9">
        <f>YEAR(C664)</f>
        <v/>
      </c>
      <c r="E664" s="9">
        <f>MONTH(C664)</f>
        <v/>
      </c>
      <c r="F664" s="9" t="inlineStr">
        <is>
          <t>Saferock</t>
        </is>
      </c>
      <c r="G664" s="9" t="inlineStr">
        <is>
          <t>SAFEROCK 25MM 12M A420</t>
        </is>
      </c>
      <c r="H664" s="9" t="inlineStr">
        <is>
          <t>SAFEROCK SEMI 25MM 12M A420</t>
        </is>
      </c>
      <c r="I664" s="9" t="inlineStr">
        <is>
          <t>SFR 25</t>
        </is>
      </c>
      <c r="J664" s="9" t="n">
        <v>106025583</v>
      </c>
      <c r="K664" s="9" t="n">
        <v>25</v>
      </c>
      <c r="L664" s="9" t="n"/>
      <c r="M664" s="9" t="n"/>
      <c r="N664" s="9" t="n"/>
      <c r="O664" s="9" t="n">
        <v>12</v>
      </c>
      <c r="P664" s="13" t="n">
        <v>46875</v>
      </c>
      <c r="Q664" s="13" t="n">
        <v>48919.2</v>
      </c>
      <c r="R664" s="14">
        <f>IFERROR(P664/Q664,"")</f>
        <v/>
      </c>
      <c r="S664" s="15" t="n">
        <v>0.953</v>
      </c>
      <c r="T664" s="9">
        <f>IF(R664&gt;1,"A corregir","Válida")</f>
        <v/>
      </c>
      <c r="U664" s="13">
        <f>Q664-P664</f>
        <v/>
      </c>
      <c r="V664" s="13">
        <f>IF(S664="",0,S664*Q664)</f>
        <v/>
      </c>
      <c r="W664" s="9" t="n">
        <v>2026</v>
      </c>
      <c r="X664" s="9" t="n">
        <v>30</v>
      </c>
      <c r="Y664" s="9" t="inlineStr">
        <is>
          <t>2026-S30</t>
        </is>
      </c>
    </row>
    <row r="665">
      <c r="A665" s="9" t="n">
        <v>43049159</v>
      </c>
      <c r="B665" s="11" t="n">
        <v>46224.20663194444</v>
      </c>
      <c r="C665" s="12" t="n">
        <v>46224</v>
      </c>
      <c r="D665" s="9">
        <f>YEAR(C665)</f>
        <v/>
      </c>
      <c r="E665" s="9">
        <f>MONTH(C665)</f>
        <v/>
      </c>
      <c r="F665" s="9" t="inlineStr">
        <is>
          <t>Saferock</t>
        </is>
      </c>
      <c r="G665" s="9" t="inlineStr">
        <is>
          <t>SAFEROCK 25MM 10M A420</t>
        </is>
      </c>
      <c r="H665" s="9" t="inlineStr">
        <is>
          <t>SAFEROCK 25MM 10M A420</t>
        </is>
      </c>
      <c r="I665" s="9" t="inlineStr">
        <is>
          <t>SFR 25</t>
        </is>
      </c>
      <c r="J665" s="9" t="n">
        <v>106043671</v>
      </c>
      <c r="K665" s="9" t="n">
        <v>25</v>
      </c>
      <c r="L665" s="9" t="n"/>
      <c r="M665" s="9" t="n"/>
      <c r="N665" s="9" t="n"/>
      <c r="O665" s="9" t="n">
        <v>10</v>
      </c>
      <c r="P665" s="13" t="n">
        <v>35696</v>
      </c>
      <c r="Q665" s="13" t="n">
        <v>38148</v>
      </c>
      <c r="R665" s="14">
        <f>IFERROR(P665/Q665,"")</f>
        <v/>
      </c>
      <c r="S665" s="15" t="n">
        <v>0.9540000000000001</v>
      </c>
      <c r="T665" s="9">
        <f>IF(R665&gt;1,"A corregir","Válida")</f>
        <v/>
      </c>
      <c r="U665" s="13">
        <f>Q665-P665</f>
        <v/>
      </c>
      <c r="V665" s="13">
        <f>IF(S665="",0,S665*Q665)</f>
        <v/>
      </c>
      <c r="W665" s="9" t="n">
        <v>2026</v>
      </c>
      <c r="X665" s="9" t="n">
        <v>30</v>
      </c>
      <c r="Y665" s="9" t="inlineStr">
        <is>
          <t>2026-S30</t>
        </is>
      </c>
    </row>
    <row r="666">
      <c r="A666" s="9" t="n">
        <v>43049203</v>
      </c>
      <c r="B666" s="11" t="n">
        <v>46224.28996527778</v>
      </c>
      <c r="C666" s="12" t="n">
        <v>46224</v>
      </c>
      <c r="D666" s="9">
        <f>YEAR(C666)</f>
        <v/>
      </c>
      <c r="E666" s="9">
        <f>MONTH(C666)</f>
        <v/>
      </c>
      <c r="F666" s="9" t="inlineStr">
        <is>
          <t>B Hormigón</t>
        </is>
      </c>
      <c r="G666" s="9" t="inlineStr">
        <is>
          <t>B HORMIGON 25MM 12M A630-420H (N)</t>
        </is>
      </c>
      <c r="H666" s="9" t="inlineStr">
        <is>
          <t>B HORMIGON 25MM 12M A630-420H (N)</t>
        </is>
      </c>
      <c r="I666" s="9" t="inlineStr">
        <is>
          <t>RED 25 CR</t>
        </is>
      </c>
      <c r="J666" s="9" t="n">
        <v>110002941</v>
      </c>
      <c r="K666" s="9" t="n">
        <v>25</v>
      </c>
      <c r="L666" s="9" t="n"/>
      <c r="M666" s="9" t="n"/>
      <c r="N666" s="9" t="n"/>
      <c r="O666" s="9" t="n">
        <v>12</v>
      </c>
      <c r="P666" s="13" t="n">
        <v>941013</v>
      </c>
      <c r="Q666" s="13" t="n">
        <v>977486.4</v>
      </c>
      <c r="R666" s="14">
        <f>IFERROR(P666/Q666,"")</f>
        <v/>
      </c>
      <c r="S666" s="15" t="n">
        <v>0.95</v>
      </c>
      <c r="T666" s="9">
        <f>IF(R666&gt;1,"A corregir","Válida")</f>
        <v/>
      </c>
      <c r="U666" s="13">
        <f>Q666-P666</f>
        <v/>
      </c>
      <c r="V666" s="13">
        <f>IF(S666="",0,S666*Q666)</f>
        <v/>
      </c>
      <c r="W666" s="9" t="n">
        <v>2026</v>
      </c>
      <c r="X666" s="9" t="n">
        <v>30</v>
      </c>
      <c r="Y666" s="9" t="inlineStr">
        <is>
          <t>2026-S30</t>
        </is>
      </c>
    </row>
    <row r="667">
      <c r="A667" s="9" t="n">
        <v>43049204</v>
      </c>
      <c r="B667" s="11" t="n">
        <v>46226.33076388889</v>
      </c>
      <c r="C667" s="12" t="n">
        <v>46226</v>
      </c>
      <c r="D667" s="9">
        <f>YEAR(C667)</f>
        <v/>
      </c>
      <c r="E667" s="9">
        <f>MONTH(C667)</f>
        <v/>
      </c>
      <c r="F667" s="9" t="inlineStr">
        <is>
          <t>B Hormigón</t>
        </is>
      </c>
      <c r="G667" s="9" t="inlineStr">
        <is>
          <t>B HORMIGON 25MM 11M A630-420H (N)</t>
        </is>
      </c>
      <c r="H667" s="9" t="inlineStr">
        <is>
          <t>B HORMIGON 25MM 11M A630-420H (N)</t>
        </is>
      </c>
      <c r="I667" s="9" t="inlineStr">
        <is>
          <t>RED 25 CR</t>
        </is>
      </c>
      <c r="J667" s="9" t="n">
        <v>110002947</v>
      </c>
      <c r="K667" s="9" t="n">
        <v>25</v>
      </c>
      <c r="L667" s="9" t="n"/>
      <c r="M667" s="9" t="n"/>
      <c r="N667" s="9" t="n"/>
      <c r="O667" s="9" t="n">
        <v>11</v>
      </c>
      <c r="P667" s="13" t="n">
        <v>244485</v>
      </c>
      <c r="Q667" s="13" t="n">
        <v>258746.4</v>
      </c>
      <c r="R667" s="14">
        <f>IFERROR(P667/Q667,"")</f>
        <v/>
      </c>
      <c r="S667" s="15" t="n">
        <v>0.95</v>
      </c>
      <c r="T667" s="9">
        <f>IF(R667&gt;1,"A corregir","Válida")</f>
        <v/>
      </c>
      <c r="U667" s="13">
        <f>Q667-P667</f>
        <v/>
      </c>
      <c r="V667" s="13">
        <f>IF(S667="",0,S667*Q667)</f>
        <v/>
      </c>
      <c r="W667" s="9" t="n">
        <v>2026</v>
      </c>
      <c r="X667" s="9" t="n">
        <v>30</v>
      </c>
      <c r="Y667" s="9" t="inlineStr">
        <is>
          <t>2026-S30</t>
        </is>
      </c>
    </row>
    <row r="668">
      <c r="A668" s="9" t="n">
        <v>43049205</v>
      </c>
      <c r="B668" s="11" t="n">
        <v>46226.98113425926</v>
      </c>
      <c r="C668" s="12" t="n">
        <v>46226</v>
      </c>
      <c r="D668" s="9">
        <f>YEAR(C668)</f>
        <v/>
      </c>
      <c r="E668" s="9">
        <f>MONTH(C668)</f>
        <v/>
      </c>
      <c r="F668" s="9" t="inlineStr">
        <is>
          <t>B Hormigón</t>
        </is>
      </c>
      <c r="G668" s="9" t="inlineStr">
        <is>
          <t>B HORMIGON 25MM 10M A630-420H (N)</t>
        </is>
      </c>
      <c r="H668" s="9" t="inlineStr">
        <is>
          <t>B HORMIGON 25MM 10M A630-420H (N)</t>
        </is>
      </c>
      <c r="I668" s="9" t="inlineStr">
        <is>
          <t>RED 25 CR</t>
        </is>
      </c>
      <c r="J668" s="9" t="n">
        <v>110002943</v>
      </c>
      <c r="K668" s="9" t="n">
        <v>25</v>
      </c>
      <c r="L668" s="9" t="n"/>
      <c r="M668" s="9" t="n"/>
      <c r="N668" s="9" t="n"/>
      <c r="O668" s="9" t="n">
        <v>10</v>
      </c>
      <c r="P668" s="13" t="n">
        <v>567629</v>
      </c>
      <c r="Q668" s="13" t="n">
        <v>594594</v>
      </c>
      <c r="R668" s="14">
        <f>IFERROR(P668/Q668,"")</f>
        <v/>
      </c>
      <c r="S668" s="15" t="n">
        <v>0.95</v>
      </c>
      <c r="T668" s="9">
        <f>IF(R668&gt;1,"A corregir","Válida")</f>
        <v/>
      </c>
      <c r="U668" s="13">
        <f>Q668-P668</f>
        <v/>
      </c>
      <c r="V668" s="13">
        <f>IF(S668="",0,S668*Q668)</f>
        <v/>
      </c>
      <c r="W668" s="9" t="n">
        <v>2026</v>
      </c>
      <c r="X668" s="9" t="n">
        <v>30</v>
      </c>
      <c r="Y668" s="9" t="inlineStr">
        <is>
          <t>2026-S30</t>
        </is>
      </c>
    </row>
    <row r="669">
      <c r="A669" s="9" t="n">
        <v>43049206</v>
      </c>
      <c r="B669" s="11" t="n">
        <v>46228.19436342592</v>
      </c>
      <c r="C669" s="12" t="n">
        <v>46228</v>
      </c>
      <c r="D669" s="9">
        <f>YEAR(C669)</f>
        <v/>
      </c>
      <c r="E669" s="9">
        <f>MONTH(C669)</f>
        <v/>
      </c>
      <c r="F669" s="9" t="inlineStr">
        <is>
          <t>B Hormigón</t>
        </is>
      </c>
      <c r="G669" s="9" t="inlineStr">
        <is>
          <t>B HORMIGON 25MM 9M A630-420H (N)</t>
        </is>
      </c>
      <c r="H669" s="9" t="inlineStr">
        <is>
          <t>B HORMIGON 25MM 9M A630-420H (N)</t>
        </is>
      </c>
      <c r="I669" s="9" t="inlineStr">
        <is>
          <t>RED 25 CR</t>
        </is>
      </c>
      <c r="J669" s="9" t="n">
        <v>110002905</v>
      </c>
      <c r="K669" s="9" t="n">
        <v>25</v>
      </c>
      <c r="L669" s="9" t="n"/>
      <c r="M669" s="9" t="n"/>
      <c r="N669" s="9" t="n"/>
      <c r="O669" s="9" t="n">
        <v>9</v>
      </c>
      <c r="P669" s="13" t="n">
        <v>520446</v>
      </c>
      <c r="Q669" s="13" t="n">
        <v>544500</v>
      </c>
      <c r="R669" s="14">
        <f>IFERROR(P669/Q669,"")</f>
        <v/>
      </c>
      <c r="S669" s="15" t="n">
        <v>0.95</v>
      </c>
      <c r="T669" s="9">
        <f>IF(R669&gt;1,"A corregir","Válida")</f>
        <v/>
      </c>
      <c r="U669" s="13">
        <f>Q669-P669</f>
        <v/>
      </c>
      <c r="V669" s="13">
        <f>IF(S669="",0,S669*Q669)</f>
        <v/>
      </c>
      <c r="W669" s="9" t="n">
        <v>2026</v>
      </c>
      <c r="X669" s="9" t="n">
        <v>30</v>
      </c>
      <c r="Y669" s="9" t="inlineStr">
        <is>
          <t>2026-S30</t>
        </is>
      </c>
    </row>
    <row r="670">
      <c r="A670" s="9" t="n">
        <v>43049207</v>
      </c>
      <c r="B670" s="11" t="n">
        <v>46229.25517361111</v>
      </c>
      <c r="C670" s="12" t="n">
        <v>46229</v>
      </c>
      <c r="D670" s="9">
        <f>YEAR(C670)</f>
        <v/>
      </c>
      <c r="E670" s="9">
        <f>MONTH(C670)</f>
        <v/>
      </c>
      <c r="F670" s="9" t="inlineStr">
        <is>
          <t>B Hormigón</t>
        </is>
      </c>
      <c r="G670" s="9" t="inlineStr">
        <is>
          <t>B HORMIGON 25MM 8M A630-420H (N)</t>
        </is>
      </c>
      <c r="H670" s="9" t="inlineStr">
        <is>
          <t>B HORMIGON 25MM 8M A630-420H (N)</t>
        </is>
      </c>
      <c r="I670" s="9" t="inlineStr">
        <is>
          <t>RED 25 CR</t>
        </is>
      </c>
      <c r="J670" s="9" t="n">
        <v>110002921</v>
      </c>
      <c r="K670" s="9" t="n">
        <v>25</v>
      </c>
      <c r="L670" s="9" t="n"/>
      <c r="M670" s="9" t="n"/>
      <c r="N670" s="9" t="n"/>
      <c r="O670" s="9" t="n">
        <v>8</v>
      </c>
      <c r="P670" s="13" t="n">
        <v>157109</v>
      </c>
      <c r="Q670" s="13" t="n">
        <v>161568</v>
      </c>
      <c r="R670" s="14">
        <f>IFERROR(P670/Q670,"")</f>
        <v/>
      </c>
      <c r="S670" s="15" t="n">
        <v>0.95</v>
      </c>
      <c r="T670" s="9">
        <f>IF(R670&gt;1,"A corregir","Válida")</f>
        <v/>
      </c>
      <c r="U670" s="13">
        <f>Q670-P670</f>
        <v/>
      </c>
      <c r="V670" s="13">
        <f>IF(S670="",0,S670*Q670)</f>
        <v/>
      </c>
      <c r="W670" s="9" t="n">
        <v>2026</v>
      </c>
      <c r="X670" s="9" t="n">
        <v>30</v>
      </c>
      <c r="Y670" s="9" t="inlineStr">
        <is>
          <t>2026-S30</t>
        </is>
      </c>
    </row>
    <row r="671">
      <c r="A671" s="9" t="n">
        <v>43049208</v>
      </c>
      <c r="B671" s="11" t="n">
        <v>46230.28362268519</v>
      </c>
      <c r="C671" s="12" t="n">
        <v>46230</v>
      </c>
      <c r="D671" s="9">
        <f>YEAR(C671)</f>
        <v/>
      </c>
      <c r="E671" s="9">
        <f>MONTH(C671)</f>
        <v/>
      </c>
      <c r="F671" s="9" t="inlineStr">
        <is>
          <t>B Hormigón</t>
        </is>
      </c>
      <c r="G671" s="9" t="inlineStr">
        <is>
          <t>B HORMIGON 25MM 7M A630-420H (N)</t>
        </is>
      </c>
      <c r="H671" s="9" t="inlineStr">
        <is>
          <t>B HORMIGON 25MM 7M A630-420H (N)</t>
        </is>
      </c>
      <c r="I671" s="9" t="inlineStr">
        <is>
          <t>RED 25 CR</t>
        </is>
      </c>
      <c r="J671" s="9" t="n">
        <v>110002927</v>
      </c>
      <c r="K671" s="9" t="n">
        <v>25</v>
      </c>
      <c r="L671" s="9" t="n"/>
      <c r="M671" s="9" t="n"/>
      <c r="N671" s="9" t="n"/>
      <c r="O671" s="9" t="n">
        <v>7</v>
      </c>
      <c r="P671" s="13" t="n">
        <v>81705</v>
      </c>
      <c r="Q671" s="13" t="n">
        <v>85720.8</v>
      </c>
      <c r="R671" s="14">
        <f>IFERROR(P671/Q671,"")</f>
        <v/>
      </c>
      <c r="S671" s="15" t="n">
        <v>0.95</v>
      </c>
      <c r="T671" s="9">
        <f>IF(R671&gt;1,"A corregir","Válida")</f>
        <v/>
      </c>
      <c r="U671" s="13">
        <f>Q671-P671</f>
        <v/>
      </c>
      <c r="V671" s="13">
        <f>IF(S671="",0,S671*Q671)</f>
        <v/>
      </c>
      <c r="W671" s="9" t="n">
        <v>2026</v>
      </c>
      <c r="X671" s="9" t="n">
        <v>31</v>
      </c>
      <c r="Y671" s="9" t="inlineStr">
        <is>
          <t>2026-S31</t>
        </is>
      </c>
    </row>
    <row r="672">
      <c r="A672" s="9" t="n">
        <v>43049209</v>
      </c>
      <c r="B672" s="11" t="n">
        <v>46230.42537037037</v>
      </c>
      <c r="C672" s="12" t="n">
        <v>46230</v>
      </c>
      <c r="D672" s="9">
        <f>YEAR(C672)</f>
        <v/>
      </c>
      <c r="E672" s="9">
        <f>MONTH(C672)</f>
        <v/>
      </c>
      <c r="F672" s="9" t="inlineStr">
        <is>
          <t>B Hormigón</t>
        </is>
      </c>
      <c r="G672" s="9" t="inlineStr">
        <is>
          <t>B HORMIGON 25MM 6M A630-420H (N)</t>
        </is>
      </c>
      <c r="H672" s="9" t="inlineStr">
        <is>
          <t>B HORMIGON 25MM 6M A630-420H (N)</t>
        </is>
      </c>
      <c r="I672" s="9" t="inlineStr">
        <is>
          <t>RED 25 CR</t>
        </is>
      </c>
      <c r="J672" s="9" t="n">
        <v>110002923</v>
      </c>
      <c r="K672" s="9" t="n">
        <v>25</v>
      </c>
      <c r="L672" s="9" t="n"/>
      <c r="M672" s="9" t="n"/>
      <c r="N672" s="9" t="n"/>
      <c r="O672" s="9" t="n">
        <v>6</v>
      </c>
      <c r="P672" s="13" t="n">
        <v>57886</v>
      </c>
      <c r="Q672" s="13" t="n">
        <v>62290.8</v>
      </c>
      <c r="R672" s="14">
        <f>IFERROR(P672/Q672,"")</f>
        <v/>
      </c>
      <c r="S672" s="15" t="n">
        <v>0.95</v>
      </c>
      <c r="T672" s="9">
        <f>IF(R672&gt;1,"A corregir","Válida")</f>
        <v/>
      </c>
      <c r="U672" s="13">
        <f>Q672-P672</f>
        <v/>
      </c>
      <c r="V672" s="13">
        <f>IF(S672="",0,S672*Q672)</f>
        <v/>
      </c>
      <c r="W672" s="9" t="n">
        <v>2026</v>
      </c>
      <c r="X672" s="9" t="n">
        <v>31</v>
      </c>
      <c r="Y672" s="9" t="inlineStr">
        <is>
          <t>2026-S31</t>
        </is>
      </c>
    </row>
    <row r="673">
      <c r="A673" s="9" t="n">
        <v>43049283</v>
      </c>
      <c r="B673" s="11" t="n">
        <v>46230.5540625</v>
      </c>
      <c r="C673" s="12" t="n">
        <v>46230</v>
      </c>
      <c r="D673" s="9">
        <f>YEAR(C673)</f>
        <v/>
      </c>
      <c r="E673" s="9">
        <f>MONTH(C673)</f>
        <v/>
      </c>
      <c r="F673" s="9" t="inlineStr">
        <is>
          <t>B Hormigón</t>
        </is>
      </c>
      <c r="G673" s="9" t="inlineStr">
        <is>
          <t>B HORMIGON 25MM 9M A630-420H (N)</t>
        </is>
      </c>
      <c r="H673" s="9" t="inlineStr">
        <is>
          <t>B HORMIGON 25MM 9M A630-420H (N)</t>
        </is>
      </c>
      <c r="I673" s="9" t="inlineStr">
        <is>
          <t>RED 25 CR</t>
        </is>
      </c>
      <c r="J673" s="9" t="n">
        <v>110002905</v>
      </c>
      <c r="K673" s="9" t="n">
        <v>25</v>
      </c>
      <c r="L673" s="9" t="n"/>
      <c r="M673" s="9" t="n"/>
      <c r="N673" s="9" t="n"/>
      <c r="O673" s="9" t="n">
        <v>9</v>
      </c>
      <c r="P673" s="13" t="n">
        <v>77666</v>
      </c>
      <c r="Q673" s="13" t="n">
        <v>81972</v>
      </c>
      <c r="R673" s="14">
        <f>IFERROR(P673/Q673,"")</f>
        <v/>
      </c>
      <c r="S673" s="15" t="n">
        <v>0.95</v>
      </c>
      <c r="T673" s="9">
        <f>IF(R673&gt;1,"A corregir","Válida")</f>
        <v/>
      </c>
      <c r="U673" s="13">
        <f>Q673-P673</f>
        <v/>
      </c>
      <c r="V673" s="13">
        <f>IF(S673="",0,S673*Q673)</f>
        <v/>
      </c>
      <c r="W673" s="9" t="n">
        <v>2026</v>
      </c>
      <c r="X673" s="9" t="n">
        <v>31</v>
      </c>
      <c r="Y673" s="9" t="inlineStr">
        <is>
          <t>2026-S31</t>
        </is>
      </c>
    </row>
    <row r="674">
      <c r="A674" s="9" t="n">
        <v>43049284</v>
      </c>
      <c r="B674" s="11" t="n">
        <v>46230.73446759259</v>
      </c>
      <c r="C674" s="12" t="n">
        <v>46230</v>
      </c>
      <c r="D674" s="9">
        <f>YEAR(C674)</f>
        <v/>
      </c>
      <c r="E674" s="9">
        <f>MONTH(C674)</f>
        <v/>
      </c>
      <c r="F674" s="9" t="inlineStr">
        <is>
          <t>B Hormigón</t>
        </is>
      </c>
      <c r="G674" s="9" t="inlineStr">
        <is>
          <t>B HORMIGON 25MM 11M A630-420H (N)</t>
        </is>
      </c>
      <c r="H674" s="9" t="inlineStr">
        <is>
          <t>B HORMIGON 25MM 11M A630-420H (N)</t>
        </is>
      </c>
      <c r="I674" s="9" t="inlineStr">
        <is>
          <t>RED 25 CR</t>
        </is>
      </c>
      <c r="J674" s="9" t="n">
        <v>110002947</v>
      </c>
      <c r="K674" s="9" t="n">
        <v>25</v>
      </c>
      <c r="L674" s="9" t="n"/>
      <c r="M674" s="9" t="n"/>
      <c r="N674" s="9" t="n"/>
      <c r="O674" s="9" t="n">
        <v>11</v>
      </c>
      <c r="P674" s="13" t="n">
        <v>10124</v>
      </c>
      <c r="Q674" s="13" t="n">
        <v>10692</v>
      </c>
      <c r="R674" s="14">
        <f>IFERROR(P674/Q674,"")</f>
        <v/>
      </c>
      <c r="S674" s="15" t="n">
        <v>0.95</v>
      </c>
      <c r="T674" s="9">
        <f>IF(R674&gt;1,"A corregir","Válida")</f>
        <v/>
      </c>
      <c r="U674" s="13">
        <f>Q674-P674</f>
        <v/>
      </c>
      <c r="V674" s="13">
        <f>IF(S674="",0,S674*Q674)</f>
        <v/>
      </c>
      <c r="W674" s="9" t="n">
        <v>2026</v>
      </c>
      <c r="X674" s="9" t="n">
        <v>31</v>
      </c>
      <c r="Y674" s="9" t="inlineStr">
        <is>
          <t>2026-S31</t>
        </is>
      </c>
    </row>
    <row r="675">
      <c r="A675" s="9" t="n">
        <v>43049210</v>
      </c>
      <c r="B675" s="11" t="n">
        <v>46231.01445601852</v>
      </c>
      <c r="C675" s="12" t="n">
        <v>46231</v>
      </c>
      <c r="D675" s="9">
        <f>YEAR(C675)</f>
        <v/>
      </c>
      <c r="E675" s="9">
        <f>MONTH(C675)</f>
        <v/>
      </c>
      <c r="F675" s="9" t="inlineStr">
        <is>
          <t>B Hormigón</t>
        </is>
      </c>
      <c r="G675" s="9" t="inlineStr">
        <is>
          <t>B HORMIGON 32MM 12M A630-420H (N)</t>
        </is>
      </c>
      <c r="H675" s="9" t="inlineStr">
        <is>
          <t>B HORMIGON 32MM 12M A630-420H (N)</t>
        </is>
      </c>
      <c r="I675" s="9" t="inlineStr">
        <is>
          <t>RED 32 CR</t>
        </is>
      </c>
      <c r="J675" s="9" t="n">
        <v>110002900</v>
      </c>
      <c r="K675" s="9" t="n">
        <v>32</v>
      </c>
      <c r="L675" s="9" t="n"/>
      <c r="M675" s="9" t="n"/>
      <c r="N675" s="9" t="n"/>
      <c r="O675" s="9" t="n">
        <v>12</v>
      </c>
      <c r="P675" s="13" t="n">
        <v>774143</v>
      </c>
      <c r="Q675" s="13" t="n">
        <v>818136</v>
      </c>
      <c r="R675" s="14">
        <f>IFERROR(P675/Q675,"")</f>
        <v/>
      </c>
      <c r="S675" s="15" t="n">
        <v>0.96</v>
      </c>
      <c r="T675" s="9">
        <f>IF(R675&gt;1,"A corregir","Válida")</f>
        <v/>
      </c>
      <c r="U675" s="13">
        <f>Q675-P675</f>
        <v/>
      </c>
      <c r="V675" s="13">
        <f>IF(S675="",0,S675*Q675)</f>
        <v/>
      </c>
      <c r="W675" s="9" t="n">
        <v>2026</v>
      </c>
      <c r="X675" s="9" t="n">
        <v>31</v>
      </c>
      <c r="Y675" s="9" t="inlineStr">
        <is>
          <t>2026-S31</t>
        </is>
      </c>
    </row>
    <row r="676">
      <c r="A676" s="9" t="n">
        <v>43049211</v>
      </c>
      <c r="B676" s="11" t="n">
        <v>46233.14936342592</v>
      </c>
      <c r="C676" s="12" t="n">
        <v>46233</v>
      </c>
      <c r="D676" s="9">
        <f>YEAR(C676)</f>
        <v/>
      </c>
      <c r="E676" s="9">
        <f>MONTH(C676)</f>
        <v/>
      </c>
      <c r="F676" s="9" t="inlineStr">
        <is>
          <t>B Hormigón</t>
        </is>
      </c>
      <c r="G676" s="9" t="inlineStr">
        <is>
          <t>B HORMIGON 32MM 11M A630-420H (N)</t>
        </is>
      </c>
      <c r="H676" s="9" t="inlineStr">
        <is>
          <t>B HORMIGON 32MM 11M A630-420H (N)</t>
        </is>
      </c>
      <c r="I676" s="9" t="inlineStr">
        <is>
          <t>RED 32 CR</t>
        </is>
      </c>
      <c r="J676" s="9" t="n">
        <v>110002899</v>
      </c>
      <c r="K676" s="9" t="n">
        <v>32</v>
      </c>
      <c r="L676" s="9" t="n"/>
      <c r="M676" s="9" t="n"/>
      <c r="N676" s="9" t="n"/>
      <c r="O676" s="9" t="n">
        <v>11</v>
      </c>
      <c r="P676" s="13" t="n">
        <v>256467</v>
      </c>
      <c r="Q676" s="13" t="n">
        <v>270072</v>
      </c>
      <c r="R676" s="14">
        <f>IFERROR(P676/Q676,"")</f>
        <v/>
      </c>
      <c r="S676" s="15" t="n">
        <v>0.96</v>
      </c>
      <c r="T676" s="9">
        <f>IF(R676&gt;1,"A corregir","Válida")</f>
        <v/>
      </c>
      <c r="U676" s="13">
        <f>Q676-P676</f>
        <v/>
      </c>
      <c r="V676" s="13">
        <f>IF(S676="",0,S676*Q676)</f>
        <v/>
      </c>
      <c r="W676" s="9" t="n">
        <v>2026</v>
      </c>
      <c r="X676" s="9" t="n">
        <v>31</v>
      </c>
      <c r="Y676" s="9" t="inlineStr">
        <is>
          <t>2026-S31</t>
        </is>
      </c>
    </row>
    <row r="677">
      <c r="A677" s="9" t="n">
        <v>43049243</v>
      </c>
      <c r="B677" s="11" t="n">
        <v>46233.59960648148</v>
      </c>
      <c r="C677" s="12" t="n">
        <v>46233</v>
      </c>
      <c r="D677" s="9">
        <f>YEAR(C677)</f>
        <v/>
      </c>
      <c r="E677" s="9">
        <f>MONTH(C677)</f>
        <v/>
      </c>
      <c r="F677" s="9" t="inlineStr">
        <is>
          <t>B Hormigón</t>
        </is>
      </c>
      <c r="G677" s="9" t="inlineStr">
        <is>
          <t>B HORMIGON 32MM 10M A630-420H (N)</t>
        </is>
      </c>
      <c r="H677" s="9" t="inlineStr">
        <is>
          <t>B HORMIGON 32MM 10M A630-420H (N)</t>
        </is>
      </c>
      <c r="I677" s="9" t="inlineStr">
        <is>
          <t>RED 32 CR</t>
        </is>
      </c>
      <c r="J677" s="9" t="n">
        <v>110002898</v>
      </c>
      <c r="K677" s="9" t="n">
        <v>32</v>
      </c>
      <c r="L677" s="9" t="n"/>
      <c r="M677" s="9" t="n"/>
      <c r="N677" s="9" t="n"/>
      <c r="O677" s="9" t="n">
        <v>10</v>
      </c>
      <c r="P677" s="13" t="n">
        <v>318652</v>
      </c>
      <c r="Q677" s="13" t="n">
        <v>342909.6</v>
      </c>
      <c r="R677" s="14">
        <f>IFERROR(P677/Q677,"")</f>
        <v/>
      </c>
      <c r="S677" s="15" t="n">
        <v>0.96</v>
      </c>
      <c r="T677" s="9">
        <f>IF(R677&gt;1,"A corregir","Válida")</f>
        <v/>
      </c>
      <c r="U677" s="13">
        <f>Q677-P677</f>
        <v/>
      </c>
      <c r="V677" s="13">
        <f>IF(S677="",0,S677*Q677)</f>
        <v/>
      </c>
      <c r="W677" s="9" t="n">
        <v>2026</v>
      </c>
      <c r="X677" s="9" t="n">
        <v>31</v>
      </c>
      <c r="Y677" s="9" t="inlineStr">
        <is>
          <t>2026-S31</t>
        </is>
      </c>
    </row>
    <row r="678">
      <c r="A678" s="9" t="n">
        <v>43049244</v>
      </c>
      <c r="B678" s="11" t="n">
        <v>46234.39107638889</v>
      </c>
      <c r="C678" s="12" t="n">
        <v>46234</v>
      </c>
      <c r="D678" s="9">
        <f>YEAR(C678)</f>
        <v/>
      </c>
      <c r="E678" s="9">
        <f>MONTH(C678)</f>
        <v/>
      </c>
      <c r="F678" s="9" t="inlineStr">
        <is>
          <t>B Hormigón</t>
        </is>
      </c>
      <c r="G678" s="9" t="inlineStr">
        <is>
          <t>B HORMIGON 32MM 9M A630-420H (N)</t>
        </is>
      </c>
      <c r="H678" s="9" t="inlineStr">
        <is>
          <t>B HORMIGON 32MM 9M A630-420H (N)</t>
        </is>
      </c>
      <c r="I678" s="9" t="inlineStr">
        <is>
          <t>RED 32 CR</t>
        </is>
      </c>
      <c r="J678" s="9" t="n">
        <v>110002904</v>
      </c>
      <c r="K678" s="9" t="n">
        <v>32</v>
      </c>
      <c r="L678" s="9" t="n"/>
      <c r="M678" s="9" t="n"/>
      <c r="N678" s="9" t="n"/>
      <c r="O678" s="9" t="n">
        <v>9</v>
      </c>
      <c r="P678" s="13" t="n">
        <v>113350</v>
      </c>
      <c r="Q678" s="13" t="n">
        <v>118694.4</v>
      </c>
      <c r="R678" s="14">
        <f>IFERROR(P678/Q678,"")</f>
        <v/>
      </c>
      <c r="S678" s="15" t="n">
        <v>0.96</v>
      </c>
      <c r="T678" s="9">
        <f>IF(R678&gt;1,"A corregir","Válida")</f>
        <v/>
      </c>
      <c r="U678" s="13">
        <f>Q678-P678</f>
        <v/>
      </c>
      <c r="V678" s="13">
        <f>IF(S678="",0,S678*Q678)</f>
        <v/>
      </c>
      <c r="W678" s="9" t="n">
        <v>2026</v>
      </c>
      <c r="X678" s="9" t="n">
        <v>31</v>
      </c>
      <c r="Y678" s="9" t="inlineStr">
        <is>
          <t>2026-S31</t>
        </is>
      </c>
    </row>
    <row r="679">
      <c r="A679" s="9" t="n">
        <v>43049433</v>
      </c>
      <c r="B679" s="11" t="n">
        <v>46234.61302083333</v>
      </c>
      <c r="C679" s="12" t="n">
        <v>46234</v>
      </c>
      <c r="D679" s="9">
        <f>YEAR(C679)</f>
        <v/>
      </c>
      <c r="E679" s="9">
        <f>MONTH(C679)</f>
        <v/>
      </c>
      <c r="F679" s="9" t="inlineStr">
        <is>
          <t>B Hormigón</t>
        </is>
      </c>
      <c r="G679" s="9" t="inlineStr">
        <is>
          <t>B HORMIGON 32MM 8M A630-420H (N)</t>
        </is>
      </c>
      <c r="H679" s="9" t="inlineStr">
        <is>
          <t>B HORMIGON 32MM 8M A630-420H (N)</t>
        </is>
      </c>
      <c r="I679" s="9" t="inlineStr">
        <is>
          <t>RED 32 CR</t>
        </is>
      </c>
      <c r="J679" s="9" t="n">
        <v>110002903</v>
      </c>
      <c r="K679" s="9" t="n">
        <v>32</v>
      </c>
      <c r="L679" s="9" t="n"/>
      <c r="M679" s="9" t="n"/>
      <c r="N679" s="9" t="n"/>
      <c r="O679" s="9" t="n">
        <v>8</v>
      </c>
      <c r="P679" s="13" t="n">
        <v>84354</v>
      </c>
      <c r="Q679" s="13" t="n">
        <v>89548.8</v>
      </c>
      <c r="R679" s="14">
        <f>IFERROR(P679/Q679,"")</f>
        <v/>
      </c>
      <c r="S679" s="15" t="n">
        <v>0.96</v>
      </c>
      <c r="T679" s="9">
        <f>IF(R679&gt;1,"A corregir","Válida")</f>
        <v/>
      </c>
      <c r="U679" s="13">
        <f>Q679-P679</f>
        <v/>
      </c>
      <c r="V679" s="13">
        <f>IF(S679="",0,S679*Q679)</f>
        <v/>
      </c>
      <c r="W679" s="9" t="n">
        <v>2026</v>
      </c>
      <c r="X679" s="9" t="n">
        <v>31</v>
      </c>
      <c r="Y679" s="9" t="inlineStr">
        <is>
          <t>2026-S31</t>
        </is>
      </c>
    </row>
    <row r="680">
      <c r="A680" s="9" t="n">
        <v>43049166</v>
      </c>
      <c r="B680" s="11" t="n">
        <v>46234.99543981482</v>
      </c>
      <c r="C680" s="12" t="n">
        <v>46234</v>
      </c>
      <c r="D680" s="9">
        <f>YEAR(C680)</f>
        <v/>
      </c>
      <c r="E680" s="9">
        <f>MONTH(C680)</f>
        <v/>
      </c>
      <c r="F680" s="9" t="inlineStr">
        <is>
          <t>Ángulo</t>
        </is>
      </c>
      <c r="G680" s="9" t="inlineStr">
        <is>
          <t>ANGULO 40X40X5MM A270ES</t>
        </is>
      </c>
      <c r="H680" s="9" t="inlineStr">
        <is>
          <t>ANGULO SEMI 40X40X5MM A270ES</t>
        </is>
      </c>
      <c r="I680" s="9" t="inlineStr">
        <is>
          <t>ANG 40 x 5</t>
        </is>
      </c>
      <c r="J680" s="9" t="n">
        <v>106501035</v>
      </c>
      <c r="K680" s="9" t="n"/>
      <c r="L680" s="9" t="n">
        <v>40</v>
      </c>
      <c r="M680" s="9" t="n">
        <v>5</v>
      </c>
      <c r="N680" s="9" t="n"/>
      <c r="O680" s="9" t="n">
        <v>6</v>
      </c>
      <c r="P680" s="13" t="n">
        <v>3267</v>
      </c>
      <c r="Q680" s="13" t="n">
        <v>4488</v>
      </c>
      <c r="R680" s="14">
        <f>IFERROR(P680/Q680,"")</f>
        <v/>
      </c>
      <c r="S680" s="15" t="n">
        <v>0.9540000000000001</v>
      </c>
      <c r="T680" s="9">
        <f>IF(R680&gt;1,"A corregir","Válida")</f>
        <v/>
      </c>
      <c r="U680" s="13">
        <f>Q680-P680</f>
        <v/>
      </c>
      <c r="V680" s="13">
        <f>IF(S680="",0,S680*Q680)</f>
        <v/>
      </c>
      <c r="W680" s="9" t="n">
        <v>2026</v>
      </c>
      <c r="X680" s="9" t="n">
        <v>31</v>
      </c>
      <c r="Y680" s="9" t="inlineStr">
        <is>
          <t>2026-S31</t>
        </is>
      </c>
    </row>
    <row r="681">
      <c r="A681" s="9" t="n">
        <v>43049329</v>
      </c>
      <c r="B681" s="11" t="n">
        <v>46235.01922453703</v>
      </c>
      <c r="C681" s="12" t="n">
        <v>46235</v>
      </c>
      <c r="D681" s="9">
        <f>YEAR(C681)</f>
        <v/>
      </c>
      <c r="E681" s="9">
        <f>MONTH(C681)</f>
        <v/>
      </c>
      <c r="F681" s="9" t="inlineStr">
        <is>
          <t>Ángulo</t>
        </is>
      </c>
      <c r="G681" s="9" t="inlineStr">
        <is>
          <t>ANGULO 40X40X5MM A270ES</t>
        </is>
      </c>
      <c r="H681" s="9" t="inlineStr">
        <is>
          <t>ANGULO SEMI 40X40X5MM A270ES</t>
        </is>
      </c>
      <c r="I681" s="9" t="inlineStr">
        <is>
          <t>ANG 40 x 5</t>
        </is>
      </c>
      <c r="J681" s="9" t="n">
        <v>106501035</v>
      </c>
      <c r="K681" s="9" t="n"/>
      <c r="L681" s="9" t="n">
        <v>40</v>
      </c>
      <c r="M681" s="9" t="n">
        <v>5</v>
      </c>
      <c r="N681" s="9" t="n"/>
      <c r="O681" s="9" t="n">
        <v>6</v>
      </c>
      <c r="P681" s="13" t="n">
        <v>88258</v>
      </c>
      <c r="Q681" s="13" t="n">
        <v>92901.60000000001</v>
      </c>
      <c r="R681" s="14">
        <f>IFERROR(P681/Q681,"")</f>
        <v/>
      </c>
      <c r="S681" s="15" t="n">
        <v>0.9540000000000001</v>
      </c>
      <c r="T681" s="9">
        <f>IF(R681&gt;1,"A corregir","Válida")</f>
        <v/>
      </c>
      <c r="U681" s="13">
        <f>Q681-P681</f>
        <v/>
      </c>
      <c r="V681" s="13">
        <f>IF(S681="",0,S681*Q681)</f>
        <v/>
      </c>
      <c r="W681" s="9" t="n">
        <v>2026</v>
      </c>
      <c r="X681" s="9" t="n">
        <v>31</v>
      </c>
      <c r="Y681" s="9" t="inlineStr">
        <is>
          <t>2026-S31</t>
        </is>
      </c>
    </row>
    <row r="682">
      <c r="A682" s="9" t="n">
        <v>43049491</v>
      </c>
      <c r="B682" s="11" t="n">
        <v>46235.24957175926</v>
      </c>
      <c r="C682" s="12" t="n">
        <v>46235</v>
      </c>
      <c r="D682" s="9">
        <f>YEAR(C682)</f>
        <v/>
      </c>
      <c r="E682" s="9">
        <f>MONTH(C682)</f>
        <v/>
      </c>
      <c r="F682" s="9" t="inlineStr">
        <is>
          <t>Ángulo</t>
        </is>
      </c>
      <c r="G682" s="9" t="inlineStr">
        <is>
          <t>ANGULO 40X40X3MM A270ES</t>
        </is>
      </c>
      <c r="H682" s="9" t="inlineStr">
        <is>
          <t>ANGULO SEMI 40X40X3MM A270ES</t>
        </is>
      </c>
      <c r="I682" s="9" t="inlineStr">
        <is>
          <t>ANG 40 x 3</t>
        </is>
      </c>
      <c r="J682" s="9" t="n">
        <v>106501033</v>
      </c>
      <c r="K682" s="9" t="n"/>
      <c r="L682" s="9" t="n">
        <v>40</v>
      </c>
      <c r="M682" s="9" t="n">
        <v>3</v>
      </c>
      <c r="N682" s="9" t="n"/>
      <c r="O682" s="9" t="n">
        <v>6</v>
      </c>
      <c r="P682" s="13" t="n">
        <v>567452</v>
      </c>
      <c r="Q682" s="13" t="n">
        <v>592864.8</v>
      </c>
      <c r="R682" s="14">
        <f>IFERROR(P682/Q682,"")</f>
        <v/>
      </c>
      <c r="S682" s="15" t="n">
        <v>0.9570000000000001</v>
      </c>
      <c r="T682" s="9">
        <f>IF(R682&gt;1,"A corregir","Válida")</f>
        <v/>
      </c>
      <c r="U682" s="13">
        <f>Q682-P682</f>
        <v/>
      </c>
      <c r="V682" s="13">
        <f>IF(S682="",0,S682*Q682)</f>
        <v/>
      </c>
      <c r="W682" s="9" t="n">
        <v>2026</v>
      </c>
      <c r="X682" s="9" t="n">
        <v>31</v>
      </c>
      <c r="Y682" s="9" t="inlineStr">
        <is>
          <t>2026-S31</t>
        </is>
      </c>
    </row>
    <row r="683">
      <c r="A683" s="9" t="n">
        <v>43049331</v>
      </c>
      <c r="B683" s="11" t="n">
        <v>46237.97965277778</v>
      </c>
      <c r="C683" s="12" t="n">
        <v>46237</v>
      </c>
      <c r="D683" s="9">
        <f>YEAR(C683)</f>
        <v/>
      </c>
      <c r="E683" s="9">
        <f>MONTH(C683)</f>
        <v/>
      </c>
      <c r="F683" s="9" t="inlineStr">
        <is>
          <t>B Hormigón</t>
        </is>
      </c>
      <c r="G683" s="9" t="inlineStr">
        <is>
          <t>B HORMIGON 22MM 12M A630-420HS (N)</t>
        </is>
      </c>
      <c r="H683" s="9" t="inlineStr">
        <is>
          <t>B HORMIGON 22MM 12M A630-420HS (N)</t>
        </is>
      </c>
      <c r="I683" s="9" t="inlineStr">
        <is>
          <t>RED 22 CR</t>
        </is>
      </c>
      <c r="J683" s="9" t="n">
        <v>110007121</v>
      </c>
      <c r="K683" s="9" t="n">
        <v>22</v>
      </c>
      <c r="L683" s="9" t="n"/>
      <c r="M683" s="9" t="n"/>
      <c r="N683" s="9" t="n"/>
      <c r="O683" s="9" t="n">
        <v>12</v>
      </c>
      <c r="P683" s="13" t="n">
        <v>95008</v>
      </c>
      <c r="Q683" s="13" t="n">
        <v>99435.60000000001</v>
      </c>
      <c r="R683" s="14">
        <f>IFERROR(P683/Q683,"")</f>
        <v/>
      </c>
      <c r="S683" s="15" t="n">
        <v>0.97</v>
      </c>
      <c r="T683" s="9">
        <f>IF(R683&gt;1,"A corregir","Válida")</f>
        <v/>
      </c>
      <c r="U683" s="13">
        <f>Q683-P683</f>
        <v/>
      </c>
      <c r="V683" s="13">
        <f>IF(S683="",0,S683*Q683)</f>
        <v/>
      </c>
      <c r="W683" s="9" t="n">
        <v>2026</v>
      </c>
      <c r="X683" s="9" t="n">
        <v>32</v>
      </c>
      <c r="Y683" s="9" t="inlineStr">
        <is>
          <t>2026-S32</t>
        </is>
      </c>
    </row>
    <row r="684">
      <c r="A684" s="9" t="n">
        <v>43049332</v>
      </c>
      <c r="B684" s="11" t="n">
        <v>46238.13921296296</v>
      </c>
      <c r="C684" s="12" t="n">
        <v>46238</v>
      </c>
      <c r="D684" s="9">
        <f>YEAR(C684)</f>
        <v/>
      </c>
      <c r="E684" s="9">
        <f>MONTH(C684)</f>
        <v/>
      </c>
      <c r="F684" s="9" t="inlineStr">
        <is>
          <t>B Hormigón</t>
        </is>
      </c>
      <c r="G684" s="9" t="inlineStr">
        <is>
          <t>B HORMIGON 22MM 11M A630-420HS (N)</t>
        </is>
      </c>
      <c r="H684" s="9" t="inlineStr">
        <is>
          <t>B HORMIGON 22MM 11M A630-420HS (N)</t>
        </is>
      </c>
      <c r="I684" s="9" t="inlineStr">
        <is>
          <t>RED 22 CR</t>
        </is>
      </c>
      <c r="J684" s="9" t="n">
        <v>110007127</v>
      </c>
      <c r="K684" s="9" t="n">
        <v>22</v>
      </c>
      <c r="L684" s="9" t="n"/>
      <c r="M684" s="9" t="n"/>
      <c r="N684" s="9" t="n"/>
      <c r="O684" s="9" t="n">
        <v>11</v>
      </c>
      <c r="P684" s="13" t="n">
        <v>25128</v>
      </c>
      <c r="Q684" s="13" t="n">
        <v>26188.8</v>
      </c>
      <c r="R684" s="14">
        <f>IFERROR(P684/Q684,"")</f>
        <v/>
      </c>
      <c r="S684" s="15" t="n">
        <v>0.97</v>
      </c>
      <c r="T684" s="9">
        <f>IF(R684&gt;1,"A corregir","Válida")</f>
        <v/>
      </c>
      <c r="U684" s="13">
        <f>Q684-P684</f>
        <v/>
      </c>
      <c r="V684" s="13">
        <f>IF(S684="",0,S684*Q684)</f>
        <v/>
      </c>
      <c r="W684" s="9" t="n">
        <v>2026</v>
      </c>
      <c r="X684" s="9" t="n">
        <v>32</v>
      </c>
      <c r="Y684" s="9" t="inlineStr">
        <is>
          <t>2026-S32</t>
        </is>
      </c>
    </row>
    <row r="685">
      <c r="A685" s="9" t="n">
        <v>43049333</v>
      </c>
      <c r="B685" s="11" t="n">
        <v>46238.18405092593</v>
      </c>
      <c r="C685" s="12" t="n">
        <v>46238</v>
      </c>
      <c r="D685" s="9">
        <f>YEAR(C685)</f>
        <v/>
      </c>
      <c r="E685" s="9">
        <f>MONTH(C685)</f>
        <v/>
      </c>
      <c r="F685" s="9" t="inlineStr">
        <is>
          <t>B Hormigón</t>
        </is>
      </c>
      <c r="G685" s="9" t="inlineStr">
        <is>
          <t>B HORMIGON 22MM 10M A630-420HS (N)</t>
        </is>
      </c>
      <c r="H685" s="9" t="inlineStr">
        <is>
          <t>B HORMIGON 22MM 10M A630-420HS (N)</t>
        </is>
      </c>
      <c r="I685" s="9" t="inlineStr">
        <is>
          <t>RED 22 CR</t>
        </is>
      </c>
      <c r="J685" s="9" t="n">
        <v>110007124</v>
      </c>
      <c r="K685" s="9" t="n">
        <v>22</v>
      </c>
      <c r="L685" s="9" t="n"/>
      <c r="M685" s="9" t="n"/>
      <c r="N685" s="9" t="n"/>
      <c r="O685" s="9" t="n">
        <v>10</v>
      </c>
      <c r="P685" s="13" t="n">
        <v>38050</v>
      </c>
      <c r="Q685" s="13" t="n">
        <v>40075.2</v>
      </c>
      <c r="R685" s="14">
        <f>IFERROR(P685/Q685,"")</f>
        <v/>
      </c>
      <c r="S685" s="15" t="n">
        <v>0.97</v>
      </c>
      <c r="T685" s="9">
        <f>IF(R685&gt;1,"A corregir","Válida")</f>
        <v/>
      </c>
      <c r="U685" s="13">
        <f>Q685-P685</f>
        <v/>
      </c>
      <c r="V685" s="13">
        <f>IF(S685="",0,S685*Q685)</f>
        <v/>
      </c>
      <c r="W685" s="9" t="n">
        <v>2026</v>
      </c>
      <c r="X685" s="9" t="n">
        <v>32</v>
      </c>
      <c r="Y685" s="9" t="inlineStr">
        <is>
          <t>2026-S32</t>
        </is>
      </c>
    </row>
    <row r="686">
      <c r="A686" s="9" t="n">
        <v>43049336</v>
      </c>
      <c r="B686" s="11" t="n">
        <v>46238.47</v>
      </c>
      <c r="C686" s="12" t="n">
        <v>46238</v>
      </c>
      <c r="D686" s="9">
        <f>YEAR(C686)</f>
        <v/>
      </c>
      <c r="E686" s="9">
        <f>MONTH(C686)</f>
        <v/>
      </c>
      <c r="F686" s="9" t="inlineStr">
        <is>
          <t>Plana</t>
        </is>
      </c>
      <c r="G686" s="9" t="inlineStr">
        <is>
          <t>PLANA RESALTE 50X4 MM 11M A345 ES (N)</t>
        </is>
      </c>
      <c r="H686" s="9" t="inlineStr">
        <is>
          <t>PLANA RESALTE 50X4 MM 11M A345 ES (N)</t>
        </is>
      </c>
      <c r="I686" s="9" t="inlineStr">
        <is>
          <t>PL CR 50 x 4</t>
        </is>
      </c>
      <c r="J686" s="9" t="n">
        <v>119507263</v>
      </c>
      <c r="K686" s="9" t="n"/>
      <c r="L686" s="9" t="n">
        <v>50</v>
      </c>
      <c r="M686" s="9" t="n">
        <v>4</v>
      </c>
      <c r="N686" s="9" t="n"/>
      <c r="O686" s="9" t="n">
        <v>11</v>
      </c>
      <c r="P686" s="13" t="n">
        <v>55543</v>
      </c>
      <c r="Q686" s="13" t="n">
        <v>59241.6</v>
      </c>
      <c r="R686" s="14">
        <f>IFERROR(P686/Q686,"")</f>
        <v/>
      </c>
      <c r="S686" s="15" t="n">
        <v>0.97</v>
      </c>
      <c r="T686" s="9">
        <f>IF(R686&gt;1,"A corregir","Válida")</f>
        <v/>
      </c>
      <c r="U686" s="13">
        <f>Q686-P686</f>
        <v/>
      </c>
      <c r="V686" s="13">
        <f>IF(S686="",0,S686*Q686)</f>
        <v/>
      </c>
      <c r="W686" s="9" t="n">
        <v>2026</v>
      </c>
      <c r="X686" s="9" t="n">
        <v>32</v>
      </c>
      <c r="Y686" s="9" t="inlineStr">
        <is>
          <t>2026-S32</t>
        </is>
      </c>
    </row>
    <row r="687">
      <c r="A687" s="9" t="n">
        <v>43049337</v>
      </c>
      <c r="B687" s="11" t="n">
        <v>46238.71569444444</v>
      </c>
      <c r="C687" s="12" t="n">
        <v>46238</v>
      </c>
      <c r="D687" s="9">
        <f>YEAR(C687)</f>
        <v/>
      </c>
      <c r="E687" s="9">
        <f>MONTH(C687)</f>
        <v/>
      </c>
      <c r="F687" s="9" t="inlineStr">
        <is>
          <t>Plana</t>
        </is>
      </c>
      <c r="G687" s="9" t="inlineStr">
        <is>
          <t>PLANA 50X3 MM 6M A270ES (N)</t>
        </is>
      </c>
      <c r="H687" s="9" t="inlineStr">
        <is>
          <t>PLANA 50X3 MM 6M A270ES (N)</t>
        </is>
      </c>
      <c r="I687" s="9" t="inlineStr">
        <is>
          <t>PL 50 x 3</t>
        </is>
      </c>
      <c r="J687" s="9" t="n">
        <v>109013903</v>
      </c>
      <c r="K687" s="9" t="n"/>
      <c r="L687" s="9" t="n">
        <v>50</v>
      </c>
      <c r="M687" s="9" t="n">
        <v>3</v>
      </c>
      <c r="N687" s="9" t="n"/>
      <c r="O687" s="9" t="n">
        <v>6</v>
      </c>
      <c r="P687" s="13" t="n">
        <v>6256</v>
      </c>
      <c r="Q687" s="13" t="n">
        <v>6732</v>
      </c>
      <c r="R687" s="14">
        <f>IFERROR(P687/Q687,"")</f>
        <v/>
      </c>
      <c r="S687" s="15" t="n">
        <v>0.963</v>
      </c>
      <c r="T687" s="9">
        <f>IF(R687&gt;1,"A corregir","Válida")</f>
        <v/>
      </c>
      <c r="U687" s="13">
        <f>Q687-P687</f>
        <v/>
      </c>
      <c r="V687" s="13">
        <f>IF(S687="",0,S687*Q687)</f>
        <v/>
      </c>
      <c r="W687" s="9" t="n">
        <v>2026</v>
      </c>
      <c r="X687" s="9" t="n">
        <v>32</v>
      </c>
      <c r="Y687" s="9" t="inlineStr">
        <is>
          <t>2026-S32</t>
        </is>
      </c>
    </row>
    <row r="688">
      <c r="A688" s="9" t="n">
        <v>43049387</v>
      </c>
      <c r="B688" s="11" t="n">
        <v>46238.9562962963</v>
      </c>
      <c r="C688" s="12" t="n">
        <v>46238</v>
      </c>
      <c r="D688" s="9">
        <f>YEAR(C688)</f>
        <v/>
      </c>
      <c r="E688" s="9">
        <f>MONTH(C688)</f>
        <v/>
      </c>
      <c r="F688" s="9" t="inlineStr">
        <is>
          <t>Plana</t>
        </is>
      </c>
      <c r="G688" s="9" t="inlineStr">
        <is>
          <t>PLANA 50X12MM 6M A270ES</t>
        </is>
      </c>
      <c r="H688" s="9" t="inlineStr">
        <is>
          <t>PLANA 50X12MM 6M A270ES</t>
        </is>
      </c>
      <c r="I688" s="9" t="inlineStr">
        <is>
          <t>Pl 50 x 12</t>
        </is>
      </c>
      <c r="J688" s="9" t="n">
        <v>109014933</v>
      </c>
      <c r="K688" s="9" t="n"/>
      <c r="L688" s="9" t="n">
        <v>50</v>
      </c>
      <c r="M688" s="9" t="n">
        <v>12</v>
      </c>
      <c r="N688" s="9" t="n"/>
      <c r="O688" s="9" t="n">
        <v>6</v>
      </c>
      <c r="P688" s="13" t="n">
        <v>35439</v>
      </c>
      <c r="Q688" s="13" t="n">
        <v>37250.4</v>
      </c>
      <c r="R688" s="14">
        <f>IFERROR(P688/Q688,"")</f>
        <v/>
      </c>
      <c r="S688" s="15" t="n">
        <v>0.951</v>
      </c>
      <c r="T688" s="9">
        <f>IF(R688&gt;1,"A corregir","Válida")</f>
        <v/>
      </c>
      <c r="U688" s="13">
        <f>Q688-P688</f>
        <v/>
      </c>
      <c r="V688" s="13">
        <f>IF(S688="",0,S688*Q688)</f>
        <v/>
      </c>
      <c r="W688" s="9" t="n">
        <v>2026</v>
      </c>
      <c r="X688" s="9" t="n">
        <v>32</v>
      </c>
      <c r="Y688" s="9" t="inlineStr">
        <is>
          <t>2026-S32</t>
        </is>
      </c>
    </row>
    <row r="689">
      <c r="A689" s="9" t="n">
        <v>43049388</v>
      </c>
      <c r="B689" s="11" t="n">
        <v>46239.04069444445</v>
      </c>
      <c r="C689" s="12" t="n">
        <v>46239</v>
      </c>
      <c r="D689" s="9">
        <f>YEAR(C689)</f>
        <v/>
      </c>
      <c r="E689" s="9">
        <f>MONTH(C689)</f>
        <v/>
      </c>
      <c r="F689" s="9" t="inlineStr">
        <is>
          <t>Plana</t>
        </is>
      </c>
      <c r="G689" s="9" t="inlineStr">
        <is>
          <t>PLANA 50X10MM 6M A270ES (N)</t>
        </is>
      </c>
      <c r="H689" s="9" t="inlineStr">
        <is>
          <t>PLANA 50X10MM 6M A270ES (N)</t>
        </is>
      </c>
      <c r="I689" s="9" t="inlineStr">
        <is>
          <t>PL 50 x 10</t>
        </is>
      </c>
      <c r="J689" s="9" t="n">
        <v>109013905</v>
      </c>
      <c r="K689" s="9" t="n"/>
      <c r="L689" s="9" t="n">
        <v>50</v>
      </c>
      <c r="M689" s="9" t="n">
        <v>10</v>
      </c>
      <c r="N689" s="9" t="n"/>
      <c r="O689" s="9" t="n">
        <v>6</v>
      </c>
      <c r="P689" s="13" t="n">
        <v>140085</v>
      </c>
      <c r="Q689" s="13" t="n">
        <v>145411.2</v>
      </c>
      <c r="R689" s="14">
        <f>IFERROR(P689/Q689,"")</f>
        <v/>
      </c>
      <c r="S689" s="15" t="n">
        <v>0.9540000000000001</v>
      </c>
      <c r="T689" s="9">
        <f>IF(R689&gt;1,"A corregir","Válida")</f>
        <v/>
      </c>
      <c r="U689" s="13">
        <f>Q689-P689</f>
        <v/>
      </c>
      <c r="V689" s="13">
        <f>IF(S689="",0,S689*Q689)</f>
        <v/>
      </c>
      <c r="W689" s="9" t="n">
        <v>2026</v>
      </c>
      <c r="X689" s="9" t="n">
        <v>32</v>
      </c>
      <c r="Y689" s="9" t="inlineStr">
        <is>
          <t>2026-S32</t>
        </is>
      </c>
    </row>
    <row r="690">
      <c r="A690" s="9" t="n">
        <v>43049534</v>
      </c>
      <c r="B690" s="11" t="n">
        <v>46239.38502314815</v>
      </c>
      <c r="C690" s="12" t="n">
        <v>46239</v>
      </c>
      <c r="D690" s="9">
        <f>YEAR(C690)</f>
        <v/>
      </c>
      <c r="E690" s="9">
        <f>MONTH(C690)</f>
        <v/>
      </c>
      <c r="F690" s="9" t="inlineStr">
        <is>
          <t>Plana</t>
        </is>
      </c>
      <c r="G690" s="9" t="inlineStr">
        <is>
          <t>PLANA 63X12MM 6M A270ES</t>
        </is>
      </c>
      <c r="H690" s="9" t="inlineStr">
        <is>
          <t>PLANA 63X12MM 6M A270ES</t>
        </is>
      </c>
      <c r="I690" s="9" t="inlineStr">
        <is>
          <t>PL 63 x 12</t>
        </is>
      </c>
      <c r="J690" s="9" t="n">
        <v>109014932</v>
      </c>
      <c r="K690" s="9" t="n"/>
      <c r="L690" s="9" t="n">
        <v>63</v>
      </c>
      <c r="M690" s="9" t="n">
        <v>12</v>
      </c>
      <c r="N690" s="9" t="n"/>
      <c r="O690" s="9" t="n">
        <v>6</v>
      </c>
      <c r="P690" s="13" t="n">
        <v>34358</v>
      </c>
      <c r="Q690" s="13" t="n">
        <v>36801.6</v>
      </c>
      <c r="R690" s="14">
        <f>IFERROR(P690/Q690,"")</f>
        <v/>
      </c>
      <c r="S690" s="15" t="n">
        <v>0.948</v>
      </c>
      <c r="T690" s="9">
        <f>IF(R690&gt;1,"A corregir","Válida")</f>
        <v/>
      </c>
      <c r="U690" s="13">
        <f>Q690-P690</f>
        <v/>
      </c>
      <c r="V690" s="13">
        <f>IF(S690="",0,S690*Q690)</f>
        <v/>
      </c>
      <c r="W690" s="9" t="n">
        <v>2026</v>
      </c>
      <c r="X690" s="9" t="n">
        <v>32</v>
      </c>
      <c r="Y690" s="9" t="inlineStr">
        <is>
          <t>2026-S32</t>
        </is>
      </c>
    </row>
    <row r="691">
      <c r="A691" s="9" t="n">
        <v>43049389</v>
      </c>
      <c r="B691" s="11" t="n">
        <v>46239.46273148148</v>
      </c>
      <c r="C691" s="12" t="n">
        <v>46239</v>
      </c>
      <c r="D691" s="9">
        <f>YEAR(C691)</f>
        <v/>
      </c>
      <c r="E691" s="9">
        <f>MONTH(C691)</f>
        <v/>
      </c>
      <c r="F691" s="9" t="inlineStr">
        <is>
          <t>Plana</t>
        </is>
      </c>
      <c r="G691" s="9" t="inlineStr">
        <is>
          <t>PLANA 63X10MM 6M A270 (N)</t>
        </is>
      </c>
      <c r="H691" s="9" t="inlineStr">
        <is>
          <t>PLANA 63X10MM 6M A270 (N)</t>
        </is>
      </c>
      <c r="I691" s="9" t="inlineStr">
        <is>
          <t>PL 63 x 10</t>
        </is>
      </c>
      <c r="J691" s="9" t="n">
        <v>109013910</v>
      </c>
      <c r="K691" s="9" t="n"/>
      <c r="L691" s="9" t="n">
        <v>63</v>
      </c>
      <c r="M691" s="9" t="n">
        <v>10</v>
      </c>
      <c r="N691" s="9" t="n"/>
      <c r="O691" s="9" t="n">
        <v>6</v>
      </c>
      <c r="P691" s="13" t="n">
        <v>31958</v>
      </c>
      <c r="Q691" s="13" t="n">
        <v>33660</v>
      </c>
      <c r="R691" s="14">
        <f>IFERROR(P691/Q691,"")</f>
        <v/>
      </c>
      <c r="S691" s="15" t="n">
        <v>0.9520000000000001</v>
      </c>
      <c r="T691" s="9">
        <f>IF(R691&gt;1,"A corregir","Válida")</f>
        <v/>
      </c>
      <c r="U691" s="13">
        <f>Q691-P691</f>
        <v/>
      </c>
      <c r="V691" s="13">
        <f>IF(S691="",0,S691*Q691)</f>
        <v/>
      </c>
      <c r="W691" s="9" t="n">
        <v>2026</v>
      </c>
      <c r="X691" s="9" t="n">
        <v>32</v>
      </c>
      <c r="Y691" s="9" t="inlineStr">
        <is>
          <t>2026-S32</t>
        </is>
      </c>
    </row>
    <row r="692">
      <c r="A692" s="9" t="n">
        <v>43049390</v>
      </c>
      <c r="B692" s="11" t="n">
        <v>46239.60774305555</v>
      </c>
      <c r="C692" s="12" t="n">
        <v>46239</v>
      </c>
      <c r="D692" s="9">
        <f>YEAR(C692)</f>
        <v/>
      </c>
      <c r="E692" s="9">
        <f>MONTH(C692)</f>
        <v/>
      </c>
      <c r="F692" s="9" t="inlineStr">
        <is>
          <t>Plana</t>
        </is>
      </c>
      <c r="G692" s="9" t="inlineStr">
        <is>
          <t>PLANA 63X6MM 6M A270ES (N)</t>
        </is>
      </c>
      <c r="H692" s="9" t="inlineStr">
        <is>
          <t>PLANA 63X6MM 6M A270ES (N)</t>
        </is>
      </c>
      <c r="I692" s="9" t="inlineStr">
        <is>
          <t>PL 63 x 6</t>
        </is>
      </c>
      <c r="J692" s="9" t="n">
        <v>109013906</v>
      </c>
      <c r="K692" s="9" t="n"/>
      <c r="L692" s="9" t="n">
        <v>63</v>
      </c>
      <c r="M692" s="9" t="n">
        <v>6</v>
      </c>
      <c r="N692" s="9" t="n"/>
      <c r="O692" s="9" t="n">
        <v>6</v>
      </c>
      <c r="P692" s="13" t="n">
        <v>16442</v>
      </c>
      <c r="Q692" s="13" t="n">
        <v>21991.2</v>
      </c>
      <c r="R692" s="14">
        <f>IFERROR(P692/Q692,"")</f>
        <v/>
      </c>
      <c r="S692" s="15" t="n">
        <v>0.9570000000000001</v>
      </c>
      <c r="T692" s="9">
        <f>IF(R692&gt;1,"A corregir","Válida")</f>
        <v/>
      </c>
      <c r="U692" s="13">
        <f>Q692-P692</f>
        <v/>
      </c>
      <c r="V692" s="13">
        <f>IF(S692="",0,S692*Q692)</f>
        <v/>
      </c>
      <c r="W692" s="9" t="n">
        <v>2026</v>
      </c>
      <c r="X692" s="9" t="n">
        <v>32</v>
      </c>
      <c r="Y692" s="9" t="inlineStr">
        <is>
          <t>2026-S32</t>
        </is>
      </c>
    </row>
    <row r="693">
      <c r="A693" s="9" t="n">
        <v>43049335</v>
      </c>
      <c r="B693" s="11" t="n">
        <v>46239.88563657407</v>
      </c>
      <c r="C693" s="12" t="n">
        <v>46239</v>
      </c>
      <c r="D693" s="9">
        <f>YEAR(C693)</f>
        <v/>
      </c>
      <c r="E693" s="9">
        <f>MONTH(C693)</f>
        <v/>
      </c>
      <c r="F693" s="9" t="inlineStr">
        <is>
          <t>B Hormigón</t>
        </is>
      </c>
      <c r="G693" s="9" t="inlineStr">
        <is>
          <t>B HORMIGON 22MM 6M A630-420H (N)</t>
        </is>
      </c>
      <c r="H693" s="9" t="inlineStr">
        <is>
          <t>B HORMIGON 22MM 6M A630-420H (N)</t>
        </is>
      </c>
      <c r="I693" s="9" t="inlineStr">
        <is>
          <t>RED 22 CR</t>
        </is>
      </c>
      <c r="J693" s="9" t="n">
        <v>110002953</v>
      </c>
      <c r="K693" s="9" t="n">
        <v>22</v>
      </c>
      <c r="L693" s="9" t="n"/>
      <c r="M693" s="9" t="n"/>
      <c r="N693" s="9" t="n"/>
      <c r="O693" s="9" t="n">
        <v>6</v>
      </c>
      <c r="P693" s="13" t="n">
        <v>59206</v>
      </c>
      <c r="Q693" s="13" t="n">
        <v>47876.4</v>
      </c>
      <c r="R693" s="14">
        <f>IFERROR(P693/Q693,"")</f>
        <v/>
      </c>
      <c r="S693" s="15" t="n">
        <v>0.9740000000000001</v>
      </c>
      <c r="T693" s="9">
        <f>IF(R693&gt;1,"A corregir","Válida")</f>
        <v/>
      </c>
      <c r="U693" s="13">
        <f>Q693-P693</f>
        <v/>
      </c>
      <c r="V693" s="13">
        <f>IF(S693="",0,S693*Q693)</f>
        <v/>
      </c>
      <c r="W693" s="9" t="n">
        <v>2026</v>
      </c>
      <c r="X693" s="9" t="n">
        <v>32</v>
      </c>
      <c r="Y693" s="9" t="inlineStr">
        <is>
          <t>2026-S32</t>
        </is>
      </c>
    </row>
    <row r="694">
      <c r="A694" s="9" t="n">
        <v>43049391</v>
      </c>
      <c r="B694" s="11" t="n">
        <v>46239.95599537037</v>
      </c>
      <c r="C694" s="12" t="n">
        <v>46239</v>
      </c>
      <c r="D694" s="9">
        <f>YEAR(C694)</f>
        <v/>
      </c>
      <c r="E694" s="9">
        <f>MONTH(C694)</f>
        <v/>
      </c>
      <c r="F694" s="9" t="inlineStr">
        <is>
          <t>Plana</t>
        </is>
      </c>
      <c r="G694" s="9" t="inlineStr">
        <is>
          <t>PLANA 50X6MM 6M A270ES (N)</t>
        </is>
      </c>
      <c r="H694" s="9" t="inlineStr">
        <is>
          <t>PLANA 50X6MM 6M A270ES (N)</t>
        </is>
      </c>
      <c r="I694" s="9" t="inlineStr">
        <is>
          <t>PL 50 x 6</t>
        </is>
      </c>
      <c r="J694" s="9" t="n">
        <v>109013901</v>
      </c>
      <c r="K694" s="9" t="n"/>
      <c r="L694" s="9" t="n">
        <v>50</v>
      </c>
      <c r="M694" s="9" t="n">
        <v>6</v>
      </c>
      <c r="N694" s="9" t="n"/>
      <c r="O694" s="9" t="n">
        <v>6</v>
      </c>
      <c r="P694" s="13" t="n">
        <v>38756</v>
      </c>
      <c r="Q694" s="13" t="n">
        <v>42187.2</v>
      </c>
      <c r="R694" s="14">
        <f>IFERROR(P694/Q694,"")</f>
        <v/>
      </c>
      <c r="S694" s="15" t="n">
        <v>0.96</v>
      </c>
      <c r="T694" s="9">
        <f>IF(R694&gt;1,"A corregir","Válida")</f>
        <v/>
      </c>
      <c r="U694" s="13">
        <f>Q694-P694</f>
        <v/>
      </c>
      <c r="V694" s="13">
        <f>IF(S694="",0,S694*Q694)</f>
        <v/>
      </c>
      <c r="W694" s="9" t="n">
        <v>2026</v>
      </c>
      <c r="X694" s="9" t="n">
        <v>32</v>
      </c>
      <c r="Y694" s="9" t="inlineStr">
        <is>
          <t>2026-S32</t>
        </is>
      </c>
    </row>
    <row r="695">
      <c r="A695" s="9" t="n">
        <v>43049392</v>
      </c>
      <c r="B695" s="11" t="n">
        <v>46240.10362268519</v>
      </c>
      <c r="C695" s="12" t="n">
        <v>46240</v>
      </c>
      <c r="D695" s="9">
        <f>YEAR(C695)</f>
        <v/>
      </c>
      <c r="E695" s="9">
        <f>MONTH(C695)</f>
        <v/>
      </c>
      <c r="F695" s="9" t="inlineStr">
        <is>
          <t>Plana</t>
        </is>
      </c>
      <c r="G695" s="9" t="inlineStr">
        <is>
          <t>PLANA 50X5MM 6M A270ES (N)</t>
        </is>
      </c>
      <c r="H695" s="9" t="inlineStr">
        <is>
          <t>PLANA 50X5MM 6M A270ES (N)</t>
        </is>
      </c>
      <c r="I695" s="9" t="inlineStr">
        <is>
          <t>PL 50 x 5</t>
        </is>
      </c>
      <c r="J695" s="9" t="n">
        <v>109013902</v>
      </c>
      <c r="K695" s="9" t="n"/>
      <c r="L695" s="9" t="n">
        <v>50</v>
      </c>
      <c r="M695" s="9" t="n">
        <v>5</v>
      </c>
      <c r="N695" s="9" t="n"/>
      <c r="O695" s="9" t="n">
        <v>6</v>
      </c>
      <c r="P695" s="13" t="n">
        <v>89300</v>
      </c>
      <c r="Q695" s="13" t="n">
        <v>96043.2</v>
      </c>
      <c r="R695" s="14">
        <f>IFERROR(P695/Q695,"")</f>
        <v/>
      </c>
      <c r="S695" s="15" t="n">
        <v>0.96</v>
      </c>
      <c r="T695" s="9">
        <f>IF(R695&gt;1,"A corregir","Válida")</f>
        <v/>
      </c>
      <c r="U695" s="13">
        <f>Q695-P695</f>
        <v/>
      </c>
      <c r="V695" s="13">
        <f>IF(S695="",0,S695*Q695)</f>
        <v/>
      </c>
      <c r="W695" s="9" t="n">
        <v>2026</v>
      </c>
      <c r="X695" s="9" t="n">
        <v>32</v>
      </c>
      <c r="Y695" s="9" t="inlineStr">
        <is>
          <t>2026-S32</t>
        </is>
      </c>
    </row>
    <row r="696">
      <c r="A696" s="9" t="n">
        <v>43049561</v>
      </c>
      <c r="B696" s="11" t="n">
        <v>46240.33774305556</v>
      </c>
      <c r="C696" s="12" t="n">
        <v>46240</v>
      </c>
      <c r="D696" s="9">
        <f>YEAR(C696)</f>
        <v/>
      </c>
      <c r="E696" s="9">
        <f>MONTH(C696)</f>
        <v/>
      </c>
      <c r="F696" s="9" t="inlineStr">
        <is>
          <t>Plana</t>
        </is>
      </c>
      <c r="G696" s="9" t="inlineStr">
        <is>
          <t>PLANA 50X5MM 6M A270ES (N)</t>
        </is>
      </c>
      <c r="H696" s="9" t="inlineStr">
        <is>
          <t>PLANA 50X5MM 6M A270ES (N)</t>
        </is>
      </c>
      <c r="I696" s="9" t="inlineStr">
        <is>
          <t>PL 50 x 5</t>
        </is>
      </c>
      <c r="J696" s="9" t="n">
        <v>109013902</v>
      </c>
      <c r="K696" s="9" t="n"/>
      <c r="L696" s="9" t="n">
        <v>50</v>
      </c>
      <c r="M696" s="9" t="n">
        <v>5</v>
      </c>
      <c r="N696" s="9" t="n"/>
      <c r="O696" s="9" t="n">
        <v>6</v>
      </c>
      <c r="P696" s="13" t="n">
        <v>34442</v>
      </c>
      <c r="Q696" s="13" t="n">
        <v>36326.4</v>
      </c>
      <c r="R696" s="14">
        <f>IFERROR(P696/Q696,"")</f>
        <v/>
      </c>
      <c r="S696" s="15" t="n">
        <v>0.96</v>
      </c>
      <c r="T696" s="9">
        <f>IF(R696&gt;1,"A corregir","Válida")</f>
        <v/>
      </c>
      <c r="U696" s="13">
        <f>Q696-P696</f>
        <v/>
      </c>
      <c r="V696" s="13">
        <f>IF(S696="",0,S696*Q696)</f>
        <v/>
      </c>
      <c r="W696" s="9" t="n">
        <v>2026</v>
      </c>
      <c r="X696" s="9" t="n">
        <v>32</v>
      </c>
      <c r="Y696" s="9" t="inlineStr">
        <is>
          <t>2026-S32</t>
        </is>
      </c>
    </row>
    <row r="697">
      <c r="A697" s="9" t="n">
        <v>43049398</v>
      </c>
      <c r="B697" s="11" t="n">
        <v>46240.52170138889</v>
      </c>
      <c r="C697" s="12" t="n">
        <v>46240</v>
      </c>
      <c r="D697" s="9">
        <f>YEAR(C697)</f>
        <v/>
      </c>
      <c r="E697" s="9">
        <f>MONTH(C697)</f>
        <v/>
      </c>
      <c r="F697" s="9" t="inlineStr">
        <is>
          <t>B Hormigón</t>
        </is>
      </c>
      <c r="G697" s="9" t="inlineStr">
        <is>
          <t>B HORMIGON 32MM 12M A630-420HS (N)</t>
        </is>
      </c>
      <c r="H697" s="9" t="inlineStr">
        <is>
          <t>B HORMIGON 32MM 12M A630-420HS (N)</t>
        </is>
      </c>
      <c r="I697" s="9" t="inlineStr">
        <is>
          <t>RED 32 CR</t>
        </is>
      </c>
      <c r="J697" s="9" t="n">
        <v>110005868</v>
      </c>
      <c r="K697" s="9" t="n">
        <v>32</v>
      </c>
      <c r="L697" s="9" t="n"/>
      <c r="M697" s="9" t="n"/>
      <c r="N697" s="9" t="n"/>
      <c r="O697" s="9" t="n">
        <v>12</v>
      </c>
      <c r="P697" s="13" t="n">
        <v>224803</v>
      </c>
      <c r="Q697" s="13" t="n">
        <v>232848</v>
      </c>
      <c r="R697" s="14">
        <f>IFERROR(P697/Q697,"")</f>
        <v/>
      </c>
      <c r="S697" s="15" t="n">
        <v>0.96</v>
      </c>
      <c r="T697" s="9">
        <f>IF(R697&gt;1,"A corregir","Válida")</f>
        <v/>
      </c>
      <c r="U697" s="13">
        <f>Q697-P697</f>
        <v/>
      </c>
      <c r="V697" s="13">
        <f>IF(S697="",0,S697*Q697)</f>
        <v/>
      </c>
      <c r="W697" s="9" t="n">
        <v>2026</v>
      </c>
      <c r="X697" s="9" t="n">
        <v>32</v>
      </c>
      <c r="Y697" s="9" t="inlineStr">
        <is>
          <t>2026-S32</t>
        </is>
      </c>
    </row>
    <row r="698">
      <c r="A698" s="9" t="n">
        <v>43049399</v>
      </c>
      <c r="B698" s="11" t="n">
        <v>46241.17322916666</v>
      </c>
      <c r="C698" s="12" t="n">
        <v>46241</v>
      </c>
      <c r="D698" s="9">
        <f>YEAR(C698)</f>
        <v/>
      </c>
      <c r="E698" s="9">
        <f>MONTH(C698)</f>
        <v/>
      </c>
      <c r="F698" s="9" t="inlineStr">
        <is>
          <t>B Hormigón</t>
        </is>
      </c>
      <c r="G698" s="9" t="inlineStr">
        <is>
          <t>B HORMIGON 32MM 11M A630-420HS (N)</t>
        </is>
      </c>
      <c r="H698" s="9" t="inlineStr">
        <is>
          <t>B HORMIGON 32MM 11M A630-420HS (N)</t>
        </is>
      </c>
      <c r="I698" s="9" t="inlineStr">
        <is>
          <t>RED 32 CR</t>
        </is>
      </c>
      <c r="J698" s="9" t="n">
        <v>110007132</v>
      </c>
      <c r="K698" s="9" t="n">
        <v>32</v>
      </c>
      <c r="L698" s="9" t="n"/>
      <c r="M698" s="9" t="n"/>
      <c r="N698" s="9" t="n"/>
      <c r="O698" s="9" t="n">
        <v>11</v>
      </c>
      <c r="P698" s="13" t="n">
        <v>70225</v>
      </c>
      <c r="Q698" s="13" t="n">
        <v>74923.2</v>
      </c>
      <c r="R698" s="14">
        <f>IFERROR(P698/Q698,"")</f>
        <v/>
      </c>
      <c r="S698" s="15" t="n">
        <v>0.96</v>
      </c>
      <c r="T698" s="9">
        <f>IF(R698&gt;1,"A corregir","Válida")</f>
        <v/>
      </c>
      <c r="U698" s="13">
        <f>Q698-P698</f>
        <v/>
      </c>
      <c r="V698" s="13">
        <f>IF(S698="",0,S698*Q698)</f>
        <v/>
      </c>
      <c r="W698" s="9" t="n">
        <v>2026</v>
      </c>
      <c r="X698" s="9" t="n">
        <v>32</v>
      </c>
      <c r="Y698" s="9" t="inlineStr">
        <is>
          <t>2026-S32</t>
        </is>
      </c>
    </row>
    <row r="699">
      <c r="A699" s="9" t="n">
        <v>43049393</v>
      </c>
      <c r="B699" s="11" t="n">
        <v>46241.37011574074</v>
      </c>
      <c r="C699" s="12" t="n">
        <v>46241</v>
      </c>
      <c r="D699" s="9">
        <f>YEAR(C699)</f>
        <v/>
      </c>
      <c r="E699" s="9">
        <f>MONTH(C699)</f>
        <v/>
      </c>
      <c r="F699" s="9" t="inlineStr">
        <is>
          <t>B Hormigón</t>
        </is>
      </c>
      <c r="G699" s="9" t="inlineStr">
        <is>
          <t>B HORMIGON 32MM 12M A630-420H (N)</t>
        </is>
      </c>
      <c r="H699" s="9" t="inlineStr">
        <is>
          <t>B HORMIGON 32MM 12M A630-420H (N)</t>
        </is>
      </c>
      <c r="I699" s="9" t="inlineStr">
        <is>
          <t>RED 32 CR</t>
        </is>
      </c>
      <c r="J699" s="9" t="n">
        <v>110002900</v>
      </c>
      <c r="K699" s="9" t="n">
        <v>32</v>
      </c>
      <c r="L699" s="9" t="n"/>
      <c r="M699" s="9" t="n"/>
      <c r="N699" s="9" t="n"/>
      <c r="O699" s="9" t="n">
        <v>12</v>
      </c>
      <c r="P699" s="13" t="n">
        <v>120174</v>
      </c>
      <c r="Q699" s="13" t="n">
        <v>126324</v>
      </c>
      <c r="R699" s="14">
        <f>IFERROR(P699/Q699,"")</f>
        <v/>
      </c>
      <c r="S699" s="15" t="n">
        <v>0.96</v>
      </c>
      <c r="T699" s="9">
        <f>IF(R699&gt;1,"A corregir","Válida")</f>
        <v/>
      </c>
      <c r="U699" s="13">
        <f>Q699-P699</f>
        <v/>
      </c>
      <c r="V699" s="13">
        <f>IF(S699="",0,S699*Q699)</f>
        <v/>
      </c>
      <c r="W699" s="9" t="n">
        <v>2026</v>
      </c>
      <c r="X699" s="9" t="n">
        <v>32</v>
      </c>
      <c r="Y699" s="9" t="inlineStr">
        <is>
          <t>2026-S32</t>
        </is>
      </c>
    </row>
    <row r="700">
      <c r="A700" s="9" t="n">
        <v>43049394</v>
      </c>
      <c r="B700" s="11" t="n">
        <v>46241.59055555556</v>
      </c>
      <c r="C700" s="12" t="n">
        <v>46241</v>
      </c>
      <c r="D700" s="9">
        <f>YEAR(C700)</f>
        <v/>
      </c>
      <c r="E700" s="9">
        <f>MONTH(C700)</f>
        <v/>
      </c>
      <c r="F700" s="9" t="inlineStr">
        <is>
          <t>B Hormigón</t>
        </is>
      </c>
      <c r="G700" s="9" t="inlineStr">
        <is>
          <t>B HORMIGON 32MM 9M A630-420H (N)</t>
        </is>
      </c>
      <c r="H700" s="9" t="inlineStr">
        <is>
          <t>B HORMIGON 32MM 9M A630-420H (N)</t>
        </is>
      </c>
      <c r="I700" s="9" t="inlineStr">
        <is>
          <t>RED 32 CR</t>
        </is>
      </c>
      <c r="J700" s="9" t="n">
        <v>110002904</v>
      </c>
      <c r="K700" s="9" t="n">
        <v>32</v>
      </c>
      <c r="L700" s="9" t="n"/>
      <c r="M700" s="9" t="n"/>
      <c r="N700" s="9" t="n"/>
      <c r="O700" s="9" t="n">
        <v>9</v>
      </c>
      <c r="P700" s="13" t="n">
        <v>36104</v>
      </c>
      <c r="Q700" s="13" t="n">
        <v>38438.4</v>
      </c>
      <c r="R700" s="14">
        <f>IFERROR(P700/Q700,"")</f>
        <v/>
      </c>
      <c r="S700" s="15" t="n">
        <v>0.96</v>
      </c>
      <c r="T700" s="9">
        <f>IF(R700&gt;1,"A corregir","Válida")</f>
        <v/>
      </c>
      <c r="U700" s="13">
        <f>Q700-P700</f>
        <v/>
      </c>
      <c r="V700" s="13">
        <f>IF(S700="",0,S700*Q700)</f>
        <v/>
      </c>
      <c r="W700" s="9" t="n">
        <v>2026</v>
      </c>
      <c r="X700" s="9" t="n">
        <v>32</v>
      </c>
      <c r="Y700" s="9" t="inlineStr">
        <is>
          <t>2026-S32</t>
        </is>
      </c>
    </row>
    <row r="701">
      <c r="A701" s="9" t="n">
        <v>43049395</v>
      </c>
      <c r="B701" s="11" t="n">
        <v>46241.66559027778</v>
      </c>
      <c r="C701" s="12" t="n">
        <v>46241</v>
      </c>
      <c r="D701" s="9">
        <f>YEAR(C701)</f>
        <v/>
      </c>
      <c r="E701" s="9">
        <f>MONTH(C701)</f>
        <v/>
      </c>
      <c r="F701" s="9" t="inlineStr">
        <is>
          <t>B Hormigón</t>
        </is>
      </c>
      <c r="G701" s="9" t="inlineStr">
        <is>
          <t>B HORMIGON 32MM 8M A630-420H (N)</t>
        </is>
      </c>
      <c r="H701" s="9" t="inlineStr">
        <is>
          <t>B HORMIGON 32MM 8M A630-420H (N)</t>
        </is>
      </c>
      <c r="I701" s="9" t="inlineStr">
        <is>
          <t>RED 32 CR</t>
        </is>
      </c>
      <c r="J701" s="9" t="n">
        <v>110002903</v>
      </c>
      <c r="K701" s="9" t="n">
        <v>32</v>
      </c>
      <c r="L701" s="9" t="n"/>
      <c r="M701" s="9" t="n"/>
      <c r="N701" s="9" t="n"/>
      <c r="O701" s="9" t="n">
        <v>8</v>
      </c>
      <c r="P701" s="13" t="n">
        <v>29431</v>
      </c>
      <c r="Q701" s="13" t="n">
        <v>31680</v>
      </c>
      <c r="R701" s="14">
        <f>IFERROR(P701/Q701,"")</f>
        <v/>
      </c>
      <c r="S701" s="15" t="n">
        <v>0.96</v>
      </c>
      <c r="T701" s="9">
        <f>IF(R701&gt;1,"A corregir","Válida")</f>
        <v/>
      </c>
      <c r="U701" s="13">
        <f>Q701-P701</f>
        <v/>
      </c>
      <c r="V701" s="13">
        <f>IF(S701="",0,S701*Q701)</f>
        <v/>
      </c>
      <c r="W701" s="9" t="n">
        <v>2026</v>
      </c>
      <c r="X701" s="9" t="n">
        <v>32</v>
      </c>
      <c r="Y701" s="9" t="inlineStr">
        <is>
          <t>2026-S32</t>
        </is>
      </c>
    </row>
    <row r="702">
      <c r="A702" s="9" t="n">
        <v>43049396</v>
      </c>
      <c r="B702" s="11" t="n">
        <v>46241.73023148148</v>
      </c>
      <c r="C702" s="12" t="n">
        <v>46241</v>
      </c>
      <c r="D702" s="9">
        <f>YEAR(C702)</f>
        <v/>
      </c>
      <c r="E702" s="9">
        <f>MONTH(C702)</f>
        <v/>
      </c>
      <c r="F702" s="9" t="inlineStr">
        <is>
          <t>B Hormigón</t>
        </is>
      </c>
      <c r="G702" s="9" t="inlineStr">
        <is>
          <t>B HORMIGON 32MM 7M A630-420H (N)</t>
        </is>
      </c>
      <c r="H702" s="9" t="inlineStr">
        <is>
          <t>B HORMIGON 32MM 7M A630-420H (N)</t>
        </is>
      </c>
      <c r="I702" s="9" t="inlineStr">
        <is>
          <t>RED 32 CR</t>
        </is>
      </c>
      <c r="J702" s="9" t="n">
        <v>110002902</v>
      </c>
      <c r="K702" s="9" t="n">
        <v>32</v>
      </c>
      <c r="L702" s="9" t="n"/>
      <c r="M702" s="9" t="n"/>
      <c r="N702" s="9" t="n"/>
      <c r="O702" s="9" t="n">
        <v>7</v>
      </c>
      <c r="P702" s="13" t="n">
        <v>17072</v>
      </c>
      <c r="Q702" s="13" t="n">
        <v>16896</v>
      </c>
      <c r="R702" s="14">
        <f>IFERROR(P702/Q702,"")</f>
        <v/>
      </c>
      <c r="S702" s="15" t="n">
        <v>0.96</v>
      </c>
      <c r="T702" s="9">
        <f>IF(R702&gt;1,"A corregir","Válida")</f>
        <v/>
      </c>
      <c r="U702" s="13">
        <f>Q702-P702</f>
        <v/>
      </c>
      <c r="V702" s="13">
        <f>IF(S702="",0,S702*Q702)</f>
        <v/>
      </c>
      <c r="W702" s="9" t="n">
        <v>2026</v>
      </c>
      <c r="X702" s="9" t="n">
        <v>32</v>
      </c>
      <c r="Y702" s="9" t="inlineStr">
        <is>
          <t>2026-S32</t>
        </is>
      </c>
    </row>
    <row r="703">
      <c r="A703" s="9" t="n">
        <v>43049604</v>
      </c>
      <c r="B703" s="11" t="n">
        <v>46241.87537037037</v>
      </c>
      <c r="C703" s="12" t="n">
        <v>46241</v>
      </c>
      <c r="D703" s="9">
        <f>YEAR(C703)</f>
        <v/>
      </c>
      <c r="E703" s="9">
        <f>MONTH(C703)</f>
        <v/>
      </c>
      <c r="F703" s="9" t="inlineStr">
        <is>
          <t>B Hormigón</t>
        </is>
      </c>
      <c r="G703" s="9" t="inlineStr">
        <is>
          <t>B HORMIGON 32MM 9M A630-420HS (N)</t>
        </is>
      </c>
      <c r="H703" s="9" t="inlineStr">
        <is>
          <t>B HORMIGON 32MM 9M A630-420HS (N)</t>
        </is>
      </c>
      <c r="I703" s="9" t="inlineStr">
        <is>
          <t>RED 32 CR</t>
        </is>
      </c>
      <c r="J703" s="9" t="n">
        <v>110007169</v>
      </c>
      <c r="K703" s="9" t="n">
        <v>32</v>
      </c>
      <c r="L703" s="9" t="n"/>
      <c r="M703" s="9" t="n"/>
      <c r="N703" s="9" t="n"/>
      <c r="O703" s="9" t="n">
        <v>9</v>
      </c>
      <c r="P703" s="13" t="n">
        <v>21721</v>
      </c>
      <c r="Q703" s="13" t="n">
        <v>422.4</v>
      </c>
      <c r="R703" s="14">
        <f>IFERROR(P703/Q703,"")</f>
        <v/>
      </c>
      <c r="S703" s="15" t="n">
        <v>0.97</v>
      </c>
      <c r="T703" s="9">
        <f>IF(R703&gt;1,"A corregir","Válida")</f>
        <v/>
      </c>
      <c r="U703" s="13">
        <f>Q703-P703</f>
        <v/>
      </c>
      <c r="V703" s="13">
        <f>IF(S703="",0,S703*Q703)</f>
        <v/>
      </c>
      <c r="W703" s="9" t="n">
        <v>2026</v>
      </c>
      <c r="X703" s="9" t="n">
        <v>32</v>
      </c>
      <c r="Y703" s="9" t="inlineStr">
        <is>
          <t>2026-S32</t>
        </is>
      </c>
    </row>
    <row r="704">
      <c r="A704" s="9" t="n">
        <v>43049400</v>
      </c>
      <c r="B704" s="11" t="n">
        <v>46241.98546296296</v>
      </c>
      <c r="C704" s="12" t="n">
        <v>46241</v>
      </c>
      <c r="D704" s="9">
        <f>YEAR(C704)</f>
        <v/>
      </c>
      <c r="E704" s="9">
        <f>MONTH(C704)</f>
        <v/>
      </c>
      <c r="F704" s="9" t="inlineStr">
        <is>
          <t>B Hormigón</t>
        </is>
      </c>
      <c r="G704" s="9" t="inlineStr">
        <is>
          <t>B HORMIGON 28MM 12M A630-420H (N)</t>
        </is>
      </c>
      <c r="H704" s="9" t="inlineStr">
        <is>
          <t>B HORMIGON 28MM 12M A630-420H (N)</t>
        </is>
      </c>
      <c r="I704" s="9" t="inlineStr">
        <is>
          <t>RED 28 CR</t>
        </is>
      </c>
      <c r="J704" s="9" t="n">
        <v>110002894</v>
      </c>
      <c r="K704" s="9" t="n">
        <v>28</v>
      </c>
      <c r="L704" s="9" t="n"/>
      <c r="M704" s="9" t="n"/>
      <c r="N704" s="9" t="n"/>
      <c r="O704" s="9" t="n">
        <v>12</v>
      </c>
      <c r="P704" s="13" t="n">
        <v>239372</v>
      </c>
      <c r="Q704" s="13" t="n">
        <v>246681.6</v>
      </c>
      <c r="R704" s="14">
        <f>IFERROR(P704/Q704,"")</f>
        <v/>
      </c>
      <c r="S704" s="15" t="n">
        <v>0.96</v>
      </c>
      <c r="T704" s="9">
        <f>IF(R704&gt;1,"A corregir","Válida")</f>
        <v/>
      </c>
      <c r="U704" s="13">
        <f>Q704-P704</f>
        <v/>
      </c>
      <c r="V704" s="13">
        <f>IF(S704="",0,S704*Q704)</f>
        <v/>
      </c>
      <c r="W704" s="9" t="n">
        <v>2026</v>
      </c>
      <c r="X704" s="9" t="n">
        <v>32</v>
      </c>
      <c r="Y704" s="9" t="inlineStr">
        <is>
          <t>2026-S32</t>
        </is>
      </c>
    </row>
    <row r="705">
      <c r="A705" s="9" t="n">
        <v>43049401</v>
      </c>
      <c r="B705" s="11" t="n">
        <v>46242.42631944444</v>
      </c>
      <c r="C705" s="12" t="n">
        <v>46242</v>
      </c>
      <c r="D705" s="9">
        <f>YEAR(C705)</f>
        <v/>
      </c>
      <c r="E705" s="9">
        <f>MONTH(C705)</f>
        <v/>
      </c>
      <c r="F705" s="9" t="inlineStr">
        <is>
          <t>B Hormigón</t>
        </is>
      </c>
      <c r="G705" s="9" t="inlineStr">
        <is>
          <t>B HORMIGON 28MM 11M A630-420H (N)</t>
        </is>
      </c>
      <c r="H705" s="9" t="inlineStr">
        <is>
          <t>B HORMIGON 28MM 11M A630-420H (N)</t>
        </is>
      </c>
      <c r="I705" s="9" t="inlineStr">
        <is>
          <t>RED 28 CR</t>
        </is>
      </c>
      <c r="J705" s="9" t="n">
        <v>110002893</v>
      </c>
      <c r="K705" s="9" t="n">
        <v>28</v>
      </c>
      <c r="L705" s="9" t="n"/>
      <c r="M705" s="9" t="n"/>
      <c r="N705" s="9" t="n"/>
      <c r="O705" s="9" t="n">
        <v>11</v>
      </c>
      <c r="P705" s="13" t="n">
        <v>135984</v>
      </c>
      <c r="Q705" s="13" t="n">
        <v>143748</v>
      </c>
      <c r="R705" s="14">
        <f>IFERROR(P705/Q705,"")</f>
        <v/>
      </c>
      <c r="S705" s="15" t="n">
        <v>0.9399999999999999</v>
      </c>
      <c r="T705" s="9">
        <f>IF(R705&gt;1,"A corregir","Válida")</f>
        <v/>
      </c>
      <c r="U705" s="13">
        <f>Q705-P705</f>
        <v/>
      </c>
      <c r="V705" s="13">
        <f>IF(S705="",0,S705*Q705)</f>
        <v/>
      </c>
      <c r="W705" s="9" t="n">
        <v>2026</v>
      </c>
      <c r="X705" s="9" t="n">
        <v>32</v>
      </c>
      <c r="Y705" s="9" t="inlineStr">
        <is>
          <t>2026-S32</t>
        </is>
      </c>
    </row>
    <row r="706">
      <c r="A706" s="9" t="n">
        <v>43049402</v>
      </c>
      <c r="B706" s="11" t="n">
        <v>46242.6946875</v>
      </c>
      <c r="C706" s="12" t="n">
        <v>46242</v>
      </c>
      <c r="D706" s="9">
        <f>YEAR(C706)</f>
        <v/>
      </c>
      <c r="E706" s="9">
        <f>MONTH(C706)</f>
        <v/>
      </c>
      <c r="F706" s="9" t="inlineStr">
        <is>
          <t>B Hormigón</t>
        </is>
      </c>
      <c r="G706" s="9" t="inlineStr">
        <is>
          <t>B HORMIGON 28MM 10M A630-420H (N)</t>
        </is>
      </c>
      <c r="H706" s="9" t="inlineStr">
        <is>
          <t>B HORMIGON 28MM 10M A630-420H (N)</t>
        </is>
      </c>
      <c r="I706" s="9" t="inlineStr">
        <is>
          <t>RED 28 CR</t>
        </is>
      </c>
      <c r="J706" s="9" t="n">
        <v>110002892</v>
      </c>
      <c r="K706" s="9" t="n">
        <v>28</v>
      </c>
      <c r="L706" s="9" t="n"/>
      <c r="M706" s="9" t="n"/>
      <c r="N706" s="9" t="n"/>
      <c r="O706" s="9" t="n">
        <v>10</v>
      </c>
      <c r="P706" s="13" t="n">
        <v>105341</v>
      </c>
      <c r="Q706" s="13" t="n">
        <v>110404.8</v>
      </c>
      <c r="R706" s="14">
        <f>IFERROR(P706/Q706,"")</f>
        <v/>
      </c>
      <c r="S706" s="15" t="n">
        <v>0.96</v>
      </c>
      <c r="T706" s="9">
        <f>IF(R706&gt;1,"A corregir","Válida")</f>
        <v/>
      </c>
      <c r="U706" s="13">
        <f>Q706-P706</f>
        <v/>
      </c>
      <c r="V706" s="13">
        <f>IF(S706="",0,S706*Q706)</f>
        <v/>
      </c>
      <c r="W706" s="9" t="n">
        <v>2026</v>
      </c>
      <c r="X706" s="9" t="n">
        <v>32</v>
      </c>
      <c r="Y706" s="9" t="inlineStr">
        <is>
          <t>2026-S32</t>
        </is>
      </c>
    </row>
    <row r="707">
      <c r="A707" s="9" t="n">
        <v>43049403</v>
      </c>
      <c r="B707" s="11" t="n">
        <v>46244.12287037037</v>
      </c>
      <c r="C707" s="12" t="n">
        <v>46244</v>
      </c>
      <c r="D707" s="9">
        <f>YEAR(C707)</f>
        <v/>
      </c>
      <c r="E707" s="9">
        <f>MONTH(C707)</f>
        <v/>
      </c>
      <c r="F707" s="9" t="inlineStr">
        <is>
          <t>B Hormigón</t>
        </is>
      </c>
      <c r="G707" s="9" t="inlineStr">
        <is>
          <t>B HORMIGON 28MM 9M A630-420H (N)</t>
        </is>
      </c>
      <c r="H707" s="9" t="inlineStr">
        <is>
          <t>B HORMIGON 28MM 9M A630-420H (N)</t>
        </is>
      </c>
      <c r="I707" s="9" t="inlineStr">
        <is>
          <t>RED 28 CR</t>
        </is>
      </c>
      <c r="J707" s="9" t="n">
        <v>110002897</v>
      </c>
      <c r="K707" s="9" t="n">
        <v>28</v>
      </c>
      <c r="L707" s="9" t="n"/>
      <c r="M707" s="9" t="n"/>
      <c r="N707" s="9" t="n"/>
      <c r="O707" s="9" t="n">
        <v>9</v>
      </c>
      <c r="P707" s="13" t="n">
        <v>86610</v>
      </c>
      <c r="Q707" s="13" t="n">
        <v>90657.60000000001</v>
      </c>
      <c r="R707" s="14">
        <f>IFERROR(P707/Q707,"")</f>
        <v/>
      </c>
      <c r="S707" s="15" t="n">
        <v>0.9399999999999999</v>
      </c>
      <c r="T707" s="9">
        <f>IF(R707&gt;1,"A corregir","Válida")</f>
        <v/>
      </c>
      <c r="U707" s="13">
        <f>Q707-P707</f>
        <v/>
      </c>
      <c r="V707" s="13">
        <f>IF(S707="",0,S707*Q707)</f>
        <v/>
      </c>
      <c r="W707" s="9" t="n">
        <v>2026</v>
      </c>
      <c r="X707" s="9" t="n">
        <v>33</v>
      </c>
      <c r="Y707" s="9" t="inlineStr">
        <is>
          <t>2026-S33</t>
        </is>
      </c>
    </row>
    <row r="708">
      <c r="A708" s="9" t="n">
        <v>43049404</v>
      </c>
      <c r="B708" s="11" t="n">
        <v>46244.27325231482</v>
      </c>
      <c r="C708" s="12" t="n">
        <v>46244</v>
      </c>
      <c r="D708" s="9">
        <f>YEAR(C708)</f>
        <v/>
      </c>
      <c r="E708" s="9">
        <f>MONTH(C708)</f>
        <v/>
      </c>
      <c r="F708" s="9" t="inlineStr">
        <is>
          <t>B Hormigón</t>
        </is>
      </c>
      <c r="G708" s="9" t="inlineStr">
        <is>
          <t>B HORMIGON 28MM 8M A630-420H (N)</t>
        </is>
      </c>
      <c r="H708" s="9" t="inlineStr">
        <is>
          <t>B HORMIGON 28MM 8M A630-420H (N)</t>
        </is>
      </c>
      <c r="I708" s="9" t="inlineStr">
        <is>
          <t>RED 28 CR</t>
        </is>
      </c>
      <c r="J708" s="9" t="n">
        <v>110002896</v>
      </c>
      <c r="K708" s="9" t="n">
        <v>28</v>
      </c>
      <c r="L708" s="9" t="n"/>
      <c r="M708" s="9" t="n"/>
      <c r="N708" s="9" t="n"/>
      <c r="O708" s="9" t="n">
        <v>8</v>
      </c>
      <c r="P708" s="13" t="n">
        <v>124254</v>
      </c>
      <c r="Q708" s="13" t="n">
        <v>130152</v>
      </c>
      <c r="R708" s="14">
        <f>IFERROR(P708/Q708,"")</f>
        <v/>
      </c>
      <c r="S708" s="15" t="n">
        <v>0.96</v>
      </c>
      <c r="T708" s="9">
        <f>IF(R708&gt;1,"A corregir","Válida")</f>
        <v/>
      </c>
      <c r="U708" s="13">
        <f>Q708-P708</f>
        <v/>
      </c>
      <c r="V708" s="13">
        <f>IF(S708="",0,S708*Q708)</f>
        <v/>
      </c>
      <c r="W708" s="9" t="n">
        <v>2026</v>
      </c>
      <c r="X708" s="9" t="n">
        <v>33</v>
      </c>
      <c r="Y708" s="9" t="inlineStr">
        <is>
          <t>2026-S33</t>
        </is>
      </c>
    </row>
    <row r="709">
      <c r="A709" s="9" t="n">
        <v>43049405</v>
      </c>
      <c r="B709" s="11" t="n">
        <v>46244.50231481482</v>
      </c>
      <c r="C709" s="12" t="n">
        <v>46244</v>
      </c>
      <c r="D709" s="9">
        <f>YEAR(C709)</f>
        <v/>
      </c>
      <c r="E709" s="9">
        <f>MONTH(C709)</f>
        <v/>
      </c>
      <c r="F709" s="9" t="inlineStr">
        <is>
          <t>B Hormigón</t>
        </is>
      </c>
      <c r="G709" s="9" t="inlineStr">
        <is>
          <t>B HORMIGON 28MM 7M A630-420H (N)</t>
        </is>
      </c>
      <c r="H709" s="9" t="inlineStr">
        <is>
          <t>B HORMIGON 28MM 7M A630-420H (N)</t>
        </is>
      </c>
      <c r="I709" s="9" t="inlineStr">
        <is>
          <t>RED 28 CR</t>
        </is>
      </c>
      <c r="J709" s="9" t="n">
        <v>110002895</v>
      </c>
      <c r="K709" s="9" t="n">
        <v>28</v>
      </c>
      <c r="L709" s="9" t="n"/>
      <c r="M709" s="9" t="n"/>
      <c r="N709" s="9" t="n"/>
      <c r="O709" s="9" t="n">
        <v>7</v>
      </c>
      <c r="P709" s="13" t="n">
        <v>110450</v>
      </c>
      <c r="Q709" s="13" t="n">
        <v>116160</v>
      </c>
      <c r="R709" s="14">
        <f>IFERROR(P709/Q709,"")</f>
        <v/>
      </c>
      <c r="S709" s="15" t="n">
        <v>0.96</v>
      </c>
      <c r="T709" s="9">
        <f>IF(R709&gt;1,"A corregir","Válida")</f>
        <v/>
      </c>
      <c r="U709" s="13">
        <f>Q709-P709</f>
        <v/>
      </c>
      <c r="V709" s="13">
        <f>IF(S709="",0,S709*Q709)</f>
        <v/>
      </c>
      <c r="W709" s="9" t="n">
        <v>2026</v>
      </c>
      <c r="X709" s="9" t="n">
        <v>33</v>
      </c>
      <c r="Y709" s="9" t="inlineStr">
        <is>
          <t>2026-S33</t>
        </is>
      </c>
    </row>
    <row r="710">
      <c r="A710" s="9" t="n">
        <v>43049589</v>
      </c>
      <c r="B710" s="11" t="n">
        <v>46244.98364583333</v>
      </c>
      <c r="C710" s="12" t="n">
        <v>46244</v>
      </c>
      <c r="D710" s="9">
        <f>YEAR(C710)</f>
        <v/>
      </c>
      <c r="E710" s="9">
        <f>MONTH(C710)</f>
        <v/>
      </c>
      <c r="F710" s="9" t="inlineStr">
        <is>
          <t>B Hormigón</t>
        </is>
      </c>
      <c r="G710" s="9" t="inlineStr">
        <is>
          <t>B HORMIGON 25MM 12M A630-420H (N)</t>
        </is>
      </c>
      <c r="H710" s="9" t="inlineStr">
        <is>
          <t>B HORMIGON 25MM 12M A630-420H (N)</t>
        </is>
      </c>
      <c r="I710" s="9" t="inlineStr">
        <is>
          <t>RED 25 CR</t>
        </is>
      </c>
      <c r="J710" s="9" t="n">
        <v>110002941</v>
      </c>
      <c r="K710" s="9" t="n">
        <v>25</v>
      </c>
      <c r="L710" s="9" t="n"/>
      <c r="M710" s="9" t="n"/>
      <c r="N710" s="9" t="n"/>
      <c r="O710" s="9" t="n">
        <v>12</v>
      </c>
      <c r="P710" s="13" t="n">
        <v>359242</v>
      </c>
      <c r="Q710" s="13" t="n">
        <v>375051.6</v>
      </c>
      <c r="R710" s="14">
        <f>IFERROR(P710/Q710,"")</f>
        <v/>
      </c>
      <c r="S710" s="15" t="n">
        <v>0.95</v>
      </c>
      <c r="T710" s="9">
        <f>IF(R710&gt;1,"A corregir","Válida")</f>
        <v/>
      </c>
      <c r="U710" s="13">
        <f>Q710-P710</f>
        <v/>
      </c>
      <c r="V710" s="13">
        <f>IF(S710="",0,S710*Q710)</f>
        <v/>
      </c>
      <c r="W710" s="9" t="n">
        <v>2026</v>
      </c>
      <c r="X710" s="9" t="n">
        <v>33</v>
      </c>
      <c r="Y710" s="9" t="inlineStr">
        <is>
          <t>2026-S33</t>
        </is>
      </c>
    </row>
    <row r="711">
      <c r="A711" s="9" t="n">
        <v>43049607</v>
      </c>
      <c r="B711" s="11" t="n">
        <v>46245.6228587963</v>
      </c>
      <c r="C711" s="12" t="n">
        <v>46245</v>
      </c>
      <c r="D711" s="9">
        <f>YEAR(C711)</f>
        <v/>
      </c>
      <c r="E711" s="9">
        <f>MONTH(C711)</f>
        <v/>
      </c>
      <c r="F711" s="9" t="inlineStr">
        <is>
          <t>B Hormigón</t>
        </is>
      </c>
      <c r="G711" s="9" t="inlineStr">
        <is>
          <t>B HORMIGON 25MM 11M A630-420H (N)</t>
        </is>
      </c>
      <c r="H711" s="9" t="inlineStr">
        <is>
          <t>B HORMIGON 25MM 11M A630-420H (N)</t>
        </is>
      </c>
      <c r="I711" s="9" t="inlineStr">
        <is>
          <t>RED 25 CR</t>
        </is>
      </c>
      <c r="J711" s="9" t="n">
        <v>110002947</v>
      </c>
      <c r="K711" s="9" t="n">
        <v>25</v>
      </c>
      <c r="L711" s="9" t="n"/>
      <c r="M711" s="9" t="n"/>
      <c r="N711" s="9" t="n"/>
      <c r="O711" s="9" t="n">
        <v>11</v>
      </c>
      <c r="P711" s="13" t="n">
        <v>81186</v>
      </c>
      <c r="Q711" s="13" t="n">
        <v>86248.8</v>
      </c>
      <c r="R711" s="14">
        <f>IFERROR(P711/Q711,"")</f>
        <v/>
      </c>
      <c r="S711" s="15" t="n">
        <v>0.95</v>
      </c>
      <c r="T711" s="9">
        <f>IF(R711&gt;1,"A corregir","Válida")</f>
        <v/>
      </c>
      <c r="U711" s="13">
        <f>Q711-P711</f>
        <v/>
      </c>
      <c r="V711" s="13">
        <f>IF(S711="",0,S711*Q711)</f>
        <v/>
      </c>
      <c r="W711" s="9" t="n">
        <v>2026</v>
      </c>
      <c r="X711" s="9" t="n">
        <v>33</v>
      </c>
      <c r="Y711" s="9" t="inlineStr">
        <is>
          <t>2026-S33</t>
        </is>
      </c>
    </row>
    <row r="712">
      <c r="A712" s="9" t="n">
        <v>43049407</v>
      </c>
      <c r="B712" s="11" t="n">
        <v>46245.97589120371</v>
      </c>
      <c r="C712" s="12" t="n">
        <v>46245</v>
      </c>
      <c r="D712" s="9">
        <f>YEAR(C712)</f>
        <v/>
      </c>
      <c r="E712" s="9">
        <f>MONTH(C712)</f>
        <v/>
      </c>
      <c r="F712" s="9" t="inlineStr">
        <is>
          <t>Ángulo</t>
        </is>
      </c>
      <c r="G712" s="9" t="inlineStr">
        <is>
          <t>ANGULO 65X65X8MM A270ES</t>
        </is>
      </c>
      <c r="H712" s="9" t="inlineStr">
        <is>
          <t>ANGULO SEMI 65X65X8MM A270ES</t>
        </is>
      </c>
      <c r="I712" s="9" t="inlineStr">
        <is>
          <t>ANG 65 x 8</t>
        </is>
      </c>
      <c r="J712" s="9" t="n">
        <v>106501051</v>
      </c>
      <c r="K712" s="9" t="n"/>
      <c r="L712" s="9" t="n">
        <v>65</v>
      </c>
      <c r="M712" s="9" t="n">
        <v>8</v>
      </c>
      <c r="N712" s="9" t="n"/>
      <c r="O712" s="9" t="n">
        <v>6</v>
      </c>
      <c r="P712" s="13" t="n">
        <v>40542</v>
      </c>
      <c r="Q712" s="13" t="n">
        <v>43084.8</v>
      </c>
      <c r="R712" s="14">
        <f>IFERROR(P712/Q712,"")</f>
        <v/>
      </c>
      <c r="S712" s="15" t="n">
        <v>0.9540000000000001</v>
      </c>
      <c r="T712" s="9">
        <f>IF(R712&gt;1,"A corregir","Válida")</f>
        <v/>
      </c>
      <c r="U712" s="13">
        <f>Q712-P712</f>
        <v/>
      </c>
      <c r="V712" s="13">
        <f>IF(S712="",0,S712*Q712)</f>
        <v/>
      </c>
      <c r="W712" s="9" t="n">
        <v>2026</v>
      </c>
      <c r="X712" s="9" t="n">
        <v>33</v>
      </c>
      <c r="Y712" s="9" t="inlineStr">
        <is>
          <t>2026-S33</t>
        </is>
      </c>
    </row>
    <row r="713">
      <c r="A713" s="9" t="n">
        <v>43049408</v>
      </c>
      <c r="B713" s="11" t="n">
        <v>46246.08773148148</v>
      </c>
      <c r="C713" s="12" t="n">
        <v>46246</v>
      </c>
      <c r="D713" s="9">
        <f>YEAR(C713)</f>
        <v/>
      </c>
      <c r="E713" s="9">
        <f>MONTH(C713)</f>
        <v/>
      </c>
      <c r="F713" s="9" t="inlineStr">
        <is>
          <t>Ángulo</t>
        </is>
      </c>
      <c r="G713" s="9" t="inlineStr">
        <is>
          <t>ANGULO 65X65X6MM A270ES</t>
        </is>
      </c>
      <c r="H713" s="9" t="inlineStr">
        <is>
          <t>ANGULO SEMI 65X65X6MM A270ES</t>
        </is>
      </c>
      <c r="I713" s="9" t="inlineStr">
        <is>
          <t>ANG 65 x 6</t>
        </is>
      </c>
      <c r="J713" s="9" t="n">
        <v>106501057</v>
      </c>
      <c r="K713" s="9" t="n"/>
      <c r="L713" s="9" t="n">
        <v>65</v>
      </c>
      <c r="M713" s="9" t="n">
        <v>6</v>
      </c>
      <c r="N713" s="9" t="n"/>
      <c r="O713" s="9" t="n">
        <v>6</v>
      </c>
      <c r="P713" s="13" t="n">
        <v>45766</v>
      </c>
      <c r="Q713" s="13" t="n">
        <v>48021.6</v>
      </c>
      <c r="R713" s="14">
        <f>IFERROR(P713/Q713,"")</f>
        <v/>
      </c>
      <c r="S713" s="15" t="n">
        <v>0.951</v>
      </c>
      <c r="T713" s="9">
        <f>IF(R713&gt;1,"A corregir","Válida")</f>
        <v/>
      </c>
      <c r="U713" s="13">
        <f>Q713-P713</f>
        <v/>
      </c>
      <c r="V713" s="13">
        <f>IF(S713="",0,S713*Q713)</f>
        <v/>
      </c>
      <c r="W713" s="9" t="n">
        <v>2026</v>
      </c>
      <c r="X713" s="9" t="n">
        <v>33</v>
      </c>
      <c r="Y713" s="9" t="inlineStr">
        <is>
          <t>2026-S33</t>
        </is>
      </c>
    </row>
    <row r="714">
      <c r="A714" s="9" t="n">
        <v>43049409</v>
      </c>
      <c r="B714" s="11" t="n">
        <v>46246.24215277778</v>
      </c>
      <c r="C714" s="12" t="n">
        <v>46246</v>
      </c>
      <c r="D714" s="9">
        <f>YEAR(C714)</f>
        <v/>
      </c>
      <c r="E714" s="9">
        <f>MONTH(C714)</f>
        <v/>
      </c>
      <c r="F714" s="9" t="inlineStr">
        <is>
          <t>Ángulo</t>
        </is>
      </c>
      <c r="G714" s="9" t="inlineStr">
        <is>
          <t>ANGULO 65X65X5MM A270ES</t>
        </is>
      </c>
      <c r="H714" s="9" t="inlineStr">
        <is>
          <t>ANGULO SEMI 65X65X5MM A270ES</t>
        </is>
      </c>
      <c r="I714" s="9" t="inlineStr">
        <is>
          <t>ANG 65 x 5</t>
        </is>
      </c>
      <c r="J714" s="9" t="n">
        <v>106501053</v>
      </c>
      <c r="K714" s="9" t="n"/>
      <c r="L714" s="9" t="n">
        <v>65</v>
      </c>
      <c r="M714" s="9" t="n">
        <v>5</v>
      </c>
      <c r="N714" s="9" t="n"/>
      <c r="O714" s="9" t="n">
        <v>6</v>
      </c>
      <c r="P714" s="13" t="n">
        <v>193749</v>
      </c>
      <c r="Q714" s="13" t="n">
        <v>205999.2</v>
      </c>
      <c r="R714" s="14">
        <f>IFERROR(P714/Q714,"")</f>
        <v/>
      </c>
      <c r="S714" s="15" t="n">
        <v>0.951</v>
      </c>
      <c r="T714" s="9">
        <f>IF(R714&gt;1,"A corregir","Válida")</f>
        <v/>
      </c>
      <c r="U714" s="13">
        <f>Q714-P714</f>
        <v/>
      </c>
      <c r="V714" s="13">
        <f>IF(S714="",0,S714*Q714)</f>
        <v/>
      </c>
      <c r="W714" s="9" t="n">
        <v>2026</v>
      </c>
      <c r="X714" s="9" t="n">
        <v>33</v>
      </c>
      <c r="Y714" s="9" t="inlineStr">
        <is>
          <t>2026-S33</t>
        </is>
      </c>
    </row>
    <row r="715">
      <c r="A715" s="9" t="n">
        <v>43049590</v>
      </c>
      <c r="B715" s="11" t="n">
        <v>46246.95202546296</v>
      </c>
      <c r="C715" s="12" t="n">
        <v>46246</v>
      </c>
      <c r="D715" s="9">
        <f>YEAR(C715)</f>
        <v/>
      </c>
      <c r="E715" s="9">
        <f>MONTH(C715)</f>
        <v/>
      </c>
      <c r="F715" s="9" t="inlineStr">
        <is>
          <t>B Hormigón</t>
        </is>
      </c>
      <c r="G715" s="9" t="inlineStr">
        <is>
          <t>B HORMIGON 18MM 10M A630-420HS (N)</t>
        </is>
      </c>
      <c r="H715" s="9" t="inlineStr">
        <is>
          <t>B HORMIGON 18MM 10M A630-420HS (N)</t>
        </is>
      </c>
      <c r="I715" s="9" t="inlineStr">
        <is>
          <t>RED 18 CR</t>
        </is>
      </c>
      <c r="J715" s="9" t="n">
        <v>110007323</v>
      </c>
      <c r="K715" s="9" t="n">
        <v>18</v>
      </c>
      <c r="L715" s="9" t="n"/>
      <c r="M715" s="9" t="n"/>
      <c r="N715" s="9" t="n"/>
      <c r="O715" s="9" t="n">
        <v>10</v>
      </c>
      <c r="P715" s="13" t="n">
        <v>29325</v>
      </c>
      <c r="Q715" s="13" t="n">
        <v>31416</v>
      </c>
      <c r="R715" s="14">
        <f>IFERROR(P715/Q715,"")</f>
        <v/>
      </c>
      <c r="S715" s="15" t="n">
        <v>0.95</v>
      </c>
      <c r="T715" s="9">
        <f>IF(R715&gt;1,"A corregir","Válida")</f>
        <v/>
      </c>
      <c r="U715" s="13">
        <f>Q715-P715</f>
        <v/>
      </c>
      <c r="V715" s="13">
        <f>IF(S715="",0,S715*Q715)</f>
        <v/>
      </c>
      <c r="W715" s="9" t="n">
        <v>2026</v>
      </c>
      <c r="X715" s="9" t="n">
        <v>33</v>
      </c>
      <c r="Y715" s="9" t="inlineStr">
        <is>
          <t>2026-S33</t>
        </is>
      </c>
    </row>
    <row r="716">
      <c r="A716" s="9" t="n">
        <v>43049638</v>
      </c>
      <c r="B716" s="11" t="n">
        <v>46247.00335648148</v>
      </c>
      <c r="C716" s="12" t="n">
        <v>46247</v>
      </c>
      <c r="D716" s="9">
        <f>YEAR(C716)</f>
        <v/>
      </c>
      <c r="E716" s="9">
        <f>MONTH(C716)</f>
        <v/>
      </c>
      <c r="F716" s="9" t="inlineStr">
        <is>
          <t>B Hormigón</t>
        </is>
      </c>
      <c r="G716" s="9" t="inlineStr">
        <is>
          <t>B HORMIGON 18MM 7M A630-420HS (N)</t>
        </is>
      </c>
      <c r="H716" s="9" t="inlineStr">
        <is>
          <t>B HORMIGON 18MM 7M A630-420HS (N)</t>
        </is>
      </c>
      <c r="I716" s="9" t="inlineStr">
        <is>
          <t>RED 18 CR</t>
        </is>
      </c>
      <c r="J716" s="9" t="n">
        <v>110007351</v>
      </c>
      <c r="K716" s="9" t="n">
        <v>18</v>
      </c>
      <c r="L716" s="9" t="n"/>
      <c r="M716" s="9" t="n"/>
      <c r="N716" s="9" t="n"/>
      <c r="O716" s="9" t="n">
        <v>7</v>
      </c>
      <c r="P716" s="13" t="n">
        <v>22231</v>
      </c>
      <c r="Q716" s="13" t="n">
        <v>23337.6</v>
      </c>
      <c r="R716" s="14">
        <f>IFERROR(P716/Q716,"")</f>
        <v/>
      </c>
      <c r="S716" s="15" t="n">
        <v>0.97</v>
      </c>
      <c r="T716" s="9">
        <f>IF(R716&gt;1,"A corregir","Válida")</f>
        <v/>
      </c>
      <c r="U716" s="13">
        <f>Q716-P716</f>
        <v/>
      </c>
      <c r="V716" s="13">
        <f>IF(S716="",0,S716*Q716)</f>
        <v/>
      </c>
      <c r="W716" s="9" t="n">
        <v>2026</v>
      </c>
      <c r="X716" s="9" t="n">
        <v>33</v>
      </c>
      <c r="Y716" s="9" t="inlineStr">
        <is>
          <t>2026-S33</t>
        </is>
      </c>
    </row>
    <row r="717">
      <c r="A717" s="9" t="n">
        <v>43049639</v>
      </c>
      <c r="B717" s="11" t="n">
        <v>46247.05649305556</v>
      </c>
      <c r="C717" s="12" t="n">
        <v>46247</v>
      </c>
      <c r="D717" s="9">
        <f>YEAR(C717)</f>
        <v/>
      </c>
      <c r="E717" s="9">
        <f>MONTH(C717)</f>
        <v/>
      </c>
      <c r="F717" s="9" t="inlineStr">
        <is>
          <t>B Hormigón</t>
        </is>
      </c>
      <c r="G717" s="9" t="inlineStr">
        <is>
          <t>B HORMIGON 18MM 12M A630-420H (N)</t>
        </is>
      </c>
      <c r="H717" s="9" t="inlineStr">
        <is>
          <t>B HORMIGON 18MM 12M A630-420H (N)</t>
        </is>
      </c>
      <c r="I717" s="9" t="inlineStr">
        <is>
          <t>RED 18 CR</t>
        </is>
      </c>
      <c r="J717" s="9" t="n">
        <v>110002938</v>
      </c>
      <c r="K717" s="9" t="n">
        <v>18</v>
      </c>
      <c r="L717" s="9" t="n"/>
      <c r="M717" s="9" t="n"/>
      <c r="N717" s="9" t="n"/>
      <c r="O717" s="9" t="n">
        <v>12</v>
      </c>
      <c r="P717" s="13" t="n">
        <v>47688</v>
      </c>
      <c r="Q717" s="13" t="n">
        <v>50265.6</v>
      </c>
      <c r="R717" s="14">
        <f>IFERROR(P717/Q717,"")</f>
        <v/>
      </c>
      <c r="S717" s="15" t="n">
        <v>0.96</v>
      </c>
      <c r="T717" s="9">
        <f>IF(R717&gt;1,"A corregir","Válida")</f>
        <v/>
      </c>
      <c r="U717" s="13">
        <f>Q717-P717</f>
        <v/>
      </c>
      <c r="V717" s="13">
        <f>IF(S717="",0,S717*Q717)</f>
        <v/>
      </c>
      <c r="W717" s="9" t="n">
        <v>2026</v>
      </c>
      <c r="X717" s="9" t="n">
        <v>33</v>
      </c>
      <c r="Y717" s="9" t="inlineStr">
        <is>
          <t>2026-S33</t>
        </is>
      </c>
    </row>
    <row r="718">
      <c r="A718" s="9" t="n">
        <v>43049591</v>
      </c>
      <c r="B718" s="11" t="n">
        <v>46247.13934027778</v>
      </c>
      <c r="C718" s="12" t="n">
        <v>46247</v>
      </c>
      <c r="D718" s="9">
        <f>YEAR(C718)</f>
        <v/>
      </c>
      <c r="E718" s="9">
        <f>MONTH(C718)</f>
        <v/>
      </c>
      <c r="F718" s="9" t="inlineStr">
        <is>
          <t>B Hormigón</t>
        </is>
      </c>
      <c r="G718" s="9" t="inlineStr">
        <is>
          <t>B HORMIGON 18MM 11M A630-420H (N)</t>
        </is>
      </c>
      <c r="H718" s="9" t="inlineStr">
        <is>
          <t>B HORMIGON 18MM 11M A630-420H (N)</t>
        </is>
      </c>
      <c r="I718" s="9" t="inlineStr">
        <is>
          <t>RED 18 CR</t>
        </is>
      </c>
      <c r="J718" s="9" t="n">
        <v>110002937</v>
      </c>
      <c r="K718" s="9" t="n">
        <v>18</v>
      </c>
      <c r="L718" s="9" t="n"/>
      <c r="M718" s="9" t="n"/>
      <c r="N718" s="9" t="n"/>
      <c r="O718" s="9" t="n">
        <v>11</v>
      </c>
      <c r="P718" s="13" t="n">
        <v>51850</v>
      </c>
      <c r="Q718" s="13" t="n">
        <v>54304.8</v>
      </c>
      <c r="R718" s="14">
        <f>IFERROR(P718/Q718,"")</f>
        <v/>
      </c>
      <c r="S718" s="15" t="n">
        <v>0.96</v>
      </c>
      <c r="T718" s="9">
        <f>IF(R718&gt;1,"A corregir","Válida")</f>
        <v/>
      </c>
      <c r="U718" s="13">
        <f>Q718-P718</f>
        <v/>
      </c>
      <c r="V718" s="13">
        <f>IF(S718="",0,S718*Q718)</f>
        <v/>
      </c>
      <c r="W718" s="9" t="n">
        <v>2026</v>
      </c>
      <c r="X718" s="9" t="n">
        <v>33</v>
      </c>
      <c r="Y718" s="9" t="inlineStr">
        <is>
          <t>2026-S33</t>
        </is>
      </c>
    </row>
    <row r="719">
      <c r="A719" s="9" t="n">
        <v>43049592</v>
      </c>
      <c r="B719" s="11" t="n">
        <v>46247.22540509259</v>
      </c>
      <c r="C719" s="12" t="n">
        <v>46247</v>
      </c>
      <c r="D719" s="9">
        <f>YEAR(C719)</f>
        <v/>
      </c>
      <c r="E719" s="9">
        <f>MONTH(C719)</f>
        <v/>
      </c>
      <c r="F719" s="9" t="inlineStr">
        <is>
          <t>B Hormigón</t>
        </is>
      </c>
      <c r="G719" s="9" t="inlineStr">
        <is>
          <t>B HORMIGON 18MM 10M A630-420H (N)</t>
        </is>
      </c>
      <c r="H719" s="9" t="inlineStr">
        <is>
          <t>B HORMIGON 18MM 10M A630-420H (N)</t>
        </is>
      </c>
      <c r="I719" s="9" t="inlineStr">
        <is>
          <t>RED 18 CR</t>
        </is>
      </c>
      <c r="J719" s="9" t="n">
        <v>110002924</v>
      </c>
      <c r="K719" s="9" t="n">
        <v>18</v>
      </c>
      <c r="L719" s="9" t="n"/>
      <c r="M719" s="9" t="n"/>
      <c r="N719" s="9" t="n"/>
      <c r="O719" s="9" t="n">
        <v>10</v>
      </c>
      <c r="P719" s="13" t="n">
        <v>98575</v>
      </c>
      <c r="Q719" s="13" t="n">
        <v>102775.2</v>
      </c>
      <c r="R719" s="14">
        <f>IFERROR(P719/Q719,"")</f>
        <v/>
      </c>
      <c r="S719" s="15" t="n">
        <v>0.96</v>
      </c>
      <c r="T719" s="9">
        <f>IF(R719&gt;1,"A corregir","Válida")</f>
        <v/>
      </c>
      <c r="U719" s="13">
        <f>Q719-P719</f>
        <v/>
      </c>
      <c r="V719" s="13">
        <f>IF(S719="",0,S719*Q719)</f>
        <v/>
      </c>
      <c r="W719" s="9" t="n">
        <v>2026</v>
      </c>
      <c r="X719" s="9" t="n">
        <v>33</v>
      </c>
      <c r="Y719" s="9" t="inlineStr">
        <is>
          <t>2026-S33</t>
        </is>
      </c>
    </row>
    <row r="720">
      <c r="A720" s="9" t="n">
        <v>43049593</v>
      </c>
      <c r="B720" s="11" t="n">
        <v>46247.49320601852</v>
      </c>
      <c r="C720" s="12" t="n">
        <v>46247</v>
      </c>
      <c r="D720" s="9">
        <f>YEAR(C720)</f>
        <v/>
      </c>
      <c r="E720" s="9">
        <f>MONTH(C720)</f>
        <v/>
      </c>
      <c r="F720" s="9" t="inlineStr">
        <is>
          <t>B Hormigón</t>
        </is>
      </c>
      <c r="G720" s="9" t="inlineStr">
        <is>
          <t>B HORMIGON 18MM 7M A630-420H (N)</t>
        </is>
      </c>
      <c r="H720" s="9" t="inlineStr">
        <is>
          <t>B HORMIGON 18MM 7M A630-420H (N)</t>
        </is>
      </c>
      <c r="I720" s="9" t="inlineStr">
        <is>
          <t>RED 18 CR</t>
        </is>
      </c>
      <c r="J720" s="9" t="n">
        <v>110002940</v>
      </c>
      <c r="K720" s="9" t="n">
        <v>18</v>
      </c>
      <c r="L720" s="9" t="n"/>
      <c r="M720" s="9" t="n"/>
      <c r="N720" s="9" t="n"/>
      <c r="O720" s="9" t="n">
        <v>7</v>
      </c>
      <c r="P720" s="13" t="n">
        <v>46625</v>
      </c>
      <c r="Q720" s="13" t="n">
        <v>45328.8</v>
      </c>
      <c r="R720" s="14">
        <f>IFERROR(P720/Q720,"")</f>
        <v/>
      </c>
      <c r="S720" s="15" t="n">
        <v>0.9590000000000001</v>
      </c>
      <c r="T720" s="9">
        <f>IF(R720&gt;1,"A corregir","Válida")</f>
        <v/>
      </c>
      <c r="U720" s="13">
        <f>Q720-P720</f>
        <v/>
      </c>
      <c r="V720" s="13">
        <f>IF(S720="",0,S720*Q720)</f>
        <v/>
      </c>
      <c r="W720" s="9" t="n">
        <v>2026</v>
      </c>
      <c r="X720" s="9" t="n">
        <v>33</v>
      </c>
      <c r="Y720" s="9" t="inlineStr">
        <is>
          <t>2026-S33</t>
        </is>
      </c>
    </row>
    <row r="721">
      <c r="A721" s="9" t="n">
        <v>43049594</v>
      </c>
      <c r="B721" s="11" t="n">
        <v>46247.67511574074</v>
      </c>
      <c r="C721" s="12" t="n">
        <v>46247</v>
      </c>
      <c r="D721" s="9">
        <f>YEAR(C721)</f>
        <v/>
      </c>
      <c r="E721" s="9">
        <f>MONTH(C721)</f>
        <v/>
      </c>
      <c r="F721" s="9" t="inlineStr">
        <is>
          <t>Saferock</t>
        </is>
      </c>
      <c r="G721" s="9" t="inlineStr">
        <is>
          <t>SAFEROCK 22MM 12M A420</t>
        </is>
      </c>
      <c r="H721" s="9" t="inlineStr">
        <is>
          <t>SAFEROCK 22MM 12M A420</t>
        </is>
      </c>
      <c r="I721" s="9" t="inlineStr">
        <is>
          <t>SFRCK 22</t>
        </is>
      </c>
      <c r="J721" s="9" t="n">
        <v>106025567</v>
      </c>
      <c r="K721" s="9" t="n">
        <v>22</v>
      </c>
      <c r="L721" s="9" t="n"/>
      <c r="M721" s="9" t="n"/>
      <c r="N721" s="9" t="n"/>
      <c r="O721" s="9" t="n">
        <v>12</v>
      </c>
      <c r="P721" s="13" t="n">
        <v>54818</v>
      </c>
      <c r="Q721" s="13" t="n">
        <v>58713.6</v>
      </c>
      <c r="R721" s="14">
        <f>IFERROR(P721/Q721,"")</f>
        <v/>
      </c>
      <c r="S721" s="15" t="n">
        <v>0.9590000000000001</v>
      </c>
      <c r="T721" s="9">
        <f>IF(R721&gt;1,"A corregir","Válida")</f>
        <v/>
      </c>
      <c r="U721" s="13">
        <f>Q721-P721</f>
        <v/>
      </c>
      <c r="V721" s="13">
        <f>IF(S721="",0,S721*Q721)</f>
        <v/>
      </c>
      <c r="W721" s="9" t="n">
        <v>2026</v>
      </c>
      <c r="X721" s="9" t="n">
        <v>33</v>
      </c>
      <c r="Y721" s="9" t="inlineStr">
        <is>
          <t>2026-S33</t>
        </is>
      </c>
    </row>
    <row r="722">
      <c r="A722" s="9" t="n">
        <v>43049685</v>
      </c>
      <c r="B722" s="11" t="n">
        <v>46247.9965625</v>
      </c>
      <c r="C722" s="12" t="n">
        <v>46247</v>
      </c>
      <c r="D722" s="9">
        <f>YEAR(C722)</f>
        <v/>
      </c>
      <c r="E722" s="9">
        <f>MONTH(C722)</f>
        <v/>
      </c>
      <c r="F722" s="9" t="inlineStr">
        <is>
          <t>Saferock</t>
        </is>
      </c>
      <c r="G722" s="9" t="inlineStr">
        <is>
          <t>SAFEROCK 22MM 12M A420</t>
        </is>
      </c>
      <c r="H722" s="9" t="inlineStr">
        <is>
          <t>SAFEROCK 22MM 12M A420</t>
        </is>
      </c>
      <c r="I722" s="9" t="inlineStr">
        <is>
          <t>SFRCK 22</t>
        </is>
      </c>
      <c r="J722" s="9" t="n">
        <v>106025567</v>
      </c>
      <c r="K722" s="9" t="n">
        <v>22</v>
      </c>
      <c r="L722" s="9" t="n"/>
      <c r="M722" s="9" t="n"/>
      <c r="N722" s="9" t="n"/>
      <c r="O722" s="9" t="n">
        <v>12</v>
      </c>
      <c r="P722" s="13" t="n">
        <v>24686</v>
      </c>
      <c r="Q722" s="13" t="n">
        <v>27376.8</v>
      </c>
      <c r="R722" s="14">
        <f>IFERROR(P722/Q722,"")</f>
        <v/>
      </c>
      <c r="S722" s="15" t="n">
        <v>0.9590000000000001</v>
      </c>
      <c r="T722" s="9">
        <f>IF(R722&gt;1,"A corregir","Válida")</f>
        <v/>
      </c>
      <c r="U722" s="13">
        <f>Q722-P722</f>
        <v/>
      </c>
      <c r="V722" s="13">
        <f>IF(S722="",0,S722*Q722)</f>
        <v/>
      </c>
      <c r="W722" s="9" t="n">
        <v>2026</v>
      </c>
      <c r="X722" s="9" t="n">
        <v>33</v>
      </c>
      <c r="Y722" s="9" t="inlineStr">
        <is>
          <t>2026-S33</t>
        </is>
      </c>
    </row>
    <row r="723">
      <c r="A723" s="9" t="n">
        <v>43049596</v>
      </c>
      <c r="B723" s="11" t="n">
        <v>46248.05204861111</v>
      </c>
      <c r="C723" s="12" t="n">
        <v>46248</v>
      </c>
      <c r="D723" s="9">
        <f>YEAR(C723)</f>
        <v/>
      </c>
      <c r="E723" s="9">
        <f>MONTH(C723)</f>
        <v/>
      </c>
      <c r="F723" s="9" t="inlineStr">
        <is>
          <t>Saferock</t>
        </is>
      </c>
      <c r="G723" s="9" t="inlineStr">
        <is>
          <t>SAFEROCK 22MM 12M A280</t>
        </is>
      </c>
      <c r="H723" s="9" t="inlineStr">
        <is>
          <t>SAFEROCK SEMI 22MM 12M A280</t>
        </is>
      </c>
      <c r="I723" s="9" t="inlineStr">
        <is>
          <t>SFRCK 22</t>
        </is>
      </c>
      <c r="J723" s="9" t="n">
        <v>106025569</v>
      </c>
      <c r="K723" s="9" t="n">
        <v>22</v>
      </c>
      <c r="L723" s="9" t="n"/>
      <c r="M723" s="9" t="n"/>
      <c r="N723" s="9" t="n"/>
      <c r="O723" s="9" t="n">
        <v>12</v>
      </c>
      <c r="P723" s="13" t="n">
        <v>120129</v>
      </c>
      <c r="Q723" s="13" t="n">
        <v>125452.8</v>
      </c>
      <c r="R723" s="14">
        <f>IFERROR(P723/Q723,"")</f>
        <v/>
      </c>
      <c r="S723" s="15" t="n">
        <v>0.9590000000000001</v>
      </c>
      <c r="T723" s="9">
        <f>IF(R723&gt;1,"A corregir","Válida")</f>
        <v/>
      </c>
      <c r="U723" s="13">
        <f>Q723-P723</f>
        <v/>
      </c>
      <c r="V723" s="13">
        <f>IF(S723="",0,S723*Q723)</f>
        <v/>
      </c>
      <c r="W723" s="9" t="n">
        <v>2026</v>
      </c>
      <c r="X723" s="9" t="n">
        <v>33</v>
      </c>
      <c r="Y723" s="9" t="inlineStr">
        <is>
          <t>2026-S33</t>
        </is>
      </c>
    </row>
    <row r="724">
      <c r="A724" s="9" t="n">
        <v>43049597</v>
      </c>
      <c r="B724" s="11" t="n">
        <v>46248.28765046296</v>
      </c>
      <c r="C724" s="12" t="n">
        <v>46248</v>
      </c>
      <c r="D724" s="9">
        <f>YEAR(C724)</f>
        <v/>
      </c>
      <c r="E724" s="9">
        <f>MONTH(C724)</f>
        <v/>
      </c>
      <c r="F724" s="9" t="inlineStr">
        <is>
          <t>Saferock</t>
        </is>
      </c>
      <c r="G724" s="9" t="inlineStr">
        <is>
          <t>SAFEROCK 22MM 10,5M A280</t>
        </is>
      </c>
      <c r="H724" s="9" t="inlineStr">
        <is>
          <t>SAFEROCK SEMI 22MM 10,5M A280</t>
        </is>
      </c>
      <c r="I724" s="9" t="inlineStr">
        <is>
          <t>SFRCK 22</t>
        </is>
      </c>
      <c r="J724" s="9" t="n">
        <v>106501802</v>
      </c>
      <c r="K724" s="9" t="n">
        <v>22</v>
      </c>
      <c r="L724" s="9" t="n"/>
      <c r="M724" s="9" t="n"/>
      <c r="N724" s="9" t="n"/>
      <c r="O724" s="9" t="n">
        <v>10.5</v>
      </c>
      <c r="P724" s="13" t="n">
        <v>40542</v>
      </c>
      <c r="Q724" s="13" t="n">
        <v>42240</v>
      </c>
      <c r="R724" s="14">
        <f>IFERROR(P724/Q724,"")</f>
        <v/>
      </c>
      <c r="S724" s="15" t="n">
        <v>0.958</v>
      </c>
      <c r="T724" s="9">
        <f>IF(R724&gt;1,"A corregir","Válida")</f>
        <v/>
      </c>
      <c r="U724" s="13">
        <f>Q724-P724</f>
        <v/>
      </c>
      <c r="V724" s="13">
        <f>IF(S724="",0,S724*Q724)</f>
        <v/>
      </c>
      <c r="W724" s="9" t="n">
        <v>2026</v>
      </c>
      <c r="X724" s="9" t="n">
        <v>33</v>
      </c>
      <c r="Y724" s="9" t="inlineStr">
        <is>
          <t>2026-S33</t>
        </is>
      </c>
    </row>
    <row r="725">
      <c r="A725" s="9" t="n">
        <v>43049640</v>
      </c>
      <c r="B725" s="11" t="n">
        <v>46248.36465277777</v>
      </c>
      <c r="C725" s="12" t="n">
        <v>46248</v>
      </c>
      <c r="D725" s="9">
        <f>YEAR(C725)</f>
        <v/>
      </c>
      <c r="E725" s="9">
        <f>MONTH(C725)</f>
        <v/>
      </c>
      <c r="F725" s="9" t="inlineStr">
        <is>
          <t>Saferock</t>
        </is>
      </c>
      <c r="G725" s="9" t="inlineStr">
        <is>
          <t>SAFEROCK 22MM 10,5M A520</t>
        </is>
      </c>
      <c r="H725" s="9" t="inlineStr">
        <is>
          <t>SAFEROCK 22MM 10,5M A520</t>
        </is>
      </c>
      <c r="I725" s="9" t="inlineStr">
        <is>
          <t>SFRCK 22</t>
        </is>
      </c>
      <c r="J725" s="9" t="n">
        <v>119506835</v>
      </c>
      <c r="K725" s="9" t="n">
        <v>22</v>
      </c>
      <c r="L725" s="9" t="n"/>
      <c r="M725" s="9" t="n"/>
      <c r="N725" s="9" t="n"/>
      <c r="O725" s="9" t="n">
        <v>10.5</v>
      </c>
      <c r="P725" s="13" t="n">
        <v>28541</v>
      </c>
      <c r="Q725" s="13" t="n">
        <v>30835.2</v>
      </c>
      <c r="R725" s="14">
        <f>IFERROR(P725/Q725,"")</f>
        <v/>
      </c>
      <c r="S725" s="15" t="n">
        <v>0.97</v>
      </c>
      <c r="T725" s="9">
        <f>IF(R725&gt;1,"A corregir","Válida")</f>
        <v/>
      </c>
      <c r="U725" s="13">
        <f>Q725-P725</f>
        <v/>
      </c>
      <c r="V725" s="13">
        <f>IF(S725="",0,S725*Q725)</f>
        <v/>
      </c>
      <c r="W725" s="9" t="n">
        <v>2026</v>
      </c>
      <c r="X725" s="9" t="n">
        <v>33</v>
      </c>
      <c r="Y725" s="9" t="inlineStr">
        <is>
          <t>2026-S33</t>
        </is>
      </c>
    </row>
    <row r="726">
      <c r="A726" s="9" t="n">
        <v>43049598</v>
      </c>
      <c r="B726" s="11" t="n">
        <v>46248.41792824074</v>
      </c>
      <c r="C726" s="12" t="n">
        <v>46248</v>
      </c>
      <c r="D726" s="9">
        <f>YEAR(C726)</f>
        <v/>
      </c>
      <c r="E726" s="9">
        <f>MONTH(C726)</f>
        <v/>
      </c>
      <c r="F726" s="9" t="inlineStr">
        <is>
          <t>Saferock</t>
        </is>
      </c>
      <c r="G726" s="9" t="inlineStr">
        <is>
          <t>SAFEROCK 22MM 10M A280</t>
        </is>
      </c>
      <c r="H726" s="9" t="inlineStr">
        <is>
          <t>SAFEROCK SEMI 22MM 10M A280</t>
        </is>
      </c>
      <c r="I726" s="9" t="inlineStr">
        <is>
          <t>SFRCK 22</t>
        </is>
      </c>
      <c r="J726" s="9" t="n">
        <v>106043322</v>
      </c>
      <c r="K726" s="9" t="n">
        <v>22</v>
      </c>
      <c r="L726" s="9" t="n"/>
      <c r="M726" s="9" t="n"/>
      <c r="N726" s="9" t="n"/>
      <c r="O726" s="9" t="n">
        <v>10</v>
      </c>
      <c r="P726" s="13" t="n">
        <v>101464</v>
      </c>
      <c r="Q726" s="13" t="n">
        <v>107263.2</v>
      </c>
      <c r="R726" s="14">
        <f>IFERROR(P726/Q726,"")</f>
        <v/>
      </c>
      <c r="S726" s="15" t="n">
        <v>0.953</v>
      </c>
      <c r="T726" s="9">
        <f>IF(R726&gt;1,"A corregir","Válida")</f>
        <v/>
      </c>
      <c r="U726" s="13">
        <f>Q726-P726</f>
        <v/>
      </c>
      <c r="V726" s="13">
        <f>IF(S726="",0,S726*Q726)</f>
        <v/>
      </c>
      <c r="W726" s="9" t="n">
        <v>2026</v>
      </c>
      <c r="X726" s="9" t="n">
        <v>33</v>
      </c>
      <c r="Y726" s="9" t="inlineStr">
        <is>
          <t>2026-S33</t>
        </is>
      </c>
    </row>
    <row r="727">
      <c r="A727" s="9" t="n">
        <v>43049698</v>
      </c>
      <c r="B727" s="11" t="n">
        <v>46248.61231481482</v>
      </c>
      <c r="C727" s="12" t="n">
        <v>46248</v>
      </c>
      <c r="D727" s="9">
        <f>YEAR(C727)</f>
        <v/>
      </c>
      <c r="E727" s="9">
        <f>MONTH(C727)</f>
        <v/>
      </c>
      <c r="F727" s="9" t="inlineStr">
        <is>
          <t>Saferock</t>
        </is>
      </c>
      <c r="G727" s="9" t="inlineStr">
        <is>
          <t>SAFEROCK 22MM 12M A280</t>
        </is>
      </c>
      <c r="H727" s="9" t="inlineStr">
        <is>
          <t>SAFEROCK 22MM 12M A280</t>
        </is>
      </c>
      <c r="I727" s="9" t="inlineStr">
        <is>
          <t>SFRCK 22</t>
        </is>
      </c>
      <c r="J727" s="9" t="n">
        <v>106025569</v>
      </c>
      <c r="K727" s="9" t="n">
        <v>22</v>
      </c>
      <c r="L727" s="9" t="n"/>
      <c r="M727" s="9" t="n"/>
      <c r="N727" s="9" t="n"/>
      <c r="O727" s="9" t="n">
        <v>12</v>
      </c>
      <c r="P727" s="13" t="n">
        <v>73372</v>
      </c>
      <c r="Q727" s="13" t="n">
        <v>77721.60000000001</v>
      </c>
      <c r="R727" s="14">
        <f>IFERROR(P727/Q727,"")</f>
        <v/>
      </c>
      <c r="S727" s="15" t="n">
        <v>0.9590000000000001</v>
      </c>
      <c r="T727" s="9">
        <f>IF(R727&gt;1,"A corregir","Válida")</f>
        <v/>
      </c>
      <c r="U727" s="13">
        <f>Q727-P727</f>
        <v/>
      </c>
      <c r="V727" s="13">
        <f>IF(S727="",0,S727*Q727)</f>
        <v/>
      </c>
      <c r="W727" s="9" t="n">
        <v>2026</v>
      </c>
      <c r="X727" s="9" t="n">
        <v>33</v>
      </c>
      <c r="Y727" s="9" t="inlineStr">
        <is>
          <t>2026-S33</t>
        </is>
      </c>
    </row>
    <row r="728">
      <c r="A728" s="9" t="n">
        <v>43049708</v>
      </c>
      <c r="B728" s="11" t="n">
        <v>46249.00221064815</v>
      </c>
      <c r="C728" s="12" t="n">
        <v>46249</v>
      </c>
      <c r="D728" s="9">
        <f>YEAR(C728)</f>
        <v/>
      </c>
      <c r="E728" s="9">
        <f>MONTH(C728)</f>
        <v/>
      </c>
      <c r="F728" s="9" t="inlineStr">
        <is>
          <t>Saferock</t>
        </is>
      </c>
      <c r="G728" s="9" t="inlineStr">
        <is>
          <t>SAFEROCK 25MM 10,8M A280</t>
        </is>
      </c>
      <c r="H728" s="9" t="inlineStr">
        <is>
          <t>SAFEROCK SEMI 25MM 10,8M A280</t>
        </is>
      </c>
      <c r="I728" s="9" t="inlineStr">
        <is>
          <t>SFR 25</t>
        </is>
      </c>
      <c r="J728" s="9" t="n">
        <v>106503217</v>
      </c>
      <c r="K728" s="9" t="n">
        <v>25</v>
      </c>
      <c r="L728" s="9" t="n"/>
      <c r="M728" s="9" t="n"/>
      <c r="N728" s="9" t="n"/>
      <c r="O728" s="9" t="n">
        <v>10.8</v>
      </c>
      <c r="P728" s="13" t="n">
        <v>18324</v>
      </c>
      <c r="Q728" s="13" t="n">
        <v>19747.2</v>
      </c>
      <c r="R728" s="14">
        <f>IFERROR(P728/Q728,"")</f>
        <v/>
      </c>
      <c r="S728" s="15" t="n">
        <v>0.953</v>
      </c>
      <c r="T728" s="9">
        <f>IF(R728&gt;1,"A corregir","Válida")</f>
        <v/>
      </c>
      <c r="U728" s="13">
        <f>Q728-P728</f>
        <v/>
      </c>
      <c r="V728" s="13">
        <f>IF(S728="",0,S728*Q728)</f>
        <v/>
      </c>
      <c r="W728" s="9" t="n">
        <v>2026</v>
      </c>
      <c r="X728" s="9" t="n">
        <v>33</v>
      </c>
      <c r="Y728" s="9" t="inlineStr">
        <is>
          <t>2026-S33</t>
        </is>
      </c>
    </row>
    <row r="729">
      <c r="A729" s="9" t="n">
        <v>43049586</v>
      </c>
      <c r="B729" s="11" t="n">
        <v>46249.03890046296</v>
      </c>
      <c r="C729" s="12" t="n">
        <v>46249</v>
      </c>
      <c r="D729" s="9">
        <f>YEAR(C729)</f>
        <v/>
      </c>
      <c r="E729" s="9">
        <f>MONTH(C729)</f>
        <v/>
      </c>
      <c r="F729" s="9" t="inlineStr">
        <is>
          <t>Saferock</t>
        </is>
      </c>
      <c r="G729" s="9" t="inlineStr">
        <is>
          <t>SAFEROCK 25MM 12M A420</t>
        </is>
      </c>
      <c r="H729" s="9" t="inlineStr">
        <is>
          <t>SAFEROCK 25MM 12M A420</t>
        </is>
      </c>
      <c r="I729" s="9" t="inlineStr">
        <is>
          <t>SFR 25</t>
        </is>
      </c>
      <c r="J729" s="9" t="n">
        <v>106025583</v>
      </c>
      <c r="K729" s="9" t="n">
        <v>25</v>
      </c>
      <c r="L729" s="9" t="n"/>
      <c r="M729" s="9" t="n"/>
      <c r="N729" s="9" t="n"/>
      <c r="O729" s="9" t="n">
        <v>12</v>
      </c>
      <c r="P729" s="13" t="n">
        <v>31019</v>
      </c>
      <c r="Q729" s="13" t="n">
        <v>32313.6</v>
      </c>
      <c r="R729" s="14">
        <f>IFERROR(P729/Q729,"")</f>
        <v/>
      </c>
      <c r="S729" s="15" t="n">
        <v>0.953</v>
      </c>
      <c r="T729" s="9">
        <f>IF(R729&gt;1,"A corregir","Válida")</f>
        <v/>
      </c>
      <c r="U729" s="13">
        <f>Q729-P729</f>
        <v/>
      </c>
      <c r="V729" s="13">
        <f>IF(S729="",0,S729*Q729)</f>
        <v/>
      </c>
      <c r="W729" s="9" t="n">
        <v>2026</v>
      </c>
      <c r="X729" s="9" t="n">
        <v>33</v>
      </c>
      <c r="Y729" s="9" t="inlineStr">
        <is>
          <t>2026-S33</t>
        </is>
      </c>
    </row>
    <row r="730">
      <c r="A730" s="9" t="n">
        <v>43049587</v>
      </c>
      <c r="B730" s="11" t="n">
        <v>46249.09105324074</v>
      </c>
      <c r="C730" s="12" t="n">
        <v>46249</v>
      </c>
      <c r="D730" s="9">
        <f>YEAR(C730)</f>
        <v/>
      </c>
      <c r="E730" s="9">
        <f>MONTH(C730)</f>
        <v/>
      </c>
      <c r="F730" s="9" t="inlineStr">
        <is>
          <t>Saferock</t>
        </is>
      </c>
      <c r="G730" s="9" t="inlineStr">
        <is>
          <t>SAFEROCK 25MM 12M A420</t>
        </is>
      </c>
      <c r="H730" s="9" t="inlineStr">
        <is>
          <t>SAFEROCK SEMI 25MM 12M A420</t>
        </is>
      </c>
      <c r="I730" s="9" t="inlineStr">
        <is>
          <t>SFR 25</t>
        </is>
      </c>
      <c r="J730" s="9" t="n">
        <v>106025583</v>
      </c>
      <c r="K730" s="9" t="n">
        <v>25</v>
      </c>
      <c r="L730" s="9" t="n"/>
      <c r="M730" s="9" t="n"/>
      <c r="N730" s="9" t="n"/>
      <c r="O730" s="9" t="n">
        <v>12</v>
      </c>
      <c r="P730" s="13" t="n">
        <v>31214</v>
      </c>
      <c r="Q730" s="13" t="n">
        <v>32313.6</v>
      </c>
      <c r="R730" s="14">
        <f>IFERROR(P730/Q730,"")</f>
        <v/>
      </c>
      <c r="S730" s="15" t="n">
        <v>0.953</v>
      </c>
      <c r="T730" s="9">
        <f>IF(R730&gt;1,"A corregir","Válida")</f>
        <v/>
      </c>
      <c r="U730" s="13">
        <f>Q730-P730</f>
        <v/>
      </c>
      <c r="V730" s="13">
        <f>IF(S730="",0,S730*Q730)</f>
        <v/>
      </c>
      <c r="W730" s="9" t="n">
        <v>2026</v>
      </c>
      <c r="X730" s="9" t="n">
        <v>33</v>
      </c>
      <c r="Y730" s="9" t="inlineStr">
        <is>
          <t>2026-S33</t>
        </is>
      </c>
    </row>
    <row r="731">
      <c r="A731" s="9" t="n">
        <v>43049588</v>
      </c>
      <c r="B731" s="11" t="n">
        <v>46249.3205787037</v>
      </c>
      <c r="C731" s="12" t="n">
        <v>46249</v>
      </c>
      <c r="D731" s="9">
        <f>YEAR(C731)</f>
        <v/>
      </c>
      <c r="E731" s="9">
        <f>MONTH(C731)</f>
        <v/>
      </c>
      <c r="F731" s="9" t="inlineStr">
        <is>
          <t>Saferock</t>
        </is>
      </c>
      <c r="G731" s="9" t="inlineStr">
        <is>
          <t>SAFEROCK 25MM 10M A420</t>
        </is>
      </c>
      <c r="H731" s="9" t="inlineStr">
        <is>
          <t>SAFEROCK SEMI 25MM 10M A420</t>
        </is>
      </c>
      <c r="I731" s="9" t="inlineStr">
        <is>
          <t>SFR 25</t>
        </is>
      </c>
      <c r="J731" s="9" t="n">
        <v>106043671</v>
      </c>
      <c r="K731" s="9" t="n">
        <v>25</v>
      </c>
      <c r="L731" s="9" t="n"/>
      <c r="M731" s="9" t="n"/>
      <c r="N731" s="9" t="n"/>
      <c r="O731" s="9" t="n">
        <v>10</v>
      </c>
      <c r="P731" s="13" t="n">
        <v>28183</v>
      </c>
      <c r="Q731" s="13" t="n">
        <v>1795.2</v>
      </c>
      <c r="R731" s="14">
        <f>IFERROR(P731/Q731,"")</f>
        <v/>
      </c>
      <c r="S731" s="15" t="n">
        <v>0.9540000000000001</v>
      </c>
      <c r="T731" s="9">
        <f>IF(R731&gt;1,"A corregir","Válida")</f>
        <v/>
      </c>
      <c r="U731" s="13">
        <f>Q731-P731</f>
        <v/>
      </c>
      <c r="V731" s="13">
        <f>IF(S731="",0,S731*Q731)</f>
        <v/>
      </c>
      <c r="W731" s="9" t="n">
        <v>2026</v>
      </c>
      <c r="X731" s="9" t="n">
        <v>33</v>
      </c>
      <c r="Y731" s="9" t="inlineStr">
        <is>
          <t>2026-S33</t>
        </is>
      </c>
    </row>
    <row r="732">
      <c r="A732" s="9" t="n">
        <v>43049585</v>
      </c>
      <c r="B732" s="11" t="n">
        <v>46249.34965277778</v>
      </c>
      <c r="C732" s="12" t="n">
        <v>46249</v>
      </c>
      <c r="D732" s="9">
        <f>YEAR(C732)</f>
        <v/>
      </c>
      <c r="E732" s="9">
        <f>MONTH(C732)</f>
        <v/>
      </c>
      <c r="F732" s="9" t="inlineStr">
        <is>
          <t>Saferock</t>
        </is>
      </c>
      <c r="G732" s="9" t="inlineStr">
        <is>
          <t>SAFEROCK 25MM 8,4M A520</t>
        </is>
      </c>
      <c r="H732" s="9" t="inlineStr">
        <is>
          <t>SAFEROCK 25MM 8,4M A520</t>
        </is>
      </c>
      <c r="I732" s="9" t="inlineStr">
        <is>
          <t>SFR 25</t>
        </is>
      </c>
      <c r="J732" s="9" t="n">
        <v>119505906</v>
      </c>
      <c r="K732" s="9" t="n">
        <v>25</v>
      </c>
      <c r="L732" s="9" t="n"/>
      <c r="M732" s="9" t="n"/>
      <c r="N732" s="9" t="n"/>
      <c r="O732" s="9" t="n">
        <v>10.8</v>
      </c>
      <c r="P732" s="13" t="n">
        <v>26831</v>
      </c>
      <c r="Q732" s="13" t="n">
        <v>29620.8</v>
      </c>
      <c r="R732" s="14">
        <f>IFERROR(P732/Q732,"")</f>
        <v/>
      </c>
      <c r="S732" s="15" t="n">
        <v>0.97</v>
      </c>
      <c r="T732" s="9">
        <f>IF(R732&gt;1,"A corregir","Válida")</f>
        <v/>
      </c>
      <c r="U732" s="13">
        <f>Q732-P732</f>
        <v/>
      </c>
      <c r="V732" s="13">
        <f>IF(S732="",0,S732*Q732)</f>
        <v/>
      </c>
      <c r="W732" s="9" t="n">
        <v>2026</v>
      </c>
      <c r="X732" s="9" t="n">
        <v>33</v>
      </c>
      <c r="Y732" s="9" t="inlineStr">
        <is>
          <t>2026-S33</t>
        </is>
      </c>
    </row>
    <row r="733">
      <c r="A733" s="9" t="n">
        <v>43049612</v>
      </c>
      <c r="B733" s="11" t="n">
        <v>46249.50394675926</v>
      </c>
      <c r="C733" s="12" t="n">
        <v>46249</v>
      </c>
      <c r="D733" s="9">
        <f>YEAR(C733)</f>
        <v/>
      </c>
      <c r="E733" s="9">
        <f>MONTH(C733)</f>
        <v/>
      </c>
      <c r="F733" s="9" t="inlineStr">
        <is>
          <t>B Hormigón</t>
        </is>
      </c>
      <c r="G733" s="9" t="inlineStr">
        <is>
          <t>B HORMIGON 25MM 6M A630-420H (N)</t>
        </is>
      </c>
      <c r="H733" s="9" t="inlineStr">
        <is>
          <t>B HORMIGON 25MM 6M A630-420H (N)</t>
        </is>
      </c>
      <c r="I733" s="9" t="inlineStr">
        <is>
          <t>RED 25 CR</t>
        </is>
      </c>
      <c r="J733" s="9" t="n">
        <v>110002923</v>
      </c>
      <c r="K733" s="9" t="n">
        <v>25</v>
      </c>
      <c r="L733" s="9" t="n"/>
      <c r="M733" s="9" t="n"/>
      <c r="N733" s="9" t="n"/>
      <c r="O733" s="9" t="n">
        <v>6</v>
      </c>
      <c r="P733" s="13" t="n">
        <v>36319</v>
      </c>
      <c r="Q733" s="13" t="n">
        <v>38332.8</v>
      </c>
      <c r="R733" s="14">
        <f>IFERROR(P733/Q733,"")</f>
        <v/>
      </c>
      <c r="S733" s="15" t="n">
        <v>0.95</v>
      </c>
      <c r="T733" s="9">
        <f>IF(R733&gt;1,"A corregir","Válida")</f>
        <v/>
      </c>
      <c r="U733" s="13">
        <f>Q733-P733</f>
        <v/>
      </c>
      <c r="V733" s="13">
        <f>IF(S733="",0,S733*Q733)</f>
        <v/>
      </c>
      <c r="W733" s="9" t="n">
        <v>2026</v>
      </c>
      <c r="X733" s="9" t="n">
        <v>33</v>
      </c>
      <c r="Y733" s="9" t="inlineStr">
        <is>
          <t>2026-S33</t>
        </is>
      </c>
    </row>
    <row r="734">
      <c r="A734" s="9" t="n">
        <v>43049611</v>
      </c>
      <c r="B734" s="11" t="n">
        <v>46249.57314814815</v>
      </c>
      <c r="C734" s="12" t="n">
        <v>46249</v>
      </c>
      <c r="D734" s="9">
        <f>YEAR(C734)</f>
        <v/>
      </c>
      <c r="E734" s="9">
        <f>MONTH(C734)</f>
        <v/>
      </c>
      <c r="F734" s="9" t="inlineStr">
        <is>
          <t>B Hormigón</t>
        </is>
      </c>
      <c r="G734" s="9" t="inlineStr">
        <is>
          <t>B HORMIGON 25MM 7M A630-420H (N)</t>
        </is>
      </c>
      <c r="H734" s="9" t="inlineStr">
        <is>
          <t>B HORMIGON 25MM 7M A630-420H (N)</t>
        </is>
      </c>
      <c r="I734" s="9" t="inlineStr">
        <is>
          <t>RED 25 CR</t>
        </is>
      </c>
      <c r="J734" s="9" t="n">
        <v>110002927</v>
      </c>
      <c r="K734" s="9" t="n">
        <v>25</v>
      </c>
      <c r="L734" s="9" t="n"/>
      <c r="M734" s="9" t="n"/>
      <c r="N734" s="9" t="n"/>
      <c r="O734" s="9" t="n">
        <v>7</v>
      </c>
      <c r="P734" s="13" t="n">
        <v>137605</v>
      </c>
      <c r="Q734" s="13" t="n">
        <v>145411.2</v>
      </c>
      <c r="R734" s="14">
        <f>IFERROR(P734/Q734,"")</f>
        <v/>
      </c>
      <c r="S734" s="15" t="n">
        <v>0.95</v>
      </c>
      <c r="T734" s="9">
        <f>IF(R734&gt;1,"A corregir","Válida")</f>
        <v/>
      </c>
      <c r="U734" s="13">
        <f>Q734-P734</f>
        <v/>
      </c>
      <c r="V734" s="13">
        <f>IF(S734="",0,S734*Q734)</f>
        <v/>
      </c>
      <c r="W734" s="9" t="n">
        <v>2026</v>
      </c>
      <c r="X734" s="9" t="n">
        <v>33</v>
      </c>
      <c r="Y734" s="9" t="inlineStr">
        <is>
          <t>2026-S33</t>
        </is>
      </c>
    </row>
    <row r="735">
      <c r="A735" s="9" t="n">
        <v>43049608</v>
      </c>
      <c r="B735" s="11" t="n">
        <v>46251.11431712963</v>
      </c>
      <c r="C735" s="12" t="n">
        <v>46251</v>
      </c>
      <c r="D735" s="9">
        <f>YEAR(C735)</f>
        <v/>
      </c>
      <c r="E735" s="9">
        <f>MONTH(C735)</f>
        <v/>
      </c>
      <c r="F735" s="9" t="inlineStr">
        <is>
          <t>B Hormigón</t>
        </is>
      </c>
      <c r="G735" s="9" t="inlineStr">
        <is>
          <t>B HORMIGON 25MM 11M A630-420H (N)</t>
        </is>
      </c>
      <c r="H735" s="9" t="inlineStr">
        <is>
          <t>B HORMIGON 25MM 11M A630-420H (N)</t>
        </is>
      </c>
      <c r="I735" s="9" t="inlineStr">
        <is>
          <t>RED 25 CR</t>
        </is>
      </c>
      <c r="J735" s="9" t="n">
        <v>110002947</v>
      </c>
      <c r="K735" s="9" t="n">
        <v>25</v>
      </c>
      <c r="L735" s="9" t="n"/>
      <c r="M735" s="9" t="n"/>
      <c r="N735" s="9" t="n"/>
      <c r="O735" s="9" t="n">
        <v>11</v>
      </c>
      <c r="P735" s="13" t="n">
        <v>101987</v>
      </c>
      <c r="Q735" s="13" t="n">
        <v>108900</v>
      </c>
      <c r="R735" s="14">
        <f>IFERROR(P735/Q735,"")</f>
        <v/>
      </c>
      <c r="S735" s="15" t="n">
        <v>0.95</v>
      </c>
      <c r="T735" s="9">
        <f>IF(R735&gt;1,"A corregir","Válida")</f>
        <v/>
      </c>
      <c r="U735" s="13">
        <f>Q735-P735</f>
        <v/>
      </c>
      <c r="V735" s="13">
        <f>IF(S735="",0,S735*Q735)</f>
        <v/>
      </c>
      <c r="W735" s="9" t="n">
        <v>2026</v>
      </c>
      <c r="X735" s="9" t="n">
        <v>34</v>
      </c>
      <c r="Y735" s="9" t="inlineStr">
        <is>
          <t>2026-S34</t>
        </is>
      </c>
    </row>
    <row r="736">
      <c r="A736" s="9" t="n">
        <v>43049609</v>
      </c>
      <c r="B736" s="11" t="n">
        <v>46251.30047453703</v>
      </c>
      <c r="C736" s="12" t="n">
        <v>46251</v>
      </c>
      <c r="D736" s="9">
        <f>YEAR(C736)</f>
        <v/>
      </c>
      <c r="E736" s="9">
        <f>MONTH(C736)</f>
        <v/>
      </c>
      <c r="F736" s="9" t="inlineStr">
        <is>
          <t>B Hormigón</t>
        </is>
      </c>
      <c r="G736" s="9" t="inlineStr">
        <is>
          <t>B HORMIGON 25MM 10M A630-420H (N)</t>
        </is>
      </c>
      <c r="H736" s="9" t="inlineStr">
        <is>
          <t>B HORMIGON 25MM 10M A630-420H (N)</t>
        </is>
      </c>
      <c r="I736" s="9" t="inlineStr">
        <is>
          <t>RED 25 CR</t>
        </is>
      </c>
      <c r="J736" s="9" t="n">
        <v>110002943</v>
      </c>
      <c r="K736" s="9" t="n">
        <v>25</v>
      </c>
      <c r="L736" s="9" t="n"/>
      <c r="M736" s="9" t="n"/>
      <c r="N736" s="9" t="n"/>
      <c r="O736" s="9" t="n">
        <v>10</v>
      </c>
      <c r="P736" s="13" t="n">
        <v>45399</v>
      </c>
      <c r="Q736" s="13" t="n">
        <v>48351.6</v>
      </c>
      <c r="R736" s="14">
        <f>IFERROR(P736/Q736,"")</f>
        <v/>
      </c>
      <c r="S736" s="15" t="n">
        <v>0.95</v>
      </c>
      <c r="T736" s="9">
        <f>IF(R736&gt;1,"A corregir","Válida")</f>
        <v/>
      </c>
      <c r="U736" s="13">
        <f>Q736-P736</f>
        <v/>
      </c>
      <c r="V736" s="13">
        <f>IF(S736="",0,S736*Q736)</f>
        <v/>
      </c>
      <c r="W736" s="9" t="n">
        <v>2026</v>
      </c>
      <c r="X736" s="9" t="n">
        <v>34</v>
      </c>
      <c r="Y736" s="9" t="inlineStr">
        <is>
          <t>2026-S34</t>
        </is>
      </c>
    </row>
    <row r="737">
      <c r="A737" s="9" t="n">
        <v>43049610</v>
      </c>
      <c r="B737" s="11" t="n">
        <v>46251.39021990741</v>
      </c>
      <c r="C737" s="12" t="n">
        <v>46251</v>
      </c>
      <c r="D737" s="9">
        <f>YEAR(C737)</f>
        <v/>
      </c>
      <c r="E737" s="9">
        <f>MONTH(C737)</f>
        <v/>
      </c>
      <c r="F737" s="9" t="inlineStr">
        <is>
          <t>B Hormigón</t>
        </is>
      </c>
      <c r="G737" s="9" t="inlineStr">
        <is>
          <t>B HORMIGON 25MM 8M A630-420H (N)</t>
        </is>
      </c>
      <c r="H737" s="9" t="inlineStr">
        <is>
          <t>B HORMIGON 25MM 8M A630-420H (N)</t>
        </is>
      </c>
      <c r="I737" s="9" t="inlineStr">
        <is>
          <t>RED 25 CR</t>
        </is>
      </c>
      <c r="J737" s="9" t="n">
        <v>110002921</v>
      </c>
      <c r="K737" s="9" t="n">
        <v>25</v>
      </c>
      <c r="L737" s="9" t="n"/>
      <c r="M737" s="9" t="n"/>
      <c r="N737" s="9" t="n"/>
      <c r="O737" s="9" t="n">
        <v>8</v>
      </c>
      <c r="P737" s="13" t="n">
        <v>52172</v>
      </c>
      <c r="Q737" s="13" t="n">
        <v>52958.4</v>
      </c>
      <c r="R737" s="14">
        <f>IFERROR(P737/Q737,"")</f>
        <v/>
      </c>
      <c r="S737" s="15" t="n">
        <v>0.95</v>
      </c>
      <c r="T737" s="9">
        <f>IF(R737&gt;1,"A corregir","Válida")</f>
        <v/>
      </c>
      <c r="U737" s="13">
        <f>Q737-P737</f>
        <v/>
      </c>
      <c r="V737" s="13">
        <f>IF(S737="",0,S737*Q737)</f>
        <v/>
      </c>
      <c r="W737" s="9" t="n">
        <v>2026</v>
      </c>
      <c r="X737" s="9" t="n">
        <v>34</v>
      </c>
      <c r="Y737" s="9" t="inlineStr">
        <is>
          <t>2026-S34</t>
        </is>
      </c>
    </row>
    <row r="738">
      <c r="A738" s="9" t="n">
        <v>43049641</v>
      </c>
      <c r="B738" s="11" t="n">
        <v>46251.48119212963</v>
      </c>
      <c r="C738" s="12" t="n">
        <v>46251</v>
      </c>
      <c r="D738" s="9">
        <f>YEAR(C738)</f>
        <v/>
      </c>
      <c r="E738" s="9">
        <f>MONTH(C738)</f>
        <v/>
      </c>
      <c r="F738" s="9" t="inlineStr">
        <is>
          <t>B Hormigón</t>
        </is>
      </c>
      <c r="G738" s="9" t="inlineStr">
        <is>
          <t>B HORMIGON 25MM 7M A630-420HS (N)</t>
        </is>
      </c>
      <c r="H738" s="9" t="inlineStr">
        <is>
          <t>B HORMIGON 25MM 7M A630-420HS (N)</t>
        </is>
      </c>
      <c r="I738" s="9" t="inlineStr">
        <is>
          <t>RED 25 CR</t>
        </is>
      </c>
      <c r="J738" s="9" t="n">
        <v>110007410</v>
      </c>
      <c r="K738" s="9" t="n">
        <v>25</v>
      </c>
      <c r="L738" s="9" t="n"/>
      <c r="M738" s="9" t="n"/>
      <c r="N738" s="9" t="n"/>
      <c r="O738" s="9" t="n">
        <v>7</v>
      </c>
      <c r="P738" s="13" t="n">
        <v>29466</v>
      </c>
      <c r="Q738" s="13" t="n">
        <v>30967.2</v>
      </c>
      <c r="R738" s="14">
        <f>IFERROR(P738/Q738,"")</f>
        <v/>
      </c>
      <c r="S738" s="15" t="n">
        <v>0.97</v>
      </c>
      <c r="T738" s="9">
        <f>IF(R738&gt;1,"A corregir","Válida")</f>
        <v/>
      </c>
      <c r="U738" s="13">
        <f>Q738-P738</f>
        <v/>
      </c>
      <c r="V738" s="13">
        <f>IF(S738="",0,S738*Q738)</f>
        <v/>
      </c>
      <c r="W738" s="9" t="n">
        <v>2026</v>
      </c>
      <c r="X738" s="9" t="n">
        <v>34</v>
      </c>
      <c r="Y738" s="9" t="inlineStr">
        <is>
          <t>2026-S34</t>
        </is>
      </c>
    </row>
    <row r="739">
      <c r="A739" s="9" t="n">
        <v>43049613</v>
      </c>
      <c r="B739" s="11" t="n">
        <v>46251.58025462963</v>
      </c>
      <c r="C739" s="12" t="n">
        <v>46251</v>
      </c>
      <c r="D739" s="9">
        <f>YEAR(C739)</f>
        <v/>
      </c>
      <c r="E739" s="9">
        <f>MONTH(C739)</f>
        <v/>
      </c>
      <c r="F739" s="9" t="inlineStr">
        <is>
          <t>Hexágono</t>
        </is>
      </c>
      <c r="G739" s="9" t="inlineStr">
        <is>
          <t>HEXAGONO 1' 8M SAE 1045 (N)</t>
        </is>
      </c>
      <c r="H739" s="9" t="inlineStr">
        <is>
          <t>HEXAGONO 1' 8M SAE 1045 (N)</t>
        </is>
      </c>
      <c r="I739" s="9" t="inlineStr">
        <is>
          <t>HEX 1</t>
        </is>
      </c>
      <c r="J739" s="9" t="n">
        <v>109006943</v>
      </c>
      <c r="K739" s="9" t="n">
        <v>25.4</v>
      </c>
      <c r="L739" s="9" t="n"/>
      <c r="M739" s="9" t="n"/>
      <c r="N739" s="9" t="n"/>
      <c r="O739" s="9" t="n">
        <v>8</v>
      </c>
      <c r="P739" s="13" t="n">
        <v>62552</v>
      </c>
      <c r="Q739" s="13" t="n">
        <v>66422.39999999999</v>
      </c>
      <c r="R739" s="14">
        <f>IFERROR(P739/Q739,"")</f>
        <v/>
      </c>
      <c r="S739" s="15" t="n">
        <v>0.9420000000000001</v>
      </c>
      <c r="T739" s="9">
        <f>IF(R739&gt;1,"A corregir","Válida")</f>
        <v/>
      </c>
      <c r="U739" s="13">
        <f>Q739-P739</f>
        <v/>
      </c>
      <c r="V739" s="13">
        <f>IF(S739="",0,S739*Q739)</f>
        <v/>
      </c>
      <c r="W739" s="9" t="n">
        <v>2026</v>
      </c>
      <c r="X739" s="9" t="n">
        <v>34</v>
      </c>
      <c r="Y739" s="9" t="inlineStr">
        <is>
          <t>2026-S34</t>
        </is>
      </c>
    </row>
    <row r="740">
      <c r="A740" s="9" t="n">
        <v>43049614</v>
      </c>
      <c r="B740" s="11" t="n">
        <v>46251.68662037037</v>
      </c>
      <c r="C740" s="12" t="n">
        <v>46251</v>
      </c>
      <c r="D740" s="9">
        <f>YEAR(C740)</f>
        <v/>
      </c>
      <c r="E740" s="9">
        <f>MONTH(C740)</f>
        <v/>
      </c>
      <c r="F740" s="9" t="inlineStr">
        <is>
          <t>Hexágono</t>
        </is>
      </c>
      <c r="G740" s="9" t="inlineStr">
        <is>
          <t>HEXAGONO 1' 8M SAE 1045 (N)</t>
        </is>
      </c>
      <c r="H740" s="9" t="inlineStr">
        <is>
          <t>HEXAGONO SEMI 1' 8M SAE 1045 (N)</t>
        </is>
      </c>
      <c r="I740" s="9" t="inlineStr">
        <is>
          <t>HEX 1</t>
        </is>
      </c>
      <c r="J740" s="9" t="n">
        <v>109006943</v>
      </c>
      <c r="K740" s="9" t="n">
        <v>25.4</v>
      </c>
      <c r="L740" s="9" t="n"/>
      <c r="M740" s="9" t="n"/>
      <c r="N740" s="9" t="n"/>
      <c r="O740" s="9" t="n">
        <v>8</v>
      </c>
      <c r="P740" s="13" t="n">
        <v>41240</v>
      </c>
      <c r="Q740" s="13" t="n">
        <v>43084.8</v>
      </c>
      <c r="R740" s="14">
        <f>IFERROR(P740/Q740,"")</f>
        <v/>
      </c>
      <c r="S740" s="15" t="n">
        <v>0.9420000000000001</v>
      </c>
      <c r="T740" s="9">
        <f>IF(R740&gt;1,"A corregir","Válida")</f>
        <v/>
      </c>
      <c r="U740" s="13">
        <f>Q740-P740</f>
        <v/>
      </c>
      <c r="V740" s="13">
        <f>IF(S740="",0,S740*Q740)</f>
        <v/>
      </c>
      <c r="W740" s="9" t="n">
        <v>2026</v>
      </c>
      <c r="X740" s="9" t="n">
        <v>34</v>
      </c>
      <c r="Y740" s="9" t="inlineStr">
        <is>
          <t>2026-S34</t>
        </is>
      </c>
    </row>
    <row r="741">
      <c r="A741" s="9" t="n">
        <v>43049669</v>
      </c>
      <c r="B741" s="11" t="n">
        <v>46252.01688657407</v>
      </c>
      <c r="C741" s="12" t="n">
        <v>46252</v>
      </c>
      <c r="D741" s="9">
        <f>YEAR(C741)</f>
        <v/>
      </c>
      <c r="E741" s="9">
        <f>MONTH(C741)</f>
        <v/>
      </c>
      <c r="F741" s="9" t="inlineStr">
        <is>
          <t>Plana</t>
        </is>
      </c>
      <c r="G741" s="9" t="inlineStr">
        <is>
          <t>PLANA 25X3MM 6M A270ES (N)</t>
        </is>
      </c>
      <c r="H741" s="9" t="inlineStr">
        <is>
          <t>PLANA 25X3MM 6M A270ES (N)</t>
        </is>
      </c>
      <c r="I741" s="9" t="inlineStr">
        <is>
          <t>PL 25 x 3</t>
        </is>
      </c>
      <c r="J741" s="9" t="n">
        <v>109013858</v>
      </c>
      <c r="K741" s="9" t="n"/>
      <c r="L741" s="9" t="n">
        <v>25</v>
      </c>
      <c r="M741" s="9" t="n">
        <v>3</v>
      </c>
      <c r="N741" s="9" t="n"/>
      <c r="O741" s="9" t="n">
        <v>6</v>
      </c>
      <c r="P741" s="13" t="n">
        <v>130016</v>
      </c>
      <c r="Q741" s="13" t="n">
        <v>136276.8</v>
      </c>
      <c r="R741" s="14">
        <f>IFERROR(P741/Q741,"")</f>
        <v/>
      </c>
      <c r="S741" s="15" t="n">
        <v>0.968</v>
      </c>
      <c r="T741" s="9">
        <f>IF(R741&gt;1,"A corregir","Válida")</f>
        <v/>
      </c>
      <c r="U741" s="13">
        <f>Q741-P741</f>
        <v/>
      </c>
      <c r="V741" s="13">
        <f>IF(S741="",0,S741*Q741)</f>
        <v/>
      </c>
      <c r="W741" s="9" t="n">
        <v>2026</v>
      </c>
      <c r="X741" s="9" t="n">
        <v>34</v>
      </c>
      <c r="Y741" s="9" t="inlineStr">
        <is>
          <t>2026-S34</t>
        </is>
      </c>
    </row>
    <row r="742">
      <c r="A742" s="9" t="n">
        <v>43049668</v>
      </c>
      <c r="B742" s="11" t="n">
        <v>46252.46869212963</v>
      </c>
      <c r="C742" s="12" t="n">
        <v>46252</v>
      </c>
      <c r="D742" s="9">
        <f>YEAR(C742)</f>
        <v/>
      </c>
      <c r="E742" s="9">
        <f>MONTH(C742)</f>
        <v/>
      </c>
      <c r="F742" s="9" t="inlineStr">
        <is>
          <t>Plana</t>
        </is>
      </c>
      <c r="G742" s="9" t="inlineStr">
        <is>
          <t>PLANA 1"X1/8" X 7,315m ASTM A36 (P)</t>
        </is>
      </c>
      <c r="H742" s="9" t="inlineStr">
        <is>
          <t>PLANA 1"X1/8" X 7,315m ASTM A36 (P)</t>
        </is>
      </c>
      <c r="I742" s="9" t="n"/>
      <c r="J742" s="9" t="n"/>
      <c r="K742" s="9" t="n"/>
      <c r="L742" s="9" t="n">
        <v>25.4</v>
      </c>
      <c r="M742" s="9" t="n">
        <v>3.2</v>
      </c>
      <c r="N742" s="9" t="n"/>
      <c r="O742" s="9" t="n">
        <v>7.315</v>
      </c>
      <c r="P742" s="13" t="n">
        <v>107918</v>
      </c>
      <c r="Q742" s="13" t="n">
        <v>114840</v>
      </c>
      <c r="R742" s="14">
        <f>IFERROR(P742/Q742,"")</f>
        <v/>
      </c>
      <c r="S742" s="15" t="n">
        <v>0.97</v>
      </c>
      <c r="T742" s="9">
        <f>IF(R742&gt;1,"A corregir","Válida")</f>
        <v/>
      </c>
      <c r="U742" s="13">
        <f>Q742-P742</f>
        <v/>
      </c>
      <c r="V742" s="13">
        <f>IF(S742="",0,S742*Q742)</f>
        <v/>
      </c>
      <c r="W742" s="9" t="n">
        <v>2026</v>
      </c>
      <c r="X742" s="9" t="n">
        <v>34</v>
      </c>
      <c r="Y742" s="9" t="inlineStr">
        <is>
          <t>2026-S34</t>
        </is>
      </c>
    </row>
    <row r="743">
      <c r="A743" s="9" t="n">
        <v>43049670</v>
      </c>
      <c r="B743" s="11" t="n">
        <v>46253.53717592593</v>
      </c>
      <c r="C743" s="12" t="n">
        <v>46253</v>
      </c>
      <c r="D743" s="9">
        <f>YEAR(C743)</f>
        <v/>
      </c>
      <c r="E743" s="9">
        <f>MONTH(C743)</f>
        <v/>
      </c>
      <c r="F743" s="9" t="inlineStr">
        <is>
          <t>Redondo liso</t>
        </is>
      </c>
      <c r="G743" s="9" t="inlineStr">
        <is>
          <t>REDONDO LISO 1/2' 6M SAE 1020 (N)</t>
        </is>
      </c>
      <c r="H743" s="9" t="inlineStr">
        <is>
          <t>REDONDO LISO 1/2' 6M SAE 1020 (N)</t>
        </is>
      </c>
      <c r="I743" s="9" t="inlineStr">
        <is>
          <t>RED 1/2"</t>
        </is>
      </c>
      <c r="J743" s="9" t="n">
        <v>109006915</v>
      </c>
      <c r="K743" s="9" t="n">
        <v>12.7</v>
      </c>
      <c r="L743" s="9" t="n"/>
      <c r="M743" s="9" t="n"/>
      <c r="N743" s="9" t="n"/>
      <c r="O743" s="9" t="n">
        <v>6</v>
      </c>
      <c r="P743" s="13" t="n">
        <v>31901</v>
      </c>
      <c r="Q743" s="13" t="n">
        <v>33686.4</v>
      </c>
      <c r="R743" s="14">
        <f>IFERROR(P743/Q743,"")</f>
        <v/>
      </c>
      <c r="S743" s="15" t="n">
        <v>0.96</v>
      </c>
      <c r="T743" s="9">
        <f>IF(R743&gt;1,"A corregir","Válida")</f>
        <v/>
      </c>
      <c r="U743" s="13">
        <f>Q743-P743</f>
        <v/>
      </c>
      <c r="V743" s="13">
        <f>IF(S743="",0,S743*Q743)</f>
        <v/>
      </c>
      <c r="W743" s="9" t="n">
        <v>2026</v>
      </c>
      <c r="X743" s="9" t="n">
        <v>34</v>
      </c>
      <c r="Y743" s="9" t="inlineStr">
        <is>
          <t>2026-S34</t>
        </is>
      </c>
    </row>
    <row r="744">
      <c r="A744" s="9" t="n">
        <v>43049671</v>
      </c>
      <c r="B744" s="11" t="n">
        <v>46253.65403935185</v>
      </c>
      <c r="C744" s="12" t="n">
        <v>46253</v>
      </c>
      <c r="D744" s="9">
        <f>YEAR(C744)</f>
        <v/>
      </c>
      <c r="E744" s="9">
        <f>MONTH(C744)</f>
        <v/>
      </c>
      <c r="F744" s="9" t="inlineStr">
        <is>
          <t>Plana</t>
        </is>
      </c>
      <c r="G744" s="9" t="inlineStr">
        <is>
          <t>PLANA 32X3MM 6M A270ES (N)</t>
        </is>
      </c>
      <c r="H744" s="9" t="inlineStr">
        <is>
          <t>PLANA 32X3MM 6M A270ES (N)</t>
        </is>
      </c>
      <c r="I744" s="9" t="inlineStr">
        <is>
          <t>PL 32 x 3</t>
        </is>
      </c>
      <c r="J744" s="9" t="n">
        <v>109013879</v>
      </c>
      <c r="K744" s="9" t="n"/>
      <c r="L744" s="9" t="n">
        <v>32</v>
      </c>
      <c r="M744" s="9" t="n">
        <v>3</v>
      </c>
      <c r="N744" s="9" t="n"/>
      <c r="O744" s="9" t="n">
        <v>6</v>
      </c>
      <c r="P744" s="13" t="n">
        <v>26065</v>
      </c>
      <c r="Q744" s="13" t="n">
        <v>27561.6</v>
      </c>
      <c r="R744" s="14">
        <f>IFERROR(P744/Q744,"")</f>
        <v/>
      </c>
      <c r="S744" s="15" t="n">
        <v>0.966</v>
      </c>
      <c r="T744" s="9">
        <f>IF(R744&gt;1,"A corregir","Válida")</f>
        <v/>
      </c>
      <c r="U744" s="13">
        <f>Q744-P744</f>
        <v/>
      </c>
      <c r="V744" s="13">
        <f>IF(S744="",0,S744*Q744)</f>
        <v/>
      </c>
      <c r="W744" s="9" t="n">
        <v>2026</v>
      </c>
      <c r="X744" s="9" t="n">
        <v>34</v>
      </c>
      <c r="Y744" s="9" t="inlineStr">
        <is>
          <t>2026-S34</t>
        </is>
      </c>
    </row>
    <row r="745">
      <c r="A745" s="9" t="n">
        <v>43049772</v>
      </c>
      <c r="B745" s="11" t="n">
        <v>46254.01460648148</v>
      </c>
      <c r="C745" s="12" t="n">
        <v>46254</v>
      </c>
      <c r="D745" s="9">
        <f>YEAR(C745)</f>
        <v/>
      </c>
      <c r="E745" s="9">
        <f>MONTH(C745)</f>
        <v/>
      </c>
      <c r="F745" s="9" t="inlineStr">
        <is>
          <t>Ángulo</t>
        </is>
      </c>
      <c r="G745" s="9" t="inlineStr">
        <is>
          <t>ANGULO 20X20X3MM A270ES</t>
        </is>
      </c>
      <c r="H745" s="9" t="inlineStr">
        <is>
          <t>ANGULO SEMI 20X20X3MM A270ES</t>
        </is>
      </c>
      <c r="I745" s="9" t="inlineStr">
        <is>
          <t>ANG 20 x 3</t>
        </is>
      </c>
      <c r="J745" s="9" t="n">
        <v>106501016</v>
      </c>
      <c r="K745" s="9" t="n"/>
      <c r="L745" s="9" t="n">
        <v>20</v>
      </c>
      <c r="M745" s="9" t="n">
        <v>3</v>
      </c>
      <c r="N745" s="9" t="n"/>
      <c r="O745" s="9" t="n">
        <v>12</v>
      </c>
      <c r="P745" s="13" t="n">
        <v>20676</v>
      </c>
      <c r="Q745" s="13" t="n">
        <v>21054</v>
      </c>
      <c r="R745" s="14">
        <f>IFERROR(P745/Q745,"")</f>
        <v/>
      </c>
      <c r="S745" s="15" t="n">
        <v>0.963</v>
      </c>
      <c r="T745" s="9">
        <f>IF(R745&gt;1,"A corregir","Válida")</f>
        <v/>
      </c>
      <c r="U745" s="13">
        <f>Q745-P745</f>
        <v/>
      </c>
      <c r="V745" s="13">
        <f>IF(S745="",0,S745*Q745)</f>
        <v/>
      </c>
      <c r="W745" s="9" t="n">
        <v>2026</v>
      </c>
      <c r="X745" s="9" t="n">
        <v>34</v>
      </c>
      <c r="Y745" s="9" t="inlineStr">
        <is>
          <t>2026-S34</t>
        </is>
      </c>
    </row>
    <row r="746">
      <c r="A746" s="9" t="n">
        <v>43049738</v>
      </c>
      <c r="B746" s="11" t="n">
        <v>46254.07247685185</v>
      </c>
      <c r="C746" s="12" t="n">
        <v>46254</v>
      </c>
      <c r="D746" s="9">
        <f>YEAR(C746)</f>
        <v/>
      </c>
      <c r="E746" s="9">
        <f>MONTH(C746)</f>
        <v/>
      </c>
      <c r="F746" s="9" t="inlineStr">
        <is>
          <t>Ángulo</t>
        </is>
      </c>
      <c r="G746" s="9" t="inlineStr">
        <is>
          <t>ANGULO 20X20X3MM A270ES</t>
        </is>
      </c>
      <c r="H746" s="9" t="inlineStr">
        <is>
          <t>ANGULO SEMI 20X20X3MM A270ES</t>
        </is>
      </c>
      <c r="I746" s="9" t="inlineStr">
        <is>
          <t>ANG 20 x 3</t>
        </is>
      </c>
      <c r="J746" s="9" t="n">
        <v>106501016</v>
      </c>
      <c r="K746" s="9" t="n"/>
      <c r="L746" s="9" t="n">
        <v>20</v>
      </c>
      <c r="M746" s="9" t="n">
        <v>3</v>
      </c>
      <c r="N746" s="9" t="n"/>
      <c r="O746" s="9" t="n">
        <v>12</v>
      </c>
      <c r="P746" s="13" t="n">
        <v>75009</v>
      </c>
      <c r="Q746" s="13" t="n">
        <v>60403.2</v>
      </c>
      <c r="R746" s="14">
        <f>IFERROR(P746/Q746,"")</f>
        <v/>
      </c>
      <c r="S746" s="15" t="n">
        <v>0.963</v>
      </c>
      <c r="T746" s="9">
        <f>IF(R746&gt;1,"A corregir","Válida")</f>
        <v/>
      </c>
      <c r="U746" s="13">
        <f>Q746-P746</f>
        <v/>
      </c>
      <c r="V746" s="13">
        <f>IF(S746="",0,S746*Q746)</f>
        <v/>
      </c>
      <c r="W746" s="9" t="n">
        <v>2026</v>
      </c>
      <c r="X746" s="9" t="n">
        <v>34</v>
      </c>
      <c r="Y746" s="9" t="inlineStr">
        <is>
          <t>2026-S34</t>
        </is>
      </c>
    </row>
    <row r="747">
      <c r="A747" s="9" t="n">
        <v>43049674</v>
      </c>
      <c r="B747" s="11" t="n">
        <v>46254.43909722222</v>
      </c>
      <c r="C747" s="12" t="n">
        <v>46254</v>
      </c>
      <c r="D747" s="9">
        <f>YEAR(C747)</f>
        <v/>
      </c>
      <c r="E747" s="9">
        <f>MONTH(C747)</f>
        <v/>
      </c>
      <c r="F747" s="9" t="inlineStr">
        <is>
          <t>Plana</t>
        </is>
      </c>
      <c r="G747" s="9" t="inlineStr">
        <is>
          <t>PLANA ASERRADA 32X4,85MM 6M A270ES (N)</t>
        </is>
      </c>
      <c r="H747" s="9" t="inlineStr">
        <is>
          <t>PLANA ASERRADA 32X4,85MM 6M A270ES (N)</t>
        </is>
      </c>
      <c r="I747" s="9" t="inlineStr">
        <is>
          <t>PL 32 x 4,85</t>
        </is>
      </c>
      <c r="J747" s="9" t="n">
        <v>109016011</v>
      </c>
      <c r="K747" s="9" t="n"/>
      <c r="L747" s="9" t="n">
        <v>32</v>
      </c>
      <c r="M747" s="9" t="n">
        <v>4.85</v>
      </c>
      <c r="N747" s="9" t="n"/>
      <c r="O747" s="9" t="n">
        <v>6</v>
      </c>
      <c r="P747" s="13" t="n">
        <v>61929</v>
      </c>
      <c r="Q747" s="13" t="n">
        <v>65894.39999999999</v>
      </c>
      <c r="R747" s="14">
        <f>IFERROR(P747/Q747,"")</f>
        <v/>
      </c>
      <c r="S747" s="15" t="n">
        <v>0.965</v>
      </c>
      <c r="T747" s="9">
        <f>IF(R747&gt;1,"A corregir","Válida")</f>
        <v/>
      </c>
      <c r="U747" s="13">
        <f>Q747-P747</f>
        <v/>
      </c>
      <c r="V747" s="13">
        <f>IF(S747="",0,S747*Q747)</f>
        <v/>
      </c>
      <c r="W747" s="9" t="n">
        <v>2026</v>
      </c>
      <c r="X747" s="9" t="n">
        <v>34</v>
      </c>
      <c r="Y747" s="9" t="inlineStr">
        <is>
          <t>2026-S34</t>
        </is>
      </c>
    </row>
    <row r="748">
      <c r="A748" s="9" t="n">
        <v>43049675</v>
      </c>
      <c r="B748" s="11" t="n">
        <v>46254.69609953704</v>
      </c>
      <c r="C748" s="12" t="n">
        <v>46254</v>
      </c>
      <c r="D748" s="9">
        <f>YEAR(C748)</f>
        <v/>
      </c>
      <c r="E748" s="9">
        <f>MONTH(C748)</f>
        <v/>
      </c>
      <c r="F748" s="9" t="inlineStr">
        <is>
          <t>Plana</t>
        </is>
      </c>
      <c r="G748" s="9" t="inlineStr">
        <is>
          <t>PLANA 38X3MM 6M A270ES (N)</t>
        </is>
      </c>
      <c r="H748" s="9" t="inlineStr">
        <is>
          <t>PLANA 38X3MM 6M A270ES (N)</t>
        </is>
      </c>
      <c r="I748" s="9" t="inlineStr">
        <is>
          <t>PL 38 x 3</t>
        </is>
      </c>
      <c r="J748" s="9" t="n">
        <v>109013904</v>
      </c>
      <c r="K748" s="9" t="n"/>
      <c r="L748" s="9" t="n">
        <v>38</v>
      </c>
      <c r="M748" s="9" t="n">
        <v>3</v>
      </c>
      <c r="N748" s="9" t="n"/>
      <c r="O748" s="9" t="n">
        <v>6</v>
      </c>
      <c r="P748" s="13" t="n">
        <v>14086</v>
      </c>
      <c r="Q748" s="13" t="n">
        <v>14784</v>
      </c>
      <c r="R748" s="14">
        <f>IFERROR(P748/Q748,"")</f>
        <v/>
      </c>
      <c r="S748" s="15" t="n">
        <v>0.966</v>
      </c>
      <c r="T748" s="9">
        <f>IF(R748&gt;1,"A corregir","Válida")</f>
        <v/>
      </c>
      <c r="U748" s="13">
        <f>Q748-P748</f>
        <v/>
      </c>
      <c r="V748" s="13">
        <f>IF(S748="",0,S748*Q748)</f>
        <v/>
      </c>
      <c r="W748" s="9" t="n">
        <v>2026</v>
      </c>
      <c r="X748" s="9" t="n">
        <v>34</v>
      </c>
      <c r="Y748" s="9" t="inlineStr">
        <is>
          <t>2026-S34</t>
        </is>
      </c>
    </row>
    <row r="749">
      <c r="A749" s="9" t="n">
        <v>43049710</v>
      </c>
      <c r="B749" s="11" t="n">
        <v>46254.77497685186</v>
      </c>
      <c r="C749" s="12" t="n">
        <v>46254</v>
      </c>
      <c r="D749" s="9">
        <f>YEAR(C749)</f>
        <v/>
      </c>
      <c r="E749" s="9">
        <f>MONTH(C749)</f>
        <v/>
      </c>
      <c r="F749" s="9" t="inlineStr">
        <is>
          <t>Saferock</t>
        </is>
      </c>
      <c r="G749" s="9" t="inlineStr">
        <is>
          <t>SAFEROCK 25MM 10M A420</t>
        </is>
      </c>
      <c r="H749" s="9" t="inlineStr">
        <is>
          <t>SAFEROCK 25MM 10M A420</t>
        </is>
      </c>
      <c r="I749" s="9" t="inlineStr">
        <is>
          <t>SFR 25</t>
        </is>
      </c>
      <c r="J749" s="9" t="n">
        <v>106043671</v>
      </c>
      <c r="K749" s="9" t="n">
        <v>25</v>
      </c>
      <c r="L749" s="9" t="n"/>
      <c r="M749" s="9" t="n"/>
      <c r="N749" s="9" t="n"/>
      <c r="O749" s="9" t="n">
        <v>10</v>
      </c>
      <c r="P749" s="13" t="n">
        <v>30009</v>
      </c>
      <c r="Q749" s="13" t="n">
        <v>435.6</v>
      </c>
      <c r="R749" s="14">
        <f>IFERROR(P749/Q749,"")</f>
        <v/>
      </c>
      <c r="S749" s="15" t="n">
        <v>0.9540000000000001</v>
      </c>
      <c r="T749" s="9">
        <f>IF(R749&gt;1,"A corregir","Válida")</f>
        <v/>
      </c>
      <c r="U749" s="13">
        <f>Q749-P749</f>
        <v/>
      </c>
      <c r="V749" s="13">
        <f>IF(S749="",0,S749*Q749)</f>
        <v/>
      </c>
      <c r="W749" s="9" t="n">
        <v>2026</v>
      </c>
      <c r="X749" s="9" t="n">
        <v>34</v>
      </c>
      <c r="Y749" s="9" t="inlineStr">
        <is>
          <t>2026-S34</t>
        </is>
      </c>
    </row>
    <row r="750">
      <c r="A750" s="9" t="n">
        <v>43049776</v>
      </c>
      <c r="B750" s="11" t="n">
        <v>46254.9647800926</v>
      </c>
      <c r="C750" s="12" t="n">
        <v>46254</v>
      </c>
      <c r="D750" s="9">
        <f>YEAR(C750)</f>
        <v/>
      </c>
      <c r="E750" s="9">
        <f>MONTH(C750)</f>
        <v/>
      </c>
      <c r="F750" s="9" t="inlineStr">
        <is>
          <t>Plana</t>
        </is>
      </c>
      <c r="G750" s="9" t="inlineStr">
        <is>
          <t>PLANA 25X10MM 6M A270ES (N)</t>
        </is>
      </c>
      <c r="H750" s="9" t="inlineStr">
        <is>
          <t>PLANA 25X10MM 6M A270ES (N)</t>
        </is>
      </c>
      <c r="I750" s="9" t="inlineStr">
        <is>
          <t>PL 25 x 10</t>
        </is>
      </c>
      <c r="J750" s="9" t="n">
        <v>109013857</v>
      </c>
      <c r="K750" s="9" t="n"/>
      <c r="L750" s="9" t="n">
        <v>25</v>
      </c>
      <c r="M750" s="9" t="n">
        <v>10</v>
      </c>
      <c r="N750" s="9" t="n"/>
      <c r="O750" s="9" t="n">
        <v>6</v>
      </c>
      <c r="P750" s="13" t="n">
        <v>21192</v>
      </c>
      <c r="Q750" s="13" t="n">
        <v>22387.2</v>
      </c>
      <c r="R750" s="14">
        <f>IFERROR(P750/Q750,"")</f>
        <v/>
      </c>
      <c r="S750" s="15" t="n">
        <v>0.965</v>
      </c>
      <c r="T750" s="9">
        <f>IF(R750&gt;1,"A corregir","Válida")</f>
        <v/>
      </c>
      <c r="U750" s="13">
        <f>Q750-P750</f>
        <v/>
      </c>
      <c r="V750" s="13">
        <f>IF(S750="",0,S750*Q750)</f>
        <v/>
      </c>
      <c r="W750" s="9" t="n">
        <v>2026</v>
      </c>
      <c r="X750" s="9" t="n">
        <v>34</v>
      </c>
      <c r="Y750" s="9" t="inlineStr">
        <is>
          <t>2026-S34</t>
        </is>
      </c>
    </row>
    <row r="751">
      <c r="A751" s="9" t="n">
        <v>43049677</v>
      </c>
      <c r="B751" s="11" t="n">
        <v>46255.00814814815</v>
      </c>
      <c r="C751" s="12" t="n">
        <v>46255</v>
      </c>
      <c r="D751" s="9">
        <f>YEAR(C751)</f>
        <v/>
      </c>
      <c r="E751" s="9">
        <f>MONTH(C751)</f>
        <v/>
      </c>
      <c r="F751" s="9" t="inlineStr">
        <is>
          <t>Plana</t>
        </is>
      </c>
      <c r="G751" s="9" t="inlineStr">
        <is>
          <t>PLANA 25X10MM 6M A270ES (N)</t>
        </is>
      </c>
      <c r="H751" s="9" t="inlineStr">
        <is>
          <t>PLANA 25X10MM 6M A270ES (N)</t>
        </is>
      </c>
      <c r="I751" s="9" t="inlineStr">
        <is>
          <t>PL 25 x 10</t>
        </is>
      </c>
      <c r="J751" s="9" t="n">
        <v>109013857</v>
      </c>
      <c r="K751" s="9" t="n"/>
      <c r="L751" s="9" t="n">
        <v>25</v>
      </c>
      <c r="M751" s="9" t="n">
        <v>10</v>
      </c>
      <c r="N751" s="9" t="n"/>
      <c r="O751" s="9" t="n">
        <v>6</v>
      </c>
      <c r="P751" s="13" t="n">
        <v>9464</v>
      </c>
      <c r="Q751" s="13" t="n">
        <v>9873.6</v>
      </c>
      <c r="R751" s="14">
        <f>IFERROR(P751/Q751,"")</f>
        <v/>
      </c>
      <c r="S751" s="15" t="n">
        <v>0.965</v>
      </c>
      <c r="T751" s="9">
        <f>IF(R751&gt;1,"A corregir","Válida")</f>
        <v/>
      </c>
      <c r="U751" s="13">
        <f>Q751-P751</f>
        <v/>
      </c>
      <c r="V751" s="13">
        <f>IF(S751="",0,S751*Q751)</f>
        <v/>
      </c>
      <c r="W751" s="9" t="n">
        <v>2026</v>
      </c>
      <c r="X751" s="9" t="n">
        <v>34</v>
      </c>
      <c r="Y751" s="9" t="inlineStr">
        <is>
          <t>2026-S34</t>
        </is>
      </c>
    </row>
    <row r="752">
      <c r="A752" s="9" t="n">
        <v>43049676</v>
      </c>
      <c r="B752" s="11" t="n">
        <v>46255.05384259259</v>
      </c>
      <c r="C752" s="12" t="n">
        <v>46255</v>
      </c>
      <c r="D752" s="9">
        <f>YEAR(C752)</f>
        <v/>
      </c>
      <c r="E752" s="9">
        <f>MONTH(C752)</f>
        <v/>
      </c>
      <c r="F752" s="9" t="inlineStr">
        <is>
          <t>Redondo liso</t>
        </is>
      </c>
      <c r="G752" s="9" t="inlineStr">
        <is>
          <t>REDONDO LISO 16MM 6M SAE 1020 (N)</t>
        </is>
      </c>
      <c r="H752" s="9" t="inlineStr">
        <is>
          <t>REDONDO LISO 16MM 6M SAE 1020 (N)</t>
        </is>
      </c>
      <c r="I752" s="9" t="inlineStr">
        <is>
          <t>RED 16</t>
        </is>
      </c>
      <c r="J752" s="9" t="n">
        <v>119502683</v>
      </c>
      <c r="K752" s="9" t="n">
        <v>16</v>
      </c>
      <c r="L752" s="9" t="n"/>
      <c r="M752" s="9" t="n"/>
      <c r="N752" s="9" t="n"/>
      <c r="O752" s="9" t="n">
        <v>6</v>
      </c>
      <c r="P752" s="13" t="n">
        <v>105158</v>
      </c>
      <c r="Q752" s="13" t="n">
        <v>110404.8</v>
      </c>
      <c r="R752" s="14">
        <f>IFERROR(P752/Q752,"")</f>
        <v/>
      </c>
      <c r="S752" s="15" t="n">
        <v>0.958</v>
      </c>
      <c r="T752" s="9">
        <f>IF(R752&gt;1,"A corregir","Válida")</f>
        <v/>
      </c>
      <c r="U752" s="13">
        <f>Q752-P752</f>
        <v/>
      </c>
      <c r="V752" s="13">
        <f>IF(S752="",0,S752*Q752)</f>
        <v/>
      </c>
      <c r="W752" s="9" t="n">
        <v>2026</v>
      </c>
      <c r="X752" s="9" t="n">
        <v>34</v>
      </c>
      <c r="Y752" s="9" t="inlineStr">
        <is>
          <t>2026-S34</t>
        </is>
      </c>
    </row>
    <row r="753">
      <c r="A753" s="9" t="n">
        <v>43049739</v>
      </c>
      <c r="B753" s="11" t="n">
        <v>46255.33496527778</v>
      </c>
      <c r="C753" s="12" t="n">
        <v>46255</v>
      </c>
      <c r="D753" s="9">
        <f>YEAR(C753)</f>
        <v/>
      </c>
      <c r="E753" s="9">
        <f>MONTH(C753)</f>
        <v/>
      </c>
      <c r="F753" s="9" t="inlineStr">
        <is>
          <t>Ángulo</t>
        </is>
      </c>
      <c r="G753" s="9" t="inlineStr">
        <is>
          <t>ANGULO 25X25X3MM A270ES</t>
        </is>
      </c>
      <c r="H753" s="9" t="inlineStr">
        <is>
          <t>ANGULO SEMI 25X25X3MM A270ES</t>
        </is>
      </c>
      <c r="I753" s="9" t="inlineStr">
        <is>
          <t>ANG 25 x 3</t>
        </is>
      </c>
      <c r="J753" s="9" t="n">
        <v>106501017</v>
      </c>
      <c r="K753" s="9" t="n"/>
      <c r="L753" s="9" t="n">
        <v>25</v>
      </c>
      <c r="M753" s="9" t="n">
        <v>3</v>
      </c>
      <c r="N753" s="9" t="n"/>
      <c r="O753" s="9" t="n">
        <v>12</v>
      </c>
      <c r="P753" s="13" t="n">
        <v>151691</v>
      </c>
      <c r="Q753" s="13" t="n">
        <v>157528.8</v>
      </c>
      <c r="R753" s="14">
        <f>IFERROR(P753/Q753,"")</f>
        <v/>
      </c>
      <c r="S753" s="15" t="n">
        <v>0.963</v>
      </c>
      <c r="T753" s="9">
        <f>IF(R753&gt;1,"A corregir","Válida")</f>
        <v/>
      </c>
      <c r="U753" s="13">
        <f>Q753-P753</f>
        <v/>
      </c>
      <c r="V753" s="13">
        <f>IF(S753="",0,S753*Q753)</f>
        <v/>
      </c>
      <c r="W753" s="9" t="n">
        <v>2026</v>
      </c>
      <c r="X753" s="9" t="n">
        <v>34</v>
      </c>
      <c r="Y753" s="9" t="inlineStr">
        <is>
          <t>2026-S34</t>
        </is>
      </c>
    </row>
    <row r="754">
      <c r="A754" s="9" t="n">
        <v>43049779</v>
      </c>
      <c r="B754" s="11" t="n">
        <v>46255.64462962963</v>
      </c>
      <c r="C754" s="12" t="n">
        <v>46255</v>
      </c>
      <c r="D754" s="9">
        <f>YEAR(C754)</f>
        <v/>
      </c>
      <c r="E754" s="9">
        <f>MONTH(C754)</f>
        <v/>
      </c>
      <c r="F754" s="9" t="inlineStr">
        <is>
          <t>Ángulo</t>
        </is>
      </c>
      <c r="G754" s="9" t="inlineStr">
        <is>
          <t>ANGULO 25X25X3MM A270ES</t>
        </is>
      </c>
      <c r="H754" s="9" t="inlineStr">
        <is>
          <t>ANGULO SEMI 25X25X3MM A270ES</t>
        </is>
      </c>
      <c r="I754" s="9" t="inlineStr">
        <is>
          <t>ANG 25 x 3</t>
        </is>
      </c>
      <c r="J754" s="9" t="n">
        <v>106501017</v>
      </c>
      <c r="K754" s="9" t="n"/>
      <c r="L754" s="9" t="n">
        <v>25</v>
      </c>
      <c r="M754" s="9" t="n">
        <v>3</v>
      </c>
      <c r="N754" s="9" t="n"/>
      <c r="O754" s="9" t="n">
        <v>12</v>
      </c>
      <c r="P754" s="13" t="n">
        <v>14123</v>
      </c>
      <c r="Q754" s="13" t="n">
        <v>13516.8</v>
      </c>
      <c r="R754" s="14">
        <f>IFERROR(P754/Q754,"")</f>
        <v/>
      </c>
      <c r="S754" s="15" t="n">
        <v>0.963</v>
      </c>
      <c r="T754" s="9">
        <f>IF(R754&gt;1,"A corregir","Válida")</f>
        <v/>
      </c>
      <c r="U754" s="13">
        <f>Q754-P754</f>
        <v/>
      </c>
      <c r="V754" s="13">
        <f>IF(S754="",0,S754*Q754)</f>
        <v/>
      </c>
      <c r="W754" s="9" t="n">
        <v>2026</v>
      </c>
      <c r="X754" s="9" t="n">
        <v>34</v>
      </c>
      <c r="Y754" s="9" t="inlineStr">
        <is>
          <t>2026-S34</t>
        </is>
      </c>
    </row>
    <row r="755">
      <c r="A755" s="9" t="n">
        <v>43049615</v>
      </c>
      <c r="B755" s="11" t="n">
        <v>46255.97217592593</v>
      </c>
      <c r="C755" s="12" t="n">
        <v>46255</v>
      </c>
      <c r="D755" s="9">
        <f>YEAR(C755)</f>
        <v/>
      </c>
      <c r="E755" s="9">
        <f>MONTH(C755)</f>
        <v/>
      </c>
      <c r="F755" s="9" t="inlineStr">
        <is>
          <t>Redondo liso</t>
        </is>
      </c>
      <c r="G755" s="9" t="inlineStr">
        <is>
          <t>BARRA TRASPASO CARGA 25MM 6,2M A630-420H</t>
        </is>
      </c>
      <c r="H755" s="9" t="inlineStr">
        <is>
          <t>BARRA TRASPASO CARGA 25MM 6,2M A630-420H</t>
        </is>
      </c>
      <c r="I755" s="9" t="inlineStr">
        <is>
          <t>RED 1</t>
        </is>
      </c>
      <c r="J755" s="9" t="n">
        <v>119507277</v>
      </c>
      <c r="K755" s="9" t="n">
        <v>25</v>
      </c>
      <c r="L755" s="9" t="n"/>
      <c r="M755" s="9" t="n"/>
      <c r="N755" s="9" t="n"/>
      <c r="O755" s="9" t="n">
        <v>6.2</v>
      </c>
      <c r="P755" s="13" t="n">
        <v>32529</v>
      </c>
      <c r="Q755" s="13" t="n">
        <v>34557.6</v>
      </c>
      <c r="R755" s="14">
        <f>IFERROR(P755/Q755,"")</f>
        <v/>
      </c>
      <c r="S755" s="15" t="n">
        <v>0.97</v>
      </c>
      <c r="T755" s="9">
        <f>IF(R755&gt;1,"A corregir","Válida")</f>
        <v/>
      </c>
      <c r="U755" s="13">
        <f>Q755-P755</f>
        <v/>
      </c>
      <c r="V755" s="13">
        <f>IF(S755="",0,S755*Q755)</f>
        <v/>
      </c>
      <c r="W755" s="9" t="n">
        <v>2026</v>
      </c>
      <c r="X755" s="9" t="n">
        <v>34</v>
      </c>
      <c r="Y755" s="9" t="inlineStr">
        <is>
          <t>2026-S34</t>
        </is>
      </c>
    </row>
    <row r="756">
      <c r="A756" s="9" t="n">
        <v>43049740</v>
      </c>
      <c r="B756" s="11" t="n">
        <v>46256.07777777778</v>
      </c>
      <c r="C756" s="12" t="n">
        <v>46256</v>
      </c>
      <c r="D756" s="9">
        <f>YEAR(C756)</f>
        <v/>
      </c>
      <c r="E756" s="9">
        <f>MONTH(C756)</f>
        <v/>
      </c>
      <c r="F756" s="9" t="inlineStr">
        <is>
          <t>B Hormigón</t>
        </is>
      </c>
      <c r="G756" s="9" t="inlineStr">
        <is>
          <t>B HORMIGON 25MM 12M A630-420H (N)</t>
        </is>
      </c>
      <c r="H756" s="9" t="inlineStr">
        <is>
          <t>B HORMIGON 25MM 12M A630-420H (N)</t>
        </is>
      </c>
      <c r="I756" s="9" t="inlineStr">
        <is>
          <t>RED 25 CR</t>
        </is>
      </c>
      <c r="J756" s="9" t="n">
        <v>110002941</v>
      </c>
      <c r="K756" s="9" t="n">
        <v>25</v>
      </c>
      <c r="L756" s="9" t="n"/>
      <c r="M756" s="9" t="n"/>
      <c r="N756" s="9" t="n"/>
      <c r="O756" s="9" t="n">
        <v>12</v>
      </c>
      <c r="P756" s="13" t="n">
        <v>402508</v>
      </c>
      <c r="Q756" s="13" t="n">
        <v>422532</v>
      </c>
      <c r="R756" s="14">
        <f>IFERROR(P756/Q756,"")</f>
        <v/>
      </c>
      <c r="S756" s="15" t="n">
        <v>0.95</v>
      </c>
      <c r="T756" s="9">
        <f>IF(R756&gt;1,"A corregir","Válida")</f>
        <v/>
      </c>
      <c r="U756" s="13">
        <f>Q756-P756</f>
        <v/>
      </c>
      <c r="V756" s="13">
        <f>IF(S756="",0,S756*Q756)</f>
        <v/>
      </c>
      <c r="W756" s="9" t="n">
        <v>2026</v>
      </c>
      <c r="X756" s="9" t="n">
        <v>34</v>
      </c>
      <c r="Y756" s="9" t="inlineStr">
        <is>
          <t>2026-S34</t>
        </is>
      </c>
    </row>
    <row r="757">
      <c r="A757" s="9" t="n">
        <v>43049741</v>
      </c>
      <c r="B757" s="11" t="n">
        <v>46258.07223379629</v>
      </c>
      <c r="C757" s="12" t="n">
        <v>46258</v>
      </c>
      <c r="D757" s="9">
        <f>YEAR(C757)</f>
        <v/>
      </c>
      <c r="E757" s="9">
        <f>MONTH(C757)</f>
        <v/>
      </c>
      <c r="F757" s="9" t="inlineStr">
        <is>
          <t>B Hormigón</t>
        </is>
      </c>
      <c r="G757" s="9" t="inlineStr">
        <is>
          <t>B HORMIGON 25MM 11M A630-420H (N)</t>
        </is>
      </c>
      <c r="H757" s="9" t="inlineStr">
        <is>
          <t>B HORMIGON 25MM 11M A630-420H (N)</t>
        </is>
      </c>
      <c r="I757" s="9" t="inlineStr">
        <is>
          <t>RED 25 CR</t>
        </is>
      </c>
      <c r="J757" s="9" t="n">
        <v>110002947</v>
      </c>
      <c r="K757" s="9" t="n">
        <v>25</v>
      </c>
      <c r="L757" s="9" t="n"/>
      <c r="M757" s="9" t="n"/>
      <c r="N757" s="9" t="n"/>
      <c r="O757" s="9" t="n">
        <v>11</v>
      </c>
      <c r="P757" s="13" t="n">
        <v>100090</v>
      </c>
      <c r="Q757" s="13" t="n">
        <v>106722</v>
      </c>
      <c r="R757" s="14">
        <f>IFERROR(P757/Q757,"")</f>
        <v/>
      </c>
      <c r="S757" s="15" t="n">
        <v>0.95</v>
      </c>
      <c r="T757" s="9">
        <f>IF(R757&gt;1,"A corregir","Válida")</f>
        <v/>
      </c>
      <c r="U757" s="13">
        <f>Q757-P757</f>
        <v/>
      </c>
      <c r="V757" s="13">
        <f>IF(S757="",0,S757*Q757)</f>
        <v/>
      </c>
      <c r="W757" s="9" t="n">
        <v>2026</v>
      </c>
      <c r="X757" s="9" t="n">
        <v>35</v>
      </c>
      <c r="Y757" s="9" t="inlineStr">
        <is>
          <t>2026-S35</t>
        </is>
      </c>
    </row>
    <row r="758">
      <c r="A758" s="9" t="n">
        <v>43049742</v>
      </c>
      <c r="B758" s="11" t="n">
        <v>46258.26424768518</v>
      </c>
      <c r="C758" s="12" t="n">
        <v>46258</v>
      </c>
      <c r="D758" s="9">
        <f>YEAR(C758)</f>
        <v/>
      </c>
      <c r="E758" s="9">
        <f>MONTH(C758)</f>
        <v/>
      </c>
      <c r="F758" s="9" t="inlineStr">
        <is>
          <t>B Hormigón</t>
        </is>
      </c>
      <c r="G758" s="9" t="inlineStr">
        <is>
          <t>B HORMIGON 25MM 10M A630-420H (N)</t>
        </is>
      </c>
      <c r="H758" s="9" t="inlineStr">
        <is>
          <t>B HORMIGON 25MM 10M A630-420H (N)</t>
        </is>
      </c>
      <c r="I758" s="9" t="inlineStr">
        <is>
          <t>RED 25 CR</t>
        </is>
      </c>
      <c r="J758" s="9" t="n">
        <v>110002943</v>
      </c>
      <c r="K758" s="9" t="n">
        <v>25</v>
      </c>
      <c r="L758" s="9" t="n"/>
      <c r="M758" s="9" t="n"/>
      <c r="N758" s="9" t="n"/>
      <c r="O758" s="9" t="n">
        <v>10</v>
      </c>
      <c r="P758" s="13" t="n">
        <v>82345</v>
      </c>
      <c r="Q758" s="13" t="n">
        <v>86684.39999999999</v>
      </c>
      <c r="R758" s="14">
        <f>IFERROR(P758/Q758,"")</f>
        <v/>
      </c>
      <c r="S758" s="15" t="n">
        <v>0.95</v>
      </c>
      <c r="T758" s="9">
        <f>IF(R758&gt;1,"A corregir","Válida")</f>
        <v/>
      </c>
      <c r="U758" s="13">
        <f>Q758-P758</f>
        <v/>
      </c>
      <c r="V758" s="13">
        <f>IF(S758="",0,S758*Q758)</f>
        <v/>
      </c>
      <c r="W758" s="9" t="n">
        <v>2026</v>
      </c>
      <c r="X758" s="9" t="n">
        <v>35</v>
      </c>
      <c r="Y758" s="9" t="inlineStr">
        <is>
          <t>2026-S35</t>
        </is>
      </c>
    </row>
    <row r="759">
      <c r="A759" s="9" t="n">
        <v>43049743</v>
      </c>
      <c r="B759" s="11" t="n">
        <v>46258.41482638889</v>
      </c>
      <c r="C759" s="12" t="n">
        <v>46258</v>
      </c>
      <c r="D759" s="9">
        <f>YEAR(C759)</f>
        <v/>
      </c>
      <c r="E759" s="9">
        <f>MONTH(C759)</f>
        <v/>
      </c>
      <c r="F759" s="9" t="inlineStr">
        <is>
          <t>B Hormigón</t>
        </is>
      </c>
      <c r="G759" s="9" t="inlineStr">
        <is>
          <t>B HORMIGON 25MM 8M A630-420H (N)</t>
        </is>
      </c>
      <c r="H759" s="9" t="inlineStr">
        <is>
          <t>B HORMIGON 25MM 8M A630-420H (N)</t>
        </is>
      </c>
      <c r="I759" s="9" t="inlineStr">
        <is>
          <t>RED 25 CR</t>
        </is>
      </c>
      <c r="J759" s="9" t="n">
        <v>110002921</v>
      </c>
      <c r="K759" s="9" t="n">
        <v>25</v>
      </c>
      <c r="L759" s="9" t="n"/>
      <c r="M759" s="9" t="n"/>
      <c r="N759" s="9" t="n"/>
      <c r="O759" s="9" t="n">
        <v>8</v>
      </c>
      <c r="P759" s="13" t="n">
        <v>89597</v>
      </c>
      <c r="Q759" s="13" t="n">
        <v>93799.2</v>
      </c>
      <c r="R759" s="14">
        <f>IFERROR(P759/Q759,"")</f>
        <v/>
      </c>
      <c r="S759" s="15" t="n">
        <v>0.95</v>
      </c>
      <c r="T759" s="9">
        <f>IF(R759&gt;1,"A corregir","Válida")</f>
        <v/>
      </c>
      <c r="U759" s="13">
        <f>Q759-P759</f>
        <v/>
      </c>
      <c r="V759" s="13">
        <f>IF(S759="",0,S759*Q759)</f>
        <v/>
      </c>
      <c r="W759" s="9" t="n">
        <v>2026</v>
      </c>
      <c r="X759" s="9" t="n">
        <v>35</v>
      </c>
      <c r="Y759" s="9" t="inlineStr">
        <is>
          <t>2026-S35</t>
        </is>
      </c>
    </row>
    <row r="760">
      <c r="A760" s="9" t="n">
        <v>43049744</v>
      </c>
      <c r="B760" s="11" t="n">
        <v>46258.56122685185</v>
      </c>
      <c r="C760" s="12" t="n">
        <v>46258</v>
      </c>
      <c r="D760" s="9">
        <f>YEAR(C760)</f>
        <v/>
      </c>
      <c r="E760" s="9">
        <f>MONTH(C760)</f>
        <v/>
      </c>
      <c r="F760" s="9" t="inlineStr">
        <is>
          <t>B Hormigón</t>
        </is>
      </c>
      <c r="G760" s="9" t="inlineStr">
        <is>
          <t>B HORMIGON 25MM 7M A630-420H (N)</t>
        </is>
      </c>
      <c r="H760" s="9" t="inlineStr">
        <is>
          <t>B HORMIGON 25MM 7M A630-420H (N)</t>
        </is>
      </c>
      <c r="I760" s="9" t="inlineStr">
        <is>
          <t>RED 25 CR</t>
        </is>
      </c>
      <c r="J760" s="9" t="n">
        <v>110002927</v>
      </c>
      <c r="K760" s="9" t="n">
        <v>25</v>
      </c>
      <c r="L760" s="9" t="n"/>
      <c r="M760" s="9" t="n"/>
      <c r="N760" s="9" t="n"/>
      <c r="O760" s="9" t="n">
        <v>7</v>
      </c>
      <c r="P760" s="13" t="n">
        <v>80972</v>
      </c>
      <c r="Q760" s="13" t="n">
        <v>84823.2</v>
      </c>
      <c r="R760" s="14">
        <f>IFERROR(P760/Q760,"")</f>
        <v/>
      </c>
      <c r="S760" s="15" t="n">
        <v>0.95</v>
      </c>
      <c r="T760" s="9">
        <f>IF(R760&gt;1,"A corregir","Válida")</f>
        <v/>
      </c>
      <c r="U760" s="13">
        <f>Q760-P760</f>
        <v/>
      </c>
      <c r="V760" s="13">
        <f>IF(S760="",0,S760*Q760)</f>
        <v/>
      </c>
      <c r="W760" s="9" t="n">
        <v>2026</v>
      </c>
      <c r="X760" s="9" t="n">
        <v>35</v>
      </c>
      <c r="Y760" s="9" t="inlineStr">
        <is>
          <t>2026-S35</t>
        </is>
      </c>
    </row>
    <row r="761">
      <c r="A761" s="9" t="n">
        <v>43049745</v>
      </c>
      <c r="B761" s="11" t="n">
        <v>46258.70290509259</v>
      </c>
      <c r="C761" s="12" t="n">
        <v>46258</v>
      </c>
      <c r="D761" s="9">
        <f>YEAR(C761)</f>
        <v/>
      </c>
      <c r="E761" s="9">
        <f>MONTH(C761)</f>
        <v/>
      </c>
      <c r="F761" s="9" t="inlineStr">
        <is>
          <t>B Hormigón</t>
        </is>
      </c>
      <c r="G761" s="9" t="inlineStr">
        <is>
          <t>B HORMIGON 25MM 6M A630-420H (N)</t>
        </is>
      </c>
      <c r="H761" s="9" t="inlineStr">
        <is>
          <t>B HORMIGON 25MM 6M A630-420H (N)</t>
        </is>
      </c>
      <c r="I761" s="9" t="inlineStr">
        <is>
          <t>RED 25 CR</t>
        </is>
      </c>
      <c r="J761" s="9" t="n">
        <v>110002923</v>
      </c>
      <c r="K761" s="9" t="n">
        <v>25</v>
      </c>
      <c r="L761" s="9" t="n"/>
      <c r="M761" s="9" t="n"/>
      <c r="N761" s="9" t="n"/>
      <c r="O761" s="9" t="n">
        <v>6</v>
      </c>
      <c r="P761" s="13" t="n">
        <v>31130</v>
      </c>
      <c r="Q761" s="13" t="n">
        <v>32670</v>
      </c>
      <c r="R761" s="14">
        <f>IFERROR(P761/Q761,"")</f>
        <v/>
      </c>
      <c r="S761" s="15" t="n">
        <v>0.95</v>
      </c>
      <c r="T761" s="9">
        <f>IF(R761&gt;1,"A corregir","Válida")</f>
        <v/>
      </c>
      <c r="U761" s="13">
        <f>Q761-P761</f>
        <v/>
      </c>
      <c r="V761" s="13">
        <f>IF(S761="",0,S761*Q761)</f>
        <v/>
      </c>
      <c r="W761" s="9" t="n">
        <v>2026</v>
      </c>
      <c r="X761" s="9" t="n">
        <v>35</v>
      </c>
      <c r="Y761" s="9" t="inlineStr">
        <is>
          <t>2026-S35</t>
        </is>
      </c>
    </row>
    <row r="762">
      <c r="A762" s="9" t="n">
        <v>43049746</v>
      </c>
      <c r="B762" s="11" t="n">
        <v>46258.99299768519</v>
      </c>
      <c r="C762" s="12" t="n">
        <v>46258</v>
      </c>
      <c r="D762" s="9">
        <f>YEAR(C762)</f>
        <v/>
      </c>
      <c r="E762" s="9">
        <f>MONTH(C762)</f>
        <v/>
      </c>
      <c r="F762" s="9" t="inlineStr">
        <is>
          <t>B Hormigón</t>
        </is>
      </c>
      <c r="G762" s="9" t="inlineStr">
        <is>
          <t>B HORMIGON 28MM 12M A630-420H (N)</t>
        </is>
      </c>
      <c r="H762" s="9" t="inlineStr">
        <is>
          <t>B HORMIGON 28MM 12M A630-420H (N)</t>
        </is>
      </c>
      <c r="I762" s="9" t="inlineStr">
        <is>
          <t>RED 28 CR</t>
        </is>
      </c>
      <c r="J762" s="9" t="n">
        <v>110002894</v>
      </c>
      <c r="K762" s="9" t="n">
        <v>28</v>
      </c>
      <c r="L762" s="9" t="n"/>
      <c r="M762" s="9" t="n"/>
      <c r="N762" s="9" t="n"/>
      <c r="O762" s="9" t="n">
        <v>12</v>
      </c>
      <c r="P762" s="13" t="n">
        <v>144623</v>
      </c>
      <c r="Q762" s="13" t="n">
        <v>151219.2</v>
      </c>
      <c r="R762" s="14">
        <f>IFERROR(P762/Q762,"")</f>
        <v/>
      </c>
      <c r="S762" s="15" t="n">
        <v>0.96</v>
      </c>
      <c r="T762" s="9">
        <f>IF(R762&gt;1,"A corregir","Válida")</f>
        <v/>
      </c>
      <c r="U762" s="13">
        <f>Q762-P762</f>
        <v/>
      </c>
      <c r="V762" s="13">
        <f>IF(S762="",0,S762*Q762)</f>
        <v/>
      </c>
      <c r="W762" s="9" t="n">
        <v>2026</v>
      </c>
      <c r="X762" s="9" t="n">
        <v>35</v>
      </c>
      <c r="Y762" s="9" t="inlineStr">
        <is>
          <t>2026-S35</t>
        </is>
      </c>
    </row>
    <row r="763">
      <c r="A763" s="9" t="n">
        <v>43049747</v>
      </c>
      <c r="B763" s="11" t="n">
        <v>46259.22773148148</v>
      </c>
      <c r="C763" s="12" t="n">
        <v>46259</v>
      </c>
      <c r="D763" s="9">
        <f>YEAR(C763)</f>
        <v/>
      </c>
      <c r="E763" s="9">
        <f>MONTH(C763)</f>
        <v/>
      </c>
      <c r="F763" s="9" t="inlineStr">
        <is>
          <t>B Hormigón</t>
        </is>
      </c>
      <c r="G763" s="9" t="inlineStr">
        <is>
          <t>B HORMIGON 28MM 11M A630-420H (N)</t>
        </is>
      </c>
      <c r="H763" s="9" t="inlineStr">
        <is>
          <t>B HORMIGON 28MM 11M A630-420H (N)</t>
        </is>
      </c>
      <c r="I763" s="9" t="inlineStr">
        <is>
          <t>RED 28 CR</t>
        </is>
      </c>
      <c r="J763" s="9" t="n">
        <v>110002893</v>
      </c>
      <c r="K763" s="9" t="n">
        <v>28</v>
      </c>
      <c r="L763" s="9" t="n"/>
      <c r="M763" s="9" t="n"/>
      <c r="N763" s="9" t="n"/>
      <c r="O763" s="9" t="n">
        <v>11</v>
      </c>
      <c r="P763" s="13" t="n">
        <v>77488</v>
      </c>
      <c r="Q763" s="13" t="n">
        <v>82368</v>
      </c>
      <c r="R763" s="14">
        <f>IFERROR(P763/Q763,"")</f>
        <v/>
      </c>
      <c r="S763" s="15" t="n">
        <v>0.9399999999999999</v>
      </c>
      <c r="T763" s="9">
        <f>IF(R763&gt;1,"A corregir","Válida")</f>
        <v/>
      </c>
      <c r="U763" s="13">
        <f>Q763-P763</f>
        <v/>
      </c>
      <c r="V763" s="13">
        <f>IF(S763="",0,S763*Q763)</f>
        <v/>
      </c>
      <c r="W763" s="9" t="n">
        <v>2026</v>
      </c>
      <c r="X763" s="9" t="n">
        <v>35</v>
      </c>
      <c r="Y763" s="9" t="inlineStr">
        <is>
          <t>2026-S35</t>
        </is>
      </c>
    </row>
    <row r="764">
      <c r="A764" s="9" t="n">
        <v>43049748</v>
      </c>
      <c r="B764" s="11" t="n">
        <v>46259.37741898148</v>
      </c>
      <c r="C764" s="12" t="n">
        <v>46259</v>
      </c>
      <c r="D764" s="9">
        <f>YEAR(C764)</f>
        <v/>
      </c>
      <c r="E764" s="9">
        <f>MONTH(C764)</f>
        <v/>
      </c>
      <c r="F764" s="9" t="inlineStr">
        <is>
          <t>B Hormigón</t>
        </is>
      </c>
      <c r="G764" s="9" t="inlineStr">
        <is>
          <t>B HORMIGON 28MM 10M A630-420H (N)</t>
        </is>
      </c>
      <c r="H764" s="9" t="inlineStr">
        <is>
          <t>B HORMIGON 28MM 10M A630-420H (N)</t>
        </is>
      </c>
      <c r="I764" s="9" t="inlineStr">
        <is>
          <t>RED 28 CR</t>
        </is>
      </c>
      <c r="J764" s="9" t="n">
        <v>110002892</v>
      </c>
      <c r="K764" s="9" t="n">
        <v>28</v>
      </c>
      <c r="L764" s="9" t="n"/>
      <c r="M764" s="9" t="n"/>
      <c r="N764" s="9" t="n"/>
      <c r="O764" s="9" t="n">
        <v>10</v>
      </c>
      <c r="P764" s="13" t="n">
        <v>74542</v>
      </c>
      <c r="Q764" s="13" t="n">
        <v>78988.8</v>
      </c>
      <c r="R764" s="14">
        <f>IFERROR(P764/Q764,"")</f>
        <v/>
      </c>
      <c r="S764" s="15" t="n">
        <v>0.96</v>
      </c>
      <c r="T764" s="9">
        <f>IF(R764&gt;1,"A corregir","Válida")</f>
        <v/>
      </c>
      <c r="U764" s="13">
        <f>Q764-P764</f>
        <v/>
      </c>
      <c r="V764" s="13">
        <f>IF(S764="",0,S764*Q764)</f>
        <v/>
      </c>
      <c r="W764" s="9" t="n">
        <v>2026</v>
      </c>
      <c r="X764" s="9" t="n">
        <v>35</v>
      </c>
      <c r="Y764" s="9" t="inlineStr">
        <is>
          <t>2026-S35</t>
        </is>
      </c>
    </row>
    <row r="765">
      <c r="A765" s="9" t="n">
        <v>43049749</v>
      </c>
      <c r="B765" s="11" t="n">
        <v>46259.52141203704</v>
      </c>
      <c r="C765" s="12" t="n">
        <v>46259</v>
      </c>
      <c r="D765" s="9">
        <f>YEAR(C765)</f>
        <v/>
      </c>
      <c r="E765" s="9">
        <f>MONTH(C765)</f>
        <v/>
      </c>
      <c r="F765" s="9" t="inlineStr">
        <is>
          <t>B Hormigón</t>
        </is>
      </c>
      <c r="G765" s="9" t="inlineStr">
        <is>
          <t>B HORMIGON 28MM 9M A630-420H (N)</t>
        </is>
      </c>
      <c r="H765" s="9" t="inlineStr">
        <is>
          <t>B HORMIGON 28MM 9M A630-420H (N)</t>
        </is>
      </c>
      <c r="I765" s="9" t="inlineStr">
        <is>
          <t>RED 28 CR</t>
        </is>
      </c>
      <c r="J765" s="9" t="n">
        <v>110002897</v>
      </c>
      <c r="K765" s="9" t="n">
        <v>28</v>
      </c>
      <c r="L765" s="9" t="n"/>
      <c r="M765" s="9" t="n"/>
      <c r="N765" s="9" t="n"/>
      <c r="O765" s="9" t="n">
        <v>9</v>
      </c>
      <c r="P765" s="13" t="n">
        <v>41623</v>
      </c>
      <c r="Q765" s="13" t="n">
        <v>43084.8</v>
      </c>
      <c r="R765" s="14">
        <f>IFERROR(P765/Q765,"")</f>
        <v/>
      </c>
      <c r="S765" s="15" t="n">
        <v>0.9399999999999999</v>
      </c>
      <c r="T765" s="9">
        <f>IF(R765&gt;1,"A corregir","Válida")</f>
        <v/>
      </c>
      <c r="U765" s="13">
        <f>Q765-P765</f>
        <v/>
      </c>
      <c r="V765" s="13">
        <f>IF(S765="",0,S765*Q765)</f>
        <v/>
      </c>
      <c r="W765" s="9" t="n">
        <v>2026</v>
      </c>
      <c r="X765" s="9" t="n">
        <v>35</v>
      </c>
      <c r="Y765" s="9" t="inlineStr">
        <is>
          <t>2026-S35</t>
        </is>
      </c>
    </row>
    <row r="766">
      <c r="A766" s="9" t="n">
        <v>43049750</v>
      </c>
      <c r="B766" s="11" t="n">
        <v>46259.59414351852</v>
      </c>
      <c r="C766" s="12" t="n">
        <v>46259</v>
      </c>
      <c r="D766" s="9">
        <f>YEAR(C766)</f>
        <v/>
      </c>
      <c r="E766" s="9">
        <f>MONTH(C766)</f>
        <v/>
      </c>
      <c r="F766" s="9" t="inlineStr">
        <is>
          <t>B Hormigón</t>
        </is>
      </c>
      <c r="G766" s="9" t="inlineStr">
        <is>
          <t>B HORMIGON 28MM 8M A630-420H (N)</t>
        </is>
      </c>
      <c r="H766" s="9" t="inlineStr">
        <is>
          <t>B HORMIGON 28MM 8M A630-420H (N)</t>
        </is>
      </c>
      <c r="I766" s="9" t="inlineStr">
        <is>
          <t>RED 28 CR</t>
        </is>
      </c>
      <c r="J766" s="9" t="n">
        <v>110002896</v>
      </c>
      <c r="K766" s="9" t="n">
        <v>28</v>
      </c>
      <c r="L766" s="9" t="n"/>
      <c r="M766" s="9" t="n"/>
      <c r="N766" s="9" t="n"/>
      <c r="O766" s="9" t="n">
        <v>8</v>
      </c>
      <c r="P766" s="13" t="n">
        <v>40491</v>
      </c>
      <c r="Q766" s="13" t="n">
        <v>43533.6</v>
      </c>
      <c r="R766" s="14">
        <f>IFERROR(P766/Q766,"")</f>
        <v/>
      </c>
      <c r="S766" s="15" t="n">
        <v>0.96</v>
      </c>
      <c r="T766" s="9">
        <f>IF(R766&gt;1,"A corregir","Válida")</f>
        <v/>
      </c>
      <c r="U766" s="13">
        <f>Q766-P766</f>
        <v/>
      </c>
      <c r="V766" s="13">
        <f>IF(S766="",0,S766*Q766)</f>
        <v/>
      </c>
      <c r="W766" s="9" t="n">
        <v>2026</v>
      </c>
      <c r="X766" s="9" t="n">
        <v>35</v>
      </c>
      <c r="Y766" s="9" t="inlineStr">
        <is>
          <t>2026-S35</t>
        </is>
      </c>
    </row>
    <row r="767">
      <c r="A767" s="9" t="n">
        <v>43049751</v>
      </c>
      <c r="B767" s="11" t="n">
        <v>46259.66568287037</v>
      </c>
      <c r="C767" s="12" t="n">
        <v>46259</v>
      </c>
      <c r="D767" s="9">
        <f>YEAR(C767)</f>
        <v/>
      </c>
      <c r="E767" s="9">
        <f>MONTH(C767)</f>
        <v/>
      </c>
      <c r="F767" s="9" t="inlineStr">
        <is>
          <t>B Hormigón</t>
        </is>
      </c>
      <c r="G767" s="9" t="inlineStr">
        <is>
          <t>B HORMIGON 28MM 7M A630-420H (N)</t>
        </is>
      </c>
      <c r="H767" s="9" t="inlineStr">
        <is>
          <t>B HORMIGON 28MM 7M A630-420H (N)</t>
        </is>
      </c>
      <c r="I767" s="9" t="inlineStr">
        <is>
          <t>RED 28 CR</t>
        </is>
      </c>
      <c r="J767" s="9" t="n">
        <v>110002895</v>
      </c>
      <c r="K767" s="9" t="n">
        <v>28</v>
      </c>
      <c r="L767" s="9" t="n"/>
      <c r="M767" s="9" t="n"/>
      <c r="N767" s="9" t="n"/>
      <c r="O767" s="9" t="n">
        <v>7</v>
      </c>
      <c r="P767" s="13" t="n">
        <v>51127</v>
      </c>
      <c r="Q767" s="13" t="n">
        <v>54067.2</v>
      </c>
      <c r="R767" s="14">
        <f>IFERROR(P767/Q767,"")</f>
        <v/>
      </c>
      <c r="S767" s="15" t="n">
        <v>0.96</v>
      </c>
      <c r="T767" s="9">
        <f>IF(R767&gt;1,"A corregir","Válida")</f>
        <v/>
      </c>
      <c r="U767" s="13">
        <f>Q767-P767</f>
        <v/>
      </c>
      <c r="V767" s="13">
        <f>IF(S767="",0,S767*Q767)</f>
        <v/>
      </c>
      <c r="W767" s="9" t="n">
        <v>2026</v>
      </c>
      <c r="X767" s="9" t="n">
        <v>35</v>
      </c>
      <c r="Y767" s="9" t="inlineStr">
        <is>
          <t>2026-S35</t>
        </is>
      </c>
    </row>
    <row r="768">
      <c r="A768" s="9" t="n">
        <v>43049757</v>
      </c>
      <c r="B768" s="11" t="n">
        <v>46259.95622685185</v>
      </c>
      <c r="C768" s="12" t="n">
        <v>46259</v>
      </c>
      <c r="D768" s="9">
        <f>YEAR(C768)</f>
        <v/>
      </c>
      <c r="E768" s="9">
        <f>MONTH(C768)</f>
        <v/>
      </c>
      <c r="F768" s="9" t="inlineStr">
        <is>
          <t>B Hormigón</t>
        </is>
      </c>
      <c r="G768" s="9" t="inlineStr">
        <is>
          <t>B HORMIGON 18MM 9M A630-420H (N)</t>
        </is>
      </c>
      <c r="H768" s="9" t="inlineStr">
        <is>
          <t>B HORMIGON 18MM 9M A630-420H (N)</t>
        </is>
      </c>
      <c r="I768" s="9" t="inlineStr">
        <is>
          <t>RED 18 CR</t>
        </is>
      </c>
      <c r="J768" s="9" t="n">
        <v>110002951</v>
      </c>
      <c r="K768" s="9" t="n">
        <v>18</v>
      </c>
      <c r="L768" s="9" t="n"/>
      <c r="M768" s="9" t="n"/>
      <c r="N768" s="9" t="n"/>
      <c r="O768" s="9" t="n">
        <v>9</v>
      </c>
      <c r="P768" s="13" t="n">
        <v>117129</v>
      </c>
      <c r="Q768" s="13" t="n">
        <v>122971.2</v>
      </c>
      <c r="R768" s="14">
        <f>IFERROR(P768/Q768,"")</f>
        <v/>
      </c>
      <c r="S768" s="15" t="n">
        <v>0.9590000000000001</v>
      </c>
      <c r="T768" s="9">
        <f>IF(R768&gt;1,"A corregir","Válida")</f>
        <v/>
      </c>
      <c r="U768" s="13">
        <f>Q768-P768</f>
        <v/>
      </c>
      <c r="V768" s="13">
        <f>IF(S768="",0,S768*Q768)</f>
        <v/>
      </c>
      <c r="W768" s="9" t="n">
        <v>2026</v>
      </c>
      <c r="X768" s="9" t="n">
        <v>35</v>
      </c>
      <c r="Y768" s="9" t="inlineStr">
        <is>
          <t>2026-S35</t>
        </is>
      </c>
    </row>
    <row r="769">
      <c r="A769" s="9" t="n">
        <v>43049758</v>
      </c>
      <c r="B769" s="11" t="n">
        <v>46260.21121527778</v>
      </c>
      <c r="C769" s="12" t="n">
        <v>46260</v>
      </c>
      <c r="D769" s="9">
        <f>YEAR(C769)</f>
        <v/>
      </c>
      <c r="E769" s="9">
        <f>MONTH(C769)</f>
        <v/>
      </c>
      <c r="F769" s="9" t="inlineStr">
        <is>
          <t>B Hormigón</t>
        </is>
      </c>
      <c r="G769" s="9" t="inlineStr">
        <is>
          <t>B HORMIGON 18MM 8M A630-420H (N)</t>
        </is>
      </c>
      <c r="H769" s="9" t="inlineStr">
        <is>
          <t>B HORMIGON 18MM 8M A630-420H (N)</t>
        </is>
      </c>
      <c r="I769" s="9" t="inlineStr">
        <is>
          <t>RED 18 CR</t>
        </is>
      </c>
      <c r="J769" s="9" t="n">
        <v>110002952</v>
      </c>
      <c r="K769" s="9" t="n">
        <v>18</v>
      </c>
      <c r="L769" s="9" t="n"/>
      <c r="M769" s="9" t="n"/>
      <c r="N769" s="9" t="n"/>
      <c r="O769" s="9" t="n">
        <v>8</v>
      </c>
      <c r="P769" s="13" t="n">
        <v>101359</v>
      </c>
      <c r="Q769" s="13" t="n">
        <v>105468</v>
      </c>
      <c r="R769" s="14">
        <f>IFERROR(P769/Q769,"")</f>
        <v/>
      </c>
      <c r="S769" s="15" t="n">
        <v>0.96</v>
      </c>
      <c r="T769" s="9">
        <f>IF(R769&gt;1,"A corregir","Válida")</f>
        <v/>
      </c>
      <c r="U769" s="13">
        <f>Q769-P769</f>
        <v/>
      </c>
      <c r="V769" s="13">
        <f>IF(S769="",0,S769*Q769)</f>
        <v/>
      </c>
      <c r="W769" s="9" t="n">
        <v>2026</v>
      </c>
      <c r="X769" s="9" t="n">
        <v>35</v>
      </c>
      <c r="Y769" s="9" t="inlineStr">
        <is>
          <t>2026-S35</t>
        </is>
      </c>
    </row>
    <row r="770">
      <c r="A770" s="9" t="n">
        <v>43049831</v>
      </c>
      <c r="B770" s="11" t="n">
        <v>46260.41324074074</v>
      </c>
      <c r="C770" s="12" t="n">
        <v>46260</v>
      </c>
      <c r="D770" s="9">
        <f>YEAR(C770)</f>
        <v/>
      </c>
      <c r="E770" s="9">
        <f>MONTH(C770)</f>
        <v/>
      </c>
      <c r="F770" s="9" t="inlineStr">
        <is>
          <t>B Hormigón</t>
        </is>
      </c>
      <c r="G770" s="9" t="inlineStr">
        <is>
          <t>B HORMIGON 18MM 7M A630-420H (N)</t>
        </is>
      </c>
      <c r="H770" s="9" t="inlineStr">
        <is>
          <t>B HORMIGON 18MM 7M A630-420H (N)</t>
        </is>
      </c>
      <c r="I770" s="9" t="inlineStr">
        <is>
          <t>RED 18 CR</t>
        </is>
      </c>
      <c r="J770" s="9" t="n">
        <v>110002940</v>
      </c>
      <c r="K770" s="9" t="n">
        <v>18</v>
      </c>
      <c r="L770" s="9" t="n"/>
      <c r="M770" s="9" t="n"/>
      <c r="N770" s="9" t="n"/>
      <c r="O770" s="9" t="n">
        <v>7</v>
      </c>
      <c r="P770" s="13" t="n">
        <v>9295</v>
      </c>
      <c r="Q770" s="13" t="n">
        <v>4488</v>
      </c>
      <c r="R770" s="14">
        <f>IFERROR(P770/Q770,"")</f>
        <v/>
      </c>
      <c r="S770" s="15" t="n">
        <v>0.9590000000000001</v>
      </c>
      <c r="T770" s="9">
        <f>IF(R770&gt;1,"A corregir","Válida")</f>
        <v/>
      </c>
      <c r="U770" s="13">
        <f>Q770-P770</f>
        <v/>
      </c>
      <c r="V770" s="13">
        <f>IF(S770="",0,S770*Q770)</f>
        <v/>
      </c>
      <c r="W770" s="9" t="n">
        <v>2026</v>
      </c>
      <c r="X770" s="9" t="n">
        <v>35</v>
      </c>
      <c r="Y770" s="9" t="inlineStr">
        <is>
          <t>2026-S35</t>
        </is>
      </c>
    </row>
    <row r="771">
      <c r="A771" s="9" t="n">
        <v>43049832</v>
      </c>
      <c r="B771" s="11" t="n">
        <v>46260.42533564815</v>
      </c>
      <c r="C771" s="12" t="n">
        <v>46260</v>
      </c>
      <c r="D771" s="9">
        <f>YEAR(C771)</f>
        <v/>
      </c>
      <c r="E771" s="9">
        <f>MONTH(C771)</f>
        <v/>
      </c>
      <c r="F771" s="9" t="inlineStr">
        <is>
          <t>B Hormigón</t>
        </is>
      </c>
      <c r="G771" s="9" t="inlineStr">
        <is>
          <t>B HORMIGON 18MM 7M A630-420H (N)</t>
        </is>
      </c>
      <c r="H771" s="9" t="inlineStr">
        <is>
          <t>B HORMIGON 18MM 7M A630-420H (N)</t>
        </is>
      </c>
      <c r="I771" s="9" t="inlineStr">
        <is>
          <t>RED 18 CR</t>
        </is>
      </c>
      <c r="J771" s="9" t="n">
        <v>110002940</v>
      </c>
      <c r="K771" s="9" t="n">
        <v>18</v>
      </c>
      <c r="L771" s="9" t="n"/>
      <c r="M771" s="9" t="n"/>
      <c r="N771" s="9" t="n"/>
      <c r="O771" s="9" t="n">
        <v>7</v>
      </c>
      <c r="P771" s="13" t="n">
        <v>19155</v>
      </c>
      <c r="Q771" s="13" t="n">
        <v>20275.2</v>
      </c>
      <c r="R771" s="14">
        <f>IFERROR(P771/Q771,"")</f>
        <v/>
      </c>
      <c r="S771" s="15" t="n">
        <v>0.9590000000000001</v>
      </c>
      <c r="T771" s="9">
        <f>IF(R771&gt;1,"A corregir","Válida")</f>
        <v/>
      </c>
      <c r="U771" s="13">
        <f>Q771-P771</f>
        <v/>
      </c>
      <c r="V771" s="13">
        <f>IF(S771="",0,S771*Q771)</f>
        <v/>
      </c>
      <c r="W771" s="9" t="n">
        <v>2026</v>
      </c>
      <c r="X771" s="9" t="n">
        <v>35</v>
      </c>
      <c r="Y771" s="9" t="inlineStr">
        <is>
          <t>2026-S35</t>
        </is>
      </c>
    </row>
    <row r="772">
      <c r="A772" s="9" t="n">
        <v>43049759</v>
      </c>
      <c r="B772" s="11" t="n">
        <v>46260.45951388889</v>
      </c>
      <c r="C772" s="12" t="n">
        <v>46260</v>
      </c>
      <c r="D772" s="9">
        <f>YEAR(C772)</f>
        <v/>
      </c>
      <c r="E772" s="9">
        <f>MONTH(C772)</f>
        <v/>
      </c>
      <c r="F772" s="9" t="inlineStr">
        <is>
          <t>B Hormigón</t>
        </is>
      </c>
      <c r="G772" s="9" t="inlineStr">
        <is>
          <t>B HORMIGON 18MM 7M A630-420H (N)</t>
        </is>
      </c>
      <c r="H772" s="9" t="inlineStr">
        <is>
          <t>B HORMIGON 18MM 7M A630-420H (N)</t>
        </is>
      </c>
      <c r="I772" s="9" t="inlineStr">
        <is>
          <t>RED 18 CR</t>
        </is>
      </c>
      <c r="J772" s="9" t="n">
        <v>110002940</v>
      </c>
      <c r="K772" s="9" t="n">
        <v>18</v>
      </c>
      <c r="L772" s="9" t="n"/>
      <c r="M772" s="9" t="n"/>
      <c r="N772" s="9" t="n"/>
      <c r="O772" s="9" t="n">
        <v>7</v>
      </c>
      <c r="P772" s="13" t="n">
        <v>49110</v>
      </c>
      <c r="Q772" s="13" t="n">
        <v>51612</v>
      </c>
      <c r="R772" s="14">
        <f>IFERROR(P772/Q772,"")</f>
        <v/>
      </c>
      <c r="S772" s="15" t="n">
        <v>0.9590000000000001</v>
      </c>
      <c r="T772" s="9">
        <f>IF(R772&gt;1,"A corregir","Válida")</f>
        <v/>
      </c>
      <c r="U772" s="13">
        <f>Q772-P772</f>
        <v/>
      </c>
      <c r="V772" s="13">
        <f>IF(S772="",0,S772*Q772)</f>
        <v/>
      </c>
      <c r="W772" s="9" t="n">
        <v>2026</v>
      </c>
      <c r="X772" s="9" t="n">
        <v>35</v>
      </c>
      <c r="Y772" s="9" t="inlineStr">
        <is>
          <t>2026-S35</t>
        </is>
      </c>
    </row>
    <row r="773">
      <c r="A773" s="9" t="n">
        <v>43049760</v>
      </c>
      <c r="B773" s="11" t="n">
        <v>46260.57768518518</v>
      </c>
      <c r="C773" s="12" t="n">
        <v>46260</v>
      </c>
      <c r="D773" s="9">
        <f>YEAR(C773)</f>
        <v/>
      </c>
      <c r="E773" s="9">
        <f>MONTH(C773)</f>
        <v/>
      </c>
      <c r="F773" s="9" t="inlineStr">
        <is>
          <t>B Hormigón</t>
        </is>
      </c>
      <c r="G773" s="9" t="inlineStr">
        <is>
          <t>B HORMIGON 18MM 6M A630-420H (N)</t>
        </is>
      </c>
      <c r="H773" s="9" t="inlineStr">
        <is>
          <t>B HORMIGON 18MM 6M A630-420H (N)</t>
        </is>
      </c>
      <c r="I773" s="9" t="inlineStr">
        <is>
          <t>RED 18 CR</t>
        </is>
      </c>
      <c r="J773" s="9" t="n">
        <v>110002942</v>
      </c>
      <c r="K773" s="9" t="n">
        <v>18</v>
      </c>
      <c r="L773" s="9" t="n"/>
      <c r="M773" s="9" t="n"/>
      <c r="N773" s="9" t="n"/>
      <c r="O773" s="9" t="n">
        <v>6</v>
      </c>
      <c r="P773" s="13" t="n">
        <v>179027</v>
      </c>
      <c r="Q773" s="13" t="n">
        <v>188047.2</v>
      </c>
      <c r="R773" s="14">
        <f>IFERROR(P773/Q773,"")</f>
        <v/>
      </c>
      <c r="S773" s="15" t="n">
        <v>0.96</v>
      </c>
      <c r="T773" s="9">
        <f>IF(R773&gt;1,"A corregir","Válida")</f>
        <v/>
      </c>
      <c r="U773" s="13">
        <f>Q773-P773</f>
        <v/>
      </c>
      <c r="V773" s="13">
        <f>IF(S773="",0,S773*Q773)</f>
        <v/>
      </c>
      <c r="W773" s="9" t="n">
        <v>2026</v>
      </c>
      <c r="X773" s="9" t="n">
        <v>35</v>
      </c>
      <c r="Y773" s="9" t="inlineStr">
        <is>
          <t>2026-S35</t>
        </is>
      </c>
    </row>
    <row r="774">
      <c r="A774" s="9" t="n">
        <v>43049756</v>
      </c>
      <c r="B774" s="11" t="n">
        <v>46261.07577546296</v>
      </c>
      <c r="C774" s="12" t="n">
        <v>46261</v>
      </c>
      <c r="D774" s="9">
        <f>YEAR(C774)</f>
        <v/>
      </c>
      <c r="E774" s="9">
        <f>MONTH(C774)</f>
        <v/>
      </c>
      <c r="F774" s="9" t="inlineStr">
        <is>
          <t>B Hormigón</t>
        </is>
      </c>
      <c r="G774" s="9" t="inlineStr">
        <is>
          <t>B HORMIGON 18MM 10M A630-420H (N)</t>
        </is>
      </c>
      <c r="H774" s="9" t="inlineStr">
        <is>
          <t>B HORMIGON 18MM 10M A630-420H (N)</t>
        </is>
      </c>
      <c r="I774" s="9" t="inlineStr">
        <is>
          <t>RED 18 CR</t>
        </is>
      </c>
      <c r="J774" s="9" t="n">
        <v>110002924</v>
      </c>
      <c r="K774" s="9" t="n">
        <v>18</v>
      </c>
      <c r="L774" s="9" t="n"/>
      <c r="M774" s="9" t="n"/>
      <c r="N774" s="9" t="n"/>
      <c r="O774" s="9" t="n">
        <v>10</v>
      </c>
      <c r="P774" s="13" t="n">
        <v>30950</v>
      </c>
      <c r="Q774" s="13" t="n">
        <v>33211.2</v>
      </c>
      <c r="R774" s="14">
        <f>IFERROR(P774/Q774,"")</f>
        <v/>
      </c>
      <c r="S774" s="15" t="n">
        <v>0.96</v>
      </c>
      <c r="T774" s="9">
        <f>IF(R774&gt;1,"A corregir","Válida")</f>
        <v/>
      </c>
      <c r="U774" s="13">
        <f>Q774-P774</f>
        <v/>
      </c>
      <c r="V774" s="13">
        <f>IF(S774="",0,S774*Q774)</f>
        <v/>
      </c>
      <c r="W774" s="9" t="n">
        <v>2026</v>
      </c>
      <c r="X774" s="9" t="n">
        <v>35</v>
      </c>
      <c r="Y774" s="9" t="inlineStr">
        <is>
          <t>2026-S35</t>
        </is>
      </c>
    </row>
    <row r="775">
      <c r="A775" s="9" t="n">
        <v>43049755</v>
      </c>
      <c r="B775" s="11" t="n">
        <v>46261.14525462963</v>
      </c>
      <c r="C775" s="12" t="n">
        <v>46261</v>
      </c>
      <c r="D775" s="9">
        <f>YEAR(C775)</f>
        <v/>
      </c>
      <c r="E775" s="9">
        <f>MONTH(C775)</f>
        <v/>
      </c>
      <c r="F775" s="9" t="inlineStr">
        <is>
          <t>B Hormigón</t>
        </is>
      </c>
      <c r="G775" s="9" t="inlineStr">
        <is>
          <t>B HORMIGON 18MM 11M A630-420H (N)</t>
        </is>
      </c>
      <c r="H775" s="9" t="inlineStr">
        <is>
          <t>B HORMIGON 18MM 11M A630-420H (N)</t>
        </is>
      </c>
      <c r="I775" s="9" t="inlineStr">
        <is>
          <t>RED 18 CR</t>
        </is>
      </c>
      <c r="J775" s="9" t="n">
        <v>110002937</v>
      </c>
      <c r="K775" s="9" t="n">
        <v>18</v>
      </c>
      <c r="L775" s="9" t="n"/>
      <c r="M775" s="9" t="n"/>
      <c r="N775" s="9" t="n"/>
      <c r="O775" s="9" t="n">
        <v>11</v>
      </c>
      <c r="P775" s="13" t="n">
        <v>232159</v>
      </c>
      <c r="Q775" s="13" t="n">
        <v>248635.2</v>
      </c>
      <c r="R775" s="14">
        <f>IFERROR(P775/Q775,"")</f>
        <v/>
      </c>
      <c r="S775" s="15" t="n">
        <v>0.96</v>
      </c>
      <c r="T775" s="9">
        <f>IF(R775&gt;1,"A corregir","Válida")</f>
        <v/>
      </c>
      <c r="U775" s="13">
        <f>Q775-P775</f>
        <v/>
      </c>
      <c r="V775" s="13">
        <f>IF(S775="",0,S775*Q775)</f>
        <v/>
      </c>
      <c r="W775" s="9" t="n">
        <v>2026</v>
      </c>
      <c r="X775" s="9" t="n">
        <v>35</v>
      </c>
      <c r="Y775" s="9" t="inlineStr">
        <is>
          <t>2026-S35</t>
        </is>
      </c>
    </row>
    <row r="776">
      <c r="A776" s="9" t="n">
        <v>43049754</v>
      </c>
      <c r="B776" s="11" t="n">
        <v>46261.56552083333</v>
      </c>
      <c r="C776" s="12" t="n">
        <v>46261</v>
      </c>
      <c r="D776" s="9">
        <f>YEAR(C776)</f>
        <v/>
      </c>
      <c r="E776" s="9">
        <f>MONTH(C776)</f>
        <v/>
      </c>
      <c r="F776" s="9" t="inlineStr">
        <is>
          <t>B Hormigón</t>
        </is>
      </c>
      <c r="G776" s="9" t="inlineStr">
        <is>
          <t>B HORMIGON 18MM 12M A630-420H (N)</t>
        </is>
      </c>
      <c r="H776" s="9" t="inlineStr">
        <is>
          <t>B HORMIGON 18MM 12M A630-420H (N)</t>
        </is>
      </c>
      <c r="I776" s="9" t="inlineStr">
        <is>
          <t>RED 18 CR</t>
        </is>
      </c>
      <c r="J776" s="9" t="n">
        <v>110002938</v>
      </c>
      <c r="K776" s="9" t="n">
        <v>18</v>
      </c>
      <c r="L776" s="9" t="n"/>
      <c r="M776" s="9" t="n"/>
      <c r="N776" s="9" t="n"/>
      <c r="O776" s="9" t="n">
        <v>12</v>
      </c>
      <c r="P776" s="13" t="n">
        <v>1238139</v>
      </c>
      <c r="Q776" s="13" t="n">
        <v>1298827.2</v>
      </c>
      <c r="R776" s="14">
        <f>IFERROR(P776/Q776,"")</f>
        <v/>
      </c>
      <c r="S776" s="15" t="n">
        <v>0.96</v>
      </c>
      <c r="T776" s="9">
        <f>IF(R776&gt;1,"A corregir","Válida")</f>
        <v/>
      </c>
      <c r="U776" s="13">
        <f>Q776-P776</f>
        <v/>
      </c>
      <c r="V776" s="13">
        <f>IF(S776="",0,S776*Q776)</f>
        <v/>
      </c>
      <c r="W776" s="9" t="n">
        <v>2026</v>
      </c>
      <c r="X776" s="9" t="n">
        <v>35</v>
      </c>
      <c r="Y776" s="9" t="inlineStr">
        <is>
          <t>2026-S35</t>
        </is>
      </c>
    </row>
    <row r="777">
      <c r="A777" s="9" t="n">
        <v>43049887</v>
      </c>
      <c r="B777" s="11" t="n">
        <v>46265.36778935185</v>
      </c>
      <c r="C777" s="12" t="n">
        <v>46265</v>
      </c>
      <c r="D777" s="9">
        <f>YEAR(C777)</f>
        <v/>
      </c>
      <c r="E777" s="9">
        <f>MONTH(C777)</f>
        <v/>
      </c>
      <c r="F777" s="9" t="inlineStr">
        <is>
          <t>B Hormigón</t>
        </is>
      </c>
      <c r="G777" s="9" t="inlineStr">
        <is>
          <t>B HORMIGON 18MM 12M A630-420H (N)</t>
        </is>
      </c>
      <c r="H777" s="9" t="inlineStr">
        <is>
          <t>B HORMIGON 18MM 12M A630-420H (N)</t>
        </is>
      </c>
      <c r="I777" s="9" t="inlineStr">
        <is>
          <t>RED 18 CR</t>
        </is>
      </c>
      <c r="J777" s="9" t="n">
        <v>110002938</v>
      </c>
      <c r="K777" s="9" t="n">
        <v>18</v>
      </c>
      <c r="L777" s="9" t="n"/>
      <c r="M777" s="9" t="n"/>
      <c r="N777" s="9" t="n"/>
      <c r="O777" s="9" t="n">
        <v>12</v>
      </c>
      <c r="P777" s="13" t="n">
        <v>200519</v>
      </c>
      <c r="Q777" s="13" t="n">
        <v>208692</v>
      </c>
      <c r="R777" s="14">
        <f>IFERROR(P777/Q777,"")</f>
        <v/>
      </c>
      <c r="S777" s="15" t="n">
        <v>0.96</v>
      </c>
      <c r="T777" s="9">
        <f>IF(R777&gt;1,"A corregir","Válida")</f>
        <v/>
      </c>
      <c r="U777" s="13">
        <f>Q777-P777</f>
        <v/>
      </c>
      <c r="V777" s="13">
        <f>IF(S777="",0,S777*Q777)</f>
        <v/>
      </c>
      <c r="W777" s="9" t="n">
        <v>2026</v>
      </c>
      <c r="X777" s="9" t="n">
        <v>36</v>
      </c>
      <c r="Y777" s="9" t="inlineStr">
        <is>
          <t>2026-S36</t>
        </is>
      </c>
    </row>
    <row r="778">
      <c r="A778" s="9" t="n">
        <v>43049985</v>
      </c>
      <c r="B778" s="11" t="n">
        <v>46266.05052083333</v>
      </c>
      <c r="C778" s="12" t="n">
        <v>46266</v>
      </c>
      <c r="D778" s="9">
        <f>YEAR(C778)</f>
        <v/>
      </c>
      <c r="E778" s="9">
        <f>MONTH(C778)</f>
        <v/>
      </c>
      <c r="F778" s="9" t="inlineStr">
        <is>
          <t>Plana</t>
        </is>
      </c>
      <c r="G778" s="9" t="inlineStr">
        <is>
          <t>PLANA 50X3 MM 6M A270ES (N)</t>
        </is>
      </c>
      <c r="H778" s="9" t="inlineStr">
        <is>
          <t>PLANA 50X3 MM 6M A270ES (N)</t>
        </is>
      </c>
      <c r="I778" s="9" t="inlineStr">
        <is>
          <t>PL 50 x 3</t>
        </is>
      </c>
      <c r="J778" s="9" t="n">
        <v>109013903</v>
      </c>
      <c r="K778" s="9" t="n"/>
      <c r="L778" s="9" t="n">
        <v>50</v>
      </c>
      <c r="M778" s="9" t="n">
        <v>3</v>
      </c>
      <c r="N778" s="9" t="n"/>
      <c r="O778" s="9" t="n">
        <v>6</v>
      </c>
      <c r="P778" s="13" t="n">
        <v>172041</v>
      </c>
      <c r="Q778" s="13" t="n">
        <v>183559.2</v>
      </c>
      <c r="R778" s="14">
        <f>IFERROR(P778/Q778,"")</f>
        <v/>
      </c>
      <c r="S778" s="15" t="n">
        <v>0.963</v>
      </c>
      <c r="T778" s="9">
        <f>IF(R778&gt;1,"A corregir","Válida")</f>
        <v/>
      </c>
      <c r="U778" s="13">
        <f>Q778-P778</f>
        <v/>
      </c>
      <c r="V778" s="13">
        <f>IF(S778="",0,S778*Q778)</f>
        <v/>
      </c>
      <c r="W778" s="9" t="n">
        <v>2026</v>
      </c>
      <c r="X778" s="9" t="n">
        <v>36</v>
      </c>
      <c r="Y778" s="9" t="inlineStr">
        <is>
          <t>2026-S36</t>
        </is>
      </c>
    </row>
    <row r="779">
      <c r="A779" s="9" t="n">
        <v>43049890</v>
      </c>
      <c r="B779" s="11" t="n">
        <v>46266.98598379629</v>
      </c>
      <c r="C779" s="12" t="n">
        <v>46266</v>
      </c>
      <c r="D779" s="9">
        <f>YEAR(C779)</f>
        <v/>
      </c>
      <c r="E779" s="9">
        <f>MONTH(C779)</f>
        <v/>
      </c>
      <c r="F779" s="9" t="inlineStr">
        <is>
          <t>Ángulo</t>
        </is>
      </c>
      <c r="G779" s="9" t="inlineStr">
        <is>
          <t>ANGULO 50X50X4MM A270ES</t>
        </is>
      </c>
      <c r="H779" s="9" t="inlineStr">
        <is>
          <t>ANGULO SEMI 50X50X4MM A270ES</t>
        </is>
      </c>
      <c r="I779" s="9" t="inlineStr">
        <is>
          <t>ANG 50 x 4</t>
        </is>
      </c>
      <c r="J779" s="9" t="n">
        <v>106501036</v>
      </c>
      <c r="K779" s="9" t="n"/>
      <c r="L779" s="9" t="n">
        <v>50</v>
      </c>
      <c r="M779" s="9" t="n">
        <v>4</v>
      </c>
      <c r="N779" s="9" t="n"/>
      <c r="O779" s="9" t="n">
        <v>6</v>
      </c>
      <c r="P779" s="13" t="n">
        <v>188962</v>
      </c>
      <c r="Q779" s="13" t="n">
        <v>206448</v>
      </c>
      <c r="R779" s="14">
        <f>IFERROR(P779/Q779,"")</f>
        <v/>
      </c>
      <c r="S779" s="15" t="n">
        <v>0.948</v>
      </c>
      <c r="T779" s="9">
        <f>IF(R779&gt;1,"A corregir","Válida")</f>
        <v/>
      </c>
      <c r="U779" s="13">
        <f>Q779-P779</f>
        <v/>
      </c>
      <c r="V779" s="13">
        <f>IF(S779="",0,S779*Q779)</f>
        <v/>
      </c>
      <c r="W779" s="9" t="n">
        <v>2026</v>
      </c>
      <c r="X779" s="9" t="n">
        <v>36</v>
      </c>
      <c r="Y779" s="9" t="inlineStr">
        <is>
          <t>2026-S36</t>
        </is>
      </c>
    </row>
    <row r="780">
      <c r="A780" s="9" t="n">
        <v>43049891</v>
      </c>
      <c r="B780" s="11" t="n">
        <v>46267.61716435185</v>
      </c>
      <c r="C780" s="12" t="n">
        <v>46267</v>
      </c>
      <c r="D780" s="9">
        <f>YEAR(C780)</f>
        <v/>
      </c>
      <c r="E780" s="9">
        <f>MONTH(C780)</f>
        <v/>
      </c>
      <c r="F780" s="9" t="inlineStr">
        <is>
          <t>Ángulo</t>
        </is>
      </c>
      <c r="G780" s="9" t="inlineStr">
        <is>
          <t>ANGULO 50X50X3MM A270ES</t>
        </is>
      </c>
      <c r="H780" s="9" t="inlineStr">
        <is>
          <t>ANGULO SEMI 50X50X3MM A270ES</t>
        </is>
      </c>
      <c r="I780" s="9" t="inlineStr">
        <is>
          <t>ANG 50 x 3</t>
        </is>
      </c>
      <c r="J780" s="9" t="n">
        <v>106501038</v>
      </c>
      <c r="K780" s="9" t="n"/>
      <c r="L780" s="9" t="n">
        <v>50</v>
      </c>
      <c r="M780" s="9" t="n">
        <v>3</v>
      </c>
      <c r="N780" s="9" t="n"/>
      <c r="O780" s="9" t="n">
        <v>6</v>
      </c>
      <c r="P780" s="13" t="n">
        <v>49750</v>
      </c>
      <c r="Q780" s="13" t="n">
        <v>54304.8</v>
      </c>
      <c r="R780" s="14">
        <f>IFERROR(P780/Q780,"")</f>
        <v/>
      </c>
      <c r="S780" s="15" t="n">
        <v>0.953</v>
      </c>
      <c r="T780" s="9">
        <f>IF(R780&gt;1,"A corregir","Válida")</f>
        <v/>
      </c>
      <c r="U780" s="13">
        <f>Q780-P780</f>
        <v/>
      </c>
      <c r="V780" s="13">
        <f>IF(S780="",0,S780*Q780)</f>
        <v/>
      </c>
      <c r="W780" s="9" t="n">
        <v>2026</v>
      </c>
      <c r="X780" s="9" t="n">
        <v>36</v>
      </c>
      <c r="Y780" s="9" t="inlineStr">
        <is>
          <t>2026-S36</t>
        </is>
      </c>
    </row>
    <row r="781">
      <c r="A781" s="9" t="n">
        <v>43049892</v>
      </c>
      <c r="B781" s="11" t="n">
        <v>46267.96556712963</v>
      </c>
      <c r="C781" s="12" t="n">
        <v>46267</v>
      </c>
      <c r="D781" s="9">
        <f>YEAR(C781)</f>
        <v/>
      </c>
      <c r="E781" s="9">
        <f>MONTH(C781)</f>
        <v/>
      </c>
      <c r="F781" s="9" t="inlineStr">
        <is>
          <t>B Hormigón</t>
        </is>
      </c>
      <c r="G781" s="9" t="inlineStr">
        <is>
          <t>B HORMIGON 36MM 12M A630-420H (N)</t>
        </is>
      </c>
      <c r="H781" s="9" t="inlineStr">
        <is>
          <t>B HORMIGON 36MM 12M A630-420H (N)</t>
        </is>
      </c>
      <c r="I781" s="9" t="inlineStr">
        <is>
          <t>RED 36 CR</t>
        </is>
      </c>
      <c r="J781" s="9" t="n">
        <v>110002907</v>
      </c>
      <c r="K781" s="9" t="n">
        <v>36</v>
      </c>
      <c r="L781" s="9" t="n"/>
      <c r="M781" s="9" t="n"/>
      <c r="N781" s="9" t="n"/>
      <c r="O781" s="9" t="n">
        <v>12</v>
      </c>
      <c r="P781" s="13" t="n">
        <v>30155</v>
      </c>
      <c r="Q781" s="13" t="n">
        <v>32736</v>
      </c>
      <c r="R781" s="14">
        <f>IFERROR(P781/Q781,"")</f>
        <v/>
      </c>
      <c r="S781" s="15" t="n">
        <v>0.96</v>
      </c>
      <c r="T781" s="9">
        <f>IF(R781&gt;1,"A corregir","Válida")</f>
        <v/>
      </c>
      <c r="U781" s="13">
        <f>Q781-P781</f>
        <v/>
      </c>
      <c r="V781" s="13">
        <f>IF(S781="",0,S781*Q781)</f>
        <v/>
      </c>
      <c r="W781" s="9" t="n">
        <v>2026</v>
      </c>
      <c r="X781" s="9" t="n">
        <v>36</v>
      </c>
      <c r="Y781" s="9" t="inlineStr">
        <is>
          <t>2026-S36</t>
        </is>
      </c>
    </row>
    <row r="782">
      <c r="A782" s="9" t="n">
        <v>43049893</v>
      </c>
      <c r="B782" s="11" t="n">
        <v>46268.02498842592</v>
      </c>
      <c r="C782" s="12" t="n">
        <v>46268</v>
      </c>
      <c r="D782" s="9">
        <f>YEAR(C782)</f>
        <v/>
      </c>
      <c r="E782" s="9">
        <f>MONTH(C782)</f>
        <v/>
      </c>
      <c r="F782" s="9" t="inlineStr">
        <is>
          <t>B Hormigón</t>
        </is>
      </c>
      <c r="G782" s="9" t="inlineStr">
        <is>
          <t>B HORMIGON 36MM 10M A630-420H (N)</t>
        </is>
      </c>
      <c r="H782" s="9" t="inlineStr">
        <is>
          <t>B HORMIGON 36MM 10M A630-420H (N)</t>
        </is>
      </c>
      <c r="I782" s="9" t="inlineStr">
        <is>
          <t>RED 36 CR</t>
        </is>
      </c>
      <c r="J782" s="9" t="n">
        <v>110002906</v>
      </c>
      <c r="K782" s="9" t="n">
        <v>36</v>
      </c>
      <c r="L782" s="9" t="n"/>
      <c r="M782" s="9" t="n"/>
      <c r="N782" s="9" t="n"/>
      <c r="O782" s="9" t="n">
        <v>10</v>
      </c>
      <c r="P782" s="13" t="n">
        <v>32792</v>
      </c>
      <c r="Q782" s="13" t="n">
        <v>35481.6</v>
      </c>
      <c r="R782" s="14">
        <f>IFERROR(P782/Q782,"")</f>
        <v/>
      </c>
      <c r="S782" s="15" t="n">
        <v>0.96</v>
      </c>
      <c r="T782" s="9">
        <f>IF(R782&gt;1,"A corregir","Válida")</f>
        <v/>
      </c>
      <c r="U782" s="13">
        <f>Q782-P782</f>
        <v/>
      </c>
      <c r="V782" s="13">
        <f>IF(S782="",0,S782*Q782)</f>
        <v/>
      </c>
      <c r="W782" s="9" t="n">
        <v>2026</v>
      </c>
      <c r="X782" s="9" t="n">
        <v>36</v>
      </c>
      <c r="Y782" s="9" t="inlineStr">
        <is>
          <t>2026-S36</t>
        </is>
      </c>
    </row>
    <row r="783">
      <c r="A783" s="9" t="n">
        <v>43049894</v>
      </c>
      <c r="B783" s="11" t="n">
        <v>46268.08697916667</v>
      </c>
      <c r="C783" s="12" t="n">
        <v>46268</v>
      </c>
      <c r="D783" s="9">
        <f>YEAR(C783)</f>
        <v/>
      </c>
      <c r="E783" s="9">
        <f>MONTH(C783)</f>
        <v/>
      </c>
      <c r="F783" s="9" t="inlineStr">
        <is>
          <t>B Hormigón</t>
        </is>
      </c>
      <c r="G783" s="9" t="inlineStr">
        <is>
          <t>B HORMIGON 36MM 6M A630-420H (N)</t>
        </is>
      </c>
      <c r="H783" s="9" t="inlineStr">
        <is>
          <t>B HORMIGON 36MM 6M A630-420H (N)</t>
        </is>
      </c>
      <c r="I783" s="9" t="inlineStr">
        <is>
          <t>RED 36 CR</t>
        </is>
      </c>
      <c r="J783" s="9" t="n">
        <v>110002919</v>
      </c>
      <c r="K783" s="9" t="n">
        <v>36</v>
      </c>
      <c r="L783" s="9" t="n"/>
      <c r="M783" s="9" t="n"/>
      <c r="N783" s="9" t="n"/>
      <c r="O783" s="9" t="n">
        <v>6</v>
      </c>
      <c r="P783" s="13" t="n">
        <v>65420</v>
      </c>
      <c r="Q783" s="13" t="n">
        <v>69564</v>
      </c>
      <c r="R783" s="14">
        <f>IFERROR(P783/Q783,"")</f>
        <v/>
      </c>
      <c r="S783" s="15" t="n">
        <v>0.97</v>
      </c>
      <c r="T783" s="9">
        <f>IF(R783&gt;1,"A corregir","Válida")</f>
        <v/>
      </c>
      <c r="U783" s="13">
        <f>Q783-P783</f>
        <v/>
      </c>
      <c r="V783" s="13">
        <f>IF(S783="",0,S783*Q783)</f>
        <v/>
      </c>
      <c r="W783" s="9" t="n">
        <v>2026</v>
      </c>
      <c r="X783" s="9" t="n">
        <v>36</v>
      </c>
      <c r="Y783" s="9" t="inlineStr">
        <is>
          <t>2026-S36</t>
        </is>
      </c>
    </row>
    <row r="784">
      <c r="A784" s="9" t="n">
        <v>43049895</v>
      </c>
      <c r="B784" s="11" t="n">
        <v>46268.24550925926</v>
      </c>
      <c r="C784" s="12" t="n">
        <v>46268</v>
      </c>
      <c r="D784" s="9">
        <f>YEAR(C784)</f>
        <v/>
      </c>
      <c r="E784" s="9">
        <f>MONTH(C784)</f>
        <v/>
      </c>
      <c r="F784" s="9" t="inlineStr">
        <is>
          <t>B Hormigón</t>
        </is>
      </c>
      <c r="G784" s="9" t="inlineStr">
        <is>
          <t>B HORMIGON 32MM 12M A630-420HS (N)</t>
        </is>
      </c>
      <c r="H784" s="9" t="inlineStr">
        <is>
          <t>B HORMIGON 32MM 12M A630-420HS (N)</t>
        </is>
      </c>
      <c r="I784" s="9" t="inlineStr">
        <is>
          <t>RED 32 CR</t>
        </is>
      </c>
      <c r="J784" s="9" t="n">
        <v>110005868</v>
      </c>
      <c r="K784" s="9" t="n">
        <v>32</v>
      </c>
      <c r="L784" s="9" t="n"/>
      <c r="M784" s="9" t="n"/>
      <c r="N784" s="9" t="n"/>
      <c r="O784" s="9" t="n">
        <v>12</v>
      </c>
      <c r="P784" s="13" t="n">
        <v>22372</v>
      </c>
      <c r="Q784" s="13" t="n">
        <v>23760</v>
      </c>
      <c r="R784" s="14">
        <f>IFERROR(P784/Q784,"")</f>
        <v/>
      </c>
      <c r="S784" s="15" t="n">
        <v>0.96</v>
      </c>
      <c r="T784" s="9">
        <f>IF(R784&gt;1,"A corregir","Válida")</f>
        <v/>
      </c>
      <c r="U784" s="13">
        <f>Q784-P784</f>
        <v/>
      </c>
      <c r="V784" s="13">
        <f>IF(S784="",0,S784*Q784)</f>
        <v/>
      </c>
      <c r="W784" s="9" t="n">
        <v>2026</v>
      </c>
      <c r="X784" s="9" t="n">
        <v>36</v>
      </c>
      <c r="Y784" s="9" t="inlineStr">
        <is>
          <t>2026-S36</t>
        </is>
      </c>
    </row>
    <row r="785">
      <c r="A785" s="9" t="n">
        <v>43049896</v>
      </c>
      <c r="B785" s="11" t="n">
        <v>46268.29759259259</v>
      </c>
      <c r="C785" s="12" t="n">
        <v>46268</v>
      </c>
      <c r="D785" s="9">
        <f>YEAR(C785)</f>
        <v/>
      </c>
      <c r="E785" s="9">
        <f>MONTH(C785)</f>
        <v/>
      </c>
      <c r="F785" s="9" t="inlineStr">
        <is>
          <t>B Hormigón</t>
        </is>
      </c>
      <c r="G785" s="9" t="inlineStr">
        <is>
          <t>B HORMIGON 32MM 10M A630-420HS (N)</t>
        </is>
      </c>
      <c r="H785" s="9" t="inlineStr">
        <is>
          <t>B HORMIGON 32MM 10M A630-420HS (N)</t>
        </is>
      </c>
      <c r="I785" s="9" t="inlineStr">
        <is>
          <t>RED 32 CR</t>
        </is>
      </c>
      <c r="J785" s="9" t="n">
        <v>110007131</v>
      </c>
      <c r="K785" s="9" t="n">
        <v>32</v>
      </c>
      <c r="L785" s="9" t="n"/>
      <c r="M785" s="9" t="n"/>
      <c r="N785" s="9" t="n"/>
      <c r="O785" s="9" t="n">
        <v>10</v>
      </c>
      <c r="P785" s="13" t="n">
        <v>81088</v>
      </c>
      <c r="Q785" s="13" t="n">
        <v>87159.60000000001</v>
      </c>
      <c r="R785" s="14">
        <f>IFERROR(P785/Q785,"")</f>
        <v/>
      </c>
      <c r="S785" s="15" t="n">
        <v>0.96</v>
      </c>
      <c r="T785" s="9">
        <f>IF(R785&gt;1,"A corregir","Válida")</f>
        <v/>
      </c>
      <c r="U785" s="13">
        <f>Q785-P785</f>
        <v/>
      </c>
      <c r="V785" s="13">
        <f>IF(S785="",0,S785*Q785)</f>
        <v/>
      </c>
      <c r="W785" s="9" t="n">
        <v>2026</v>
      </c>
      <c r="X785" s="9" t="n">
        <v>36</v>
      </c>
      <c r="Y785" s="9" t="inlineStr">
        <is>
          <t>2026-S36</t>
        </is>
      </c>
    </row>
    <row r="786">
      <c r="A786" s="9" t="n">
        <v>43049897</v>
      </c>
      <c r="B786" s="11" t="n">
        <v>46268.46791666667</v>
      </c>
      <c r="C786" s="12" t="n">
        <v>46268</v>
      </c>
      <c r="D786" s="9">
        <f>YEAR(C786)</f>
        <v/>
      </c>
      <c r="E786" s="9">
        <f>MONTH(C786)</f>
        <v/>
      </c>
      <c r="F786" s="9" t="inlineStr">
        <is>
          <t>B Hormigón</t>
        </is>
      </c>
      <c r="G786" s="9" t="inlineStr">
        <is>
          <t>B HORMIGON 32MM 6M A630-420H (N)</t>
        </is>
      </c>
      <c r="H786" s="9" t="inlineStr">
        <is>
          <t>B HORMIGON 32MM 6M A630-420H (N)</t>
        </is>
      </c>
      <c r="I786" s="9" t="inlineStr">
        <is>
          <t>RED 32 CR</t>
        </is>
      </c>
      <c r="J786" s="9" t="n">
        <v>110002901</v>
      </c>
      <c r="K786" s="9" t="n">
        <v>32</v>
      </c>
      <c r="L786" s="9" t="n"/>
      <c r="M786" s="9" t="n"/>
      <c r="N786" s="9" t="n"/>
      <c r="O786" s="9" t="n">
        <v>6</v>
      </c>
      <c r="P786" s="13" t="n">
        <v>41019</v>
      </c>
      <c r="Q786" s="13" t="n">
        <v>43560</v>
      </c>
      <c r="R786" s="14">
        <f>IFERROR(P786/Q786,"")</f>
        <v/>
      </c>
      <c r="S786" s="15" t="n">
        <v>0.96</v>
      </c>
      <c r="T786" s="9">
        <f>IF(R786&gt;1,"A corregir","Válida")</f>
        <v/>
      </c>
      <c r="U786" s="13">
        <f>Q786-P786</f>
        <v/>
      </c>
      <c r="V786" s="13">
        <f>IF(S786="",0,S786*Q786)</f>
        <v/>
      </c>
      <c r="W786" s="9" t="n">
        <v>2026</v>
      </c>
      <c r="X786" s="9" t="n">
        <v>36</v>
      </c>
      <c r="Y786" s="9" t="inlineStr">
        <is>
          <t>2026-S36</t>
        </is>
      </c>
    </row>
    <row r="787">
      <c r="A787" s="9" t="n">
        <v>43049899</v>
      </c>
      <c r="B787" s="11" t="n">
        <v>46268.54471064815</v>
      </c>
      <c r="C787" s="12" t="n">
        <v>46268</v>
      </c>
      <c r="D787" s="9">
        <f>YEAR(C787)</f>
        <v/>
      </c>
      <c r="E787" s="9">
        <f>MONTH(C787)</f>
        <v/>
      </c>
      <c r="F787" s="9" t="inlineStr">
        <is>
          <t>B Hormigón</t>
        </is>
      </c>
      <c r="G787" s="9" t="inlineStr">
        <is>
          <t>B HORMIGON 32MM 11M A630-420H (N)</t>
        </is>
      </c>
      <c r="H787" s="9" t="inlineStr">
        <is>
          <t>B HORMIGON 32MM 11M A630-420H (N)</t>
        </is>
      </c>
      <c r="I787" s="9" t="inlineStr">
        <is>
          <t>RED 32 CR</t>
        </is>
      </c>
      <c r="J787" s="9" t="n">
        <v>110002899</v>
      </c>
      <c r="K787" s="9" t="n">
        <v>32</v>
      </c>
      <c r="L787" s="9" t="n"/>
      <c r="M787" s="9" t="n"/>
      <c r="N787" s="9" t="n"/>
      <c r="O787" s="9" t="n">
        <v>11</v>
      </c>
      <c r="P787" s="13" t="n">
        <v>58095</v>
      </c>
      <c r="Q787" s="13" t="n">
        <v>61855.2</v>
      </c>
      <c r="R787" s="14">
        <f>IFERROR(P787/Q787,"")</f>
        <v/>
      </c>
      <c r="S787" s="15" t="n">
        <v>0.96</v>
      </c>
      <c r="T787" s="9">
        <f>IF(R787&gt;1,"A corregir","Válida")</f>
        <v/>
      </c>
      <c r="U787" s="13">
        <f>Q787-P787</f>
        <v/>
      </c>
      <c r="V787" s="13">
        <f>IF(S787="",0,S787*Q787)</f>
        <v/>
      </c>
      <c r="W787" s="9" t="n">
        <v>2026</v>
      </c>
      <c r="X787" s="9" t="n">
        <v>36</v>
      </c>
      <c r="Y787" s="9" t="inlineStr">
        <is>
          <t>2026-S36</t>
        </is>
      </c>
    </row>
    <row r="788">
      <c r="A788" s="9" t="n">
        <v>43049900</v>
      </c>
      <c r="B788" s="11" t="n">
        <v>46268.67783564814</v>
      </c>
      <c r="C788" s="12" t="n">
        <v>46268</v>
      </c>
      <c r="D788" s="9">
        <f>YEAR(C788)</f>
        <v/>
      </c>
      <c r="E788" s="9">
        <f>MONTH(C788)</f>
        <v/>
      </c>
      <c r="F788" s="9" t="inlineStr">
        <is>
          <t>B Hormigón</t>
        </is>
      </c>
      <c r="G788" s="9" t="inlineStr">
        <is>
          <t>B HORMIGON 32MM 10M A630-420H (N)</t>
        </is>
      </c>
      <c r="H788" s="9" t="inlineStr">
        <is>
          <t>B HORMIGON 32MM 10M A630-420H (N)</t>
        </is>
      </c>
      <c r="I788" s="9" t="inlineStr">
        <is>
          <t>RED 32 CR</t>
        </is>
      </c>
      <c r="J788" s="9" t="n">
        <v>110002898</v>
      </c>
      <c r="K788" s="9" t="n">
        <v>32</v>
      </c>
      <c r="L788" s="9" t="n"/>
      <c r="M788" s="9" t="n"/>
      <c r="N788" s="9" t="n"/>
      <c r="O788" s="9" t="n">
        <v>10</v>
      </c>
      <c r="P788" s="13" t="n">
        <v>119180</v>
      </c>
      <c r="Q788" s="13" t="n">
        <v>126852</v>
      </c>
      <c r="R788" s="14">
        <f>IFERROR(P788/Q788,"")</f>
        <v/>
      </c>
      <c r="S788" s="15" t="n">
        <v>0.96</v>
      </c>
      <c r="T788" s="9">
        <f>IF(R788&gt;1,"A corregir","Válida")</f>
        <v/>
      </c>
      <c r="U788" s="13">
        <f>Q788-P788</f>
        <v/>
      </c>
      <c r="V788" s="13">
        <f>IF(S788="",0,S788*Q788)</f>
        <v/>
      </c>
      <c r="W788" s="9" t="n">
        <v>2026</v>
      </c>
      <c r="X788" s="9" t="n">
        <v>36</v>
      </c>
      <c r="Y788" s="9" t="inlineStr">
        <is>
          <t>2026-S36</t>
        </is>
      </c>
    </row>
    <row r="789">
      <c r="A789" s="9" t="n">
        <v>43049901</v>
      </c>
      <c r="B789" s="11" t="n">
        <v>46269.11071759259</v>
      </c>
      <c r="C789" s="12" t="n">
        <v>46269</v>
      </c>
      <c r="D789" s="9">
        <f>YEAR(C789)</f>
        <v/>
      </c>
      <c r="E789" s="9">
        <f>MONTH(C789)</f>
        <v/>
      </c>
      <c r="F789" s="9" t="inlineStr">
        <is>
          <t>B Hormigón</t>
        </is>
      </c>
      <c r="G789" s="9" t="inlineStr">
        <is>
          <t>B HORMIGON 32MM 9M A630-420H (N)</t>
        </is>
      </c>
      <c r="H789" s="9" t="inlineStr">
        <is>
          <t>B HORMIGON 32MM 9M A630-420H (N)</t>
        </is>
      </c>
      <c r="I789" s="9" t="inlineStr">
        <is>
          <t>RED 32 CR</t>
        </is>
      </c>
      <c r="J789" s="9" t="n">
        <v>110002904</v>
      </c>
      <c r="K789" s="9" t="n">
        <v>32</v>
      </c>
      <c r="L789" s="9" t="n"/>
      <c r="M789" s="9" t="n"/>
      <c r="N789" s="9" t="n"/>
      <c r="O789" s="9" t="n">
        <v>9</v>
      </c>
      <c r="P789" s="13" t="n">
        <v>52602</v>
      </c>
      <c r="Q789" s="13" t="n">
        <v>48153.6</v>
      </c>
      <c r="R789" s="14">
        <f>IFERROR(P789/Q789,"")</f>
        <v/>
      </c>
      <c r="S789" s="15" t="n">
        <v>0.96</v>
      </c>
      <c r="T789" s="9">
        <f>IF(R789&gt;1,"A corregir","Válida")</f>
        <v/>
      </c>
      <c r="U789" s="13">
        <f>Q789-P789</f>
        <v/>
      </c>
      <c r="V789" s="13">
        <f>IF(S789="",0,S789*Q789)</f>
        <v/>
      </c>
      <c r="W789" s="9" t="n">
        <v>2026</v>
      </c>
      <c r="X789" s="9" t="n">
        <v>36</v>
      </c>
      <c r="Y789" s="9" t="inlineStr">
        <is>
          <t>2026-S36</t>
        </is>
      </c>
    </row>
    <row r="790">
      <c r="A790" s="9" t="n">
        <v>43049903</v>
      </c>
      <c r="B790" s="11" t="n">
        <v>46269.21153935185</v>
      </c>
      <c r="C790" s="12" t="n">
        <v>46269</v>
      </c>
      <c r="D790" s="9">
        <f>YEAR(C790)</f>
        <v/>
      </c>
      <c r="E790" s="9">
        <f>MONTH(C790)</f>
        <v/>
      </c>
      <c r="F790" s="9" t="inlineStr">
        <is>
          <t>B Hormigón</t>
        </is>
      </c>
      <c r="G790" s="9" t="inlineStr">
        <is>
          <t>B HORMIGON 32MM 7M A630-420H (N)</t>
        </is>
      </c>
      <c r="H790" s="9" t="inlineStr">
        <is>
          <t>B HORMIGON 32MM 7M A630-420H (N)</t>
        </is>
      </c>
      <c r="I790" s="9" t="inlineStr">
        <is>
          <t>RED 32 CR</t>
        </is>
      </c>
      <c r="J790" s="9" t="n">
        <v>110002902</v>
      </c>
      <c r="K790" s="9" t="n">
        <v>32</v>
      </c>
      <c r="L790" s="9" t="n"/>
      <c r="M790" s="9" t="n"/>
      <c r="N790" s="9" t="n"/>
      <c r="O790" s="9" t="n">
        <v>7</v>
      </c>
      <c r="P790" s="13" t="n">
        <v>91541</v>
      </c>
      <c r="Q790" s="13" t="n">
        <v>97574.39999999999</v>
      </c>
      <c r="R790" s="14">
        <f>IFERROR(P790/Q790,"")</f>
        <v/>
      </c>
      <c r="S790" s="15" t="n">
        <v>0.96</v>
      </c>
      <c r="T790" s="9">
        <f>IF(R790&gt;1,"A corregir","Válida")</f>
        <v/>
      </c>
      <c r="U790" s="13">
        <f>Q790-P790</f>
        <v/>
      </c>
      <c r="V790" s="13">
        <f>IF(S790="",0,S790*Q790)</f>
        <v/>
      </c>
      <c r="W790" s="9" t="n">
        <v>2026</v>
      </c>
      <c r="X790" s="9" t="n">
        <v>36</v>
      </c>
      <c r="Y790" s="9" t="inlineStr">
        <is>
          <t>2026-S36</t>
        </is>
      </c>
    </row>
    <row r="791">
      <c r="A791" s="9" t="n">
        <v>43049898</v>
      </c>
      <c r="B791" s="11" t="n">
        <v>46269.37809027778</v>
      </c>
      <c r="C791" s="12" t="n">
        <v>46269</v>
      </c>
      <c r="D791" s="9">
        <f>YEAR(C791)</f>
        <v/>
      </c>
      <c r="E791" s="9">
        <f>MONTH(C791)</f>
        <v/>
      </c>
      <c r="F791" s="9" t="inlineStr">
        <is>
          <t>B Hormigón</t>
        </is>
      </c>
      <c r="G791" s="9" t="inlineStr">
        <is>
          <t>B HORMIGON 32MM 12M A630-420H (N)</t>
        </is>
      </c>
      <c r="H791" s="9" t="inlineStr">
        <is>
          <t>B HORMIGON 32MM 12M A630-420H (N)</t>
        </is>
      </c>
      <c r="I791" s="9" t="inlineStr">
        <is>
          <t>RED 32 CR</t>
        </is>
      </c>
      <c r="J791" s="9" t="n">
        <v>110002900</v>
      </c>
      <c r="K791" s="9" t="n">
        <v>32</v>
      </c>
      <c r="L791" s="9" t="n"/>
      <c r="M791" s="9" t="n"/>
      <c r="N791" s="9" t="n"/>
      <c r="O791" s="9" t="n">
        <v>12</v>
      </c>
      <c r="P791" s="13" t="n">
        <v>48503</v>
      </c>
      <c r="Q791" s="13" t="n">
        <v>52272</v>
      </c>
      <c r="R791" s="14">
        <f>IFERROR(P791/Q791,"")</f>
        <v/>
      </c>
      <c r="S791" s="15" t="n">
        <v>0.96</v>
      </c>
      <c r="T791" s="9">
        <f>IF(R791&gt;1,"A corregir","Válida")</f>
        <v/>
      </c>
      <c r="U791" s="13">
        <f>Q791-P791</f>
        <v/>
      </c>
      <c r="V791" s="13">
        <f>IF(S791="",0,S791*Q791)</f>
        <v/>
      </c>
      <c r="W791" s="9" t="n">
        <v>2026</v>
      </c>
      <c r="X791" s="9" t="n">
        <v>36</v>
      </c>
      <c r="Y791" s="9" t="inlineStr">
        <is>
          <t>2026-S36</t>
        </is>
      </c>
    </row>
    <row r="792">
      <c r="A792" s="9" t="n">
        <v>43049902</v>
      </c>
      <c r="B792" s="11" t="n">
        <v>46269.51033564815</v>
      </c>
      <c r="C792" s="12" t="n">
        <v>46269</v>
      </c>
      <c r="D792" s="9">
        <f>YEAR(C792)</f>
        <v/>
      </c>
      <c r="E792" s="9">
        <f>MONTH(C792)</f>
        <v/>
      </c>
      <c r="F792" s="9" t="inlineStr">
        <is>
          <t>B Hormigón</t>
        </is>
      </c>
      <c r="G792" s="9" t="inlineStr">
        <is>
          <t>B HORMIGON 28MM 12M A630-420HS (N)</t>
        </is>
      </c>
      <c r="H792" s="9" t="inlineStr">
        <is>
          <t>B HORMIGON 28MM 12M A630-420HS (N)</t>
        </is>
      </c>
      <c r="I792" s="9" t="inlineStr">
        <is>
          <t>RED 28 CR</t>
        </is>
      </c>
      <c r="J792" s="9" t="n">
        <v>110007133</v>
      </c>
      <c r="K792" s="9" t="n">
        <v>28</v>
      </c>
      <c r="L792" s="9" t="n"/>
      <c r="M792" s="9" t="n"/>
      <c r="N792" s="9" t="n"/>
      <c r="O792" s="9" t="n">
        <v>12</v>
      </c>
      <c r="P792" s="13" t="n">
        <v>32715</v>
      </c>
      <c r="Q792" s="13" t="n">
        <v>35481.6</v>
      </c>
      <c r="R792" s="14">
        <f>IFERROR(P792/Q792,"")</f>
        <v/>
      </c>
      <c r="S792" s="15" t="n">
        <v>0.96</v>
      </c>
      <c r="T792" s="9">
        <f>IF(R792&gt;1,"A corregir","Válida")</f>
        <v/>
      </c>
      <c r="U792" s="13">
        <f>Q792-P792</f>
        <v/>
      </c>
      <c r="V792" s="13">
        <f>IF(S792="",0,S792*Q792)</f>
        <v/>
      </c>
      <c r="W792" s="9" t="n">
        <v>2026</v>
      </c>
      <c r="X792" s="9" t="n">
        <v>36</v>
      </c>
      <c r="Y792" s="9" t="inlineStr">
        <is>
          <t>2026-S36</t>
        </is>
      </c>
    </row>
    <row r="793">
      <c r="A793" s="9" t="n">
        <v>43049904</v>
      </c>
      <c r="B793" s="11" t="n">
        <v>46269.58171296296</v>
      </c>
      <c r="C793" s="12" t="n">
        <v>46269</v>
      </c>
      <c r="D793" s="9">
        <f>YEAR(C793)</f>
        <v/>
      </c>
      <c r="E793" s="9">
        <f>MONTH(C793)</f>
        <v/>
      </c>
      <c r="F793" s="9" t="inlineStr">
        <is>
          <t>B Hormigón</t>
        </is>
      </c>
      <c r="G793" s="9" t="inlineStr">
        <is>
          <t>B HORMIGON 28MM 12M A630-420H (N)</t>
        </is>
      </c>
      <c r="H793" s="9" t="inlineStr">
        <is>
          <t>B HORMIGON 28MM 12M A630-420H (N)</t>
        </is>
      </c>
      <c r="I793" s="9" t="inlineStr">
        <is>
          <t>RED 28 CR</t>
        </is>
      </c>
      <c r="J793" s="9" t="n">
        <v>110002894</v>
      </c>
      <c r="K793" s="9" t="n">
        <v>28</v>
      </c>
      <c r="L793" s="9" t="n"/>
      <c r="M793" s="9" t="n"/>
      <c r="N793" s="9" t="n"/>
      <c r="O793" s="9" t="n">
        <v>12</v>
      </c>
      <c r="P793" s="13" t="n">
        <v>158000</v>
      </c>
      <c r="Q793" s="13" t="n">
        <v>166848</v>
      </c>
      <c r="R793" s="14">
        <f>IFERROR(P793/Q793,"")</f>
        <v/>
      </c>
      <c r="S793" s="15" t="n">
        <v>0.96</v>
      </c>
      <c r="T793" s="9">
        <f>IF(R793&gt;1,"A corregir","Válida")</f>
        <v/>
      </c>
      <c r="U793" s="13">
        <f>Q793-P793</f>
        <v/>
      </c>
      <c r="V793" s="13">
        <f>IF(S793="",0,S793*Q793)</f>
        <v/>
      </c>
      <c r="W793" s="9" t="n">
        <v>2026</v>
      </c>
      <c r="X793" s="9" t="n">
        <v>36</v>
      </c>
      <c r="Y793" s="9" t="inlineStr">
        <is>
          <t>2026-S36</t>
        </is>
      </c>
    </row>
    <row r="794">
      <c r="A794" s="9" t="n">
        <v>43049905</v>
      </c>
      <c r="B794" s="11" t="n">
        <v>46270.05440972222</v>
      </c>
      <c r="C794" s="12" t="n">
        <v>46270</v>
      </c>
      <c r="D794" s="9">
        <f>YEAR(C794)</f>
        <v/>
      </c>
      <c r="E794" s="9">
        <f>MONTH(C794)</f>
        <v/>
      </c>
      <c r="F794" s="9" t="inlineStr">
        <is>
          <t>B Hormigón</t>
        </is>
      </c>
      <c r="G794" s="9" t="inlineStr">
        <is>
          <t>B HORMIGON 28MM 11M A630-420H (N)</t>
        </is>
      </c>
      <c r="H794" s="9" t="inlineStr">
        <is>
          <t>B HORMIGON 28MM 11M A630-420H (N)</t>
        </is>
      </c>
      <c r="I794" s="9" t="inlineStr">
        <is>
          <t>RED 28 CR</t>
        </is>
      </c>
      <c r="J794" s="9" t="n">
        <v>110002893</v>
      </c>
      <c r="K794" s="9" t="n">
        <v>28</v>
      </c>
      <c r="L794" s="9" t="n"/>
      <c r="M794" s="9" t="n"/>
      <c r="N794" s="9" t="n"/>
      <c r="O794" s="9" t="n">
        <v>11</v>
      </c>
      <c r="P794" s="13" t="n">
        <v>57807</v>
      </c>
      <c r="Q794" s="13" t="n">
        <v>60192</v>
      </c>
      <c r="R794" s="14">
        <f>IFERROR(P794/Q794,"")</f>
        <v/>
      </c>
      <c r="S794" s="15" t="n">
        <v>0.9399999999999999</v>
      </c>
      <c r="T794" s="9">
        <f>IF(R794&gt;1,"A corregir","Válida")</f>
        <v/>
      </c>
      <c r="U794" s="13">
        <f>Q794-P794</f>
        <v/>
      </c>
      <c r="V794" s="13">
        <f>IF(S794="",0,S794*Q794)</f>
        <v/>
      </c>
      <c r="W794" s="9" t="n">
        <v>2026</v>
      </c>
      <c r="X794" s="9" t="n">
        <v>36</v>
      </c>
      <c r="Y794" s="9" t="inlineStr">
        <is>
          <t>2026-S36</t>
        </is>
      </c>
    </row>
    <row r="795">
      <c r="A795" s="9" t="n">
        <v>43049906</v>
      </c>
      <c r="B795" s="11" t="n">
        <v>46270.17545138889</v>
      </c>
      <c r="C795" s="12" t="n">
        <v>46270</v>
      </c>
      <c r="D795" s="9">
        <f>YEAR(C795)</f>
        <v/>
      </c>
      <c r="E795" s="9">
        <f>MONTH(C795)</f>
        <v/>
      </c>
      <c r="F795" s="9" t="inlineStr">
        <is>
          <t>B Hormigón</t>
        </is>
      </c>
      <c r="G795" s="9" t="inlineStr">
        <is>
          <t>B HORMIGON 28MM 9M A630-420H (N)</t>
        </is>
      </c>
      <c r="H795" s="9" t="inlineStr">
        <is>
          <t>B HORMIGON 28MM 9M A630-420H (N)</t>
        </is>
      </c>
      <c r="I795" s="9" t="inlineStr">
        <is>
          <t>RED 28 CR</t>
        </is>
      </c>
      <c r="J795" s="9" t="n">
        <v>110002897</v>
      </c>
      <c r="K795" s="9" t="n">
        <v>28</v>
      </c>
      <c r="L795" s="9" t="n"/>
      <c r="M795" s="9" t="n"/>
      <c r="N795" s="9" t="n"/>
      <c r="O795" s="9" t="n">
        <v>9</v>
      </c>
      <c r="P795" s="13" t="n">
        <v>105855</v>
      </c>
      <c r="Q795" s="13" t="n">
        <v>112648.8</v>
      </c>
      <c r="R795" s="14">
        <f>IFERROR(P795/Q795,"")</f>
        <v/>
      </c>
      <c r="S795" s="15" t="n">
        <v>0.9399999999999999</v>
      </c>
      <c r="T795" s="9">
        <f>IF(R795&gt;1,"A corregir","Válida")</f>
        <v/>
      </c>
      <c r="U795" s="13">
        <f>Q795-P795</f>
        <v/>
      </c>
      <c r="V795" s="13">
        <f>IF(S795="",0,S795*Q795)</f>
        <v/>
      </c>
      <c r="W795" s="9" t="n">
        <v>2026</v>
      </c>
      <c r="X795" s="9" t="n">
        <v>36</v>
      </c>
      <c r="Y795" s="9" t="inlineStr">
        <is>
          <t>2026-S36</t>
        </is>
      </c>
    </row>
    <row r="796">
      <c r="A796" s="9" t="n">
        <v>43049907</v>
      </c>
      <c r="B796" s="11" t="n">
        <v>46270.35586805556</v>
      </c>
      <c r="C796" s="12" t="n">
        <v>46270</v>
      </c>
      <c r="D796" s="9">
        <f>YEAR(C796)</f>
        <v/>
      </c>
      <c r="E796" s="9">
        <f>MONTH(C796)</f>
        <v/>
      </c>
      <c r="F796" s="9" t="inlineStr">
        <is>
          <t>B Hormigón</t>
        </is>
      </c>
      <c r="G796" s="9" t="inlineStr">
        <is>
          <t>B HORMIGON 28MM 8M A630-420H (N)</t>
        </is>
      </c>
      <c r="H796" s="9" t="inlineStr">
        <is>
          <t>B HORMIGON 28MM 8M A630-420H (N)</t>
        </is>
      </c>
      <c r="I796" s="9" t="inlineStr">
        <is>
          <t>RED 28 CR</t>
        </is>
      </c>
      <c r="J796" s="9" t="n">
        <v>110002896</v>
      </c>
      <c r="K796" s="9" t="n">
        <v>28</v>
      </c>
      <c r="L796" s="9" t="n"/>
      <c r="M796" s="9" t="n"/>
      <c r="N796" s="9" t="n"/>
      <c r="O796" s="9" t="n">
        <v>8</v>
      </c>
      <c r="P796" s="13" t="n">
        <v>32878</v>
      </c>
      <c r="Q796" s="13" t="n">
        <v>34557.6</v>
      </c>
      <c r="R796" s="14">
        <f>IFERROR(P796/Q796,"")</f>
        <v/>
      </c>
      <c r="S796" s="15" t="n">
        <v>0.96</v>
      </c>
      <c r="T796" s="9">
        <f>IF(R796&gt;1,"A corregir","Válida")</f>
        <v/>
      </c>
      <c r="U796" s="13">
        <f>Q796-P796</f>
        <v/>
      </c>
      <c r="V796" s="13">
        <f>IF(S796="",0,S796*Q796)</f>
        <v/>
      </c>
      <c r="W796" s="9" t="n">
        <v>2026</v>
      </c>
      <c r="X796" s="9" t="n">
        <v>36</v>
      </c>
      <c r="Y796" s="9" t="inlineStr">
        <is>
          <t>2026-S36</t>
        </is>
      </c>
    </row>
    <row r="797">
      <c r="A797" s="9" t="n">
        <v>43049908</v>
      </c>
      <c r="B797" s="11" t="n">
        <v>46270.41908564815</v>
      </c>
      <c r="C797" s="12" t="n">
        <v>46270</v>
      </c>
      <c r="D797" s="9">
        <f>YEAR(C797)</f>
        <v/>
      </c>
      <c r="E797" s="9">
        <f>MONTH(C797)</f>
        <v/>
      </c>
      <c r="F797" s="9" t="inlineStr">
        <is>
          <t>B Hormigón</t>
        </is>
      </c>
      <c r="G797" s="9" t="inlineStr">
        <is>
          <t>B HORMIGON 28MM 7M A630-420H (N)</t>
        </is>
      </c>
      <c r="H797" s="9" t="inlineStr">
        <is>
          <t>B HORMIGON 28MM 7M A630-420H (N)</t>
        </is>
      </c>
      <c r="I797" s="9" t="inlineStr">
        <is>
          <t>RED 28 CR</t>
        </is>
      </c>
      <c r="J797" s="9" t="n">
        <v>110002895</v>
      </c>
      <c r="K797" s="9" t="n">
        <v>28</v>
      </c>
      <c r="L797" s="9" t="n"/>
      <c r="M797" s="9" t="n"/>
      <c r="N797" s="9" t="n"/>
      <c r="O797" s="9" t="n">
        <v>7</v>
      </c>
      <c r="P797" s="13" t="n">
        <v>60092</v>
      </c>
      <c r="Q797" s="13" t="n">
        <v>63360</v>
      </c>
      <c r="R797" s="14">
        <f>IFERROR(P797/Q797,"")</f>
        <v/>
      </c>
      <c r="S797" s="15" t="n">
        <v>0.96</v>
      </c>
      <c r="T797" s="9">
        <f>IF(R797&gt;1,"A corregir","Válida")</f>
        <v/>
      </c>
      <c r="U797" s="13">
        <f>Q797-P797</f>
        <v/>
      </c>
      <c r="V797" s="13">
        <f>IF(S797="",0,S797*Q797)</f>
        <v/>
      </c>
      <c r="W797" s="9" t="n">
        <v>2026</v>
      </c>
      <c r="X797" s="9" t="n">
        <v>36</v>
      </c>
      <c r="Y797" s="9" t="inlineStr">
        <is>
          <t>2026-S36</t>
        </is>
      </c>
    </row>
    <row r="798">
      <c r="A798" s="9" t="n">
        <v>43050100</v>
      </c>
      <c r="B798" s="11" t="n">
        <v>46270.53135416667</v>
      </c>
      <c r="C798" s="12" t="n">
        <v>46270</v>
      </c>
      <c r="D798" s="9">
        <f>YEAR(C798)</f>
        <v/>
      </c>
      <c r="E798" s="9">
        <f>MONTH(C798)</f>
        <v/>
      </c>
      <c r="F798" s="9" t="inlineStr">
        <is>
          <t>B Hormigón</t>
        </is>
      </c>
      <c r="G798" s="9" t="inlineStr">
        <is>
          <t>B HORMIGON 28MM 6M A630-420H (N)</t>
        </is>
      </c>
      <c r="H798" s="9" t="inlineStr">
        <is>
          <t>B HORMIGON 28MM 6M A630-420H (N)</t>
        </is>
      </c>
      <c r="I798" s="9" t="inlineStr">
        <is>
          <t>RED 28 CR</t>
        </is>
      </c>
      <c r="J798" s="9" t="n">
        <v>110002922</v>
      </c>
      <c r="K798" s="9" t="n">
        <v>28</v>
      </c>
      <c r="L798" s="9" t="n"/>
      <c r="M798" s="9" t="n"/>
      <c r="N798" s="9" t="n"/>
      <c r="O798" s="9" t="n">
        <v>6</v>
      </c>
      <c r="P798" s="13" t="n">
        <v>30975</v>
      </c>
      <c r="Q798" s="13" t="n">
        <v>32102.4</v>
      </c>
      <c r="R798" s="14">
        <f>IFERROR(P798/Q798,"")</f>
        <v/>
      </c>
      <c r="S798" s="15" t="n">
        <v>0.96</v>
      </c>
      <c r="T798" s="9">
        <f>IF(R798&gt;1,"A corregir","Válida")</f>
        <v/>
      </c>
      <c r="U798" s="13">
        <f>Q798-P798</f>
        <v/>
      </c>
      <c r="V798" s="13">
        <f>IF(S798="",0,S798*Q798)</f>
        <v/>
      </c>
      <c r="W798" s="9" t="n">
        <v>2026</v>
      </c>
      <c r="X798" s="9" t="n">
        <v>36</v>
      </c>
      <c r="Y798" s="9" t="inlineStr">
        <is>
          <t>2026-S36</t>
        </is>
      </c>
    </row>
    <row r="799">
      <c r="A799" s="9" t="n">
        <v>43049910</v>
      </c>
      <c r="B799" s="11" t="n">
        <v>46272.05796296296</v>
      </c>
      <c r="C799" s="12" t="n">
        <v>46272</v>
      </c>
      <c r="D799" s="9">
        <f>YEAR(C799)</f>
        <v/>
      </c>
      <c r="E799" s="9">
        <f>MONTH(C799)</f>
        <v/>
      </c>
      <c r="F799" s="9" t="inlineStr">
        <is>
          <t>B Hormigón</t>
        </is>
      </c>
      <c r="G799" s="9" t="inlineStr">
        <is>
          <t>B HORMIGON 25MM 12M A630-420H (N)</t>
        </is>
      </c>
      <c r="H799" s="9" t="inlineStr">
        <is>
          <t>B HORMIGON 25MM 12M A630-420H (N)</t>
        </is>
      </c>
      <c r="I799" s="9" t="inlineStr">
        <is>
          <t>RED 25 CR</t>
        </is>
      </c>
      <c r="J799" s="9" t="n">
        <v>110002941</v>
      </c>
      <c r="K799" s="9" t="n">
        <v>25</v>
      </c>
      <c r="L799" s="9" t="n"/>
      <c r="M799" s="9" t="n"/>
      <c r="N799" s="9" t="n"/>
      <c r="O799" s="9" t="n">
        <v>12</v>
      </c>
      <c r="P799" s="13" t="n">
        <v>571781</v>
      </c>
      <c r="Q799" s="13" t="n">
        <v>599821.2</v>
      </c>
      <c r="R799" s="14">
        <f>IFERROR(P799/Q799,"")</f>
        <v/>
      </c>
      <c r="S799" s="15" t="n">
        <v>0.95</v>
      </c>
      <c r="T799" s="9">
        <f>IF(R799&gt;1,"A corregir","Válida")</f>
        <v/>
      </c>
      <c r="U799" s="13">
        <f>Q799-P799</f>
        <v/>
      </c>
      <c r="V799" s="13">
        <f>IF(S799="",0,S799*Q799)</f>
        <v/>
      </c>
      <c r="W799" s="9" t="n">
        <v>2026</v>
      </c>
      <c r="X799" s="9" t="n">
        <v>37</v>
      </c>
      <c r="Y799" s="9" t="inlineStr">
        <is>
          <t>2026-S37</t>
        </is>
      </c>
    </row>
    <row r="800">
      <c r="A800" s="9" t="n">
        <v>43049911</v>
      </c>
      <c r="B800" s="11" t="n">
        <v>46273.07783564815</v>
      </c>
      <c r="C800" s="12" t="n">
        <v>46273</v>
      </c>
      <c r="D800" s="9">
        <f>YEAR(C800)</f>
        <v/>
      </c>
      <c r="E800" s="9">
        <f>MONTH(C800)</f>
        <v/>
      </c>
      <c r="F800" s="9" t="inlineStr">
        <is>
          <t>B Hormigón</t>
        </is>
      </c>
      <c r="G800" s="9" t="inlineStr">
        <is>
          <t>B HORMIGON 25MM 11M A630-420H (N)</t>
        </is>
      </c>
      <c r="H800" s="9" t="inlineStr">
        <is>
          <t>B HORMIGON 25MM 11M A630-420H (N)</t>
        </is>
      </c>
      <c r="I800" s="9" t="inlineStr">
        <is>
          <t>RED 25 CR</t>
        </is>
      </c>
      <c r="J800" s="9" t="n">
        <v>110002947</v>
      </c>
      <c r="K800" s="9" t="n">
        <v>25</v>
      </c>
      <c r="L800" s="9" t="n"/>
      <c r="M800" s="9" t="n"/>
      <c r="N800" s="9" t="n"/>
      <c r="O800" s="9" t="n">
        <v>11</v>
      </c>
      <c r="P800" s="13" t="n">
        <v>78831</v>
      </c>
      <c r="Q800" s="13" t="n">
        <v>83199.60000000001</v>
      </c>
      <c r="R800" s="14">
        <f>IFERROR(P800/Q800,"")</f>
        <v/>
      </c>
      <c r="S800" s="15" t="n">
        <v>0.95</v>
      </c>
      <c r="T800" s="9">
        <f>IF(R800&gt;1,"A corregir","Válida")</f>
        <v/>
      </c>
      <c r="U800" s="13">
        <f>Q800-P800</f>
        <v/>
      </c>
      <c r="V800" s="13">
        <f>IF(S800="",0,S800*Q800)</f>
        <v/>
      </c>
      <c r="W800" s="9" t="n">
        <v>2026</v>
      </c>
      <c r="X800" s="9" t="n">
        <v>37</v>
      </c>
      <c r="Y800" s="9" t="inlineStr">
        <is>
          <t>2026-S37</t>
        </is>
      </c>
    </row>
    <row r="801">
      <c r="A801" s="9" t="n">
        <v>43049912</v>
      </c>
      <c r="B801" s="11" t="n">
        <v>46273.23421296296</v>
      </c>
      <c r="C801" s="12" t="n">
        <v>46273</v>
      </c>
      <c r="D801" s="9">
        <f>YEAR(C801)</f>
        <v/>
      </c>
      <c r="E801" s="9">
        <f>MONTH(C801)</f>
        <v/>
      </c>
      <c r="F801" s="9" t="inlineStr">
        <is>
          <t>B Hormigón</t>
        </is>
      </c>
      <c r="G801" s="9" t="inlineStr">
        <is>
          <t>B HORMIGON 25MM 10M A630-420H (N)</t>
        </is>
      </c>
      <c r="H801" s="9" t="inlineStr">
        <is>
          <t>B HORMIGON 25MM 10M A630-420H (N)</t>
        </is>
      </c>
      <c r="I801" s="9" t="inlineStr">
        <is>
          <t>RED 25 CR</t>
        </is>
      </c>
      <c r="J801" s="9" t="n">
        <v>110002943</v>
      </c>
      <c r="K801" s="9" t="n">
        <v>25</v>
      </c>
      <c r="L801" s="9" t="n"/>
      <c r="M801" s="9" t="n"/>
      <c r="N801" s="9" t="n"/>
      <c r="O801" s="9" t="n">
        <v>10</v>
      </c>
      <c r="P801" s="13" t="n">
        <v>85473</v>
      </c>
      <c r="Q801" s="13" t="n">
        <v>89733.60000000001</v>
      </c>
      <c r="R801" s="14">
        <f>IFERROR(P801/Q801,"")</f>
        <v/>
      </c>
      <c r="S801" s="15" t="n">
        <v>0.95</v>
      </c>
      <c r="T801" s="9">
        <f>IF(R801&gt;1,"A corregir","Válida")</f>
        <v/>
      </c>
      <c r="U801" s="13">
        <f>Q801-P801</f>
        <v/>
      </c>
      <c r="V801" s="13">
        <f>IF(S801="",0,S801*Q801)</f>
        <v/>
      </c>
      <c r="W801" s="9" t="n">
        <v>2026</v>
      </c>
      <c r="X801" s="9" t="n">
        <v>37</v>
      </c>
      <c r="Y801" s="9" t="inlineStr">
        <is>
          <t>2026-S37</t>
        </is>
      </c>
    </row>
    <row r="802">
      <c r="A802" s="9" t="n">
        <v>43049913</v>
      </c>
      <c r="B802" s="11" t="n">
        <v>46273.44280092593</v>
      </c>
      <c r="C802" s="12" t="n">
        <v>46273</v>
      </c>
      <c r="D802" s="9">
        <f>YEAR(C802)</f>
        <v/>
      </c>
      <c r="E802" s="9">
        <f>MONTH(C802)</f>
        <v/>
      </c>
      <c r="F802" s="9" t="inlineStr">
        <is>
          <t>B Hormigón</t>
        </is>
      </c>
      <c r="G802" s="9" t="inlineStr">
        <is>
          <t>B HORMIGON 25MM 8M A630-420H (N)</t>
        </is>
      </c>
      <c r="H802" s="9" t="inlineStr">
        <is>
          <t>B HORMIGON 25MM 8M A630-420H (N)</t>
        </is>
      </c>
      <c r="I802" s="9" t="inlineStr">
        <is>
          <t>RED 25 CR</t>
        </is>
      </c>
      <c r="J802" s="9" t="n">
        <v>110002921</v>
      </c>
      <c r="K802" s="9" t="n">
        <v>25</v>
      </c>
      <c r="L802" s="9" t="n"/>
      <c r="M802" s="9" t="n"/>
      <c r="N802" s="9" t="n"/>
      <c r="O802" s="9" t="n">
        <v>8</v>
      </c>
      <c r="P802" s="13" t="n">
        <v>114737</v>
      </c>
      <c r="Q802" s="13" t="n">
        <v>118483.2</v>
      </c>
      <c r="R802" s="14">
        <f>IFERROR(P802/Q802,"")</f>
        <v/>
      </c>
      <c r="S802" s="15" t="n">
        <v>0.95</v>
      </c>
      <c r="T802" s="9">
        <f>IF(R802&gt;1,"A corregir","Válida")</f>
        <v/>
      </c>
      <c r="U802" s="13">
        <f>Q802-P802</f>
        <v/>
      </c>
      <c r="V802" s="13">
        <f>IF(S802="",0,S802*Q802)</f>
        <v/>
      </c>
      <c r="W802" s="9" t="n">
        <v>2026</v>
      </c>
      <c r="X802" s="9" t="n">
        <v>37</v>
      </c>
      <c r="Y802" s="9" t="inlineStr">
        <is>
          <t>2026-S37</t>
        </is>
      </c>
    </row>
    <row r="803">
      <c r="A803" s="9" t="n">
        <v>43049914</v>
      </c>
      <c r="B803" s="11" t="n">
        <v>46273.68399305556</v>
      </c>
      <c r="C803" s="12" t="n">
        <v>46273</v>
      </c>
      <c r="D803" s="9">
        <f>YEAR(C803)</f>
        <v/>
      </c>
      <c r="E803" s="9">
        <f>MONTH(C803)</f>
        <v/>
      </c>
      <c r="F803" s="9" t="inlineStr">
        <is>
          <t>Saferock</t>
        </is>
      </c>
      <c r="G803" s="9" t="inlineStr">
        <is>
          <t>SAFEROCK 25MM 12M A420</t>
        </is>
      </c>
      <c r="H803" s="9" t="inlineStr">
        <is>
          <t>SAFEROCK SEMI 25MM 12M A420</t>
        </is>
      </c>
      <c r="I803" s="9" t="inlineStr">
        <is>
          <t>SFR 25</t>
        </is>
      </c>
      <c r="J803" s="9" t="n">
        <v>106025583</v>
      </c>
      <c r="K803" s="9" t="n">
        <v>25</v>
      </c>
      <c r="L803" s="9" t="n"/>
      <c r="M803" s="9" t="n"/>
      <c r="N803" s="9" t="n"/>
      <c r="O803" s="9" t="n">
        <v>12</v>
      </c>
      <c r="P803" s="13" t="n">
        <v>37345</v>
      </c>
      <c r="Q803" s="13" t="n">
        <v>39045.6</v>
      </c>
      <c r="R803" s="14">
        <f>IFERROR(P803/Q803,"")</f>
        <v/>
      </c>
      <c r="S803" s="15" t="n">
        <v>0.953</v>
      </c>
      <c r="T803" s="9">
        <f>IF(R803&gt;1,"A corregir","Válida")</f>
        <v/>
      </c>
      <c r="U803" s="13">
        <f>Q803-P803</f>
        <v/>
      </c>
      <c r="V803" s="13">
        <f>IF(S803="",0,S803*Q803)</f>
        <v/>
      </c>
      <c r="W803" s="9" t="n">
        <v>2026</v>
      </c>
      <c r="X803" s="9" t="n">
        <v>37</v>
      </c>
      <c r="Y803" s="9" t="inlineStr">
        <is>
          <t>2026-S37</t>
        </is>
      </c>
    </row>
    <row r="804">
      <c r="A804" s="9" t="n">
        <v>43050117</v>
      </c>
      <c r="B804" s="11" t="n">
        <v>46273.76490740741</v>
      </c>
      <c r="C804" s="12" t="n">
        <v>46273</v>
      </c>
      <c r="D804" s="9">
        <f>YEAR(C804)</f>
        <v/>
      </c>
      <c r="E804" s="9">
        <f>MONTH(C804)</f>
        <v/>
      </c>
      <c r="F804" s="9" t="inlineStr">
        <is>
          <t>Saferock</t>
        </is>
      </c>
      <c r="G804" s="9" t="inlineStr">
        <is>
          <t>SAFEROCK 25MM 12M A420</t>
        </is>
      </c>
      <c r="H804" s="9" t="inlineStr">
        <is>
          <t>SAFEROCK SEMI 25MM 12M A420</t>
        </is>
      </c>
      <c r="I804" s="9" t="inlineStr">
        <is>
          <t>SFR 25</t>
        </is>
      </c>
      <c r="J804" s="9" t="n">
        <v>106025583</v>
      </c>
      <c r="K804" s="9" t="n">
        <v>25</v>
      </c>
      <c r="L804" s="9" t="n"/>
      <c r="M804" s="9" t="n"/>
      <c r="N804" s="9" t="n"/>
      <c r="O804" s="9" t="n">
        <v>12</v>
      </c>
      <c r="P804" s="13" t="n">
        <v>5150</v>
      </c>
      <c r="Q804" s="13" t="n">
        <v>5385.6</v>
      </c>
      <c r="R804" s="14">
        <f>IFERROR(P804/Q804,"")</f>
        <v/>
      </c>
      <c r="S804" s="15" t="n">
        <v>0.953</v>
      </c>
      <c r="T804" s="9">
        <f>IF(R804&gt;1,"A corregir","Válida")</f>
        <v/>
      </c>
      <c r="U804" s="13">
        <f>Q804-P804</f>
        <v/>
      </c>
      <c r="V804" s="13">
        <f>IF(S804="",0,S804*Q804)</f>
        <v/>
      </c>
      <c r="W804" s="9" t="n">
        <v>2026</v>
      </c>
      <c r="X804" s="9" t="n">
        <v>37</v>
      </c>
      <c r="Y804" s="9" t="inlineStr">
        <is>
          <t>2026-S37</t>
        </is>
      </c>
    </row>
    <row r="805">
      <c r="A805" s="9" t="n">
        <v>43049992</v>
      </c>
      <c r="B805" s="11" t="n">
        <v>46273.78290509259</v>
      </c>
      <c r="C805" s="12" t="n">
        <v>46273</v>
      </c>
      <c r="D805" s="9">
        <f>YEAR(C805)</f>
        <v/>
      </c>
      <c r="E805" s="9">
        <f>MONTH(C805)</f>
        <v/>
      </c>
      <c r="F805" s="9" t="inlineStr">
        <is>
          <t>Saferock</t>
        </is>
      </c>
      <c r="G805" s="9" t="inlineStr">
        <is>
          <t>SAFEROCK 25MM 10,5M A420</t>
        </is>
      </c>
      <c r="H805" s="9" t="inlineStr">
        <is>
          <t>SAFEROCK SEMI 25MM 10,5M A420</t>
        </is>
      </c>
      <c r="I805" s="9" t="inlineStr">
        <is>
          <t>SFR 25</t>
        </is>
      </c>
      <c r="J805" s="9" t="n">
        <v>106503243</v>
      </c>
      <c r="K805" s="9" t="n">
        <v>25</v>
      </c>
      <c r="L805" s="9" t="n"/>
      <c r="M805" s="9" t="n"/>
      <c r="N805" s="9" t="n"/>
      <c r="O805" s="9" t="n">
        <v>10.5</v>
      </c>
      <c r="P805" s="13" t="n">
        <v>78084</v>
      </c>
      <c r="Q805" s="13" t="n">
        <v>84374.39999999999</v>
      </c>
      <c r="R805" s="14">
        <f>IFERROR(P805/Q805,"")</f>
        <v/>
      </c>
      <c r="S805" s="15" t="n">
        <v>0.95</v>
      </c>
      <c r="T805" s="9">
        <f>IF(R805&gt;1,"A corregir","Válida")</f>
        <v/>
      </c>
      <c r="U805" s="13">
        <f>Q805-P805</f>
        <v/>
      </c>
      <c r="V805" s="13">
        <f>IF(S805="",0,S805*Q805)</f>
        <v/>
      </c>
      <c r="W805" s="9" t="n">
        <v>2026</v>
      </c>
      <c r="X805" s="9" t="n">
        <v>37</v>
      </c>
      <c r="Y805" s="9" t="inlineStr">
        <is>
          <t>2026-S37</t>
        </is>
      </c>
    </row>
    <row r="806">
      <c r="A806" s="9" t="n">
        <v>43049993</v>
      </c>
      <c r="B806" s="11" t="n">
        <v>46273.96988425926</v>
      </c>
      <c r="C806" s="12" t="n">
        <v>46273</v>
      </c>
      <c r="D806" s="9">
        <f>YEAR(C806)</f>
        <v/>
      </c>
      <c r="E806" s="9">
        <f>MONTH(C806)</f>
        <v/>
      </c>
      <c r="F806" s="9" t="inlineStr">
        <is>
          <t>Hexágono</t>
        </is>
      </c>
      <c r="G806" s="9" t="inlineStr">
        <is>
          <t>HEXAGONO 1' 8M SAE 1045 (N)</t>
        </is>
      </c>
      <c r="H806" s="9" t="inlineStr">
        <is>
          <t>HEXAGONO 1' 8M SAE 1045 (N)</t>
        </is>
      </c>
      <c r="I806" s="9" t="inlineStr">
        <is>
          <t>HEX 1</t>
        </is>
      </c>
      <c r="J806" s="9" t="n">
        <v>109006943</v>
      </c>
      <c r="K806" s="9" t="n">
        <v>25.4</v>
      </c>
      <c r="L806" s="9" t="n"/>
      <c r="M806" s="9" t="n"/>
      <c r="N806" s="9" t="n"/>
      <c r="O806" s="9" t="n">
        <v>8</v>
      </c>
      <c r="P806" s="13" t="n">
        <v>55298</v>
      </c>
      <c r="Q806" s="13" t="n">
        <v>59241.6</v>
      </c>
      <c r="R806" s="14">
        <f>IFERROR(P806/Q806,"")</f>
        <v/>
      </c>
      <c r="S806" s="15" t="n">
        <v>0.9420000000000001</v>
      </c>
      <c r="T806" s="9">
        <f>IF(R806&gt;1,"A corregir","Válida")</f>
        <v/>
      </c>
      <c r="U806" s="13">
        <f>Q806-P806</f>
        <v/>
      </c>
      <c r="V806" s="13">
        <f>IF(S806="",0,S806*Q806)</f>
        <v/>
      </c>
      <c r="W806" s="9" t="n">
        <v>2026</v>
      </c>
      <c r="X806" s="9" t="n">
        <v>37</v>
      </c>
      <c r="Y806" s="9" t="inlineStr">
        <is>
          <t>2026-S37</t>
        </is>
      </c>
    </row>
    <row r="807">
      <c r="A807" s="9" t="n">
        <v>43049994</v>
      </c>
      <c r="B807" s="11" t="n">
        <v>46274.11136574074</v>
      </c>
      <c r="C807" s="12" t="n">
        <v>46274</v>
      </c>
      <c r="D807" s="9">
        <f>YEAR(C807)</f>
        <v/>
      </c>
      <c r="E807" s="9">
        <f>MONTH(C807)</f>
        <v/>
      </c>
      <c r="F807" s="9" t="inlineStr">
        <is>
          <t>Plana</t>
        </is>
      </c>
      <c r="G807" s="9" t="inlineStr">
        <is>
          <t>PLANA 50X6MM 6M A270ES (N)</t>
        </is>
      </c>
      <c r="H807" s="9" t="inlineStr">
        <is>
          <t>PLANA 50X6MM 6M A270ES (N)</t>
        </is>
      </c>
      <c r="I807" s="9" t="inlineStr">
        <is>
          <t>PL 50 x 6</t>
        </is>
      </c>
      <c r="J807" s="9" t="n">
        <v>109013901</v>
      </c>
      <c r="K807" s="9" t="n"/>
      <c r="L807" s="9" t="n">
        <v>50</v>
      </c>
      <c r="M807" s="9" t="n">
        <v>6</v>
      </c>
      <c r="N807" s="9" t="n"/>
      <c r="O807" s="9" t="n">
        <v>6</v>
      </c>
      <c r="P807" s="13" t="n">
        <v>31437</v>
      </c>
      <c r="Q807" s="13" t="n">
        <v>33211.2</v>
      </c>
      <c r="R807" s="14">
        <f>IFERROR(P807/Q807,"")</f>
        <v/>
      </c>
      <c r="S807" s="15" t="n">
        <v>0.96</v>
      </c>
      <c r="T807" s="9">
        <f>IF(R807&gt;1,"A corregir","Válida")</f>
        <v/>
      </c>
      <c r="U807" s="13">
        <f>Q807-P807</f>
        <v/>
      </c>
      <c r="V807" s="13">
        <f>IF(S807="",0,S807*Q807)</f>
        <v/>
      </c>
      <c r="W807" s="9" t="n">
        <v>2026</v>
      </c>
      <c r="X807" s="9" t="n">
        <v>37</v>
      </c>
      <c r="Y807" s="9" t="inlineStr">
        <is>
          <t>2026-S37</t>
        </is>
      </c>
    </row>
    <row r="808">
      <c r="A808" s="9" t="n">
        <v>43049995</v>
      </c>
      <c r="B808" s="11" t="n">
        <v>46274.19474537037</v>
      </c>
      <c r="C808" s="12" t="n">
        <v>46274</v>
      </c>
      <c r="D808" s="9">
        <f>YEAR(C808)</f>
        <v/>
      </c>
      <c r="E808" s="9">
        <f>MONTH(C808)</f>
        <v/>
      </c>
      <c r="F808" s="9" t="inlineStr">
        <is>
          <t>Plana</t>
        </is>
      </c>
      <c r="G808" s="9" t="inlineStr">
        <is>
          <t>PLANA 50X5MM 6M A270ES (N)</t>
        </is>
      </c>
      <c r="H808" s="9" t="inlineStr">
        <is>
          <t>PLANA 50X5MM 6M A270ES (N)</t>
        </is>
      </c>
      <c r="I808" s="9" t="inlineStr">
        <is>
          <t>PL 50 x 5</t>
        </is>
      </c>
      <c r="J808" s="9" t="n">
        <v>109013902</v>
      </c>
      <c r="K808" s="9" t="n"/>
      <c r="L808" s="9" t="n">
        <v>50</v>
      </c>
      <c r="M808" s="9" t="n">
        <v>5</v>
      </c>
      <c r="N808" s="9" t="n"/>
      <c r="O808" s="9" t="n">
        <v>6</v>
      </c>
      <c r="P808" s="13" t="n">
        <v>77203</v>
      </c>
      <c r="Q808" s="13" t="n">
        <v>81232.8</v>
      </c>
      <c r="R808" s="14">
        <f>IFERROR(P808/Q808,"")</f>
        <v/>
      </c>
      <c r="S808" s="15" t="n">
        <v>0.96</v>
      </c>
      <c r="T808" s="9">
        <f>IF(R808&gt;1,"A corregir","Válida")</f>
        <v/>
      </c>
      <c r="U808" s="13">
        <f>Q808-P808</f>
        <v/>
      </c>
      <c r="V808" s="13">
        <f>IF(S808="",0,S808*Q808)</f>
        <v/>
      </c>
      <c r="W808" s="9" t="n">
        <v>2026</v>
      </c>
      <c r="X808" s="9" t="n">
        <v>37</v>
      </c>
      <c r="Y808" s="9" t="inlineStr">
        <is>
          <t>2026-S37</t>
        </is>
      </c>
    </row>
    <row r="809">
      <c r="A809" s="9" t="n">
        <v>43050122</v>
      </c>
      <c r="B809" s="11" t="n">
        <v>46274.74828703704</v>
      </c>
      <c r="C809" s="12" t="n">
        <v>46274</v>
      </c>
      <c r="D809" s="9">
        <f>YEAR(C809)</f>
        <v/>
      </c>
      <c r="E809" s="9">
        <f>MONTH(C809)</f>
        <v/>
      </c>
      <c r="F809" s="9" t="inlineStr">
        <is>
          <t>Ángulo</t>
        </is>
      </c>
      <c r="G809" s="9" t="inlineStr">
        <is>
          <t>ANGULO 30X30X3MM A270ES</t>
        </is>
      </c>
      <c r="H809" s="9" t="inlineStr">
        <is>
          <t>ANGULO SEMI 30X30X3MM A270ES</t>
        </is>
      </c>
      <c r="I809" s="9" t="inlineStr">
        <is>
          <t>ANG 30 x 3</t>
        </is>
      </c>
      <c r="J809" s="9" t="n">
        <v>106501029</v>
      </c>
      <c r="K809" s="9" t="n"/>
      <c r="L809" s="9" t="n">
        <v>30</v>
      </c>
      <c r="M809" s="9" t="n">
        <v>3</v>
      </c>
      <c r="N809" s="9" t="n"/>
      <c r="O809" s="9" t="n">
        <v>6</v>
      </c>
      <c r="P809" s="13" t="n">
        <v>195584</v>
      </c>
      <c r="Q809" s="13" t="n">
        <v>203306.4</v>
      </c>
      <c r="R809" s="14">
        <f>IFERROR(P809/Q809,"")</f>
        <v/>
      </c>
      <c r="S809" s="15" t="n">
        <v>0.96</v>
      </c>
      <c r="T809" s="9">
        <f>IF(R809&gt;1,"A corregir","Válida")</f>
        <v/>
      </c>
      <c r="U809" s="13">
        <f>Q809-P809</f>
        <v/>
      </c>
      <c r="V809" s="13">
        <f>IF(S809="",0,S809*Q809)</f>
        <v/>
      </c>
      <c r="W809" s="9" t="n">
        <v>2026</v>
      </c>
      <c r="X809" s="9" t="n">
        <v>37</v>
      </c>
      <c r="Y809" s="9" t="inlineStr">
        <is>
          <t>2026-S37</t>
        </is>
      </c>
    </row>
    <row r="810">
      <c r="A810" s="9" t="n">
        <v>43050004</v>
      </c>
      <c r="B810" s="11" t="n">
        <v>46275.14377314815</v>
      </c>
      <c r="C810" s="12" t="n">
        <v>46275</v>
      </c>
      <c r="D810" s="9">
        <f>YEAR(C810)</f>
        <v/>
      </c>
      <c r="E810" s="9">
        <f>MONTH(C810)</f>
        <v/>
      </c>
      <c r="F810" s="9" t="inlineStr">
        <is>
          <t>Saferock</t>
        </is>
      </c>
      <c r="G810" s="9" t="inlineStr">
        <is>
          <t>SAFEROCK 22MM 12M A420</t>
        </is>
      </c>
      <c r="H810" s="9" t="inlineStr">
        <is>
          <t>SAFEROCK 22MM 12M A420</t>
        </is>
      </c>
      <c r="I810" s="9" t="inlineStr">
        <is>
          <t>SFRCK 22</t>
        </is>
      </c>
      <c r="J810" s="9" t="n">
        <v>106025567</v>
      </c>
      <c r="K810" s="9" t="n">
        <v>22</v>
      </c>
      <c r="L810" s="9" t="n"/>
      <c r="M810" s="9" t="n"/>
      <c r="N810" s="9" t="n"/>
      <c r="O810" s="9" t="n">
        <v>12</v>
      </c>
      <c r="P810" s="13" t="n">
        <v>96927</v>
      </c>
      <c r="Q810" s="13" t="n">
        <v>102220.8</v>
      </c>
      <c r="R810" s="14">
        <f>IFERROR(P810/Q810,"")</f>
        <v/>
      </c>
      <c r="S810" s="15" t="n">
        <v>0.9590000000000001</v>
      </c>
      <c r="T810" s="9">
        <f>IF(R810&gt;1,"A corregir","Válida")</f>
        <v/>
      </c>
      <c r="U810" s="13">
        <f>Q810-P810</f>
        <v/>
      </c>
      <c r="V810" s="13">
        <f>IF(S810="",0,S810*Q810)</f>
        <v/>
      </c>
      <c r="W810" s="9" t="n">
        <v>2026</v>
      </c>
      <c r="X810" s="9" t="n">
        <v>37</v>
      </c>
      <c r="Y810" s="9" t="inlineStr">
        <is>
          <t>2026-S37</t>
        </is>
      </c>
    </row>
    <row r="811">
      <c r="A811" s="9" t="n">
        <v>43050152</v>
      </c>
      <c r="B811" s="11" t="n">
        <v>46275.34241898148</v>
      </c>
      <c r="C811" s="12" t="n">
        <v>46275</v>
      </c>
      <c r="D811" s="9">
        <f>YEAR(C811)</f>
        <v/>
      </c>
      <c r="E811" s="9">
        <f>MONTH(C811)</f>
        <v/>
      </c>
      <c r="F811" s="9" t="inlineStr">
        <is>
          <t>Saferock</t>
        </is>
      </c>
      <c r="G811" s="9" t="inlineStr">
        <is>
          <t>SAFEROCK 22MM 12M A280</t>
        </is>
      </c>
      <c r="H811" s="9" t="inlineStr">
        <is>
          <t>SAFEROCK 22MM 12M A280</t>
        </is>
      </c>
      <c r="I811" s="9" t="inlineStr">
        <is>
          <t>SFRCK 22</t>
        </is>
      </c>
      <c r="J811" s="9" t="n">
        <v>106025569</v>
      </c>
      <c r="K811" s="9" t="n">
        <v>22</v>
      </c>
      <c r="L811" s="9" t="n"/>
      <c r="M811" s="9" t="n"/>
      <c r="N811" s="9" t="n"/>
      <c r="O811" s="9" t="n">
        <v>12</v>
      </c>
      <c r="P811" s="13" t="n">
        <v>61746</v>
      </c>
      <c r="Q811" s="13" t="n">
        <v>65472</v>
      </c>
      <c r="R811" s="14">
        <f>IFERROR(P811/Q811,"")</f>
        <v/>
      </c>
      <c r="S811" s="15" t="n">
        <v>0.9590000000000001</v>
      </c>
      <c r="T811" s="9">
        <f>IF(R811&gt;1,"A corregir","Válida")</f>
        <v/>
      </c>
      <c r="U811" s="13">
        <f>Q811-P811</f>
        <v/>
      </c>
      <c r="V811" s="13">
        <f>IF(S811="",0,S811*Q811)</f>
        <v/>
      </c>
      <c r="W811" s="9" t="n">
        <v>2026</v>
      </c>
      <c r="X811" s="9" t="n">
        <v>37</v>
      </c>
      <c r="Y811" s="9" t="inlineStr">
        <is>
          <t>2026-S37</t>
        </is>
      </c>
    </row>
    <row r="812">
      <c r="A812" s="9" t="n">
        <v>43050006</v>
      </c>
      <c r="B812" s="11" t="n">
        <v>46275.45209490741</v>
      </c>
      <c r="C812" s="12" t="n">
        <v>46275</v>
      </c>
      <c r="D812" s="9">
        <f>YEAR(C812)</f>
        <v/>
      </c>
      <c r="E812" s="9">
        <f>MONTH(C812)</f>
        <v/>
      </c>
      <c r="F812" s="9" t="inlineStr">
        <is>
          <t>Saferock</t>
        </is>
      </c>
      <c r="G812" s="9" t="inlineStr">
        <is>
          <t>SAFEROCK 22MM 10M A280</t>
        </is>
      </c>
      <c r="H812" s="9" t="inlineStr">
        <is>
          <t>SAFEROCK SEMI 22MM 10M A280</t>
        </is>
      </c>
      <c r="I812" s="9" t="inlineStr">
        <is>
          <t>SFRCK 22</t>
        </is>
      </c>
      <c r="J812" s="9" t="n">
        <v>106043322</v>
      </c>
      <c r="K812" s="9" t="n">
        <v>22</v>
      </c>
      <c r="L812" s="9" t="n"/>
      <c r="M812" s="9" t="n"/>
      <c r="N812" s="9" t="n"/>
      <c r="O812" s="9" t="n">
        <v>10</v>
      </c>
      <c r="P812" s="13" t="n">
        <v>62648</v>
      </c>
      <c r="Q812" s="13" t="n">
        <v>66422.39999999999</v>
      </c>
      <c r="R812" s="14">
        <f>IFERROR(P812/Q812,"")</f>
        <v/>
      </c>
      <c r="S812" s="15" t="n">
        <v>0.953</v>
      </c>
      <c r="T812" s="9">
        <f>IF(R812&gt;1,"A corregir","Válida")</f>
        <v/>
      </c>
      <c r="U812" s="13">
        <f>Q812-P812</f>
        <v/>
      </c>
      <c r="V812" s="13">
        <f>IF(S812="",0,S812*Q812)</f>
        <v/>
      </c>
      <c r="W812" s="9" t="n">
        <v>2026</v>
      </c>
      <c r="X812" s="9" t="n">
        <v>37</v>
      </c>
      <c r="Y812" s="9" t="inlineStr">
        <is>
          <t>2026-S37</t>
        </is>
      </c>
    </row>
    <row r="813">
      <c r="A813" s="9" t="n">
        <v>43050007</v>
      </c>
      <c r="B813" s="11" t="n">
        <v>46275.59373842592</v>
      </c>
      <c r="C813" s="12" t="n">
        <v>46275</v>
      </c>
      <c r="D813" s="9">
        <f>YEAR(C813)</f>
        <v/>
      </c>
      <c r="E813" s="9">
        <f>MONTH(C813)</f>
        <v/>
      </c>
      <c r="F813" s="9" t="inlineStr">
        <is>
          <t>Saferock</t>
        </is>
      </c>
      <c r="G813" s="9" t="inlineStr">
        <is>
          <t>SAFEROCK 22MM 9,6M A280</t>
        </is>
      </c>
      <c r="H813" s="9" t="inlineStr">
        <is>
          <t>SAFEROCK SEMI 22MM 9,6M A280</t>
        </is>
      </c>
      <c r="I813" s="9" t="inlineStr">
        <is>
          <t>SFRCK 22</t>
        </is>
      </c>
      <c r="J813" s="9" t="n">
        <v>106503248</v>
      </c>
      <c r="K813" s="9" t="n">
        <v>22</v>
      </c>
      <c r="L813" s="9" t="n"/>
      <c r="M813" s="9" t="n"/>
      <c r="N813" s="9" t="n"/>
      <c r="O813" s="9" t="n">
        <v>9.6</v>
      </c>
      <c r="P813" s="13" t="n">
        <v>56984</v>
      </c>
      <c r="Q813" s="13" t="n">
        <v>59241.6</v>
      </c>
      <c r="R813" s="14">
        <f>IFERROR(P813/Q813,"")</f>
        <v/>
      </c>
      <c r="S813" s="15" t="n">
        <v>0.9570000000000001</v>
      </c>
      <c r="T813" s="9">
        <f>IF(R813&gt;1,"A corregir","Válida")</f>
        <v/>
      </c>
      <c r="U813" s="13">
        <f>Q813-P813</f>
        <v/>
      </c>
      <c r="V813" s="13">
        <f>IF(S813="",0,S813*Q813)</f>
        <v/>
      </c>
      <c r="W813" s="9" t="n">
        <v>2026</v>
      </c>
      <c r="X813" s="9" t="n">
        <v>37</v>
      </c>
      <c r="Y813" s="9" t="inlineStr">
        <is>
          <t>2026-S37</t>
        </is>
      </c>
    </row>
    <row r="814">
      <c r="A814" s="9" t="n">
        <v>43050008</v>
      </c>
      <c r="B814" s="11" t="n">
        <v>46275.6830787037</v>
      </c>
      <c r="C814" s="12" t="n">
        <v>46275</v>
      </c>
      <c r="D814" s="9">
        <f>YEAR(C814)</f>
        <v/>
      </c>
      <c r="E814" s="9">
        <f>MONTH(C814)</f>
        <v/>
      </c>
      <c r="F814" s="9" t="inlineStr">
        <is>
          <t>Saferock</t>
        </is>
      </c>
      <c r="G814" s="9" t="inlineStr">
        <is>
          <t>SAFEROCK 22MM 9,6M A420</t>
        </is>
      </c>
      <c r="H814" s="9" t="inlineStr">
        <is>
          <t>SAFEROCK SEMI 22MM 9,6M A420</t>
        </is>
      </c>
      <c r="I814" s="9" t="inlineStr">
        <is>
          <t>SFRCK 22</t>
        </is>
      </c>
      <c r="J814" s="9" t="n">
        <v>106025529</v>
      </c>
      <c r="K814" s="9" t="n">
        <v>22</v>
      </c>
      <c r="L814" s="9" t="n"/>
      <c r="M814" s="9" t="n"/>
      <c r="N814" s="9" t="n"/>
      <c r="O814" s="9" t="n">
        <v>9.6</v>
      </c>
      <c r="P814" s="13" t="n">
        <v>90265</v>
      </c>
      <c r="Q814" s="13" t="n">
        <v>93799.2</v>
      </c>
      <c r="R814" s="14">
        <f>IFERROR(P814/Q814,"")</f>
        <v/>
      </c>
      <c r="S814" s="15" t="n">
        <v>0.9570000000000001</v>
      </c>
      <c r="T814" s="9">
        <f>IF(R814&gt;1,"A corregir","Válida")</f>
        <v/>
      </c>
      <c r="U814" s="13">
        <f>Q814-P814</f>
        <v/>
      </c>
      <c r="V814" s="13">
        <f>IF(S814="",0,S814*Q814)</f>
        <v/>
      </c>
      <c r="W814" s="9" t="n">
        <v>2026</v>
      </c>
      <c r="X814" s="9" t="n">
        <v>37</v>
      </c>
      <c r="Y814" s="9" t="inlineStr">
        <is>
          <t>2026-S37</t>
        </is>
      </c>
    </row>
    <row r="815">
      <c r="A815" s="9" t="n">
        <v>43050009</v>
      </c>
      <c r="B815" s="11" t="n">
        <v>46275.87172453704</v>
      </c>
      <c r="C815" s="12" t="n">
        <v>46275</v>
      </c>
      <c r="D815" s="9">
        <f>YEAR(C815)</f>
        <v/>
      </c>
      <c r="E815" s="9">
        <f>MONTH(C815)</f>
        <v/>
      </c>
      <c r="F815" s="9" t="inlineStr">
        <is>
          <t>Redondo liso</t>
        </is>
      </c>
      <c r="G815" s="9" t="inlineStr">
        <is>
          <t>REDONDO LISO 7/8' 6M ASTM A 36 (N)</t>
        </is>
      </c>
      <c r="H815" s="9" t="inlineStr">
        <is>
          <t>REDONDO LISO 7/8' 6M ASTM A 36 (N)</t>
        </is>
      </c>
      <c r="I815" s="9" t="inlineStr">
        <is>
          <t>RED 7/8</t>
        </is>
      </c>
      <c r="J815" s="9" t="n">
        <v>109006936</v>
      </c>
      <c r="K815" s="9" t="n">
        <v>22.2</v>
      </c>
      <c r="L815" s="9" t="n"/>
      <c r="M815" s="9" t="n"/>
      <c r="N815" s="9" t="n"/>
      <c r="O815" s="9" t="n">
        <v>6</v>
      </c>
      <c r="P815" s="13" t="n">
        <v>38518</v>
      </c>
      <c r="Q815" s="13" t="n">
        <v>40392</v>
      </c>
      <c r="R815" s="14">
        <f>IFERROR(P815/Q815,"")</f>
        <v/>
      </c>
      <c r="S815" s="15" t="n">
        <v>0.95</v>
      </c>
      <c r="T815" s="9">
        <f>IF(R815&gt;1,"A corregir","Válida")</f>
        <v/>
      </c>
      <c r="U815" s="13">
        <f>Q815-P815</f>
        <v/>
      </c>
      <c r="V815" s="13">
        <f>IF(S815="",0,S815*Q815)</f>
        <v/>
      </c>
      <c r="W815" s="9" t="n">
        <v>2026</v>
      </c>
      <c r="X815" s="9" t="n">
        <v>37</v>
      </c>
      <c r="Y815" s="9" t="inlineStr">
        <is>
          <t>2026-S37</t>
        </is>
      </c>
    </row>
    <row r="816">
      <c r="A816" s="9" t="n">
        <v>43050010</v>
      </c>
      <c r="B816" s="11" t="n">
        <v>46275.94648148148</v>
      </c>
      <c r="C816" s="12" t="n">
        <v>46275</v>
      </c>
      <c r="D816" s="9">
        <f>YEAR(C816)</f>
        <v/>
      </c>
      <c r="E816" s="9">
        <f>MONTH(C816)</f>
        <v/>
      </c>
      <c r="F816" s="9" t="inlineStr">
        <is>
          <t>Redondo liso</t>
        </is>
      </c>
      <c r="G816" s="9" t="inlineStr">
        <is>
          <t>REDONDO LISO 7/8' 6M SAE 1045 (N)</t>
        </is>
      </c>
      <c r="H816" s="9" t="inlineStr">
        <is>
          <t>REDONDO LISO 7/8' 6M SAE 1045 (N)</t>
        </is>
      </c>
      <c r="I816" s="9" t="inlineStr">
        <is>
          <t>RED 7/8</t>
        </is>
      </c>
      <c r="J816" s="9" t="n">
        <v>109006876</v>
      </c>
      <c r="K816" s="9" t="n">
        <v>22.2</v>
      </c>
      <c r="L816" s="9" t="n"/>
      <c r="M816" s="9" t="n"/>
      <c r="N816" s="9" t="n"/>
      <c r="O816" s="9" t="n">
        <v>6</v>
      </c>
      <c r="P816" s="13" t="n">
        <v>40563</v>
      </c>
      <c r="Q816" s="13" t="n">
        <v>43084.8</v>
      </c>
      <c r="R816" s="14">
        <f>IFERROR(P816/Q816,"")</f>
        <v/>
      </c>
      <c r="S816" s="15" t="n">
        <v>0.95</v>
      </c>
      <c r="T816" s="9">
        <f>IF(R816&gt;1,"A corregir","Válida")</f>
        <v/>
      </c>
      <c r="U816" s="13">
        <f>Q816-P816</f>
        <v/>
      </c>
      <c r="V816" s="13">
        <f>IF(S816="",0,S816*Q816)</f>
        <v/>
      </c>
      <c r="W816" s="9" t="n">
        <v>2026</v>
      </c>
      <c r="X816" s="9" t="n">
        <v>37</v>
      </c>
      <c r="Y816" s="9" t="inlineStr">
        <is>
          <t>2026-S37</t>
        </is>
      </c>
    </row>
    <row r="817">
      <c r="A817" s="9" t="n">
        <v>43050011</v>
      </c>
      <c r="B817" s="11" t="n">
        <v>46276.0253125</v>
      </c>
      <c r="C817" s="12" t="n">
        <v>46276</v>
      </c>
      <c r="D817" s="9">
        <f>YEAR(C817)</f>
        <v/>
      </c>
      <c r="E817" s="9">
        <f>MONTH(C817)</f>
        <v/>
      </c>
      <c r="F817" s="9" t="inlineStr">
        <is>
          <t>Redondo liso</t>
        </is>
      </c>
      <c r="G817" s="9" t="inlineStr">
        <is>
          <t>REDONDO LISO 7/8' 6M SAE 1020 (N)</t>
        </is>
      </c>
      <c r="H817" s="9" t="inlineStr">
        <is>
          <t>REDONDO LISO 7/8' 6M SAE 1020 (N)</t>
        </is>
      </c>
      <c r="I817" s="9" t="inlineStr">
        <is>
          <t>RED 7/8</t>
        </is>
      </c>
      <c r="J817" s="9" t="n">
        <v>109006912</v>
      </c>
      <c r="K817" s="9" t="n">
        <v>22.2</v>
      </c>
      <c r="L817" s="9" t="n"/>
      <c r="M817" s="9" t="n"/>
      <c r="N817" s="9" t="n"/>
      <c r="O817" s="9" t="n">
        <v>6</v>
      </c>
      <c r="P817" s="13" t="n">
        <v>102940</v>
      </c>
      <c r="Q817" s="13" t="n">
        <v>108160.8</v>
      </c>
      <c r="R817" s="14">
        <f>IFERROR(P817/Q817,"")</f>
        <v/>
      </c>
      <c r="S817" s="15" t="n">
        <v>0.95</v>
      </c>
      <c r="T817" s="9">
        <f>IF(R817&gt;1,"A corregir","Válida")</f>
        <v/>
      </c>
      <c r="U817" s="13">
        <f>Q817-P817</f>
        <v/>
      </c>
      <c r="V817" s="13">
        <f>IF(S817="",0,S817*Q817)</f>
        <v/>
      </c>
      <c r="W817" s="9" t="n">
        <v>2026</v>
      </c>
      <c r="X817" s="9" t="n">
        <v>37</v>
      </c>
      <c r="Y817" s="9" t="inlineStr">
        <is>
          <t>2026-S37</t>
        </is>
      </c>
    </row>
    <row r="818">
      <c r="A818" s="9" t="n">
        <v>43050012</v>
      </c>
      <c r="B818" s="11" t="n">
        <v>46276.23679398148</v>
      </c>
      <c r="C818" s="12" t="n">
        <v>46276</v>
      </c>
      <c r="D818" s="9">
        <f>YEAR(C818)</f>
        <v/>
      </c>
      <c r="E818" s="9">
        <f>MONTH(C818)</f>
        <v/>
      </c>
      <c r="F818" s="9" t="inlineStr">
        <is>
          <t>Redondo liso</t>
        </is>
      </c>
      <c r="G818" s="9" t="inlineStr">
        <is>
          <t>REDONDO LISO 19MM 6M SAE 1020 (N)</t>
        </is>
      </c>
      <c r="H818" s="9" t="inlineStr">
        <is>
          <t>REDONDO LISO 19MM 6M SAE 1020 (N)</t>
        </is>
      </c>
      <c r="I818" s="9" t="inlineStr">
        <is>
          <t>RED 19</t>
        </is>
      </c>
      <c r="J818" s="9" t="n">
        <v>109006918</v>
      </c>
      <c r="K818" s="9" t="n">
        <v>19</v>
      </c>
      <c r="L818" s="9" t="n"/>
      <c r="M818" s="9" t="n"/>
      <c r="N818" s="9" t="n"/>
      <c r="O818" s="9" t="n">
        <v>6</v>
      </c>
      <c r="P818" s="13" t="n">
        <v>140465</v>
      </c>
      <c r="Q818" s="13" t="n">
        <v>148104</v>
      </c>
      <c r="R818" s="14">
        <f>IFERROR(P818/Q818,"")</f>
        <v/>
      </c>
      <c r="S818" s="15" t="n">
        <v>0.9520000000000001</v>
      </c>
      <c r="T818" s="9">
        <f>IF(R818&gt;1,"A corregir","Válida")</f>
        <v/>
      </c>
      <c r="U818" s="13">
        <f>Q818-P818</f>
        <v/>
      </c>
      <c r="V818" s="13">
        <f>IF(S818="",0,S818*Q818)</f>
        <v/>
      </c>
      <c r="W818" s="9" t="n">
        <v>2026</v>
      </c>
      <c r="X818" s="9" t="n">
        <v>37</v>
      </c>
      <c r="Y818" s="9" t="inlineStr">
        <is>
          <t>2026-S37</t>
        </is>
      </c>
    </row>
    <row r="819">
      <c r="A819" s="9" t="n">
        <v>43050013</v>
      </c>
      <c r="B819" s="11" t="n">
        <v>46279.03945601852</v>
      </c>
      <c r="C819" s="12" t="n">
        <v>46279</v>
      </c>
      <c r="D819" s="9">
        <f>YEAR(C819)</f>
        <v/>
      </c>
      <c r="E819" s="9">
        <f>MONTH(C819)</f>
        <v/>
      </c>
      <c r="F819" s="9" t="inlineStr">
        <is>
          <t>Redondo liso</t>
        </is>
      </c>
      <c r="G819" s="9" t="inlineStr">
        <is>
          <t>REDONDO LISO 3/4' 6M SAE 1020 (N)</t>
        </is>
      </c>
      <c r="H819" s="9" t="inlineStr">
        <is>
          <t>REDONDO LISO 3/4' 6M SAE 1020 (N)</t>
        </is>
      </c>
      <c r="I819" s="9" t="inlineStr">
        <is>
          <t>RED 19</t>
        </is>
      </c>
      <c r="J819" s="9" t="n">
        <v>109006926</v>
      </c>
      <c r="K819" s="9" t="n">
        <v>19</v>
      </c>
      <c r="L819" s="9" t="n"/>
      <c r="M819" s="9" t="n"/>
      <c r="N819" s="9" t="n"/>
      <c r="O819" s="9" t="n">
        <v>6</v>
      </c>
      <c r="P819" s="13" t="n">
        <v>24176</v>
      </c>
      <c r="Q819" s="13" t="n">
        <v>26030.4</v>
      </c>
      <c r="R819" s="14">
        <f>IFERROR(P819/Q819,"")</f>
        <v/>
      </c>
      <c r="S819" s="15" t="n">
        <v>0.9520000000000001</v>
      </c>
      <c r="T819" s="9">
        <f>IF(R819&gt;1,"A corregir","Válida")</f>
        <v/>
      </c>
      <c r="U819" s="13">
        <f>Q819-P819</f>
        <v/>
      </c>
      <c r="V819" s="13">
        <f>IF(S819="",0,S819*Q819)</f>
        <v/>
      </c>
      <c r="W819" s="9" t="n">
        <v>2026</v>
      </c>
      <c r="X819" s="9" t="n">
        <v>38</v>
      </c>
      <c r="Y819" s="9" t="inlineStr">
        <is>
          <t>2026-S38</t>
        </is>
      </c>
    </row>
    <row r="820">
      <c r="A820" s="9" t="n">
        <v>43050165</v>
      </c>
      <c r="B820" s="11" t="n">
        <v>46279.08677083333</v>
      </c>
      <c r="C820" s="12" t="n">
        <v>46279</v>
      </c>
      <c r="D820" s="9">
        <f>YEAR(C820)</f>
        <v/>
      </c>
      <c r="E820" s="9">
        <f>MONTH(C820)</f>
        <v/>
      </c>
      <c r="F820" s="9" t="inlineStr">
        <is>
          <t>Redondo liso</t>
        </is>
      </c>
      <c r="G820" s="9" t="inlineStr">
        <is>
          <t>REDONDO LISO 3/4' 6M SAE 1020 (N)</t>
        </is>
      </c>
      <c r="H820" s="9" t="inlineStr">
        <is>
          <t>REDONDO LISO 3/4' 6M SAE 1020 (N)</t>
        </is>
      </c>
      <c r="I820" s="9" t="inlineStr">
        <is>
          <t>RED 19</t>
        </is>
      </c>
      <c r="J820" s="9" t="n">
        <v>109006926</v>
      </c>
      <c r="K820" s="9" t="n">
        <v>19</v>
      </c>
      <c r="L820" s="9" t="n"/>
      <c r="M820" s="9" t="n"/>
      <c r="N820" s="9" t="n"/>
      <c r="O820" s="9" t="n">
        <v>6</v>
      </c>
      <c r="P820" s="13" t="n">
        <v>10239</v>
      </c>
      <c r="Q820" s="13" t="n">
        <v>9292.799999999999</v>
      </c>
      <c r="R820" s="14">
        <f>IFERROR(P820/Q820,"")</f>
        <v/>
      </c>
      <c r="S820" s="15" t="n">
        <v>0.9520000000000001</v>
      </c>
      <c r="T820" s="9">
        <f>IF(R820&gt;1,"A corregir","Válida")</f>
        <v/>
      </c>
      <c r="U820" s="13">
        <f>Q820-P820</f>
        <v/>
      </c>
      <c r="V820" s="13">
        <f>IF(S820="",0,S820*Q820)</f>
        <v/>
      </c>
      <c r="W820" s="9" t="n">
        <v>2026</v>
      </c>
      <c r="X820" s="9" t="n">
        <v>38</v>
      </c>
      <c r="Y820" s="9" t="inlineStr">
        <is>
          <t>2026-S38</t>
        </is>
      </c>
    </row>
    <row r="821">
      <c r="A821" s="9" t="n">
        <v>43050014</v>
      </c>
      <c r="B821" s="11" t="n">
        <v>46279.10349537037</v>
      </c>
      <c r="C821" s="12" t="n">
        <v>46279</v>
      </c>
      <c r="D821" s="9">
        <f>YEAR(C821)</f>
        <v/>
      </c>
      <c r="E821" s="9">
        <f>MONTH(C821)</f>
        <v/>
      </c>
      <c r="F821" s="9" t="inlineStr">
        <is>
          <t>Redondo liso</t>
        </is>
      </c>
      <c r="G821" s="9" t="inlineStr">
        <is>
          <t>REDONDO LISO 3/4' 6M ASTM A 36 (N)</t>
        </is>
      </c>
      <c r="H821" s="9" t="inlineStr">
        <is>
          <t>REDONDO LISO 3/4' 6M ASTM A 36 (N)</t>
        </is>
      </c>
      <c r="I821" s="9" t="inlineStr">
        <is>
          <t>RED 19</t>
        </is>
      </c>
      <c r="J821" s="9" t="n">
        <v>109006937</v>
      </c>
      <c r="K821" s="9" t="n">
        <v>19</v>
      </c>
      <c r="L821" s="9" t="n"/>
      <c r="M821" s="9" t="n"/>
      <c r="N821" s="9" t="n"/>
      <c r="O821" s="9" t="n">
        <v>6</v>
      </c>
      <c r="P821" s="13" t="n">
        <v>168893</v>
      </c>
      <c r="Q821" s="13" t="n">
        <v>177276</v>
      </c>
      <c r="R821" s="14">
        <f>IFERROR(P821/Q821,"")</f>
        <v/>
      </c>
      <c r="S821" s="15" t="n">
        <v>0.9520000000000001</v>
      </c>
      <c r="T821" s="9">
        <f>IF(R821&gt;1,"A corregir","Válida")</f>
        <v/>
      </c>
      <c r="U821" s="13">
        <f>Q821-P821</f>
        <v/>
      </c>
      <c r="V821" s="13">
        <f>IF(S821="",0,S821*Q821)</f>
        <v/>
      </c>
      <c r="W821" s="9" t="n">
        <v>2026</v>
      </c>
      <c r="X821" s="9" t="n">
        <v>38</v>
      </c>
      <c r="Y821" s="9" t="inlineStr">
        <is>
          <t>2026-S38</t>
        </is>
      </c>
    </row>
    <row r="822">
      <c r="A822" s="9" t="n">
        <v>43049996</v>
      </c>
      <c r="B822" s="11" t="n">
        <v>46279.58211805556</v>
      </c>
      <c r="C822" s="12" t="n">
        <v>46279</v>
      </c>
      <c r="D822" s="9">
        <f>YEAR(C822)</f>
        <v/>
      </c>
      <c r="E822" s="9">
        <f>MONTH(C822)</f>
        <v/>
      </c>
      <c r="F822" s="9" t="inlineStr">
        <is>
          <t>Redondo liso</t>
        </is>
      </c>
      <c r="G822" s="9" t="inlineStr">
        <is>
          <t>REDONDO LISO 1 3/4' 6M SAE 1045 (N)</t>
        </is>
      </c>
      <c r="H822" s="9" t="inlineStr">
        <is>
          <t>REDONDO LISO 1 3/4' 6M SAE 1045 (N)</t>
        </is>
      </c>
      <c r="I822" s="9" t="inlineStr">
        <is>
          <t>RL 1,3/4</t>
        </is>
      </c>
      <c r="J822" s="9" t="n">
        <v>119502537</v>
      </c>
      <c r="K822" s="9" t="n">
        <v>44.4</v>
      </c>
      <c r="L822" s="9" t="n"/>
      <c r="M822" s="9" t="n"/>
      <c r="N822" s="9" t="n"/>
      <c r="O822" s="9" t="n">
        <v>6</v>
      </c>
      <c r="P822" s="13" t="n">
        <v>37605</v>
      </c>
      <c r="Q822" s="13" t="n">
        <v>45619.2</v>
      </c>
      <c r="R822" s="14">
        <f>IFERROR(P822/Q822,"")</f>
        <v/>
      </c>
      <c r="S822" s="15" t="n">
        <v>0.97</v>
      </c>
      <c r="T822" s="9">
        <f>IF(R822&gt;1,"A corregir","Válida")</f>
        <v/>
      </c>
      <c r="U822" s="13">
        <f>Q822-P822</f>
        <v/>
      </c>
      <c r="V822" s="13">
        <f>IF(S822="",0,S822*Q822)</f>
        <v/>
      </c>
      <c r="W822" s="9" t="n">
        <v>2026</v>
      </c>
      <c r="X822" s="9" t="n">
        <v>38</v>
      </c>
      <c r="Y822" s="9" t="inlineStr">
        <is>
          <t>2026-S38</t>
        </is>
      </c>
    </row>
    <row r="823">
      <c r="A823" s="9" t="n">
        <v>43049997</v>
      </c>
      <c r="B823" s="11" t="n">
        <v>46279.68035879629</v>
      </c>
      <c r="C823" s="12" t="n">
        <v>46279</v>
      </c>
      <c r="D823" s="9">
        <f>YEAR(C823)</f>
        <v/>
      </c>
      <c r="E823" s="9">
        <f>MONTH(C823)</f>
        <v/>
      </c>
      <c r="F823" s="9" t="inlineStr">
        <is>
          <t>Redondo liso</t>
        </is>
      </c>
      <c r="G823" s="9" t="inlineStr">
        <is>
          <t>REDONDO LISO 1 3/4' 6M SAE 1020 (N)</t>
        </is>
      </c>
      <c r="H823" s="9" t="inlineStr">
        <is>
          <t>REDONDO LISO 1 3/4' 6M SAE 1020 (N)</t>
        </is>
      </c>
      <c r="I823" s="9" t="inlineStr">
        <is>
          <t>RL 1,3/4</t>
        </is>
      </c>
      <c r="J823" s="9" t="n">
        <v>109006938</v>
      </c>
      <c r="K823" s="9" t="n">
        <v>44.4</v>
      </c>
      <c r="L823" s="9" t="n"/>
      <c r="M823" s="9" t="n"/>
      <c r="N823" s="9" t="n"/>
      <c r="O823" s="9" t="n">
        <v>6</v>
      </c>
      <c r="P823" s="13" t="n">
        <v>29278</v>
      </c>
      <c r="Q823" s="13" t="n">
        <v>33792</v>
      </c>
      <c r="R823" s="14">
        <f>IFERROR(P823/Q823,"")</f>
        <v/>
      </c>
      <c r="S823" s="15" t="n">
        <v>0.955</v>
      </c>
      <c r="T823" s="9">
        <f>IF(R823&gt;1,"A corregir","Válida")</f>
        <v/>
      </c>
      <c r="U823" s="13">
        <f>Q823-P823</f>
        <v/>
      </c>
      <c r="V823" s="13">
        <f>IF(S823="",0,S823*Q823)</f>
        <v/>
      </c>
      <c r="W823" s="9" t="n">
        <v>2026</v>
      </c>
      <c r="X823" s="9" t="n">
        <v>38</v>
      </c>
      <c r="Y823" s="9" t="inlineStr">
        <is>
          <t>2026-S38</t>
        </is>
      </c>
    </row>
    <row r="824">
      <c r="A824" s="9" t="n">
        <v>43049998</v>
      </c>
      <c r="B824" s="11" t="n">
        <v>46279.88193287037</v>
      </c>
      <c r="C824" s="12" t="n">
        <v>46279</v>
      </c>
      <c r="D824" s="9">
        <f>YEAR(C824)</f>
        <v/>
      </c>
      <c r="E824" s="9">
        <f>MONTH(C824)</f>
        <v/>
      </c>
      <c r="F824" s="9" t="inlineStr">
        <is>
          <t>Redondo liso</t>
        </is>
      </c>
      <c r="G824" s="9" t="inlineStr">
        <is>
          <t>REDONDO LISO 1 1/2' 6M SAE 1020 (N)</t>
        </is>
      </c>
      <c r="H824" s="9" t="inlineStr">
        <is>
          <t>REDONDO LISO 1 1/2' 6M SAE 1020 (N)</t>
        </is>
      </c>
      <c r="I824" s="9" t="inlineStr">
        <is>
          <t>RED 1,1/2</t>
        </is>
      </c>
      <c r="J824" s="9" t="n">
        <v>109006908</v>
      </c>
      <c r="K824" s="9" t="n">
        <v>38.1</v>
      </c>
      <c r="L824" s="9" t="n"/>
      <c r="M824" s="9" t="n"/>
      <c r="N824" s="9" t="n"/>
      <c r="O824" s="9" t="n">
        <v>6</v>
      </c>
      <c r="P824" s="13" t="n">
        <v>66551</v>
      </c>
      <c r="Q824" s="13" t="n">
        <v>71808</v>
      </c>
      <c r="R824" s="14">
        <f>IFERROR(P824/Q824,"")</f>
        <v/>
      </c>
      <c r="S824" s="15" t="n">
        <v>0.9429999999999999</v>
      </c>
      <c r="T824" s="9">
        <f>IF(R824&gt;1,"A corregir","Válida")</f>
        <v/>
      </c>
      <c r="U824" s="13">
        <f>Q824-P824</f>
        <v/>
      </c>
      <c r="V824" s="13">
        <f>IF(S824="",0,S824*Q824)</f>
        <v/>
      </c>
      <c r="W824" s="9" t="n">
        <v>2026</v>
      </c>
      <c r="X824" s="9" t="n">
        <v>38</v>
      </c>
      <c r="Y824" s="9" t="inlineStr">
        <is>
          <t>2026-S38</t>
        </is>
      </c>
    </row>
    <row r="825">
      <c r="A825" s="9" t="n">
        <v>43049999</v>
      </c>
      <c r="B825" s="11" t="n">
        <v>46280.11456018518</v>
      </c>
      <c r="C825" s="12" t="n">
        <v>46280</v>
      </c>
      <c r="D825" s="9">
        <f>YEAR(C825)</f>
        <v/>
      </c>
      <c r="E825" s="9">
        <f>MONTH(C825)</f>
        <v/>
      </c>
      <c r="F825" s="9" t="inlineStr">
        <is>
          <t>Redondo liso</t>
        </is>
      </c>
      <c r="G825" s="9" t="inlineStr">
        <is>
          <t>REDONDO LISO 1 1/2' 6M ASTM A 36 (N)</t>
        </is>
      </c>
      <c r="H825" s="9" t="inlineStr">
        <is>
          <t>REDONDO LISO 1 1/2' 6M ASTM A 36 (N)</t>
        </is>
      </c>
      <c r="I825" s="9" t="inlineStr">
        <is>
          <t>RED 1,1/2</t>
        </is>
      </c>
      <c r="J825" s="9" t="n">
        <v>109006963</v>
      </c>
      <c r="K825" s="9" t="n">
        <v>38.1</v>
      </c>
      <c r="L825" s="9" t="n"/>
      <c r="M825" s="9" t="n"/>
      <c r="N825" s="9" t="n"/>
      <c r="O825" s="9" t="n">
        <v>6</v>
      </c>
      <c r="P825" s="13" t="n">
        <v>31153</v>
      </c>
      <c r="Q825" s="13" t="n">
        <v>33211.2</v>
      </c>
      <c r="R825" s="14">
        <f>IFERROR(P825/Q825,"")</f>
        <v/>
      </c>
      <c r="S825" s="15" t="n">
        <v>0.9429999999999999</v>
      </c>
      <c r="T825" s="9">
        <f>IF(R825&gt;1,"A corregir","Válida")</f>
        <v/>
      </c>
      <c r="U825" s="13">
        <f>Q825-P825</f>
        <v/>
      </c>
      <c r="V825" s="13">
        <f>IF(S825="",0,S825*Q825)</f>
        <v/>
      </c>
      <c r="W825" s="9" t="n">
        <v>2026</v>
      </c>
      <c r="X825" s="9" t="n">
        <v>38</v>
      </c>
      <c r="Y825" s="9" t="inlineStr">
        <is>
          <t>2026-S38</t>
        </is>
      </c>
    </row>
    <row r="826">
      <c r="A826" s="9" t="n">
        <v>43050000</v>
      </c>
      <c r="B826" s="11" t="n">
        <v>46280.16935185185</v>
      </c>
      <c r="C826" s="12" t="n">
        <v>46280</v>
      </c>
      <c r="D826" s="9">
        <f>YEAR(C826)</f>
        <v/>
      </c>
      <c r="E826" s="9">
        <f>MONTH(C826)</f>
        <v/>
      </c>
      <c r="F826" s="9" t="inlineStr">
        <is>
          <t>Redondo liso</t>
        </is>
      </c>
      <c r="G826" s="9" t="inlineStr">
        <is>
          <t>REDONDO LISO 1 1/2' 6M SAE 1045 (N)</t>
        </is>
      </c>
      <c r="H826" s="9" t="inlineStr">
        <is>
          <t>REDONDO LISO 1 1/2' 6M SAE 1045 (N)</t>
        </is>
      </c>
      <c r="I826" s="9" t="inlineStr">
        <is>
          <t>RED 1,1/2</t>
        </is>
      </c>
      <c r="J826" s="9" t="n">
        <v>109006885</v>
      </c>
      <c r="K826" s="9" t="n">
        <v>38.1</v>
      </c>
      <c r="L826" s="9" t="n"/>
      <c r="M826" s="9" t="n"/>
      <c r="N826" s="9" t="n"/>
      <c r="O826" s="9" t="n">
        <v>6</v>
      </c>
      <c r="P826" s="13" t="n">
        <v>31045</v>
      </c>
      <c r="Q826" s="13" t="n">
        <v>33211.2</v>
      </c>
      <c r="R826" s="14">
        <f>IFERROR(P826/Q826,"")</f>
        <v/>
      </c>
      <c r="S826" s="15" t="n">
        <v>0.9429999999999999</v>
      </c>
      <c r="T826" s="9">
        <f>IF(R826&gt;1,"A corregir","Válida")</f>
        <v/>
      </c>
      <c r="U826" s="13">
        <f>Q826-P826</f>
        <v/>
      </c>
      <c r="V826" s="13">
        <f>IF(S826="",0,S826*Q826)</f>
        <v/>
      </c>
      <c r="W826" s="9" t="n">
        <v>2026</v>
      </c>
      <c r="X826" s="9" t="n">
        <v>38</v>
      </c>
      <c r="Y826" s="9" t="inlineStr">
        <is>
          <t>2026-S38</t>
        </is>
      </c>
    </row>
    <row r="827">
      <c r="A827" s="9" t="n">
        <v>43050002</v>
      </c>
      <c r="B827" s="11" t="n">
        <v>46280.31137731481</v>
      </c>
      <c r="C827" s="12" t="n">
        <v>46280</v>
      </c>
      <c r="D827" s="9">
        <f>YEAR(C827)</f>
        <v/>
      </c>
      <c r="E827" s="9">
        <f>MONTH(C827)</f>
        <v/>
      </c>
      <c r="F827" s="9" t="inlineStr">
        <is>
          <t>Redondo liso</t>
        </is>
      </c>
      <c r="G827" s="9" t="inlineStr">
        <is>
          <t>REDONDO LISO 1 1/4' 6M SAE 1020 (N)</t>
        </is>
      </c>
      <c r="H827" s="9" t="inlineStr">
        <is>
          <t>REDONDO LISO 1 1/4' 6M SAE 1020 (N)</t>
        </is>
      </c>
      <c r="I827" s="9" t="inlineStr">
        <is>
          <t>RED 1,1/4</t>
        </is>
      </c>
      <c r="J827" s="9" t="n">
        <v>109006898</v>
      </c>
      <c r="K827" s="9" t="n">
        <v>31.8</v>
      </c>
      <c r="L827" s="9" t="n"/>
      <c r="M827" s="9" t="n"/>
      <c r="N827" s="9" t="n"/>
      <c r="O827" s="9" t="n">
        <v>6</v>
      </c>
      <c r="P827" s="13" t="n">
        <v>28155</v>
      </c>
      <c r="Q827" s="13" t="n">
        <v>30835.2</v>
      </c>
      <c r="R827" s="14">
        <f>IFERROR(P827/Q827,"")</f>
        <v/>
      </c>
      <c r="S827" s="15" t="n">
        <v>0.951</v>
      </c>
      <c r="T827" s="9">
        <f>IF(R827&gt;1,"A corregir","Válida")</f>
        <v/>
      </c>
      <c r="U827" s="13">
        <f>Q827-P827</f>
        <v/>
      </c>
      <c r="V827" s="13">
        <f>IF(S827="",0,S827*Q827)</f>
        <v/>
      </c>
      <c r="W827" s="9" t="n">
        <v>2026</v>
      </c>
      <c r="X827" s="9" t="n">
        <v>38</v>
      </c>
      <c r="Y827" s="9" t="inlineStr">
        <is>
          <t>2026-S38</t>
        </is>
      </c>
    </row>
    <row r="828">
      <c r="A828" s="9" t="n">
        <v>43050123</v>
      </c>
      <c r="B828" s="11" t="n">
        <v>46280.80096064815</v>
      </c>
      <c r="C828" s="12" t="n">
        <v>46280</v>
      </c>
      <c r="D828" s="9">
        <f>YEAR(C828)</f>
        <v/>
      </c>
      <c r="E828" s="9">
        <f>MONTH(C828)</f>
        <v/>
      </c>
      <c r="F828" s="9" t="inlineStr">
        <is>
          <t>Ángulo</t>
        </is>
      </c>
      <c r="G828" s="9" t="inlineStr">
        <is>
          <t>ANGULO 40X40X5MM A270ES</t>
        </is>
      </c>
      <c r="H828" s="9" t="inlineStr">
        <is>
          <t>ANGULO SEMI 40X40X5MM A270ES</t>
        </is>
      </c>
      <c r="I828" s="9" t="inlineStr">
        <is>
          <t>ANG 40 x 5</t>
        </is>
      </c>
      <c r="J828" s="9" t="n">
        <v>106501035</v>
      </c>
      <c r="K828" s="9" t="n"/>
      <c r="L828" s="9" t="n">
        <v>40</v>
      </c>
      <c r="M828" s="9" t="n">
        <v>5</v>
      </c>
      <c r="N828" s="9" t="n"/>
      <c r="O828" s="9" t="n">
        <v>6</v>
      </c>
      <c r="P828" s="13" t="n">
        <v>60864</v>
      </c>
      <c r="Q828" s="13" t="n">
        <v>64627.2</v>
      </c>
      <c r="R828" s="14">
        <f>IFERROR(P828/Q828,"")</f>
        <v/>
      </c>
      <c r="S828" s="15" t="n">
        <v>0.9540000000000001</v>
      </c>
      <c r="T828" s="9">
        <f>IF(R828&gt;1,"A corregir","Válida")</f>
        <v/>
      </c>
      <c r="U828" s="13">
        <f>Q828-P828</f>
        <v/>
      </c>
      <c r="V828" s="13">
        <f>IF(S828="",0,S828*Q828)</f>
        <v/>
      </c>
      <c r="W828" s="9" t="n">
        <v>2026</v>
      </c>
      <c r="X828" s="9" t="n">
        <v>38</v>
      </c>
      <c r="Y828" s="9" t="inlineStr">
        <is>
          <t>2026-S38</t>
        </is>
      </c>
    </row>
    <row r="829">
      <c r="A829" s="9" t="n">
        <v>43050124</v>
      </c>
      <c r="B829" s="11" t="n">
        <v>46280.98520833333</v>
      </c>
      <c r="C829" s="12" t="n">
        <v>46280</v>
      </c>
      <c r="D829" s="9">
        <f>YEAR(C829)</f>
        <v/>
      </c>
      <c r="E829" s="9">
        <f>MONTH(C829)</f>
        <v/>
      </c>
      <c r="F829" s="9" t="inlineStr">
        <is>
          <t>Ángulo</t>
        </is>
      </c>
      <c r="G829" s="9" t="inlineStr">
        <is>
          <t>ANGULO 40X40X4MM A270ES</t>
        </is>
      </c>
      <c r="H829" s="9" t="inlineStr">
        <is>
          <t>ANGULO SEMI 40X40X4MM A270ES</t>
        </is>
      </c>
      <c r="I829" s="9" t="inlineStr">
        <is>
          <t>ANG 40 x 4</t>
        </is>
      </c>
      <c r="J829" s="9" t="n">
        <v>106501034</v>
      </c>
      <c r="K829" s="9" t="n"/>
      <c r="L829" s="9" t="n">
        <v>40</v>
      </c>
      <c r="M829" s="9" t="n">
        <v>4</v>
      </c>
      <c r="N829" s="9" t="n"/>
      <c r="O829" s="9" t="n">
        <v>6</v>
      </c>
      <c r="P829" s="13" t="n">
        <v>101080</v>
      </c>
      <c r="Q829" s="13" t="n">
        <v>108160.8</v>
      </c>
      <c r="R829" s="14">
        <f>IFERROR(P829/Q829,"")</f>
        <v/>
      </c>
      <c r="S829" s="15" t="n">
        <v>0.953</v>
      </c>
      <c r="T829" s="9">
        <f>IF(R829&gt;1,"A corregir","Válida")</f>
        <v/>
      </c>
      <c r="U829" s="13">
        <f>Q829-P829</f>
        <v/>
      </c>
      <c r="V829" s="13">
        <f>IF(S829="",0,S829*Q829)</f>
        <v/>
      </c>
      <c r="W829" s="9" t="n">
        <v>2026</v>
      </c>
      <c r="X829" s="9" t="n">
        <v>38</v>
      </c>
      <c r="Y829" s="9" t="inlineStr">
        <is>
          <t>2026-S38</t>
        </is>
      </c>
    </row>
    <row r="830">
      <c r="A830" s="9" t="n">
        <v>43050197</v>
      </c>
      <c r="B830" s="11" t="n">
        <v>46281.33142361111</v>
      </c>
      <c r="C830" s="12" t="n">
        <v>46281</v>
      </c>
      <c r="D830" s="9">
        <f>YEAR(C830)</f>
        <v/>
      </c>
      <c r="E830" s="9">
        <f>MONTH(C830)</f>
        <v/>
      </c>
      <c r="F830" s="9" t="inlineStr">
        <is>
          <t>Ángulo</t>
        </is>
      </c>
      <c r="G830" s="9" t="inlineStr">
        <is>
          <t>ANGULO 40X40X3MM A270ES</t>
        </is>
      </c>
      <c r="H830" s="9" t="inlineStr">
        <is>
          <t>ANGULO SEMI 40X40X3MM A270ES</t>
        </is>
      </c>
      <c r="I830" s="9" t="inlineStr">
        <is>
          <t>ANG 40 x 3</t>
        </is>
      </c>
      <c r="J830" s="9" t="n">
        <v>106501033</v>
      </c>
      <c r="K830" s="9" t="n"/>
      <c r="L830" s="9" t="n">
        <v>40</v>
      </c>
      <c r="M830" s="9" t="n">
        <v>3</v>
      </c>
      <c r="N830" s="9" t="n"/>
      <c r="O830" s="9" t="n">
        <v>6</v>
      </c>
      <c r="P830" s="13" t="n">
        <v>119340</v>
      </c>
      <c r="Q830" s="13" t="n">
        <v>124317.6</v>
      </c>
      <c r="R830" s="14">
        <f>IFERROR(P830/Q830,"")</f>
        <v/>
      </c>
      <c r="S830" s="15" t="n">
        <v>0.9570000000000001</v>
      </c>
      <c r="T830" s="9">
        <f>IF(R830&gt;1,"A corregir","Válida")</f>
        <v/>
      </c>
      <c r="U830" s="13">
        <f>Q830-P830</f>
        <v/>
      </c>
      <c r="V830" s="13">
        <f>IF(S830="",0,S830*Q830)</f>
        <v/>
      </c>
      <c r="W830" s="9" t="n">
        <v>2026</v>
      </c>
      <c r="X830" s="9" t="n">
        <v>38</v>
      </c>
      <c r="Y830" s="9" t="inlineStr">
        <is>
          <t>2026-S38</t>
        </is>
      </c>
    </row>
    <row r="831">
      <c r="A831" s="9" t="n">
        <v>43050126</v>
      </c>
      <c r="B831" s="11" t="n">
        <v>46281.78835648148</v>
      </c>
      <c r="C831" s="12" t="n">
        <v>46281</v>
      </c>
      <c r="D831" s="9">
        <f>YEAR(C831)</f>
        <v/>
      </c>
      <c r="E831" s="9">
        <f>MONTH(C831)</f>
        <v/>
      </c>
      <c r="F831" s="9" t="inlineStr">
        <is>
          <t>B Hormigón</t>
        </is>
      </c>
      <c r="G831" s="9" t="inlineStr">
        <is>
          <t>B HORMIGON 18MM 11M A630-420H (N)</t>
        </is>
      </c>
      <c r="H831" s="9" t="inlineStr">
        <is>
          <t>B HORMIGON 18MM 11M A630-420H (N)</t>
        </is>
      </c>
      <c r="I831" s="9" t="inlineStr">
        <is>
          <t>RED 18 CR</t>
        </is>
      </c>
      <c r="J831" s="9" t="n">
        <v>110002937</v>
      </c>
      <c r="K831" s="9" t="n">
        <v>18</v>
      </c>
      <c r="L831" s="9" t="n"/>
      <c r="M831" s="9" t="n"/>
      <c r="N831" s="9" t="n"/>
      <c r="O831" s="9" t="n">
        <v>11</v>
      </c>
      <c r="P831" s="13" t="n">
        <v>68506</v>
      </c>
      <c r="Q831" s="13" t="n">
        <v>72705.60000000001</v>
      </c>
      <c r="R831" s="14">
        <f>IFERROR(P831/Q831,"")</f>
        <v/>
      </c>
      <c r="S831" s="15" t="n">
        <v>0.96</v>
      </c>
      <c r="T831" s="9">
        <f>IF(R831&gt;1,"A corregir","Válida")</f>
        <v/>
      </c>
      <c r="U831" s="13">
        <f>Q831-P831</f>
        <v/>
      </c>
      <c r="V831" s="13">
        <f>IF(S831="",0,S831*Q831)</f>
        <v/>
      </c>
      <c r="W831" s="9" t="n">
        <v>2026</v>
      </c>
      <c r="X831" s="9" t="n">
        <v>38</v>
      </c>
      <c r="Y831" s="9" t="inlineStr">
        <is>
          <t>2026-S38</t>
        </is>
      </c>
    </row>
    <row r="832">
      <c r="A832" s="9" t="n">
        <v>43050127</v>
      </c>
      <c r="B832" s="11" t="n">
        <v>46281.91079861111</v>
      </c>
      <c r="C832" s="12" t="n">
        <v>46281</v>
      </c>
      <c r="D832" s="9">
        <f>YEAR(C832)</f>
        <v/>
      </c>
      <c r="E832" s="9">
        <f>MONTH(C832)</f>
        <v/>
      </c>
      <c r="F832" s="9" t="inlineStr">
        <is>
          <t>B Hormigón</t>
        </is>
      </c>
      <c r="G832" s="9" t="inlineStr">
        <is>
          <t>B HORMIGON 18MM 10M A630-420H (N)</t>
        </is>
      </c>
      <c r="H832" s="9" t="inlineStr">
        <is>
          <t>B HORMIGON 18MM 10M A630-420H (N)</t>
        </is>
      </c>
      <c r="I832" s="9" t="inlineStr">
        <is>
          <t>RED 18 CR</t>
        </is>
      </c>
      <c r="J832" s="9" t="n">
        <v>110002924</v>
      </c>
      <c r="K832" s="9" t="n">
        <v>18</v>
      </c>
      <c r="L832" s="9" t="n"/>
      <c r="M832" s="9" t="n"/>
      <c r="N832" s="9" t="n"/>
      <c r="O832" s="9" t="n">
        <v>10</v>
      </c>
      <c r="P832" s="13" t="n">
        <v>65970</v>
      </c>
      <c r="Q832" s="13" t="n">
        <v>69115.2</v>
      </c>
      <c r="R832" s="14">
        <f>IFERROR(P832/Q832,"")</f>
        <v/>
      </c>
      <c r="S832" s="15" t="n">
        <v>0.96</v>
      </c>
      <c r="T832" s="9">
        <f>IF(R832&gt;1,"A corregir","Válida")</f>
        <v/>
      </c>
      <c r="U832" s="13">
        <f>Q832-P832</f>
        <v/>
      </c>
      <c r="V832" s="13">
        <f>IF(S832="",0,S832*Q832)</f>
        <v/>
      </c>
      <c r="W832" s="9" t="n">
        <v>2026</v>
      </c>
      <c r="X832" s="9" t="n">
        <v>38</v>
      </c>
      <c r="Y832" s="9" t="inlineStr">
        <is>
          <t>2026-S38</t>
        </is>
      </c>
    </row>
    <row r="833">
      <c r="A833" s="9" t="n">
        <v>43050128</v>
      </c>
      <c r="B833" s="11" t="n">
        <v>46282.04246527778</v>
      </c>
      <c r="C833" s="12" t="n">
        <v>46282</v>
      </c>
      <c r="D833" s="9">
        <f>YEAR(C833)</f>
        <v/>
      </c>
      <c r="E833" s="9">
        <f>MONTH(C833)</f>
        <v/>
      </c>
      <c r="F833" s="9" t="inlineStr">
        <is>
          <t>B Hormigón</t>
        </is>
      </c>
      <c r="G833" s="9" t="inlineStr">
        <is>
          <t>B HORMIGON 18MM 9M A630-420H (N)</t>
        </is>
      </c>
      <c r="H833" s="9" t="inlineStr">
        <is>
          <t>B HORMIGON 18MM 9M A630-420H (N)</t>
        </is>
      </c>
      <c r="I833" s="9" t="inlineStr">
        <is>
          <t>RED 18 CR</t>
        </is>
      </c>
      <c r="J833" s="9" t="n">
        <v>110002951</v>
      </c>
      <c r="K833" s="9" t="n">
        <v>18</v>
      </c>
      <c r="L833" s="9" t="n"/>
      <c r="M833" s="9" t="n"/>
      <c r="N833" s="9" t="n"/>
      <c r="O833" s="9" t="n">
        <v>9</v>
      </c>
      <c r="P833" s="13" t="n">
        <v>60059</v>
      </c>
      <c r="Q833" s="13" t="n">
        <v>62832</v>
      </c>
      <c r="R833" s="14">
        <f>IFERROR(P833/Q833,"")</f>
        <v/>
      </c>
      <c r="S833" s="15" t="n">
        <v>0.9590000000000001</v>
      </c>
      <c r="T833" s="9">
        <f>IF(R833&gt;1,"A corregir","Válida")</f>
        <v/>
      </c>
      <c r="U833" s="13">
        <f>Q833-P833</f>
        <v/>
      </c>
      <c r="V833" s="13">
        <f>IF(S833="",0,S833*Q833)</f>
        <v/>
      </c>
      <c r="W833" s="9" t="n">
        <v>2026</v>
      </c>
      <c r="X833" s="9" t="n">
        <v>38</v>
      </c>
      <c r="Y833" s="9" t="inlineStr">
        <is>
          <t>2026-S38</t>
        </is>
      </c>
    </row>
    <row r="834">
      <c r="A834" s="9" t="n">
        <v>43050129</v>
      </c>
      <c r="B834" s="11" t="n">
        <v>46282.14704861111</v>
      </c>
      <c r="C834" s="12" t="n">
        <v>46282</v>
      </c>
      <c r="D834" s="9">
        <f>YEAR(C834)</f>
        <v/>
      </c>
      <c r="E834" s="9">
        <f>MONTH(C834)</f>
        <v/>
      </c>
      <c r="F834" s="9" t="inlineStr">
        <is>
          <t>B Hormigón</t>
        </is>
      </c>
      <c r="G834" s="9" t="inlineStr">
        <is>
          <t>B HORMIGON 18MM 8M A630-420H (N)</t>
        </is>
      </c>
      <c r="H834" s="9" t="inlineStr">
        <is>
          <t>B HORMIGON 18MM 8M A630-420H (N)</t>
        </is>
      </c>
      <c r="I834" s="9" t="inlineStr">
        <is>
          <t>RED 18 CR</t>
        </is>
      </c>
      <c r="J834" s="9" t="n">
        <v>110002952</v>
      </c>
      <c r="K834" s="9" t="n">
        <v>18</v>
      </c>
      <c r="L834" s="9" t="n"/>
      <c r="M834" s="9" t="n"/>
      <c r="N834" s="9" t="n"/>
      <c r="O834" s="9" t="n">
        <v>8</v>
      </c>
      <c r="P834" s="13" t="n">
        <v>91214</v>
      </c>
      <c r="Q834" s="13" t="n">
        <v>95145.60000000001</v>
      </c>
      <c r="R834" s="14">
        <f>IFERROR(P834/Q834,"")</f>
        <v/>
      </c>
      <c r="S834" s="15" t="n">
        <v>0.96</v>
      </c>
      <c r="T834" s="9">
        <f>IF(R834&gt;1,"A corregir","Válida")</f>
        <v/>
      </c>
      <c r="U834" s="13">
        <f>Q834-P834</f>
        <v/>
      </c>
      <c r="V834" s="13">
        <f>IF(S834="",0,S834*Q834)</f>
        <v/>
      </c>
      <c r="W834" s="9" t="n">
        <v>2026</v>
      </c>
      <c r="X834" s="9" t="n">
        <v>38</v>
      </c>
      <c r="Y834" s="9" t="inlineStr">
        <is>
          <t>2026-S38</t>
        </is>
      </c>
    </row>
    <row r="835">
      <c r="A835" s="9" t="n">
        <v>43050130</v>
      </c>
      <c r="B835" s="11" t="n">
        <v>46282.32712962963</v>
      </c>
      <c r="C835" s="12" t="n">
        <v>46282</v>
      </c>
      <c r="D835" s="9">
        <f>YEAR(C835)</f>
        <v/>
      </c>
      <c r="E835" s="9">
        <f>MONTH(C835)</f>
        <v/>
      </c>
      <c r="F835" s="9" t="inlineStr">
        <is>
          <t>B Hormigón</t>
        </is>
      </c>
      <c r="G835" s="9" t="inlineStr">
        <is>
          <t>B HORMIGON 18MM 7M A630-420H (N)</t>
        </is>
      </c>
      <c r="H835" s="9" t="inlineStr">
        <is>
          <t>B HORMIGON 18MM 7M A630-420H (N)</t>
        </is>
      </c>
      <c r="I835" s="9" t="inlineStr">
        <is>
          <t>RED 18 CR</t>
        </is>
      </c>
      <c r="J835" s="9" t="n">
        <v>110002940</v>
      </c>
      <c r="K835" s="9" t="n">
        <v>18</v>
      </c>
      <c r="L835" s="9" t="n"/>
      <c r="M835" s="9" t="n"/>
      <c r="N835" s="9" t="n"/>
      <c r="O835" s="9" t="n">
        <v>7</v>
      </c>
      <c r="P835" s="13" t="n">
        <v>80651</v>
      </c>
      <c r="Q835" s="13" t="n">
        <v>84374.39999999999</v>
      </c>
      <c r="R835" s="14">
        <f>IFERROR(P835/Q835,"")</f>
        <v/>
      </c>
      <c r="S835" s="15" t="n">
        <v>0.9590000000000001</v>
      </c>
      <c r="T835" s="9">
        <f>IF(R835&gt;1,"A corregir","Válida")</f>
        <v/>
      </c>
      <c r="U835" s="13">
        <f>Q835-P835</f>
        <v/>
      </c>
      <c r="V835" s="13">
        <f>IF(S835="",0,S835*Q835)</f>
        <v/>
      </c>
      <c r="W835" s="9" t="n">
        <v>2026</v>
      </c>
      <c r="X835" s="9" t="n">
        <v>38</v>
      </c>
      <c r="Y835" s="9" t="inlineStr">
        <is>
          <t>2026-S38</t>
        </is>
      </c>
    </row>
    <row r="836">
      <c r="A836" s="9" t="n">
        <v>43050131</v>
      </c>
      <c r="B836" s="11" t="n">
        <v>46282.48025462963</v>
      </c>
      <c r="C836" s="12" t="n">
        <v>46282</v>
      </c>
      <c r="D836" s="9">
        <f>YEAR(C836)</f>
        <v/>
      </c>
      <c r="E836" s="9">
        <f>MONTH(C836)</f>
        <v/>
      </c>
      <c r="F836" s="9" t="inlineStr">
        <is>
          <t>B Hormigón</t>
        </is>
      </c>
      <c r="G836" s="9" t="inlineStr">
        <is>
          <t>B HORMIGON 18MM 6M A630-420H (N)</t>
        </is>
      </c>
      <c r="H836" s="9" t="inlineStr">
        <is>
          <t>B HORMIGON 18MM 6M A630-420H (N)</t>
        </is>
      </c>
      <c r="I836" s="9" t="inlineStr">
        <is>
          <t>RED 18 CR</t>
        </is>
      </c>
      <c r="J836" s="9" t="n">
        <v>110002942</v>
      </c>
      <c r="K836" s="9" t="n">
        <v>18</v>
      </c>
      <c r="L836" s="9" t="n"/>
      <c r="M836" s="9" t="n"/>
      <c r="N836" s="9" t="n"/>
      <c r="O836" s="9" t="n">
        <v>6</v>
      </c>
      <c r="P836" s="13" t="n">
        <v>14972</v>
      </c>
      <c r="Q836" s="13" t="n">
        <v>15259.2</v>
      </c>
      <c r="R836" s="14">
        <f>IFERROR(P836/Q836,"")</f>
        <v/>
      </c>
      <c r="S836" s="15" t="n">
        <v>0.96</v>
      </c>
      <c r="T836" s="9">
        <f>IF(R836&gt;1,"A corregir","Válida")</f>
        <v/>
      </c>
      <c r="U836" s="13">
        <f>Q836-P836</f>
        <v/>
      </c>
      <c r="V836" s="13">
        <f>IF(S836="",0,S836*Q836)</f>
        <v/>
      </c>
      <c r="W836" s="9" t="n">
        <v>2026</v>
      </c>
      <c r="X836" s="9" t="n">
        <v>38</v>
      </c>
      <c r="Y836" s="9" t="inlineStr">
        <is>
          <t>2026-S38</t>
        </is>
      </c>
    </row>
    <row r="837">
      <c r="A837" s="9" t="n">
        <v>43050170</v>
      </c>
      <c r="B837" s="11" t="n">
        <v>46286.41912037037</v>
      </c>
      <c r="C837" s="12" t="n">
        <v>46286</v>
      </c>
      <c r="D837" s="9">
        <f>YEAR(C837)</f>
        <v/>
      </c>
      <c r="E837" s="9">
        <f>MONTH(C837)</f>
        <v/>
      </c>
      <c r="F837" s="9" t="inlineStr">
        <is>
          <t>Plana</t>
        </is>
      </c>
      <c r="G837" s="9" t="inlineStr">
        <is>
          <t>PLANA 32X3MM 6M A270ES (N)</t>
        </is>
      </c>
      <c r="H837" s="9" t="inlineStr">
        <is>
          <t>PLANA 32X3MM 6M A270ES (N)</t>
        </is>
      </c>
      <c r="I837" s="9" t="inlineStr">
        <is>
          <t>PL 32 x 3</t>
        </is>
      </c>
      <c r="J837" s="9" t="n">
        <v>109013879</v>
      </c>
      <c r="K837" s="9" t="n"/>
      <c r="L837" s="9" t="n">
        <v>32</v>
      </c>
      <c r="M837" s="9" t="n">
        <v>3</v>
      </c>
      <c r="N837" s="9" t="n"/>
      <c r="O837" s="9" t="n">
        <v>6</v>
      </c>
      <c r="P837" s="13" t="n">
        <v>159519</v>
      </c>
      <c r="Q837" s="13" t="n">
        <v>168432</v>
      </c>
      <c r="R837" s="14">
        <f>IFERROR(P837/Q837,"")</f>
        <v/>
      </c>
      <c r="S837" s="15" t="n">
        <v>0.966</v>
      </c>
      <c r="T837" s="9">
        <f>IF(R837&gt;1,"A corregir","Válida")</f>
        <v/>
      </c>
      <c r="U837" s="13">
        <f>Q837-P837</f>
        <v/>
      </c>
      <c r="V837" s="13">
        <f>IF(S837="",0,S837*Q837)</f>
        <v/>
      </c>
      <c r="W837" s="9" t="n">
        <v>2026</v>
      </c>
      <c r="X837" s="9" t="n">
        <v>39</v>
      </c>
      <c r="Y837" s="9" t="inlineStr">
        <is>
          <t>2026-S39</t>
        </is>
      </c>
    </row>
    <row r="838">
      <c r="A838" s="9" t="n">
        <v>43050172</v>
      </c>
      <c r="B838" s="11" t="n">
        <v>46287.09122685185</v>
      </c>
      <c r="C838" s="12" t="n">
        <v>46287</v>
      </c>
      <c r="D838" s="9">
        <f>YEAR(C838)</f>
        <v/>
      </c>
      <c r="E838" s="9">
        <f>MONTH(C838)</f>
        <v/>
      </c>
      <c r="F838" s="9" t="inlineStr">
        <is>
          <t>Plana</t>
        </is>
      </c>
      <c r="G838" s="9" t="inlineStr">
        <is>
          <t>PLANA ASERRADA 25X4,85MM 6M A270ES (N)</t>
        </is>
      </c>
      <c r="H838" s="9" t="inlineStr">
        <is>
          <t>PLANA ASERRADA 25X4,85MM 6M A270ES (N)</t>
        </is>
      </c>
      <c r="I838" s="9" t="inlineStr">
        <is>
          <t>PL 25 x 4,85</t>
        </is>
      </c>
      <c r="J838" s="9" t="n">
        <v>109016010</v>
      </c>
      <c r="K838" s="9" t="n"/>
      <c r="L838" s="9" t="n">
        <v>25</v>
      </c>
      <c r="M838" s="9" t="n">
        <v>4.85</v>
      </c>
      <c r="N838" s="9" t="n"/>
      <c r="O838" s="9" t="n">
        <v>6</v>
      </c>
      <c r="P838" s="13" t="n">
        <v>32091</v>
      </c>
      <c r="Q838" s="13" t="n">
        <v>34452</v>
      </c>
      <c r="R838" s="14">
        <f>IFERROR(P838/Q838,"")</f>
        <v/>
      </c>
      <c r="S838" s="15" t="n">
        <v>0.9670000000000001</v>
      </c>
      <c r="T838" s="9">
        <f>IF(R838&gt;1,"A corregir","Válida")</f>
        <v/>
      </c>
      <c r="U838" s="13">
        <f>Q838-P838</f>
        <v/>
      </c>
      <c r="V838" s="13">
        <f>IF(S838="",0,S838*Q838)</f>
        <v/>
      </c>
      <c r="W838" s="9" t="n">
        <v>2026</v>
      </c>
      <c r="X838" s="9" t="n">
        <v>39</v>
      </c>
      <c r="Y838" s="9" t="inlineStr">
        <is>
          <t>2026-S39</t>
        </is>
      </c>
    </row>
    <row r="839">
      <c r="A839" s="9" t="n">
        <v>43050171</v>
      </c>
      <c r="B839" s="11" t="n">
        <v>46287.2115162037</v>
      </c>
      <c r="C839" s="12" t="n">
        <v>46287</v>
      </c>
      <c r="D839" s="9">
        <f>YEAR(C839)</f>
        <v/>
      </c>
      <c r="E839" s="9">
        <f>MONTH(C839)</f>
        <v/>
      </c>
      <c r="F839" s="9" t="inlineStr">
        <is>
          <t>Plana</t>
        </is>
      </c>
      <c r="G839" s="9" t="inlineStr">
        <is>
          <t>PLANA 1"X3/16" X 6,1m ASTM A36 (P)</t>
        </is>
      </c>
      <c r="H839" s="9" t="inlineStr">
        <is>
          <t>PLANA 1"X3/16" X 6,1m ASTM A36 (P)</t>
        </is>
      </c>
      <c r="I839" s="9" t="inlineStr">
        <is>
          <t>PL 1" x 6</t>
        </is>
      </c>
      <c r="J839" s="9" t="n">
        <v>119507005</v>
      </c>
      <c r="K839" s="9" t="n"/>
      <c r="L839" s="9" t="n">
        <v>25.4</v>
      </c>
      <c r="M839" s="9" t="n">
        <v>4.8</v>
      </c>
      <c r="N839" s="9" t="n"/>
      <c r="O839" s="9" t="n">
        <v>6.1</v>
      </c>
      <c r="P839" s="13" t="n">
        <v>84914</v>
      </c>
      <c r="Q839" s="13" t="n">
        <v>88044</v>
      </c>
      <c r="R839" s="14">
        <f>IFERROR(P839/Q839,"")</f>
        <v/>
      </c>
      <c r="S839" s="15" t="n">
        <v>0.97</v>
      </c>
      <c r="T839" s="9">
        <f>IF(R839&gt;1,"A corregir","Válida")</f>
        <v/>
      </c>
      <c r="U839" s="13">
        <f>Q839-P839</f>
        <v/>
      </c>
      <c r="V839" s="13">
        <f>IF(S839="",0,S839*Q839)</f>
        <v/>
      </c>
      <c r="W839" s="9" t="n">
        <v>2026</v>
      </c>
      <c r="X839" s="9" t="n">
        <v>39</v>
      </c>
      <c r="Y839" s="9" t="inlineStr">
        <is>
          <t>2026-S39</t>
        </is>
      </c>
    </row>
    <row r="840">
      <c r="A840" s="9" t="n">
        <v>43050173</v>
      </c>
      <c r="B840" s="11" t="n">
        <v>46287.43637731481</v>
      </c>
      <c r="C840" s="12" t="n">
        <v>46287</v>
      </c>
      <c r="D840" s="9">
        <f>YEAR(C840)</f>
        <v/>
      </c>
      <c r="E840" s="9">
        <f>MONTH(C840)</f>
        <v/>
      </c>
      <c r="F840" s="9" t="inlineStr">
        <is>
          <t>Plana</t>
        </is>
      </c>
      <c r="G840" s="9" t="inlineStr">
        <is>
          <t>PLANA 25X5MM 6M A270ES (N)</t>
        </is>
      </c>
      <c r="H840" s="9" t="inlineStr">
        <is>
          <t>PLANA 25X5MM 6M A270ES (N)</t>
        </is>
      </c>
      <c r="I840" s="9" t="inlineStr">
        <is>
          <t>PL 25 x 5</t>
        </is>
      </c>
      <c r="J840" s="9" t="n">
        <v>109013945</v>
      </c>
      <c r="K840" s="9" t="n"/>
      <c r="L840" s="9" t="n">
        <v>25</v>
      </c>
      <c r="M840" s="9" t="n">
        <v>5</v>
      </c>
      <c r="N840" s="9" t="n"/>
      <c r="O840" s="9" t="n">
        <v>6</v>
      </c>
      <c r="P840" s="13" t="n">
        <v>40716</v>
      </c>
      <c r="Q840" s="13" t="n">
        <v>42490.8</v>
      </c>
      <c r="R840" s="14">
        <f>IFERROR(P840/Q840,"")</f>
        <v/>
      </c>
      <c r="S840" s="15" t="n">
        <v>0.965</v>
      </c>
      <c r="T840" s="9">
        <f>IF(R840&gt;1,"A corregir","Válida")</f>
        <v/>
      </c>
      <c r="U840" s="13">
        <f>Q840-P840</f>
        <v/>
      </c>
      <c r="V840" s="13">
        <f>IF(S840="",0,S840*Q840)</f>
        <v/>
      </c>
      <c r="W840" s="9" t="n">
        <v>2026</v>
      </c>
      <c r="X840" s="9" t="n">
        <v>39</v>
      </c>
      <c r="Y840" s="9" t="inlineStr">
        <is>
          <t>2026-S39</t>
        </is>
      </c>
    </row>
  </sheetData>
  <conditionalFormatting sqref="T2:T840">
    <cfRule type="cellIs" priority="1" operator="equal" dxfId="0">
      <formula>"A corregir"</formula>
    </cfRule>
  </conditionalFormatting>
  <conditionalFormatting sqref="R2:R840">
    <cfRule type="cellIs" priority="2" operator="greaterThan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10" customWidth="1" min="4" max="4"/>
    <col width="14" customWidth="1" min="5" max="5"/>
    <col width="26" customWidth="1" min="6" max="6"/>
    <col width="11" customWidth="1" min="7" max="7"/>
    <col width="10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14" customWidth="1" min="14" max="14"/>
    <col width="11" customWidth="1" min="15" max="15"/>
  </cols>
  <sheetData>
    <row r="1">
      <c r="A1" s="1" t="inlineStr">
        <is>
          <t>Carta de control mensual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Carta I-MR sobre el rendimiento ponderado (Σ kg producidos / Σ kg consumidos) de las órdenes válidas (≤ 100 %).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4" t="inlineStr">
        <is>
          <t>Grupo:</t>
        </is>
      </c>
      <c r="B4" s="16" t="inlineStr">
        <is>
          <t>Todos</t>
        </is>
      </c>
      <c r="C4" s="3" t="inlineStr">
        <is>
          <t>← elige un grupo de la lista (celda amarilla) o deja «Todos»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4" t="inlineStr">
        <is>
          <t>Producto:</t>
        </is>
      </c>
      <c r="B5" s="16" t="inlineStr">
        <is>
          <t>Todos</t>
        </is>
      </c>
      <c r="C5" s="3" t="inlineStr">
        <is>
          <t>← escribe el nombre exacto del producto (columna Producto de «Ordenes») o deja «Todos»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4" t="inlineStr">
        <is>
          <t>LC (rend. ponderado)</t>
        </is>
      </c>
      <c r="G7" s="17">
        <f>IFERROR(SUM(E16:E24)/SUM(F16:F24),"")</f>
        <v/>
      </c>
      <c r="H7" s="3" t="inlineStr">
        <is>
          <t>d2 = 1,128 es la constante de la carta I-MR para rangos móviles de 2 puntos.</t>
        </is>
      </c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4" t="inlineStr">
        <is>
          <t>MR̄ (promedio rango móvil)</t>
        </is>
      </c>
      <c r="G8" s="17">
        <f>IFERROR(AVERAGE(J16:J24),"")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4" t="inlineStr">
        <is>
          <t>σ = MR̄ / 1,128</t>
        </is>
      </c>
      <c r="G9" s="17">
        <f>IFERROR(G8/1.128,"")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4" t="inlineStr">
        <is>
          <t>LCS = LC + 3σ</t>
        </is>
      </c>
      <c r="G10" s="17">
        <f>IFERROR(G7+3*G9,"")</f>
        <v/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4" t="inlineStr">
        <is>
          <t>LCI = LC − 3σ</t>
        </is>
      </c>
      <c r="G11" s="17">
        <f>IFERROR(G7-3*G9,"")</f>
        <v/>
      </c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4" t="inlineStr">
        <is>
          <t>Meta ponderada</t>
        </is>
      </c>
      <c r="G12" s="17">
        <f>IFERROR(SUMIFS(Ordenes!$V$2:$V$840,Ordenes!$T$2:$T$840,"Válida",Ordenes!$F$2:$F$840,IF($B$4="Todos","*",$B$4),Ordenes!$G$2:$G$840,IF($B$5="Todos","*",$B$5))/SUMIFS(Ordenes!$Q$2:$Q$840,Ordenes!$T$2:$T$840,"Válida",Ordenes!$F$2:$F$840,IF($B$4="Todos","*",$B$4),Ordenes!$G$2:$G$840,IF($B$5="Todos","*",$B$5)),"")</f>
        <v/>
      </c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30" customHeight="1">
      <c r="A15" s="10" t="inlineStr">
        <is>
          <t>Período</t>
        </is>
      </c>
      <c r="B15" s="10" t="inlineStr">
        <is>
          <t>Año</t>
        </is>
      </c>
      <c r="C15" s="10" t="inlineStr">
        <is>
          <t>Mes</t>
        </is>
      </c>
      <c r="D15" s="10" t="inlineStr">
        <is>
          <t>Órdenes válidas</t>
        </is>
      </c>
      <c r="E15" s="10" t="inlineStr">
        <is>
          <t>Kg producidos</t>
        </is>
      </c>
      <c r="F15" s="10" t="inlineStr">
        <is>
          <t>Kg consumidos</t>
        </is>
      </c>
      <c r="G15" s="10" t="inlineStr">
        <is>
          <t>Rend. met.</t>
        </is>
      </c>
      <c r="H15" s="10" t="inlineStr">
        <is>
          <t>Meta</t>
        </is>
      </c>
      <c r="I15" s="10" t="inlineStr">
        <is>
          <t>vs meta (pp)</t>
        </is>
      </c>
      <c r="J15" s="10" t="inlineStr">
        <is>
          <t>MR</t>
        </is>
      </c>
      <c r="K15" s="10" t="inlineStr">
        <is>
          <t>LC</t>
        </is>
      </c>
      <c r="L15" s="10" t="inlineStr">
        <is>
          <t>LCS</t>
        </is>
      </c>
      <c r="M15" s="10" t="inlineStr">
        <is>
          <t>LCI</t>
        </is>
      </c>
      <c r="N15" s="10" t="inlineStr">
        <is>
          <t>Estado</t>
        </is>
      </c>
      <c r="O15" s="10" t="inlineStr">
        <is>
          <t>Órdenes a corregir</t>
        </is>
      </c>
    </row>
    <row r="16">
      <c r="A16" s="18" t="inlineStr">
        <is>
          <t>Ene 2026</t>
        </is>
      </c>
      <c r="B16" s="18" t="n">
        <v>2026</v>
      </c>
      <c r="C16" s="18" t="n">
        <v>1</v>
      </c>
      <c r="D16" s="18">
        <f>COUNTIFS(Ordenes!$D$2:$D$840,$B16,Ordenes!$E$2:$E$840,$C16,Ordenes!$T$2:$T$840,"Válida",Ordenes!$F$2:$F$840,IF($B$4="Todos","*",$B$4),Ordenes!$G$2:$G$840,IF($B$5="Todos","*",$B$5))</f>
        <v/>
      </c>
      <c r="E16" s="19">
        <f>SUMIFS(Ordenes!$P$2:$P$840,Ordenes!$D$2:$D$840,$B16,Ordenes!$E$2:$E$840,$C16,Ordenes!$T$2:$T$840,"Válida",Ordenes!$F$2:$F$840,IF($B$4="Todos","*",$B$4),Ordenes!$G$2:$G$840,IF($B$5="Todos","*",$B$5))</f>
        <v/>
      </c>
      <c r="F16" s="19">
        <f>SUMIFS(Ordenes!$Q$2:$Q$840,Ordenes!$D$2:$D$840,$B16,Ordenes!$E$2:$E$840,$C16,Ordenes!$T$2:$T$840,"Válida",Ordenes!$F$2:$F$840,IF($B$4="Todos","*",$B$4),Ordenes!$G$2:$G$840,IF($B$5="Todos","*",$B$5))</f>
        <v/>
      </c>
      <c r="G16" s="20">
        <f>IF(F16=0,NA(),E16/F16)</f>
        <v/>
      </c>
      <c r="H16" s="20">
        <f>IFERROR(SUMIFS(Ordenes!$V$2:$V$840,Ordenes!$D$2:$D$840,$B16,Ordenes!$E$2:$E$840,$C16,Ordenes!$T$2:$T$840,"Válida",Ordenes!$F$2:$F$840,IF($B$4="Todos","*",$B$4),Ordenes!$G$2:$G$840,IF($B$5="Todos","*",$B$5))/F16,NA())</f>
        <v/>
      </c>
      <c r="I16" s="21">
        <f>IFERROR((G16-H16)*100,"")</f>
        <v/>
      </c>
      <c r="J16" s="20" t="inlineStr"/>
      <c r="K16" s="20">
        <f>$G$7</f>
        <v/>
      </c>
      <c r="L16" s="20">
        <f>$G$10</f>
        <v/>
      </c>
      <c r="M16" s="20">
        <f>$G$11</f>
        <v/>
      </c>
      <c r="N16" s="18">
        <f>IF(ISNA(G16),"Sin producción",IF(L16="","Sin límites",IF(G16&gt;L16,"▲ Sobre LCS",IF(G16&lt;M16,"▼ Bajo LCI","En control"))))</f>
        <v/>
      </c>
      <c r="O16" s="18">
        <f>COUNTIFS(Ordenes!$D$2:$D$840,$B16,Ordenes!$E$2:$E$840,$C16,Ordenes!$T$2:$T$840,"A corregir",Ordenes!$F$2:$F$840,IF($B$4="Todos","*",$B$4),Ordenes!$G$2:$G$840,IF($B$5="Todos","*",$B$5))</f>
        <v/>
      </c>
    </row>
    <row r="17">
      <c r="A17" s="18" t="inlineStr">
        <is>
          <t>Feb 2026</t>
        </is>
      </c>
      <c r="B17" s="18" t="n">
        <v>2026</v>
      </c>
      <c r="C17" s="18" t="n">
        <v>2</v>
      </c>
      <c r="D17" s="18">
        <f>COUNTIFS(Ordenes!$D$2:$D$840,$B17,Ordenes!$E$2:$E$840,$C17,Ordenes!$T$2:$T$840,"Válida",Ordenes!$F$2:$F$840,IF($B$4="Todos","*",$B$4),Ordenes!$G$2:$G$840,IF($B$5="Todos","*",$B$5))</f>
        <v/>
      </c>
      <c r="E17" s="19">
        <f>SUMIFS(Ordenes!$P$2:$P$840,Ordenes!$D$2:$D$840,$B17,Ordenes!$E$2:$E$840,$C17,Ordenes!$T$2:$T$840,"Válida",Ordenes!$F$2:$F$840,IF($B$4="Todos","*",$B$4),Ordenes!$G$2:$G$840,IF($B$5="Todos","*",$B$5))</f>
        <v/>
      </c>
      <c r="F17" s="19">
        <f>SUMIFS(Ordenes!$Q$2:$Q$840,Ordenes!$D$2:$D$840,$B17,Ordenes!$E$2:$E$840,$C17,Ordenes!$T$2:$T$840,"Válida",Ordenes!$F$2:$F$840,IF($B$4="Todos","*",$B$4),Ordenes!$G$2:$G$840,IF($B$5="Todos","*",$B$5))</f>
        <v/>
      </c>
      <c r="G17" s="20">
        <f>IF(F17=0,NA(),E17/F17)</f>
        <v/>
      </c>
      <c r="H17" s="20">
        <f>IFERROR(SUMIFS(Ordenes!$V$2:$V$840,Ordenes!$D$2:$D$840,$B17,Ordenes!$E$2:$E$840,$C17,Ordenes!$T$2:$T$840,"Válida",Ordenes!$F$2:$F$840,IF($B$4="Todos","*",$B$4),Ordenes!$G$2:$G$840,IF($B$5="Todos","*",$B$5))/F17,NA())</f>
        <v/>
      </c>
      <c r="I17" s="21">
        <f>IFERROR((G17-H17)*100,"")</f>
        <v/>
      </c>
      <c r="J17" s="20">
        <f>IFERROR(ABS(G17-G16),"")</f>
        <v/>
      </c>
      <c r="K17" s="20">
        <f>$G$7</f>
        <v/>
      </c>
      <c r="L17" s="20">
        <f>$G$10</f>
        <v/>
      </c>
      <c r="M17" s="20">
        <f>$G$11</f>
        <v/>
      </c>
      <c r="N17" s="18">
        <f>IF(ISNA(G17),"Sin producción",IF(L17="","Sin límites",IF(G17&gt;L17,"▲ Sobre LCS",IF(G17&lt;M17,"▼ Bajo LCI","En control"))))</f>
        <v/>
      </c>
      <c r="O17" s="18">
        <f>COUNTIFS(Ordenes!$D$2:$D$840,$B17,Ordenes!$E$2:$E$840,$C17,Ordenes!$T$2:$T$840,"A corregir",Ordenes!$F$2:$F$840,IF($B$4="Todos","*",$B$4),Ordenes!$G$2:$G$840,IF($B$5="Todos","*",$B$5))</f>
        <v/>
      </c>
    </row>
    <row r="18">
      <c r="A18" s="18" t="inlineStr">
        <is>
          <t>Mar 2026</t>
        </is>
      </c>
      <c r="B18" s="18" t="n">
        <v>2026</v>
      </c>
      <c r="C18" s="18" t="n">
        <v>3</v>
      </c>
      <c r="D18" s="18">
        <f>COUNTIFS(Ordenes!$D$2:$D$840,$B18,Ordenes!$E$2:$E$840,$C18,Ordenes!$T$2:$T$840,"Válida",Ordenes!$F$2:$F$840,IF($B$4="Todos","*",$B$4),Ordenes!$G$2:$G$840,IF($B$5="Todos","*",$B$5))</f>
        <v/>
      </c>
      <c r="E18" s="19">
        <f>SUMIFS(Ordenes!$P$2:$P$840,Ordenes!$D$2:$D$840,$B18,Ordenes!$E$2:$E$840,$C18,Ordenes!$T$2:$T$840,"Válida",Ordenes!$F$2:$F$840,IF($B$4="Todos","*",$B$4),Ordenes!$G$2:$G$840,IF($B$5="Todos","*",$B$5))</f>
        <v/>
      </c>
      <c r="F18" s="19">
        <f>SUMIFS(Ordenes!$Q$2:$Q$840,Ordenes!$D$2:$D$840,$B18,Ordenes!$E$2:$E$840,$C18,Ordenes!$T$2:$T$840,"Válida",Ordenes!$F$2:$F$840,IF($B$4="Todos","*",$B$4),Ordenes!$G$2:$G$840,IF($B$5="Todos","*",$B$5))</f>
        <v/>
      </c>
      <c r="G18" s="20">
        <f>IF(F18=0,NA(),E18/F18)</f>
        <v/>
      </c>
      <c r="H18" s="20">
        <f>IFERROR(SUMIFS(Ordenes!$V$2:$V$840,Ordenes!$D$2:$D$840,$B18,Ordenes!$E$2:$E$840,$C18,Ordenes!$T$2:$T$840,"Válida",Ordenes!$F$2:$F$840,IF($B$4="Todos","*",$B$4),Ordenes!$G$2:$G$840,IF($B$5="Todos","*",$B$5))/F18,NA())</f>
        <v/>
      </c>
      <c r="I18" s="21">
        <f>IFERROR((G18-H18)*100,"")</f>
        <v/>
      </c>
      <c r="J18" s="20">
        <f>IFERROR(ABS(G18-G17),"")</f>
        <v/>
      </c>
      <c r="K18" s="20">
        <f>$G$7</f>
        <v/>
      </c>
      <c r="L18" s="20">
        <f>$G$10</f>
        <v/>
      </c>
      <c r="M18" s="20">
        <f>$G$11</f>
        <v/>
      </c>
      <c r="N18" s="18">
        <f>IF(ISNA(G18),"Sin producción",IF(L18="","Sin límites",IF(G18&gt;L18,"▲ Sobre LCS",IF(G18&lt;M18,"▼ Bajo LCI","En control"))))</f>
        <v/>
      </c>
      <c r="O18" s="18">
        <f>COUNTIFS(Ordenes!$D$2:$D$840,$B18,Ordenes!$E$2:$E$840,$C18,Ordenes!$T$2:$T$840,"A corregir",Ordenes!$F$2:$F$840,IF($B$4="Todos","*",$B$4),Ordenes!$G$2:$G$840,IF($B$5="Todos","*",$B$5))</f>
        <v/>
      </c>
    </row>
    <row r="19">
      <c r="A19" s="18" t="inlineStr">
        <is>
          <t>Abr 2026</t>
        </is>
      </c>
      <c r="B19" s="18" t="n">
        <v>2026</v>
      </c>
      <c r="C19" s="18" t="n">
        <v>4</v>
      </c>
      <c r="D19" s="18">
        <f>COUNTIFS(Ordenes!$D$2:$D$840,$B19,Ordenes!$E$2:$E$840,$C19,Ordenes!$T$2:$T$840,"Válida",Ordenes!$F$2:$F$840,IF($B$4="Todos","*",$B$4),Ordenes!$G$2:$G$840,IF($B$5="Todos","*",$B$5))</f>
        <v/>
      </c>
      <c r="E19" s="19">
        <f>SUMIFS(Ordenes!$P$2:$P$840,Ordenes!$D$2:$D$840,$B19,Ordenes!$E$2:$E$840,$C19,Ordenes!$T$2:$T$840,"Válida",Ordenes!$F$2:$F$840,IF($B$4="Todos","*",$B$4),Ordenes!$G$2:$G$840,IF($B$5="Todos","*",$B$5))</f>
        <v/>
      </c>
      <c r="F19" s="19">
        <f>SUMIFS(Ordenes!$Q$2:$Q$840,Ordenes!$D$2:$D$840,$B19,Ordenes!$E$2:$E$840,$C19,Ordenes!$T$2:$T$840,"Válida",Ordenes!$F$2:$F$840,IF($B$4="Todos","*",$B$4),Ordenes!$G$2:$G$840,IF($B$5="Todos","*",$B$5))</f>
        <v/>
      </c>
      <c r="G19" s="20">
        <f>IF(F19=0,NA(),E19/F19)</f>
        <v/>
      </c>
      <c r="H19" s="20">
        <f>IFERROR(SUMIFS(Ordenes!$V$2:$V$840,Ordenes!$D$2:$D$840,$B19,Ordenes!$E$2:$E$840,$C19,Ordenes!$T$2:$T$840,"Válida",Ordenes!$F$2:$F$840,IF($B$4="Todos","*",$B$4),Ordenes!$G$2:$G$840,IF($B$5="Todos","*",$B$5))/F19,NA())</f>
        <v/>
      </c>
      <c r="I19" s="21">
        <f>IFERROR((G19-H19)*100,"")</f>
        <v/>
      </c>
      <c r="J19" s="20">
        <f>IFERROR(ABS(G19-G18),"")</f>
        <v/>
      </c>
      <c r="K19" s="20">
        <f>$G$7</f>
        <v/>
      </c>
      <c r="L19" s="20">
        <f>$G$10</f>
        <v/>
      </c>
      <c r="M19" s="20">
        <f>$G$11</f>
        <v/>
      </c>
      <c r="N19" s="18">
        <f>IF(ISNA(G19),"Sin producción",IF(L19="","Sin límites",IF(G19&gt;L19,"▲ Sobre LCS",IF(G19&lt;M19,"▼ Bajo LCI","En control"))))</f>
        <v/>
      </c>
      <c r="O19" s="18">
        <f>COUNTIFS(Ordenes!$D$2:$D$840,$B19,Ordenes!$E$2:$E$840,$C19,Ordenes!$T$2:$T$840,"A corregir",Ordenes!$F$2:$F$840,IF($B$4="Todos","*",$B$4),Ordenes!$G$2:$G$840,IF($B$5="Todos","*",$B$5))</f>
        <v/>
      </c>
    </row>
    <row r="20">
      <c r="A20" s="18" t="inlineStr">
        <is>
          <t>May 2026</t>
        </is>
      </c>
      <c r="B20" s="18" t="n">
        <v>2026</v>
      </c>
      <c r="C20" s="18" t="n">
        <v>5</v>
      </c>
      <c r="D20" s="18">
        <f>COUNTIFS(Ordenes!$D$2:$D$840,$B20,Ordenes!$E$2:$E$840,$C20,Ordenes!$T$2:$T$840,"Válida",Ordenes!$F$2:$F$840,IF($B$4="Todos","*",$B$4),Ordenes!$G$2:$G$840,IF($B$5="Todos","*",$B$5))</f>
        <v/>
      </c>
      <c r="E20" s="19">
        <f>SUMIFS(Ordenes!$P$2:$P$840,Ordenes!$D$2:$D$840,$B20,Ordenes!$E$2:$E$840,$C20,Ordenes!$T$2:$T$840,"Válida",Ordenes!$F$2:$F$840,IF($B$4="Todos","*",$B$4),Ordenes!$G$2:$G$840,IF($B$5="Todos","*",$B$5))</f>
        <v/>
      </c>
      <c r="F20" s="19">
        <f>SUMIFS(Ordenes!$Q$2:$Q$840,Ordenes!$D$2:$D$840,$B20,Ordenes!$E$2:$E$840,$C20,Ordenes!$T$2:$T$840,"Válida",Ordenes!$F$2:$F$840,IF($B$4="Todos","*",$B$4),Ordenes!$G$2:$G$840,IF($B$5="Todos","*",$B$5))</f>
        <v/>
      </c>
      <c r="G20" s="20">
        <f>IF(F20=0,NA(),E20/F20)</f>
        <v/>
      </c>
      <c r="H20" s="20">
        <f>IFERROR(SUMIFS(Ordenes!$V$2:$V$840,Ordenes!$D$2:$D$840,$B20,Ordenes!$E$2:$E$840,$C20,Ordenes!$T$2:$T$840,"Válida",Ordenes!$F$2:$F$840,IF($B$4="Todos","*",$B$4),Ordenes!$G$2:$G$840,IF($B$5="Todos","*",$B$5))/F20,NA())</f>
        <v/>
      </c>
      <c r="I20" s="21">
        <f>IFERROR((G20-H20)*100,"")</f>
        <v/>
      </c>
      <c r="J20" s="20">
        <f>IFERROR(ABS(G20-G19),"")</f>
        <v/>
      </c>
      <c r="K20" s="20">
        <f>$G$7</f>
        <v/>
      </c>
      <c r="L20" s="20">
        <f>$G$10</f>
        <v/>
      </c>
      <c r="M20" s="20">
        <f>$G$11</f>
        <v/>
      </c>
      <c r="N20" s="18">
        <f>IF(ISNA(G20),"Sin producción",IF(L20="","Sin límites",IF(G20&gt;L20,"▲ Sobre LCS",IF(G20&lt;M20,"▼ Bajo LCI","En control"))))</f>
        <v/>
      </c>
      <c r="O20" s="18">
        <f>COUNTIFS(Ordenes!$D$2:$D$840,$B20,Ordenes!$E$2:$E$840,$C20,Ordenes!$T$2:$T$840,"A corregir",Ordenes!$F$2:$F$840,IF($B$4="Todos","*",$B$4),Ordenes!$G$2:$G$840,IF($B$5="Todos","*",$B$5))</f>
        <v/>
      </c>
    </row>
    <row r="21">
      <c r="A21" s="18" t="inlineStr">
        <is>
          <t>Jun 2026</t>
        </is>
      </c>
      <c r="B21" s="18" t="n">
        <v>2026</v>
      </c>
      <c r="C21" s="18" t="n">
        <v>6</v>
      </c>
      <c r="D21" s="18">
        <f>COUNTIFS(Ordenes!$D$2:$D$840,$B21,Ordenes!$E$2:$E$840,$C21,Ordenes!$T$2:$T$840,"Válida",Ordenes!$F$2:$F$840,IF($B$4="Todos","*",$B$4),Ordenes!$G$2:$G$840,IF($B$5="Todos","*",$B$5))</f>
        <v/>
      </c>
      <c r="E21" s="19">
        <f>SUMIFS(Ordenes!$P$2:$P$840,Ordenes!$D$2:$D$840,$B21,Ordenes!$E$2:$E$840,$C21,Ordenes!$T$2:$T$840,"Válida",Ordenes!$F$2:$F$840,IF($B$4="Todos","*",$B$4),Ordenes!$G$2:$G$840,IF($B$5="Todos","*",$B$5))</f>
        <v/>
      </c>
      <c r="F21" s="19">
        <f>SUMIFS(Ordenes!$Q$2:$Q$840,Ordenes!$D$2:$D$840,$B21,Ordenes!$E$2:$E$840,$C21,Ordenes!$T$2:$T$840,"Válida",Ordenes!$F$2:$F$840,IF($B$4="Todos","*",$B$4),Ordenes!$G$2:$G$840,IF($B$5="Todos","*",$B$5))</f>
        <v/>
      </c>
      <c r="G21" s="20">
        <f>IF(F21=0,NA(),E21/F21)</f>
        <v/>
      </c>
      <c r="H21" s="20">
        <f>IFERROR(SUMIFS(Ordenes!$V$2:$V$840,Ordenes!$D$2:$D$840,$B21,Ordenes!$E$2:$E$840,$C21,Ordenes!$T$2:$T$840,"Válida",Ordenes!$F$2:$F$840,IF($B$4="Todos","*",$B$4),Ordenes!$G$2:$G$840,IF($B$5="Todos","*",$B$5))/F21,NA())</f>
        <v/>
      </c>
      <c r="I21" s="21">
        <f>IFERROR((G21-H21)*100,"")</f>
        <v/>
      </c>
      <c r="J21" s="20">
        <f>IFERROR(ABS(G21-G20),"")</f>
        <v/>
      </c>
      <c r="K21" s="20">
        <f>$G$7</f>
        <v/>
      </c>
      <c r="L21" s="20">
        <f>$G$10</f>
        <v/>
      </c>
      <c r="M21" s="20">
        <f>$G$11</f>
        <v/>
      </c>
      <c r="N21" s="18">
        <f>IF(ISNA(G21),"Sin producción",IF(L21="","Sin límites",IF(G21&gt;L21,"▲ Sobre LCS",IF(G21&lt;M21,"▼ Bajo LCI","En control"))))</f>
        <v/>
      </c>
      <c r="O21" s="18">
        <f>COUNTIFS(Ordenes!$D$2:$D$840,$B21,Ordenes!$E$2:$E$840,$C21,Ordenes!$T$2:$T$840,"A corregir",Ordenes!$F$2:$F$840,IF($B$4="Todos","*",$B$4),Ordenes!$G$2:$G$840,IF($B$5="Todos","*",$B$5))</f>
        <v/>
      </c>
    </row>
    <row r="22">
      <c r="A22" s="18" t="inlineStr">
        <is>
          <t>Jul 2026</t>
        </is>
      </c>
      <c r="B22" s="18" t="n">
        <v>2026</v>
      </c>
      <c r="C22" s="18" t="n">
        <v>7</v>
      </c>
      <c r="D22" s="18">
        <f>COUNTIFS(Ordenes!$D$2:$D$840,$B22,Ordenes!$E$2:$E$840,$C22,Ordenes!$T$2:$T$840,"Válida",Ordenes!$F$2:$F$840,IF($B$4="Todos","*",$B$4),Ordenes!$G$2:$G$840,IF($B$5="Todos","*",$B$5))</f>
        <v/>
      </c>
      <c r="E22" s="19">
        <f>SUMIFS(Ordenes!$P$2:$P$840,Ordenes!$D$2:$D$840,$B22,Ordenes!$E$2:$E$840,$C22,Ordenes!$T$2:$T$840,"Válida",Ordenes!$F$2:$F$840,IF($B$4="Todos","*",$B$4),Ordenes!$G$2:$G$840,IF($B$5="Todos","*",$B$5))</f>
        <v/>
      </c>
      <c r="F22" s="19">
        <f>SUMIFS(Ordenes!$Q$2:$Q$840,Ordenes!$D$2:$D$840,$B22,Ordenes!$E$2:$E$840,$C22,Ordenes!$T$2:$T$840,"Válida",Ordenes!$F$2:$F$840,IF($B$4="Todos","*",$B$4),Ordenes!$G$2:$G$840,IF($B$5="Todos","*",$B$5))</f>
        <v/>
      </c>
      <c r="G22" s="20">
        <f>IF(F22=0,NA(),E22/F22)</f>
        <v/>
      </c>
      <c r="H22" s="20">
        <f>IFERROR(SUMIFS(Ordenes!$V$2:$V$840,Ordenes!$D$2:$D$840,$B22,Ordenes!$E$2:$E$840,$C22,Ordenes!$T$2:$T$840,"Válida",Ordenes!$F$2:$F$840,IF($B$4="Todos","*",$B$4),Ordenes!$G$2:$G$840,IF($B$5="Todos","*",$B$5))/F22,NA())</f>
        <v/>
      </c>
      <c r="I22" s="21">
        <f>IFERROR((G22-H22)*100,"")</f>
        <v/>
      </c>
      <c r="J22" s="20">
        <f>IFERROR(ABS(G22-G21),"")</f>
        <v/>
      </c>
      <c r="K22" s="20">
        <f>$G$7</f>
        <v/>
      </c>
      <c r="L22" s="20">
        <f>$G$10</f>
        <v/>
      </c>
      <c r="M22" s="20">
        <f>$G$11</f>
        <v/>
      </c>
      <c r="N22" s="18">
        <f>IF(ISNA(G22),"Sin producción",IF(L22="","Sin límites",IF(G22&gt;L22,"▲ Sobre LCS",IF(G22&lt;M22,"▼ Bajo LCI","En control"))))</f>
        <v/>
      </c>
      <c r="O22" s="18">
        <f>COUNTIFS(Ordenes!$D$2:$D$840,$B22,Ordenes!$E$2:$E$840,$C22,Ordenes!$T$2:$T$840,"A corregir",Ordenes!$F$2:$F$840,IF($B$4="Todos","*",$B$4),Ordenes!$G$2:$G$840,IF($B$5="Todos","*",$B$5))</f>
        <v/>
      </c>
    </row>
    <row r="23">
      <c r="A23" s="18" t="inlineStr">
        <is>
          <t>Ago 2026</t>
        </is>
      </c>
      <c r="B23" s="18" t="n">
        <v>2026</v>
      </c>
      <c r="C23" s="18" t="n">
        <v>8</v>
      </c>
      <c r="D23" s="18">
        <f>COUNTIFS(Ordenes!$D$2:$D$840,$B23,Ordenes!$E$2:$E$840,$C23,Ordenes!$T$2:$T$840,"Válida",Ordenes!$F$2:$F$840,IF($B$4="Todos","*",$B$4),Ordenes!$G$2:$G$840,IF($B$5="Todos","*",$B$5))</f>
        <v/>
      </c>
      <c r="E23" s="19">
        <f>SUMIFS(Ordenes!$P$2:$P$840,Ordenes!$D$2:$D$840,$B23,Ordenes!$E$2:$E$840,$C23,Ordenes!$T$2:$T$840,"Válida",Ordenes!$F$2:$F$840,IF($B$4="Todos","*",$B$4),Ordenes!$G$2:$G$840,IF($B$5="Todos","*",$B$5))</f>
        <v/>
      </c>
      <c r="F23" s="19">
        <f>SUMIFS(Ordenes!$Q$2:$Q$840,Ordenes!$D$2:$D$840,$B23,Ordenes!$E$2:$E$840,$C23,Ordenes!$T$2:$T$840,"Válida",Ordenes!$F$2:$F$840,IF($B$4="Todos","*",$B$4),Ordenes!$G$2:$G$840,IF($B$5="Todos","*",$B$5))</f>
        <v/>
      </c>
      <c r="G23" s="20">
        <f>IF(F23=0,NA(),E23/F23)</f>
        <v/>
      </c>
      <c r="H23" s="20">
        <f>IFERROR(SUMIFS(Ordenes!$V$2:$V$840,Ordenes!$D$2:$D$840,$B23,Ordenes!$E$2:$E$840,$C23,Ordenes!$T$2:$T$840,"Válida",Ordenes!$F$2:$F$840,IF($B$4="Todos","*",$B$4),Ordenes!$G$2:$G$840,IF($B$5="Todos","*",$B$5))/F23,NA())</f>
        <v/>
      </c>
      <c r="I23" s="21">
        <f>IFERROR((G23-H23)*100,"")</f>
        <v/>
      </c>
      <c r="J23" s="20">
        <f>IFERROR(ABS(G23-G22),"")</f>
        <v/>
      </c>
      <c r="K23" s="20">
        <f>$G$7</f>
        <v/>
      </c>
      <c r="L23" s="20">
        <f>$G$10</f>
        <v/>
      </c>
      <c r="M23" s="20">
        <f>$G$11</f>
        <v/>
      </c>
      <c r="N23" s="18">
        <f>IF(ISNA(G23),"Sin producción",IF(L23="","Sin límites",IF(G23&gt;L23,"▲ Sobre LCS",IF(G23&lt;M23,"▼ Bajo LCI","En control"))))</f>
        <v/>
      </c>
      <c r="O23" s="18">
        <f>COUNTIFS(Ordenes!$D$2:$D$840,$B23,Ordenes!$E$2:$E$840,$C23,Ordenes!$T$2:$T$840,"A corregir",Ordenes!$F$2:$F$840,IF($B$4="Todos","*",$B$4),Ordenes!$G$2:$G$840,IF($B$5="Todos","*",$B$5))</f>
        <v/>
      </c>
    </row>
    <row r="24">
      <c r="A24" s="18" t="inlineStr">
        <is>
          <t>Sep 2026</t>
        </is>
      </c>
      <c r="B24" s="18" t="n">
        <v>2026</v>
      </c>
      <c r="C24" s="18" t="n">
        <v>9</v>
      </c>
      <c r="D24" s="18">
        <f>COUNTIFS(Ordenes!$D$2:$D$840,$B24,Ordenes!$E$2:$E$840,$C24,Ordenes!$T$2:$T$840,"Válida",Ordenes!$F$2:$F$840,IF($B$4="Todos","*",$B$4),Ordenes!$G$2:$G$840,IF($B$5="Todos","*",$B$5))</f>
        <v/>
      </c>
      <c r="E24" s="19">
        <f>SUMIFS(Ordenes!$P$2:$P$840,Ordenes!$D$2:$D$840,$B24,Ordenes!$E$2:$E$840,$C24,Ordenes!$T$2:$T$840,"Válida",Ordenes!$F$2:$F$840,IF($B$4="Todos","*",$B$4),Ordenes!$G$2:$G$840,IF($B$5="Todos","*",$B$5))</f>
        <v/>
      </c>
      <c r="F24" s="19">
        <f>SUMIFS(Ordenes!$Q$2:$Q$840,Ordenes!$D$2:$D$840,$B24,Ordenes!$E$2:$E$840,$C24,Ordenes!$T$2:$T$840,"Válida",Ordenes!$F$2:$F$840,IF($B$4="Todos","*",$B$4),Ordenes!$G$2:$G$840,IF($B$5="Todos","*",$B$5))</f>
        <v/>
      </c>
      <c r="G24" s="20">
        <f>IF(F24=0,NA(),E24/F24)</f>
        <v/>
      </c>
      <c r="H24" s="20">
        <f>IFERROR(SUMIFS(Ordenes!$V$2:$V$840,Ordenes!$D$2:$D$840,$B24,Ordenes!$E$2:$E$840,$C24,Ordenes!$T$2:$T$840,"Válida",Ordenes!$F$2:$F$840,IF($B$4="Todos","*",$B$4),Ordenes!$G$2:$G$840,IF($B$5="Todos","*",$B$5))/F24,NA())</f>
        <v/>
      </c>
      <c r="I24" s="21">
        <f>IFERROR((G24-H24)*100,"")</f>
        <v/>
      </c>
      <c r="J24" s="20">
        <f>IFERROR(ABS(G24-G23),"")</f>
        <v/>
      </c>
      <c r="K24" s="20">
        <f>$G$7</f>
        <v/>
      </c>
      <c r="L24" s="20">
        <f>$G$10</f>
        <v/>
      </c>
      <c r="M24" s="20">
        <f>$G$11</f>
        <v/>
      </c>
      <c r="N24" s="18">
        <f>IF(ISNA(G24),"Sin producción",IF(L24="","Sin límites",IF(G24&gt;L24,"▲ Sobre LCS",IF(G24&lt;M24,"▼ Bajo LCI","En control"))))</f>
        <v/>
      </c>
      <c r="O24" s="18">
        <f>COUNTIFS(Ordenes!$D$2:$D$840,$B24,Ordenes!$E$2:$E$840,$C24,Ordenes!$T$2:$T$840,"A corregir",Ordenes!$F$2:$F$840,IF($B$4="Todos","*",$B$4),Ordenes!$G$2:$G$840,IF($B$5="Todos","*",$B$5))</f>
        <v/>
      </c>
    </row>
  </sheetData>
  <conditionalFormatting sqref="N16:N24">
    <cfRule type="expression" priority="1" dxfId="1">
      <formula>LEFT(N16,1)&lt;&gt;"E"</formula>
    </cfRule>
  </conditionalFormatting>
  <conditionalFormatting sqref="I16:I24">
    <cfRule type="cellIs" priority="2" operator="lessThan" dxfId="2">
      <formula>0</formula>
    </cfRule>
  </conditionalFormatting>
  <dataValidations count="1">
    <dataValidation sqref="B4" showDropDown="0" showInputMessage="0" showErrorMessage="0" allowBlank="0" type="list">
      <formula1>"Todos,B Hormigón,Redondo liso,Plana,Ángulo,Cuadrado,Estrella,Saferock,Hexágono"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10" customWidth="1" min="4" max="4"/>
    <col width="14" customWidth="1" min="5" max="5"/>
    <col width="26" customWidth="1" min="6" max="6"/>
    <col width="11" customWidth="1" min="7" max="7"/>
    <col width="10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14" customWidth="1" min="14" max="14"/>
    <col width="11" customWidth="1" min="15" max="15"/>
  </cols>
  <sheetData>
    <row r="1">
      <c r="A1" s="1" t="inlineStr">
        <is>
          <t>Carta de control semanal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Carta I-MR sobre el rendimiento ponderado (Σ kg producidos / Σ kg consumidos) de las órdenes válidas (≤ 100 %).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4" t="inlineStr">
        <is>
          <t>Grupo:</t>
        </is>
      </c>
      <c r="B4" s="16" t="inlineStr">
        <is>
          <t>Todos</t>
        </is>
      </c>
      <c r="C4" s="3" t="inlineStr">
        <is>
          <t>← elige un grupo de la lista (celda amarilla) o deja «Todos»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4" t="inlineStr">
        <is>
          <t>Producto:</t>
        </is>
      </c>
      <c r="B5" s="16" t="inlineStr">
        <is>
          <t>Todos</t>
        </is>
      </c>
      <c r="C5" s="3" t="inlineStr">
        <is>
          <t>← escribe el nombre exacto del producto (columna Producto de «Ordenes») o deja «Todos»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4" t="inlineStr">
        <is>
          <t>LC (rend. ponderado)</t>
        </is>
      </c>
      <c r="G7" s="17">
        <f>IFERROR(SUM(E16:E53)/SUM(F16:F53),"")</f>
        <v/>
      </c>
      <c r="H7" s="3" t="inlineStr">
        <is>
          <t>d2 = 1,128 es la constante de la carta I-MR para rangos móviles de 2 puntos.</t>
        </is>
      </c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4" t="inlineStr">
        <is>
          <t>MR̄ (promedio rango móvil)</t>
        </is>
      </c>
      <c r="G8" s="17">
        <f>IFERROR(AVERAGE(J16:J53),"")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4" t="inlineStr">
        <is>
          <t>σ = MR̄ / 1,128</t>
        </is>
      </c>
      <c r="G9" s="17">
        <f>IFERROR(G8/1.128,"")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4" t="inlineStr">
        <is>
          <t>LCS = LC + 3σ</t>
        </is>
      </c>
      <c r="G10" s="17">
        <f>IFERROR(G7+3*G9,"")</f>
        <v/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4" t="inlineStr">
        <is>
          <t>LCI = LC − 3σ</t>
        </is>
      </c>
      <c r="G11" s="17">
        <f>IFERROR(G7-3*G9,"")</f>
        <v/>
      </c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4" t="inlineStr">
        <is>
          <t>Meta ponderada</t>
        </is>
      </c>
      <c r="G12" s="17">
        <f>IFERROR(SUMIFS(Ordenes!$V$2:$V$840,Ordenes!$T$2:$T$840,"Válida",Ordenes!$F$2:$F$840,IF($B$4="Todos","*",$B$4),Ordenes!$G$2:$G$840,IF($B$5="Todos","*",$B$5))/SUMIFS(Ordenes!$Q$2:$Q$840,Ordenes!$T$2:$T$840,"Válida",Ordenes!$F$2:$F$840,IF($B$4="Todos","*",$B$4),Ordenes!$G$2:$G$840,IF($B$5="Todos","*",$B$5)),"")</f>
        <v/>
      </c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30" customHeight="1">
      <c r="A15" s="10" t="inlineStr">
        <is>
          <t>Período</t>
        </is>
      </c>
      <c r="B15" s="10" t="inlineStr">
        <is>
          <t>Año ISO</t>
        </is>
      </c>
      <c r="C15" s="10" t="inlineStr">
        <is>
          <t>Semana</t>
        </is>
      </c>
      <c r="D15" s="10" t="inlineStr">
        <is>
          <t>Órdenes válidas</t>
        </is>
      </c>
      <c r="E15" s="10" t="inlineStr">
        <is>
          <t>Kg producidos</t>
        </is>
      </c>
      <c r="F15" s="10" t="inlineStr">
        <is>
          <t>Kg consumidos</t>
        </is>
      </c>
      <c r="G15" s="10" t="inlineStr">
        <is>
          <t>Rend. met.</t>
        </is>
      </c>
      <c r="H15" s="10" t="inlineStr">
        <is>
          <t>Meta</t>
        </is>
      </c>
      <c r="I15" s="10" t="inlineStr">
        <is>
          <t>vs meta (pp)</t>
        </is>
      </c>
      <c r="J15" s="10" t="inlineStr">
        <is>
          <t>MR</t>
        </is>
      </c>
      <c r="K15" s="10" t="inlineStr">
        <is>
          <t>LC</t>
        </is>
      </c>
      <c r="L15" s="10" t="inlineStr">
        <is>
          <t>LCS</t>
        </is>
      </c>
      <c r="M15" s="10" t="inlineStr">
        <is>
          <t>LCI</t>
        </is>
      </c>
      <c r="N15" s="10" t="inlineStr">
        <is>
          <t>Estado</t>
        </is>
      </c>
      <c r="O15" s="10" t="inlineStr">
        <is>
          <t>Órdenes a corregir</t>
        </is>
      </c>
    </row>
    <row r="16">
      <c r="A16" s="18" t="inlineStr">
        <is>
          <t>S01 2026 (29 dic)</t>
        </is>
      </c>
      <c r="B16" s="18" t="n">
        <v>2026</v>
      </c>
      <c r="C16" s="18" t="n">
        <v>1</v>
      </c>
      <c r="D16" s="18">
        <f>COUNTIFS(Ordenes!$W$2:$W$840,$B16,Ordenes!$X$2:$X$840,$C16,Ordenes!$T$2:$T$840,"Válida",Ordenes!$F$2:$F$840,IF($B$4="Todos","*",$B$4),Ordenes!$G$2:$G$840,IF($B$5="Todos","*",$B$5))</f>
        <v/>
      </c>
      <c r="E16" s="19">
        <f>SUMIFS(Ordenes!$P$2:$P$840,Ordenes!$W$2:$W$840,$B16,Ordenes!$X$2:$X$840,$C16,Ordenes!$T$2:$T$840,"Válida",Ordenes!$F$2:$F$840,IF($B$4="Todos","*",$B$4),Ordenes!$G$2:$G$840,IF($B$5="Todos","*",$B$5))</f>
        <v/>
      </c>
      <c r="F16" s="19">
        <f>SUMIFS(Ordenes!$Q$2:$Q$840,Ordenes!$W$2:$W$840,$B16,Ordenes!$X$2:$X$840,$C16,Ordenes!$T$2:$T$840,"Válida",Ordenes!$F$2:$F$840,IF($B$4="Todos","*",$B$4),Ordenes!$G$2:$G$840,IF($B$5="Todos","*",$B$5))</f>
        <v/>
      </c>
      <c r="G16" s="20">
        <f>IF(F16=0,NA(),E16/F16)</f>
        <v/>
      </c>
      <c r="H16" s="20">
        <f>IFERROR(SUMIFS(Ordenes!$V$2:$V$840,Ordenes!$W$2:$W$840,$B16,Ordenes!$X$2:$X$840,$C16,Ordenes!$T$2:$T$840,"Válida",Ordenes!$F$2:$F$840,IF($B$4="Todos","*",$B$4),Ordenes!$G$2:$G$840,IF($B$5="Todos","*",$B$5))/F16,NA())</f>
        <v/>
      </c>
      <c r="I16" s="21">
        <f>IFERROR((G16-H16)*100,"")</f>
        <v/>
      </c>
      <c r="J16" s="20" t="inlineStr"/>
      <c r="K16" s="20">
        <f>$G$7</f>
        <v/>
      </c>
      <c r="L16" s="20">
        <f>$G$10</f>
        <v/>
      </c>
      <c r="M16" s="20">
        <f>$G$11</f>
        <v/>
      </c>
      <c r="N16" s="18">
        <f>IF(ISNA(G16),"Sin producción",IF(L16="","Sin límites",IF(G16&gt;L16,"▲ Sobre LCS",IF(G16&lt;M16,"▼ Bajo LCI","En control"))))</f>
        <v/>
      </c>
      <c r="O16" s="18">
        <f>COUNTIFS(Ordenes!$W$2:$W$840,$B16,Ordenes!$X$2:$X$840,$C16,Ordenes!$T$2:$T$840,"A corregir",Ordenes!$F$2:$F$840,IF($B$4="Todos","*",$B$4),Ordenes!$G$2:$G$840,IF($B$5="Todos","*",$B$5))</f>
        <v/>
      </c>
    </row>
    <row r="17">
      <c r="A17" s="18" t="inlineStr">
        <is>
          <t>S02 2026 (5 ene)</t>
        </is>
      </c>
      <c r="B17" s="18" t="n">
        <v>2026</v>
      </c>
      <c r="C17" s="18" t="n">
        <v>2</v>
      </c>
      <c r="D17" s="18">
        <f>COUNTIFS(Ordenes!$W$2:$W$840,$B17,Ordenes!$X$2:$X$840,$C17,Ordenes!$T$2:$T$840,"Válida",Ordenes!$F$2:$F$840,IF($B$4="Todos","*",$B$4),Ordenes!$G$2:$G$840,IF($B$5="Todos","*",$B$5))</f>
        <v/>
      </c>
      <c r="E17" s="19">
        <f>SUMIFS(Ordenes!$P$2:$P$840,Ordenes!$W$2:$W$840,$B17,Ordenes!$X$2:$X$840,$C17,Ordenes!$T$2:$T$840,"Válida",Ordenes!$F$2:$F$840,IF($B$4="Todos","*",$B$4),Ordenes!$G$2:$G$840,IF($B$5="Todos","*",$B$5))</f>
        <v/>
      </c>
      <c r="F17" s="19">
        <f>SUMIFS(Ordenes!$Q$2:$Q$840,Ordenes!$W$2:$W$840,$B17,Ordenes!$X$2:$X$840,$C17,Ordenes!$T$2:$T$840,"Válida",Ordenes!$F$2:$F$840,IF($B$4="Todos","*",$B$4),Ordenes!$G$2:$G$840,IF($B$5="Todos","*",$B$5))</f>
        <v/>
      </c>
      <c r="G17" s="20">
        <f>IF(F17=0,NA(),E17/F17)</f>
        <v/>
      </c>
      <c r="H17" s="20">
        <f>IFERROR(SUMIFS(Ordenes!$V$2:$V$840,Ordenes!$W$2:$W$840,$B17,Ordenes!$X$2:$X$840,$C17,Ordenes!$T$2:$T$840,"Válida",Ordenes!$F$2:$F$840,IF($B$4="Todos","*",$B$4),Ordenes!$G$2:$G$840,IF($B$5="Todos","*",$B$5))/F17,NA())</f>
        <v/>
      </c>
      <c r="I17" s="21">
        <f>IFERROR((G17-H17)*100,"")</f>
        <v/>
      </c>
      <c r="J17" s="20">
        <f>IFERROR(ABS(G17-G16),"")</f>
        <v/>
      </c>
      <c r="K17" s="20">
        <f>$G$7</f>
        <v/>
      </c>
      <c r="L17" s="20">
        <f>$G$10</f>
        <v/>
      </c>
      <c r="M17" s="20">
        <f>$G$11</f>
        <v/>
      </c>
      <c r="N17" s="18">
        <f>IF(ISNA(G17),"Sin producción",IF(L17="","Sin límites",IF(G17&gt;L17,"▲ Sobre LCS",IF(G17&lt;M17,"▼ Bajo LCI","En control"))))</f>
        <v/>
      </c>
      <c r="O17" s="18">
        <f>COUNTIFS(Ordenes!$W$2:$W$840,$B17,Ordenes!$X$2:$X$840,$C17,Ordenes!$T$2:$T$840,"A corregir",Ordenes!$F$2:$F$840,IF($B$4="Todos","*",$B$4),Ordenes!$G$2:$G$840,IF($B$5="Todos","*",$B$5))</f>
        <v/>
      </c>
    </row>
    <row r="18">
      <c r="A18" s="18" t="inlineStr">
        <is>
          <t>S03 2026 (12 ene)</t>
        </is>
      </c>
      <c r="B18" s="18" t="n">
        <v>2026</v>
      </c>
      <c r="C18" s="18" t="n">
        <v>3</v>
      </c>
      <c r="D18" s="18">
        <f>COUNTIFS(Ordenes!$W$2:$W$840,$B18,Ordenes!$X$2:$X$840,$C18,Ordenes!$T$2:$T$840,"Válida",Ordenes!$F$2:$F$840,IF($B$4="Todos","*",$B$4),Ordenes!$G$2:$G$840,IF($B$5="Todos","*",$B$5))</f>
        <v/>
      </c>
      <c r="E18" s="19">
        <f>SUMIFS(Ordenes!$P$2:$P$840,Ordenes!$W$2:$W$840,$B18,Ordenes!$X$2:$X$840,$C18,Ordenes!$T$2:$T$840,"Válida",Ordenes!$F$2:$F$840,IF($B$4="Todos","*",$B$4),Ordenes!$G$2:$G$840,IF($B$5="Todos","*",$B$5))</f>
        <v/>
      </c>
      <c r="F18" s="19">
        <f>SUMIFS(Ordenes!$Q$2:$Q$840,Ordenes!$W$2:$W$840,$B18,Ordenes!$X$2:$X$840,$C18,Ordenes!$T$2:$T$840,"Válida",Ordenes!$F$2:$F$840,IF($B$4="Todos","*",$B$4),Ordenes!$G$2:$G$840,IF($B$5="Todos","*",$B$5))</f>
        <v/>
      </c>
      <c r="G18" s="20">
        <f>IF(F18=0,NA(),E18/F18)</f>
        <v/>
      </c>
      <c r="H18" s="20">
        <f>IFERROR(SUMIFS(Ordenes!$V$2:$V$840,Ordenes!$W$2:$W$840,$B18,Ordenes!$X$2:$X$840,$C18,Ordenes!$T$2:$T$840,"Válida",Ordenes!$F$2:$F$840,IF($B$4="Todos","*",$B$4),Ordenes!$G$2:$G$840,IF($B$5="Todos","*",$B$5))/F18,NA())</f>
        <v/>
      </c>
      <c r="I18" s="21">
        <f>IFERROR((G18-H18)*100,"")</f>
        <v/>
      </c>
      <c r="J18" s="20">
        <f>IFERROR(ABS(G18-G17),"")</f>
        <v/>
      </c>
      <c r="K18" s="20">
        <f>$G$7</f>
        <v/>
      </c>
      <c r="L18" s="20">
        <f>$G$10</f>
        <v/>
      </c>
      <c r="M18" s="20">
        <f>$G$11</f>
        <v/>
      </c>
      <c r="N18" s="18">
        <f>IF(ISNA(G18),"Sin producción",IF(L18="","Sin límites",IF(G18&gt;L18,"▲ Sobre LCS",IF(G18&lt;M18,"▼ Bajo LCI","En control"))))</f>
        <v/>
      </c>
      <c r="O18" s="18">
        <f>COUNTIFS(Ordenes!$W$2:$W$840,$B18,Ordenes!$X$2:$X$840,$C18,Ordenes!$T$2:$T$840,"A corregir",Ordenes!$F$2:$F$840,IF($B$4="Todos","*",$B$4),Ordenes!$G$2:$G$840,IF($B$5="Todos","*",$B$5))</f>
        <v/>
      </c>
    </row>
    <row r="19">
      <c r="A19" s="18" t="inlineStr">
        <is>
          <t>S04 2026 (19 ene)</t>
        </is>
      </c>
      <c r="B19" s="18" t="n">
        <v>2026</v>
      </c>
      <c r="C19" s="18" t="n">
        <v>4</v>
      </c>
      <c r="D19" s="18">
        <f>COUNTIFS(Ordenes!$W$2:$W$840,$B19,Ordenes!$X$2:$X$840,$C19,Ordenes!$T$2:$T$840,"Válida",Ordenes!$F$2:$F$840,IF($B$4="Todos","*",$B$4),Ordenes!$G$2:$G$840,IF($B$5="Todos","*",$B$5))</f>
        <v/>
      </c>
      <c r="E19" s="19">
        <f>SUMIFS(Ordenes!$P$2:$P$840,Ordenes!$W$2:$W$840,$B19,Ordenes!$X$2:$X$840,$C19,Ordenes!$T$2:$T$840,"Válida",Ordenes!$F$2:$F$840,IF($B$4="Todos","*",$B$4),Ordenes!$G$2:$G$840,IF($B$5="Todos","*",$B$5))</f>
        <v/>
      </c>
      <c r="F19" s="19">
        <f>SUMIFS(Ordenes!$Q$2:$Q$840,Ordenes!$W$2:$W$840,$B19,Ordenes!$X$2:$X$840,$C19,Ordenes!$T$2:$T$840,"Válida",Ordenes!$F$2:$F$840,IF($B$4="Todos","*",$B$4),Ordenes!$G$2:$G$840,IF($B$5="Todos","*",$B$5))</f>
        <v/>
      </c>
      <c r="G19" s="20">
        <f>IF(F19=0,NA(),E19/F19)</f>
        <v/>
      </c>
      <c r="H19" s="20">
        <f>IFERROR(SUMIFS(Ordenes!$V$2:$V$840,Ordenes!$W$2:$W$840,$B19,Ordenes!$X$2:$X$840,$C19,Ordenes!$T$2:$T$840,"Válida",Ordenes!$F$2:$F$840,IF($B$4="Todos","*",$B$4),Ordenes!$G$2:$G$840,IF($B$5="Todos","*",$B$5))/F19,NA())</f>
        <v/>
      </c>
      <c r="I19" s="21">
        <f>IFERROR((G19-H19)*100,"")</f>
        <v/>
      </c>
      <c r="J19" s="20">
        <f>IFERROR(ABS(G19-G18),"")</f>
        <v/>
      </c>
      <c r="K19" s="20">
        <f>$G$7</f>
        <v/>
      </c>
      <c r="L19" s="20">
        <f>$G$10</f>
        <v/>
      </c>
      <c r="M19" s="20">
        <f>$G$11</f>
        <v/>
      </c>
      <c r="N19" s="18">
        <f>IF(ISNA(G19),"Sin producción",IF(L19="","Sin límites",IF(G19&gt;L19,"▲ Sobre LCS",IF(G19&lt;M19,"▼ Bajo LCI","En control"))))</f>
        <v/>
      </c>
      <c r="O19" s="18">
        <f>COUNTIFS(Ordenes!$W$2:$W$840,$B19,Ordenes!$X$2:$X$840,$C19,Ordenes!$T$2:$T$840,"A corregir",Ordenes!$F$2:$F$840,IF($B$4="Todos","*",$B$4),Ordenes!$G$2:$G$840,IF($B$5="Todos","*",$B$5))</f>
        <v/>
      </c>
    </row>
    <row r="20">
      <c r="A20" s="18" t="inlineStr">
        <is>
          <t>S05 2026 (26 ene)</t>
        </is>
      </c>
      <c r="B20" s="18" t="n">
        <v>2026</v>
      </c>
      <c r="C20" s="18" t="n">
        <v>5</v>
      </c>
      <c r="D20" s="18">
        <f>COUNTIFS(Ordenes!$W$2:$W$840,$B20,Ordenes!$X$2:$X$840,$C20,Ordenes!$T$2:$T$840,"Válida",Ordenes!$F$2:$F$840,IF($B$4="Todos","*",$B$4),Ordenes!$G$2:$G$840,IF($B$5="Todos","*",$B$5))</f>
        <v/>
      </c>
      <c r="E20" s="19">
        <f>SUMIFS(Ordenes!$P$2:$P$840,Ordenes!$W$2:$W$840,$B20,Ordenes!$X$2:$X$840,$C20,Ordenes!$T$2:$T$840,"Válida",Ordenes!$F$2:$F$840,IF($B$4="Todos","*",$B$4),Ordenes!$G$2:$G$840,IF($B$5="Todos","*",$B$5))</f>
        <v/>
      </c>
      <c r="F20" s="19">
        <f>SUMIFS(Ordenes!$Q$2:$Q$840,Ordenes!$W$2:$W$840,$B20,Ordenes!$X$2:$X$840,$C20,Ordenes!$T$2:$T$840,"Válida",Ordenes!$F$2:$F$840,IF($B$4="Todos","*",$B$4),Ordenes!$G$2:$G$840,IF($B$5="Todos","*",$B$5))</f>
        <v/>
      </c>
      <c r="G20" s="20">
        <f>IF(F20=0,NA(),E20/F20)</f>
        <v/>
      </c>
      <c r="H20" s="20">
        <f>IFERROR(SUMIFS(Ordenes!$V$2:$V$840,Ordenes!$W$2:$W$840,$B20,Ordenes!$X$2:$X$840,$C20,Ordenes!$T$2:$T$840,"Válida",Ordenes!$F$2:$F$840,IF($B$4="Todos","*",$B$4),Ordenes!$G$2:$G$840,IF($B$5="Todos","*",$B$5))/F20,NA())</f>
        <v/>
      </c>
      <c r="I20" s="21">
        <f>IFERROR((G20-H20)*100,"")</f>
        <v/>
      </c>
      <c r="J20" s="20">
        <f>IFERROR(ABS(G20-G19),"")</f>
        <v/>
      </c>
      <c r="K20" s="20">
        <f>$G$7</f>
        <v/>
      </c>
      <c r="L20" s="20">
        <f>$G$10</f>
        <v/>
      </c>
      <c r="M20" s="20">
        <f>$G$11</f>
        <v/>
      </c>
      <c r="N20" s="18">
        <f>IF(ISNA(G20),"Sin producción",IF(L20="","Sin límites",IF(G20&gt;L20,"▲ Sobre LCS",IF(G20&lt;M20,"▼ Bajo LCI","En control"))))</f>
        <v/>
      </c>
      <c r="O20" s="18">
        <f>COUNTIFS(Ordenes!$W$2:$W$840,$B20,Ordenes!$X$2:$X$840,$C20,Ordenes!$T$2:$T$840,"A corregir",Ordenes!$F$2:$F$840,IF($B$4="Todos","*",$B$4),Ordenes!$G$2:$G$840,IF($B$5="Todos","*",$B$5))</f>
        <v/>
      </c>
    </row>
    <row r="21">
      <c r="A21" s="18" t="inlineStr">
        <is>
          <t>S06 2026 (2 feb)</t>
        </is>
      </c>
      <c r="B21" s="18" t="n">
        <v>2026</v>
      </c>
      <c r="C21" s="18" t="n">
        <v>6</v>
      </c>
      <c r="D21" s="18">
        <f>COUNTIFS(Ordenes!$W$2:$W$840,$B21,Ordenes!$X$2:$X$840,$C21,Ordenes!$T$2:$T$840,"Válida",Ordenes!$F$2:$F$840,IF($B$4="Todos","*",$B$4),Ordenes!$G$2:$G$840,IF($B$5="Todos","*",$B$5))</f>
        <v/>
      </c>
      <c r="E21" s="19">
        <f>SUMIFS(Ordenes!$P$2:$P$840,Ordenes!$W$2:$W$840,$B21,Ordenes!$X$2:$X$840,$C21,Ordenes!$T$2:$T$840,"Válida",Ordenes!$F$2:$F$840,IF($B$4="Todos","*",$B$4),Ordenes!$G$2:$G$840,IF($B$5="Todos","*",$B$5))</f>
        <v/>
      </c>
      <c r="F21" s="19">
        <f>SUMIFS(Ordenes!$Q$2:$Q$840,Ordenes!$W$2:$W$840,$B21,Ordenes!$X$2:$X$840,$C21,Ordenes!$T$2:$T$840,"Válida",Ordenes!$F$2:$F$840,IF($B$4="Todos","*",$B$4),Ordenes!$G$2:$G$840,IF($B$5="Todos","*",$B$5))</f>
        <v/>
      </c>
      <c r="G21" s="20">
        <f>IF(F21=0,NA(),E21/F21)</f>
        <v/>
      </c>
      <c r="H21" s="20">
        <f>IFERROR(SUMIFS(Ordenes!$V$2:$V$840,Ordenes!$W$2:$W$840,$B21,Ordenes!$X$2:$X$840,$C21,Ordenes!$T$2:$T$840,"Válida",Ordenes!$F$2:$F$840,IF($B$4="Todos","*",$B$4),Ordenes!$G$2:$G$840,IF($B$5="Todos","*",$B$5))/F21,NA())</f>
        <v/>
      </c>
      <c r="I21" s="21">
        <f>IFERROR((G21-H21)*100,"")</f>
        <v/>
      </c>
      <c r="J21" s="20">
        <f>IFERROR(ABS(G21-G20),"")</f>
        <v/>
      </c>
      <c r="K21" s="20">
        <f>$G$7</f>
        <v/>
      </c>
      <c r="L21" s="20">
        <f>$G$10</f>
        <v/>
      </c>
      <c r="M21" s="20">
        <f>$G$11</f>
        <v/>
      </c>
      <c r="N21" s="18">
        <f>IF(ISNA(G21),"Sin producción",IF(L21="","Sin límites",IF(G21&gt;L21,"▲ Sobre LCS",IF(G21&lt;M21,"▼ Bajo LCI","En control"))))</f>
        <v/>
      </c>
      <c r="O21" s="18">
        <f>COUNTIFS(Ordenes!$W$2:$W$840,$B21,Ordenes!$X$2:$X$840,$C21,Ordenes!$T$2:$T$840,"A corregir",Ordenes!$F$2:$F$840,IF($B$4="Todos","*",$B$4),Ordenes!$G$2:$G$840,IF($B$5="Todos","*",$B$5))</f>
        <v/>
      </c>
    </row>
    <row r="22">
      <c r="A22" s="18" t="inlineStr">
        <is>
          <t>S07 2026 (9 feb)</t>
        </is>
      </c>
      <c r="B22" s="18" t="n">
        <v>2026</v>
      </c>
      <c r="C22" s="18" t="n">
        <v>7</v>
      </c>
      <c r="D22" s="18">
        <f>COUNTIFS(Ordenes!$W$2:$W$840,$B22,Ordenes!$X$2:$X$840,$C22,Ordenes!$T$2:$T$840,"Válida",Ordenes!$F$2:$F$840,IF($B$4="Todos","*",$B$4),Ordenes!$G$2:$G$840,IF($B$5="Todos","*",$B$5))</f>
        <v/>
      </c>
      <c r="E22" s="19">
        <f>SUMIFS(Ordenes!$P$2:$P$840,Ordenes!$W$2:$W$840,$B22,Ordenes!$X$2:$X$840,$C22,Ordenes!$T$2:$T$840,"Válida",Ordenes!$F$2:$F$840,IF($B$4="Todos","*",$B$4),Ordenes!$G$2:$G$840,IF($B$5="Todos","*",$B$5))</f>
        <v/>
      </c>
      <c r="F22" s="19">
        <f>SUMIFS(Ordenes!$Q$2:$Q$840,Ordenes!$W$2:$W$840,$B22,Ordenes!$X$2:$X$840,$C22,Ordenes!$T$2:$T$840,"Válida",Ordenes!$F$2:$F$840,IF($B$4="Todos","*",$B$4),Ordenes!$G$2:$G$840,IF($B$5="Todos","*",$B$5))</f>
        <v/>
      </c>
      <c r="G22" s="20">
        <f>IF(F22=0,NA(),E22/F22)</f>
        <v/>
      </c>
      <c r="H22" s="20">
        <f>IFERROR(SUMIFS(Ordenes!$V$2:$V$840,Ordenes!$W$2:$W$840,$B22,Ordenes!$X$2:$X$840,$C22,Ordenes!$T$2:$T$840,"Válida",Ordenes!$F$2:$F$840,IF($B$4="Todos","*",$B$4),Ordenes!$G$2:$G$840,IF($B$5="Todos","*",$B$5))/F22,NA())</f>
        <v/>
      </c>
      <c r="I22" s="21">
        <f>IFERROR((G22-H22)*100,"")</f>
        <v/>
      </c>
      <c r="J22" s="20">
        <f>IFERROR(ABS(G22-G21),"")</f>
        <v/>
      </c>
      <c r="K22" s="20">
        <f>$G$7</f>
        <v/>
      </c>
      <c r="L22" s="20">
        <f>$G$10</f>
        <v/>
      </c>
      <c r="M22" s="20">
        <f>$G$11</f>
        <v/>
      </c>
      <c r="N22" s="18">
        <f>IF(ISNA(G22),"Sin producción",IF(L22="","Sin límites",IF(G22&gt;L22,"▲ Sobre LCS",IF(G22&lt;M22,"▼ Bajo LCI","En control"))))</f>
        <v/>
      </c>
      <c r="O22" s="18">
        <f>COUNTIFS(Ordenes!$W$2:$W$840,$B22,Ordenes!$X$2:$X$840,$C22,Ordenes!$T$2:$T$840,"A corregir",Ordenes!$F$2:$F$840,IF($B$4="Todos","*",$B$4),Ordenes!$G$2:$G$840,IF($B$5="Todos","*",$B$5))</f>
        <v/>
      </c>
    </row>
    <row r="23">
      <c r="A23" s="18" t="inlineStr">
        <is>
          <t>S08 2026 (16 feb)</t>
        </is>
      </c>
      <c r="B23" s="18" t="n">
        <v>2026</v>
      </c>
      <c r="C23" s="18" t="n">
        <v>8</v>
      </c>
      <c r="D23" s="18">
        <f>COUNTIFS(Ordenes!$W$2:$W$840,$B23,Ordenes!$X$2:$X$840,$C23,Ordenes!$T$2:$T$840,"Válida",Ordenes!$F$2:$F$840,IF($B$4="Todos","*",$B$4),Ordenes!$G$2:$G$840,IF($B$5="Todos","*",$B$5))</f>
        <v/>
      </c>
      <c r="E23" s="19">
        <f>SUMIFS(Ordenes!$P$2:$P$840,Ordenes!$W$2:$W$840,$B23,Ordenes!$X$2:$X$840,$C23,Ordenes!$T$2:$T$840,"Válida",Ordenes!$F$2:$F$840,IF($B$4="Todos","*",$B$4),Ordenes!$G$2:$G$840,IF($B$5="Todos","*",$B$5))</f>
        <v/>
      </c>
      <c r="F23" s="19">
        <f>SUMIFS(Ordenes!$Q$2:$Q$840,Ordenes!$W$2:$W$840,$B23,Ordenes!$X$2:$X$840,$C23,Ordenes!$T$2:$T$840,"Válida",Ordenes!$F$2:$F$840,IF($B$4="Todos","*",$B$4),Ordenes!$G$2:$G$840,IF($B$5="Todos","*",$B$5))</f>
        <v/>
      </c>
      <c r="G23" s="20">
        <f>IF(F23=0,NA(),E23/F23)</f>
        <v/>
      </c>
      <c r="H23" s="20">
        <f>IFERROR(SUMIFS(Ordenes!$V$2:$V$840,Ordenes!$W$2:$W$840,$B23,Ordenes!$X$2:$X$840,$C23,Ordenes!$T$2:$T$840,"Válida",Ordenes!$F$2:$F$840,IF($B$4="Todos","*",$B$4),Ordenes!$G$2:$G$840,IF($B$5="Todos","*",$B$5))/F23,NA())</f>
        <v/>
      </c>
      <c r="I23" s="21">
        <f>IFERROR((G23-H23)*100,"")</f>
        <v/>
      </c>
      <c r="J23" s="20">
        <f>IFERROR(ABS(G23-G22),"")</f>
        <v/>
      </c>
      <c r="K23" s="20">
        <f>$G$7</f>
        <v/>
      </c>
      <c r="L23" s="20">
        <f>$G$10</f>
        <v/>
      </c>
      <c r="M23" s="20">
        <f>$G$11</f>
        <v/>
      </c>
      <c r="N23" s="18">
        <f>IF(ISNA(G23),"Sin producción",IF(L23="","Sin límites",IF(G23&gt;L23,"▲ Sobre LCS",IF(G23&lt;M23,"▼ Bajo LCI","En control"))))</f>
        <v/>
      </c>
      <c r="O23" s="18">
        <f>COUNTIFS(Ordenes!$W$2:$W$840,$B23,Ordenes!$X$2:$X$840,$C23,Ordenes!$T$2:$T$840,"A corregir",Ordenes!$F$2:$F$840,IF($B$4="Todos","*",$B$4),Ordenes!$G$2:$G$840,IF($B$5="Todos","*",$B$5))</f>
        <v/>
      </c>
    </row>
    <row r="24">
      <c r="A24" s="18" t="inlineStr">
        <is>
          <t>S09 2026 (23 feb)</t>
        </is>
      </c>
      <c r="B24" s="18" t="n">
        <v>2026</v>
      </c>
      <c r="C24" s="18" t="n">
        <v>9</v>
      </c>
      <c r="D24" s="18">
        <f>COUNTIFS(Ordenes!$W$2:$W$840,$B24,Ordenes!$X$2:$X$840,$C24,Ordenes!$T$2:$T$840,"Válida",Ordenes!$F$2:$F$840,IF($B$4="Todos","*",$B$4),Ordenes!$G$2:$G$840,IF($B$5="Todos","*",$B$5))</f>
        <v/>
      </c>
      <c r="E24" s="19">
        <f>SUMIFS(Ordenes!$P$2:$P$840,Ordenes!$W$2:$W$840,$B24,Ordenes!$X$2:$X$840,$C24,Ordenes!$T$2:$T$840,"Válida",Ordenes!$F$2:$F$840,IF($B$4="Todos","*",$B$4),Ordenes!$G$2:$G$840,IF($B$5="Todos","*",$B$5))</f>
        <v/>
      </c>
      <c r="F24" s="19">
        <f>SUMIFS(Ordenes!$Q$2:$Q$840,Ordenes!$W$2:$W$840,$B24,Ordenes!$X$2:$X$840,$C24,Ordenes!$T$2:$T$840,"Válida",Ordenes!$F$2:$F$840,IF($B$4="Todos","*",$B$4),Ordenes!$G$2:$G$840,IF($B$5="Todos","*",$B$5))</f>
        <v/>
      </c>
      <c r="G24" s="20">
        <f>IF(F24=0,NA(),E24/F24)</f>
        <v/>
      </c>
      <c r="H24" s="20">
        <f>IFERROR(SUMIFS(Ordenes!$V$2:$V$840,Ordenes!$W$2:$W$840,$B24,Ordenes!$X$2:$X$840,$C24,Ordenes!$T$2:$T$840,"Válida",Ordenes!$F$2:$F$840,IF($B$4="Todos","*",$B$4),Ordenes!$G$2:$G$840,IF($B$5="Todos","*",$B$5))/F24,NA())</f>
        <v/>
      </c>
      <c r="I24" s="21">
        <f>IFERROR((G24-H24)*100,"")</f>
        <v/>
      </c>
      <c r="J24" s="20">
        <f>IFERROR(ABS(G24-G23),"")</f>
        <v/>
      </c>
      <c r="K24" s="20">
        <f>$G$7</f>
        <v/>
      </c>
      <c r="L24" s="20">
        <f>$G$10</f>
        <v/>
      </c>
      <c r="M24" s="20">
        <f>$G$11</f>
        <v/>
      </c>
      <c r="N24" s="18">
        <f>IF(ISNA(G24),"Sin producción",IF(L24="","Sin límites",IF(G24&gt;L24,"▲ Sobre LCS",IF(G24&lt;M24,"▼ Bajo LCI","En control"))))</f>
        <v/>
      </c>
      <c r="O24" s="18">
        <f>COUNTIFS(Ordenes!$W$2:$W$840,$B24,Ordenes!$X$2:$X$840,$C24,Ordenes!$T$2:$T$840,"A corregir",Ordenes!$F$2:$F$840,IF($B$4="Todos","*",$B$4),Ordenes!$G$2:$G$840,IF($B$5="Todos","*",$B$5))</f>
        <v/>
      </c>
    </row>
    <row r="25">
      <c r="A25" s="18" t="inlineStr">
        <is>
          <t>S10 2026 (2 mar)</t>
        </is>
      </c>
      <c r="B25" s="18" t="n">
        <v>2026</v>
      </c>
      <c r="C25" s="18" t="n">
        <v>10</v>
      </c>
      <c r="D25" s="18">
        <f>COUNTIFS(Ordenes!$W$2:$W$840,$B25,Ordenes!$X$2:$X$840,$C25,Ordenes!$T$2:$T$840,"Válida",Ordenes!$F$2:$F$840,IF($B$4="Todos","*",$B$4),Ordenes!$G$2:$G$840,IF($B$5="Todos","*",$B$5))</f>
        <v/>
      </c>
      <c r="E25" s="19">
        <f>SUMIFS(Ordenes!$P$2:$P$840,Ordenes!$W$2:$W$840,$B25,Ordenes!$X$2:$X$840,$C25,Ordenes!$T$2:$T$840,"Válida",Ordenes!$F$2:$F$840,IF($B$4="Todos","*",$B$4),Ordenes!$G$2:$G$840,IF($B$5="Todos","*",$B$5))</f>
        <v/>
      </c>
      <c r="F25" s="19">
        <f>SUMIFS(Ordenes!$Q$2:$Q$840,Ordenes!$W$2:$W$840,$B25,Ordenes!$X$2:$X$840,$C25,Ordenes!$T$2:$T$840,"Válida",Ordenes!$F$2:$F$840,IF($B$4="Todos","*",$B$4),Ordenes!$G$2:$G$840,IF($B$5="Todos","*",$B$5))</f>
        <v/>
      </c>
      <c r="G25" s="20">
        <f>IF(F25=0,NA(),E25/F25)</f>
        <v/>
      </c>
      <c r="H25" s="20">
        <f>IFERROR(SUMIFS(Ordenes!$V$2:$V$840,Ordenes!$W$2:$W$840,$B25,Ordenes!$X$2:$X$840,$C25,Ordenes!$T$2:$T$840,"Válida",Ordenes!$F$2:$F$840,IF($B$4="Todos","*",$B$4),Ordenes!$G$2:$G$840,IF($B$5="Todos","*",$B$5))/F25,NA())</f>
        <v/>
      </c>
      <c r="I25" s="21">
        <f>IFERROR((G25-H25)*100,"")</f>
        <v/>
      </c>
      <c r="J25" s="20">
        <f>IFERROR(ABS(G25-G24),"")</f>
        <v/>
      </c>
      <c r="K25" s="20">
        <f>$G$7</f>
        <v/>
      </c>
      <c r="L25" s="20">
        <f>$G$10</f>
        <v/>
      </c>
      <c r="M25" s="20">
        <f>$G$11</f>
        <v/>
      </c>
      <c r="N25" s="18">
        <f>IF(ISNA(G25),"Sin producción",IF(L25="","Sin límites",IF(G25&gt;L25,"▲ Sobre LCS",IF(G25&lt;M25,"▼ Bajo LCI","En control"))))</f>
        <v/>
      </c>
      <c r="O25" s="18">
        <f>COUNTIFS(Ordenes!$W$2:$W$840,$B25,Ordenes!$X$2:$X$840,$C25,Ordenes!$T$2:$T$840,"A corregir",Ordenes!$F$2:$F$840,IF($B$4="Todos","*",$B$4),Ordenes!$G$2:$G$840,IF($B$5="Todos","*",$B$5))</f>
        <v/>
      </c>
    </row>
    <row r="26">
      <c r="A26" s="18" t="inlineStr">
        <is>
          <t>S11 2026 (9 mar)</t>
        </is>
      </c>
      <c r="B26" s="18" t="n">
        <v>2026</v>
      </c>
      <c r="C26" s="18" t="n">
        <v>11</v>
      </c>
      <c r="D26" s="18">
        <f>COUNTIFS(Ordenes!$W$2:$W$840,$B26,Ordenes!$X$2:$X$840,$C26,Ordenes!$T$2:$T$840,"Válida",Ordenes!$F$2:$F$840,IF($B$4="Todos","*",$B$4),Ordenes!$G$2:$G$840,IF($B$5="Todos","*",$B$5))</f>
        <v/>
      </c>
      <c r="E26" s="19">
        <f>SUMIFS(Ordenes!$P$2:$P$840,Ordenes!$W$2:$W$840,$B26,Ordenes!$X$2:$X$840,$C26,Ordenes!$T$2:$T$840,"Válida",Ordenes!$F$2:$F$840,IF($B$4="Todos","*",$B$4),Ordenes!$G$2:$G$840,IF($B$5="Todos","*",$B$5))</f>
        <v/>
      </c>
      <c r="F26" s="19">
        <f>SUMIFS(Ordenes!$Q$2:$Q$840,Ordenes!$W$2:$W$840,$B26,Ordenes!$X$2:$X$840,$C26,Ordenes!$T$2:$T$840,"Válida",Ordenes!$F$2:$F$840,IF($B$4="Todos","*",$B$4),Ordenes!$G$2:$G$840,IF($B$5="Todos","*",$B$5))</f>
        <v/>
      </c>
      <c r="G26" s="20">
        <f>IF(F26=0,NA(),E26/F26)</f>
        <v/>
      </c>
      <c r="H26" s="20">
        <f>IFERROR(SUMIFS(Ordenes!$V$2:$V$840,Ordenes!$W$2:$W$840,$B26,Ordenes!$X$2:$X$840,$C26,Ordenes!$T$2:$T$840,"Válida",Ordenes!$F$2:$F$840,IF($B$4="Todos","*",$B$4),Ordenes!$G$2:$G$840,IF($B$5="Todos","*",$B$5))/F26,NA())</f>
        <v/>
      </c>
      <c r="I26" s="21">
        <f>IFERROR((G26-H26)*100,"")</f>
        <v/>
      </c>
      <c r="J26" s="20">
        <f>IFERROR(ABS(G26-G25),"")</f>
        <v/>
      </c>
      <c r="K26" s="20">
        <f>$G$7</f>
        <v/>
      </c>
      <c r="L26" s="20">
        <f>$G$10</f>
        <v/>
      </c>
      <c r="M26" s="20">
        <f>$G$11</f>
        <v/>
      </c>
      <c r="N26" s="18">
        <f>IF(ISNA(G26),"Sin producción",IF(L26="","Sin límites",IF(G26&gt;L26,"▲ Sobre LCS",IF(G26&lt;M26,"▼ Bajo LCI","En control"))))</f>
        <v/>
      </c>
      <c r="O26" s="18">
        <f>COUNTIFS(Ordenes!$W$2:$W$840,$B26,Ordenes!$X$2:$X$840,$C26,Ordenes!$T$2:$T$840,"A corregir",Ordenes!$F$2:$F$840,IF($B$4="Todos","*",$B$4),Ordenes!$G$2:$G$840,IF($B$5="Todos","*",$B$5))</f>
        <v/>
      </c>
    </row>
    <row r="27">
      <c r="A27" s="18" t="inlineStr">
        <is>
          <t>S12 2026 (16 mar)</t>
        </is>
      </c>
      <c r="B27" s="18" t="n">
        <v>2026</v>
      </c>
      <c r="C27" s="18" t="n">
        <v>12</v>
      </c>
      <c r="D27" s="18">
        <f>COUNTIFS(Ordenes!$W$2:$W$840,$B27,Ordenes!$X$2:$X$840,$C27,Ordenes!$T$2:$T$840,"Válida",Ordenes!$F$2:$F$840,IF($B$4="Todos","*",$B$4),Ordenes!$G$2:$G$840,IF($B$5="Todos","*",$B$5))</f>
        <v/>
      </c>
      <c r="E27" s="19">
        <f>SUMIFS(Ordenes!$P$2:$P$840,Ordenes!$W$2:$W$840,$B27,Ordenes!$X$2:$X$840,$C27,Ordenes!$T$2:$T$840,"Válida",Ordenes!$F$2:$F$840,IF($B$4="Todos","*",$B$4),Ordenes!$G$2:$G$840,IF($B$5="Todos","*",$B$5))</f>
        <v/>
      </c>
      <c r="F27" s="19">
        <f>SUMIFS(Ordenes!$Q$2:$Q$840,Ordenes!$W$2:$W$840,$B27,Ordenes!$X$2:$X$840,$C27,Ordenes!$T$2:$T$840,"Válida",Ordenes!$F$2:$F$840,IF($B$4="Todos","*",$B$4),Ordenes!$G$2:$G$840,IF($B$5="Todos","*",$B$5))</f>
        <v/>
      </c>
      <c r="G27" s="20">
        <f>IF(F27=0,NA(),E27/F27)</f>
        <v/>
      </c>
      <c r="H27" s="20">
        <f>IFERROR(SUMIFS(Ordenes!$V$2:$V$840,Ordenes!$W$2:$W$840,$B27,Ordenes!$X$2:$X$840,$C27,Ordenes!$T$2:$T$840,"Válida",Ordenes!$F$2:$F$840,IF($B$4="Todos","*",$B$4),Ordenes!$G$2:$G$840,IF($B$5="Todos","*",$B$5))/F27,NA())</f>
        <v/>
      </c>
      <c r="I27" s="21">
        <f>IFERROR((G27-H27)*100,"")</f>
        <v/>
      </c>
      <c r="J27" s="20">
        <f>IFERROR(ABS(G27-G26),"")</f>
        <v/>
      </c>
      <c r="K27" s="20">
        <f>$G$7</f>
        <v/>
      </c>
      <c r="L27" s="20">
        <f>$G$10</f>
        <v/>
      </c>
      <c r="M27" s="20">
        <f>$G$11</f>
        <v/>
      </c>
      <c r="N27" s="18">
        <f>IF(ISNA(G27),"Sin producción",IF(L27="","Sin límites",IF(G27&gt;L27,"▲ Sobre LCS",IF(G27&lt;M27,"▼ Bajo LCI","En control"))))</f>
        <v/>
      </c>
      <c r="O27" s="18">
        <f>COUNTIFS(Ordenes!$W$2:$W$840,$B27,Ordenes!$X$2:$X$840,$C27,Ordenes!$T$2:$T$840,"A corregir",Ordenes!$F$2:$F$840,IF($B$4="Todos","*",$B$4),Ordenes!$G$2:$G$840,IF($B$5="Todos","*",$B$5))</f>
        <v/>
      </c>
    </row>
    <row r="28">
      <c r="A28" s="18" t="inlineStr">
        <is>
          <t>S13 2026 (23 mar)</t>
        </is>
      </c>
      <c r="B28" s="18" t="n">
        <v>2026</v>
      </c>
      <c r="C28" s="18" t="n">
        <v>13</v>
      </c>
      <c r="D28" s="18">
        <f>COUNTIFS(Ordenes!$W$2:$W$840,$B28,Ordenes!$X$2:$X$840,$C28,Ordenes!$T$2:$T$840,"Válida",Ordenes!$F$2:$F$840,IF($B$4="Todos","*",$B$4),Ordenes!$G$2:$G$840,IF($B$5="Todos","*",$B$5))</f>
        <v/>
      </c>
      <c r="E28" s="19">
        <f>SUMIFS(Ordenes!$P$2:$P$840,Ordenes!$W$2:$W$840,$B28,Ordenes!$X$2:$X$840,$C28,Ordenes!$T$2:$T$840,"Válida",Ordenes!$F$2:$F$840,IF($B$4="Todos","*",$B$4),Ordenes!$G$2:$G$840,IF($B$5="Todos","*",$B$5))</f>
        <v/>
      </c>
      <c r="F28" s="19">
        <f>SUMIFS(Ordenes!$Q$2:$Q$840,Ordenes!$W$2:$W$840,$B28,Ordenes!$X$2:$X$840,$C28,Ordenes!$T$2:$T$840,"Válida",Ordenes!$F$2:$F$840,IF($B$4="Todos","*",$B$4),Ordenes!$G$2:$G$840,IF($B$5="Todos","*",$B$5))</f>
        <v/>
      </c>
      <c r="G28" s="20">
        <f>IF(F28=0,NA(),E28/F28)</f>
        <v/>
      </c>
      <c r="H28" s="20">
        <f>IFERROR(SUMIFS(Ordenes!$V$2:$V$840,Ordenes!$W$2:$W$840,$B28,Ordenes!$X$2:$X$840,$C28,Ordenes!$T$2:$T$840,"Válida",Ordenes!$F$2:$F$840,IF($B$4="Todos","*",$B$4),Ordenes!$G$2:$G$840,IF($B$5="Todos","*",$B$5))/F28,NA())</f>
        <v/>
      </c>
      <c r="I28" s="21">
        <f>IFERROR((G28-H28)*100,"")</f>
        <v/>
      </c>
      <c r="J28" s="20">
        <f>IFERROR(ABS(G28-G27),"")</f>
        <v/>
      </c>
      <c r="K28" s="20">
        <f>$G$7</f>
        <v/>
      </c>
      <c r="L28" s="20">
        <f>$G$10</f>
        <v/>
      </c>
      <c r="M28" s="20">
        <f>$G$11</f>
        <v/>
      </c>
      <c r="N28" s="18">
        <f>IF(ISNA(G28),"Sin producción",IF(L28="","Sin límites",IF(G28&gt;L28,"▲ Sobre LCS",IF(G28&lt;M28,"▼ Bajo LCI","En control"))))</f>
        <v/>
      </c>
      <c r="O28" s="18">
        <f>COUNTIFS(Ordenes!$W$2:$W$840,$B28,Ordenes!$X$2:$X$840,$C28,Ordenes!$T$2:$T$840,"A corregir",Ordenes!$F$2:$F$840,IF($B$4="Todos","*",$B$4),Ordenes!$G$2:$G$840,IF($B$5="Todos","*",$B$5))</f>
        <v/>
      </c>
    </row>
    <row r="29">
      <c r="A29" s="18" t="inlineStr">
        <is>
          <t>S14 2026 (30 mar)</t>
        </is>
      </c>
      <c r="B29" s="18" t="n">
        <v>2026</v>
      </c>
      <c r="C29" s="18" t="n">
        <v>14</v>
      </c>
      <c r="D29" s="18">
        <f>COUNTIFS(Ordenes!$W$2:$W$840,$B29,Ordenes!$X$2:$X$840,$C29,Ordenes!$T$2:$T$840,"Válida",Ordenes!$F$2:$F$840,IF($B$4="Todos","*",$B$4),Ordenes!$G$2:$G$840,IF($B$5="Todos","*",$B$5))</f>
        <v/>
      </c>
      <c r="E29" s="19">
        <f>SUMIFS(Ordenes!$P$2:$P$840,Ordenes!$W$2:$W$840,$B29,Ordenes!$X$2:$X$840,$C29,Ordenes!$T$2:$T$840,"Válida",Ordenes!$F$2:$F$840,IF($B$4="Todos","*",$B$4),Ordenes!$G$2:$G$840,IF($B$5="Todos","*",$B$5))</f>
        <v/>
      </c>
      <c r="F29" s="19">
        <f>SUMIFS(Ordenes!$Q$2:$Q$840,Ordenes!$W$2:$W$840,$B29,Ordenes!$X$2:$X$840,$C29,Ordenes!$T$2:$T$840,"Válida",Ordenes!$F$2:$F$840,IF($B$4="Todos","*",$B$4),Ordenes!$G$2:$G$840,IF($B$5="Todos","*",$B$5))</f>
        <v/>
      </c>
      <c r="G29" s="20">
        <f>IF(F29=0,NA(),E29/F29)</f>
        <v/>
      </c>
      <c r="H29" s="20">
        <f>IFERROR(SUMIFS(Ordenes!$V$2:$V$840,Ordenes!$W$2:$W$840,$B29,Ordenes!$X$2:$X$840,$C29,Ordenes!$T$2:$T$840,"Válida",Ordenes!$F$2:$F$840,IF($B$4="Todos","*",$B$4),Ordenes!$G$2:$G$840,IF($B$5="Todos","*",$B$5))/F29,NA())</f>
        <v/>
      </c>
      <c r="I29" s="21">
        <f>IFERROR((G29-H29)*100,"")</f>
        <v/>
      </c>
      <c r="J29" s="20">
        <f>IFERROR(ABS(G29-G28),"")</f>
        <v/>
      </c>
      <c r="K29" s="20">
        <f>$G$7</f>
        <v/>
      </c>
      <c r="L29" s="20">
        <f>$G$10</f>
        <v/>
      </c>
      <c r="M29" s="20">
        <f>$G$11</f>
        <v/>
      </c>
      <c r="N29" s="18">
        <f>IF(ISNA(G29),"Sin producción",IF(L29="","Sin límites",IF(G29&gt;L29,"▲ Sobre LCS",IF(G29&lt;M29,"▼ Bajo LCI","En control"))))</f>
        <v/>
      </c>
      <c r="O29" s="18">
        <f>COUNTIFS(Ordenes!$W$2:$W$840,$B29,Ordenes!$X$2:$X$840,$C29,Ordenes!$T$2:$T$840,"A corregir",Ordenes!$F$2:$F$840,IF($B$4="Todos","*",$B$4),Ordenes!$G$2:$G$840,IF($B$5="Todos","*",$B$5))</f>
        <v/>
      </c>
    </row>
    <row r="30">
      <c r="A30" s="18" t="inlineStr">
        <is>
          <t>S16 2026 (13 abr)</t>
        </is>
      </c>
      <c r="B30" s="18" t="n">
        <v>2026</v>
      </c>
      <c r="C30" s="18" t="n">
        <v>16</v>
      </c>
      <c r="D30" s="18">
        <f>COUNTIFS(Ordenes!$W$2:$W$840,$B30,Ordenes!$X$2:$X$840,$C30,Ordenes!$T$2:$T$840,"Válida",Ordenes!$F$2:$F$840,IF($B$4="Todos","*",$B$4),Ordenes!$G$2:$G$840,IF($B$5="Todos","*",$B$5))</f>
        <v/>
      </c>
      <c r="E30" s="19">
        <f>SUMIFS(Ordenes!$P$2:$P$840,Ordenes!$W$2:$W$840,$B30,Ordenes!$X$2:$X$840,$C30,Ordenes!$T$2:$T$840,"Válida",Ordenes!$F$2:$F$840,IF($B$4="Todos","*",$B$4),Ordenes!$G$2:$G$840,IF($B$5="Todos","*",$B$5))</f>
        <v/>
      </c>
      <c r="F30" s="19">
        <f>SUMIFS(Ordenes!$Q$2:$Q$840,Ordenes!$W$2:$W$840,$B30,Ordenes!$X$2:$X$840,$C30,Ordenes!$T$2:$T$840,"Válida",Ordenes!$F$2:$F$840,IF($B$4="Todos","*",$B$4),Ordenes!$G$2:$G$840,IF($B$5="Todos","*",$B$5))</f>
        <v/>
      </c>
      <c r="G30" s="20">
        <f>IF(F30=0,NA(),E30/F30)</f>
        <v/>
      </c>
      <c r="H30" s="20">
        <f>IFERROR(SUMIFS(Ordenes!$V$2:$V$840,Ordenes!$W$2:$W$840,$B30,Ordenes!$X$2:$X$840,$C30,Ordenes!$T$2:$T$840,"Válida",Ordenes!$F$2:$F$840,IF($B$4="Todos","*",$B$4),Ordenes!$G$2:$G$840,IF($B$5="Todos","*",$B$5))/F30,NA())</f>
        <v/>
      </c>
      <c r="I30" s="21">
        <f>IFERROR((G30-H30)*100,"")</f>
        <v/>
      </c>
      <c r="J30" s="20">
        <f>IFERROR(ABS(G30-G29),"")</f>
        <v/>
      </c>
      <c r="K30" s="20">
        <f>$G$7</f>
        <v/>
      </c>
      <c r="L30" s="20">
        <f>$G$10</f>
        <v/>
      </c>
      <c r="M30" s="20">
        <f>$G$11</f>
        <v/>
      </c>
      <c r="N30" s="18">
        <f>IF(ISNA(G30),"Sin producción",IF(L30="","Sin límites",IF(G30&gt;L30,"▲ Sobre LCS",IF(G30&lt;M30,"▼ Bajo LCI","En control"))))</f>
        <v/>
      </c>
      <c r="O30" s="18">
        <f>COUNTIFS(Ordenes!$W$2:$W$840,$B30,Ordenes!$X$2:$X$840,$C30,Ordenes!$T$2:$T$840,"A corregir",Ordenes!$F$2:$F$840,IF($B$4="Todos","*",$B$4),Ordenes!$G$2:$G$840,IF($B$5="Todos","*",$B$5))</f>
        <v/>
      </c>
    </row>
    <row r="31">
      <c r="A31" s="18" t="inlineStr">
        <is>
          <t>S17 2026 (20 abr)</t>
        </is>
      </c>
      <c r="B31" s="18" t="n">
        <v>2026</v>
      </c>
      <c r="C31" s="18" t="n">
        <v>17</v>
      </c>
      <c r="D31" s="18">
        <f>COUNTIFS(Ordenes!$W$2:$W$840,$B31,Ordenes!$X$2:$X$840,$C31,Ordenes!$T$2:$T$840,"Válida",Ordenes!$F$2:$F$840,IF($B$4="Todos","*",$B$4),Ordenes!$G$2:$G$840,IF($B$5="Todos","*",$B$5))</f>
        <v/>
      </c>
      <c r="E31" s="19">
        <f>SUMIFS(Ordenes!$P$2:$P$840,Ordenes!$W$2:$W$840,$B31,Ordenes!$X$2:$X$840,$C31,Ordenes!$T$2:$T$840,"Válida",Ordenes!$F$2:$F$840,IF($B$4="Todos","*",$B$4),Ordenes!$G$2:$G$840,IF($B$5="Todos","*",$B$5))</f>
        <v/>
      </c>
      <c r="F31" s="19">
        <f>SUMIFS(Ordenes!$Q$2:$Q$840,Ordenes!$W$2:$W$840,$B31,Ordenes!$X$2:$X$840,$C31,Ordenes!$T$2:$T$840,"Válida",Ordenes!$F$2:$F$840,IF($B$4="Todos","*",$B$4),Ordenes!$G$2:$G$840,IF($B$5="Todos","*",$B$5))</f>
        <v/>
      </c>
      <c r="G31" s="20">
        <f>IF(F31=0,NA(),E31/F31)</f>
        <v/>
      </c>
      <c r="H31" s="20">
        <f>IFERROR(SUMIFS(Ordenes!$V$2:$V$840,Ordenes!$W$2:$W$840,$B31,Ordenes!$X$2:$X$840,$C31,Ordenes!$T$2:$T$840,"Válida",Ordenes!$F$2:$F$840,IF($B$4="Todos","*",$B$4),Ordenes!$G$2:$G$840,IF($B$5="Todos","*",$B$5))/F31,NA())</f>
        <v/>
      </c>
      <c r="I31" s="21">
        <f>IFERROR((G31-H31)*100,"")</f>
        <v/>
      </c>
      <c r="J31" s="20">
        <f>IFERROR(ABS(G31-G30),"")</f>
        <v/>
      </c>
      <c r="K31" s="20">
        <f>$G$7</f>
        <v/>
      </c>
      <c r="L31" s="20">
        <f>$G$10</f>
        <v/>
      </c>
      <c r="M31" s="20">
        <f>$G$11</f>
        <v/>
      </c>
      <c r="N31" s="18">
        <f>IF(ISNA(G31),"Sin producción",IF(L31="","Sin límites",IF(G31&gt;L31,"▲ Sobre LCS",IF(G31&lt;M31,"▼ Bajo LCI","En control"))))</f>
        <v/>
      </c>
      <c r="O31" s="18">
        <f>COUNTIFS(Ordenes!$W$2:$W$840,$B31,Ordenes!$X$2:$X$840,$C31,Ordenes!$T$2:$T$840,"A corregir",Ordenes!$F$2:$F$840,IF($B$4="Todos","*",$B$4),Ordenes!$G$2:$G$840,IF($B$5="Todos","*",$B$5))</f>
        <v/>
      </c>
    </row>
    <row r="32">
      <c r="A32" s="18" t="inlineStr">
        <is>
          <t>S18 2026 (27 abr)</t>
        </is>
      </c>
      <c r="B32" s="18" t="n">
        <v>2026</v>
      </c>
      <c r="C32" s="18" t="n">
        <v>18</v>
      </c>
      <c r="D32" s="18">
        <f>COUNTIFS(Ordenes!$W$2:$W$840,$B32,Ordenes!$X$2:$X$840,$C32,Ordenes!$T$2:$T$840,"Válida",Ordenes!$F$2:$F$840,IF($B$4="Todos","*",$B$4),Ordenes!$G$2:$G$840,IF($B$5="Todos","*",$B$5))</f>
        <v/>
      </c>
      <c r="E32" s="19">
        <f>SUMIFS(Ordenes!$P$2:$P$840,Ordenes!$W$2:$W$840,$B32,Ordenes!$X$2:$X$840,$C32,Ordenes!$T$2:$T$840,"Válida",Ordenes!$F$2:$F$840,IF($B$4="Todos","*",$B$4),Ordenes!$G$2:$G$840,IF($B$5="Todos","*",$B$5))</f>
        <v/>
      </c>
      <c r="F32" s="19">
        <f>SUMIFS(Ordenes!$Q$2:$Q$840,Ordenes!$W$2:$W$840,$B32,Ordenes!$X$2:$X$840,$C32,Ordenes!$T$2:$T$840,"Válida",Ordenes!$F$2:$F$840,IF($B$4="Todos","*",$B$4),Ordenes!$G$2:$G$840,IF($B$5="Todos","*",$B$5))</f>
        <v/>
      </c>
      <c r="G32" s="20">
        <f>IF(F32=0,NA(),E32/F32)</f>
        <v/>
      </c>
      <c r="H32" s="20">
        <f>IFERROR(SUMIFS(Ordenes!$V$2:$V$840,Ordenes!$W$2:$W$840,$B32,Ordenes!$X$2:$X$840,$C32,Ordenes!$T$2:$T$840,"Válida",Ordenes!$F$2:$F$840,IF($B$4="Todos","*",$B$4),Ordenes!$G$2:$G$840,IF($B$5="Todos","*",$B$5))/F32,NA())</f>
        <v/>
      </c>
      <c r="I32" s="21">
        <f>IFERROR((G32-H32)*100,"")</f>
        <v/>
      </c>
      <c r="J32" s="20">
        <f>IFERROR(ABS(G32-G31),"")</f>
        <v/>
      </c>
      <c r="K32" s="20">
        <f>$G$7</f>
        <v/>
      </c>
      <c r="L32" s="20">
        <f>$G$10</f>
        <v/>
      </c>
      <c r="M32" s="20">
        <f>$G$11</f>
        <v/>
      </c>
      <c r="N32" s="18">
        <f>IF(ISNA(G32),"Sin producción",IF(L32="","Sin límites",IF(G32&gt;L32,"▲ Sobre LCS",IF(G32&lt;M32,"▼ Bajo LCI","En control"))))</f>
        <v/>
      </c>
      <c r="O32" s="18">
        <f>COUNTIFS(Ordenes!$W$2:$W$840,$B32,Ordenes!$X$2:$X$840,$C32,Ordenes!$T$2:$T$840,"A corregir",Ordenes!$F$2:$F$840,IF($B$4="Todos","*",$B$4),Ordenes!$G$2:$G$840,IF($B$5="Todos","*",$B$5))</f>
        <v/>
      </c>
    </row>
    <row r="33">
      <c r="A33" s="18" t="inlineStr">
        <is>
          <t>S19 2026 (4 may)</t>
        </is>
      </c>
      <c r="B33" s="18" t="n">
        <v>2026</v>
      </c>
      <c r="C33" s="18" t="n">
        <v>19</v>
      </c>
      <c r="D33" s="18">
        <f>COUNTIFS(Ordenes!$W$2:$W$840,$B33,Ordenes!$X$2:$X$840,$C33,Ordenes!$T$2:$T$840,"Válida",Ordenes!$F$2:$F$840,IF($B$4="Todos","*",$B$4),Ordenes!$G$2:$G$840,IF($B$5="Todos","*",$B$5))</f>
        <v/>
      </c>
      <c r="E33" s="19">
        <f>SUMIFS(Ordenes!$P$2:$P$840,Ordenes!$W$2:$W$840,$B33,Ordenes!$X$2:$X$840,$C33,Ordenes!$T$2:$T$840,"Válida",Ordenes!$F$2:$F$840,IF($B$4="Todos","*",$B$4),Ordenes!$G$2:$G$840,IF($B$5="Todos","*",$B$5))</f>
        <v/>
      </c>
      <c r="F33" s="19">
        <f>SUMIFS(Ordenes!$Q$2:$Q$840,Ordenes!$W$2:$W$840,$B33,Ordenes!$X$2:$X$840,$C33,Ordenes!$T$2:$T$840,"Válida",Ordenes!$F$2:$F$840,IF($B$4="Todos","*",$B$4),Ordenes!$G$2:$G$840,IF($B$5="Todos","*",$B$5))</f>
        <v/>
      </c>
      <c r="G33" s="20">
        <f>IF(F33=0,NA(),E33/F33)</f>
        <v/>
      </c>
      <c r="H33" s="20">
        <f>IFERROR(SUMIFS(Ordenes!$V$2:$V$840,Ordenes!$W$2:$W$840,$B33,Ordenes!$X$2:$X$840,$C33,Ordenes!$T$2:$T$840,"Válida",Ordenes!$F$2:$F$840,IF($B$4="Todos","*",$B$4),Ordenes!$G$2:$G$840,IF($B$5="Todos","*",$B$5))/F33,NA())</f>
        <v/>
      </c>
      <c r="I33" s="21">
        <f>IFERROR((G33-H33)*100,"")</f>
        <v/>
      </c>
      <c r="J33" s="20">
        <f>IFERROR(ABS(G33-G32),"")</f>
        <v/>
      </c>
      <c r="K33" s="20">
        <f>$G$7</f>
        <v/>
      </c>
      <c r="L33" s="20">
        <f>$G$10</f>
        <v/>
      </c>
      <c r="M33" s="20">
        <f>$G$11</f>
        <v/>
      </c>
      <c r="N33" s="18">
        <f>IF(ISNA(G33),"Sin producción",IF(L33="","Sin límites",IF(G33&gt;L33,"▲ Sobre LCS",IF(G33&lt;M33,"▼ Bajo LCI","En control"))))</f>
        <v/>
      </c>
      <c r="O33" s="18">
        <f>COUNTIFS(Ordenes!$W$2:$W$840,$B33,Ordenes!$X$2:$X$840,$C33,Ordenes!$T$2:$T$840,"A corregir",Ordenes!$F$2:$F$840,IF($B$4="Todos","*",$B$4),Ordenes!$G$2:$G$840,IF($B$5="Todos","*",$B$5))</f>
        <v/>
      </c>
    </row>
    <row r="34">
      <c r="A34" s="18" t="inlineStr">
        <is>
          <t>S20 2026 (11 may)</t>
        </is>
      </c>
      <c r="B34" s="18" t="n">
        <v>2026</v>
      </c>
      <c r="C34" s="18" t="n">
        <v>20</v>
      </c>
      <c r="D34" s="18">
        <f>COUNTIFS(Ordenes!$W$2:$W$840,$B34,Ordenes!$X$2:$X$840,$C34,Ordenes!$T$2:$T$840,"Válida",Ordenes!$F$2:$F$840,IF($B$4="Todos","*",$B$4),Ordenes!$G$2:$G$840,IF($B$5="Todos","*",$B$5))</f>
        <v/>
      </c>
      <c r="E34" s="19">
        <f>SUMIFS(Ordenes!$P$2:$P$840,Ordenes!$W$2:$W$840,$B34,Ordenes!$X$2:$X$840,$C34,Ordenes!$T$2:$T$840,"Válida",Ordenes!$F$2:$F$840,IF($B$4="Todos","*",$B$4),Ordenes!$G$2:$G$840,IF($B$5="Todos","*",$B$5))</f>
        <v/>
      </c>
      <c r="F34" s="19">
        <f>SUMIFS(Ordenes!$Q$2:$Q$840,Ordenes!$W$2:$W$840,$B34,Ordenes!$X$2:$X$840,$C34,Ordenes!$T$2:$T$840,"Válida",Ordenes!$F$2:$F$840,IF($B$4="Todos","*",$B$4),Ordenes!$G$2:$G$840,IF($B$5="Todos","*",$B$5))</f>
        <v/>
      </c>
      <c r="G34" s="20">
        <f>IF(F34=0,NA(),E34/F34)</f>
        <v/>
      </c>
      <c r="H34" s="20">
        <f>IFERROR(SUMIFS(Ordenes!$V$2:$V$840,Ordenes!$W$2:$W$840,$B34,Ordenes!$X$2:$X$840,$C34,Ordenes!$T$2:$T$840,"Válida",Ordenes!$F$2:$F$840,IF($B$4="Todos","*",$B$4),Ordenes!$G$2:$G$840,IF($B$5="Todos","*",$B$5))/F34,NA())</f>
        <v/>
      </c>
      <c r="I34" s="21">
        <f>IFERROR((G34-H34)*100,"")</f>
        <v/>
      </c>
      <c r="J34" s="20">
        <f>IFERROR(ABS(G34-G33),"")</f>
        <v/>
      </c>
      <c r="K34" s="20">
        <f>$G$7</f>
        <v/>
      </c>
      <c r="L34" s="20">
        <f>$G$10</f>
        <v/>
      </c>
      <c r="M34" s="20">
        <f>$G$11</f>
        <v/>
      </c>
      <c r="N34" s="18">
        <f>IF(ISNA(G34),"Sin producción",IF(L34="","Sin límites",IF(G34&gt;L34,"▲ Sobre LCS",IF(G34&lt;M34,"▼ Bajo LCI","En control"))))</f>
        <v/>
      </c>
      <c r="O34" s="18">
        <f>COUNTIFS(Ordenes!$W$2:$W$840,$B34,Ordenes!$X$2:$X$840,$C34,Ordenes!$T$2:$T$840,"A corregir",Ordenes!$F$2:$F$840,IF($B$4="Todos","*",$B$4),Ordenes!$G$2:$G$840,IF($B$5="Todos","*",$B$5))</f>
        <v/>
      </c>
    </row>
    <row r="35">
      <c r="A35" s="18" t="inlineStr">
        <is>
          <t>S21 2026 (18 may)</t>
        </is>
      </c>
      <c r="B35" s="18" t="n">
        <v>2026</v>
      </c>
      <c r="C35" s="18" t="n">
        <v>21</v>
      </c>
      <c r="D35" s="18">
        <f>COUNTIFS(Ordenes!$W$2:$W$840,$B35,Ordenes!$X$2:$X$840,$C35,Ordenes!$T$2:$T$840,"Válida",Ordenes!$F$2:$F$840,IF($B$4="Todos","*",$B$4),Ordenes!$G$2:$G$840,IF($B$5="Todos","*",$B$5))</f>
        <v/>
      </c>
      <c r="E35" s="19">
        <f>SUMIFS(Ordenes!$P$2:$P$840,Ordenes!$W$2:$W$840,$B35,Ordenes!$X$2:$X$840,$C35,Ordenes!$T$2:$T$840,"Válida",Ordenes!$F$2:$F$840,IF($B$4="Todos","*",$B$4),Ordenes!$G$2:$G$840,IF($B$5="Todos","*",$B$5))</f>
        <v/>
      </c>
      <c r="F35" s="19">
        <f>SUMIFS(Ordenes!$Q$2:$Q$840,Ordenes!$W$2:$W$840,$B35,Ordenes!$X$2:$X$840,$C35,Ordenes!$T$2:$T$840,"Válida",Ordenes!$F$2:$F$840,IF($B$4="Todos","*",$B$4),Ordenes!$G$2:$G$840,IF($B$5="Todos","*",$B$5))</f>
        <v/>
      </c>
      <c r="G35" s="20">
        <f>IF(F35=0,NA(),E35/F35)</f>
        <v/>
      </c>
      <c r="H35" s="20">
        <f>IFERROR(SUMIFS(Ordenes!$V$2:$V$840,Ordenes!$W$2:$W$840,$B35,Ordenes!$X$2:$X$840,$C35,Ordenes!$T$2:$T$840,"Válida",Ordenes!$F$2:$F$840,IF($B$4="Todos","*",$B$4),Ordenes!$G$2:$G$840,IF($B$5="Todos","*",$B$5))/F35,NA())</f>
        <v/>
      </c>
      <c r="I35" s="21">
        <f>IFERROR((G35-H35)*100,"")</f>
        <v/>
      </c>
      <c r="J35" s="20">
        <f>IFERROR(ABS(G35-G34),"")</f>
        <v/>
      </c>
      <c r="K35" s="20">
        <f>$G$7</f>
        <v/>
      </c>
      <c r="L35" s="20">
        <f>$G$10</f>
        <v/>
      </c>
      <c r="M35" s="20">
        <f>$G$11</f>
        <v/>
      </c>
      <c r="N35" s="18">
        <f>IF(ISNA(G35),"Sin producción",IF(L35="","Sin límites",IF(G35&gt;L35,"▲ Sobre LCS",IF(G35&lt;M35,"▼ Bajo LCI","En control"))))</f>
        <v/>
      </c>
      <c r="O35" s="18">
        <f>COUNTIFS(Ordenes!$W$2:$W$840,$B35,Ordenes!$X$2:$X$840,$C35,Ordenes!$T$2:$T$840,"A corregir",Ordenes!$F$2:$F$840,IF($B$4="Todos","*",$B$4),Ordenes!$G$2:$G$840,IF($B$5="Todos","*",$B$5))</f>
        <v/>
      </c>
    </row>
    <row r="36">
      <c r="A36" s="18" t="inlineStr">
        <is>
          <t>S22 2026 (25 may)</t>
        </is>
      </c>
      <c r="B36" s="18" t="n">
        <v>2026</v>
      </c>
      <c r="C36" s="18" t="n">
        <v>22</v>
      </c>
      <c r="D36" s="18">
        <f>COUNTIFS(Ordenes!$W$2:$W$840,$B36,Ordenes!$X$2:$X$840,$C36,Ordenes!$T$2:$T$840,"Válida",Ordenes!$F$2:$F$840,IF($B$4="Todos","*",$B$4),Ordenes!$G$2:$G$840,IF($B$5="Todos","*",$B$5))</f>
        <v/>
      </c>
      <c r="E36" s="19">
        <f>SUMIFS(Ordenes!$P$2:$P$840,Ordenes!$W$2:$W$840,$B36,Ordenes!$X$2:$X$840,$C36,Ordenes!$T$2:$T$840,"Válida",Ordenes!$F$2:$F$840,IF($B$4="Todos","*",$B$4),Ordenes!$G$2:$G$840,IF($B$5="Todos","*",$B$5))</f>
        <v/>
      </c>
      <c r="F36" s="19">
        <f>SUMIFS(Ordenes!$Q$2:$Q$840,Ordenes!$W$2:$W$840,$B36,Ordenes!$X$2:$X$840,$C36,Ordenes!$T$2:$T$840,"Válida",Ordenes!$F$2:$F$840,IF($B$4="Todos","*",$B$4),Ordenes!$G$2:$G$840,IF($B$5="Todos","*",$B$5))</f>
        <v/>
      </c>
      <c r="G36" s="20">
        <f>IF(F36=0,NA(),E36/F36)</f>
        <v/>
      </c>
      <c r="H36" s="20">
        <f>IFERROR(SUMIFS(Ordenes!$V$2:$V$840,Ordenes!$W$2:$W$840,$B36,Ordenes!$X$2:$X$840,$C36,Ordenes!$T$2:$T$840,"Válida",Ordenes!$F$2:$F$840,IF($B$4="Todos","*",$B$4),Ordenes!$G$2:$G$840,IF($B$5="Todos","*",$B$5))/F36,NA())</f>
        <v/>
      </c>
      <c r="I36" s="21">
        <f>IFERROR((G36-H36)*100,"")</f>
        <v/>
      </c>
      <c r="J36" s="20">
        <f>IFERROR(ABS(G36-G35),"")</f>
        <v/>
      </c>
      <c r="K36" s="20">
        <f>$G$7</f>
        <v/>
      </c>
      <c r="L36" s="20">
        <f>$G$10</f>
        <v/>
      </c>
      <c r="M36" s="20">
        <f>$G$11</f>
        <v/>
      </c>
      <c r="N36" s="18">
        <f>IF(ISNA(G36),"Sin producción",IF(L36="","Sin límites",IF(G36&gt;L36,"▲ Sobre LCS",IF(G36&lt;M36,"▼ Bajo LCI","En control"))))</f>
        <v/>
      </c>
      <c r="O36" s="18">
        <f>COUNTIFS(Ordenes!$W$2:$W$840,$B36,Ordenes!$X$2:$X$840,$C36,Ordenes!$T$2:$T$840,"A corregir",Ordenes!$F$2:$F$840,IF($B$4="Todos","*",$B$4),Ordenes!$G$2:$G$840,IF($B$5="Todos","*",$B$5))</f>
        <v/>
      </c>
    </row>
    <row r="37">
      <c r="A37" s="18" t="inlineStr">
        <is>
          <t>S23 2026 (1 jun)</t>
        </is>
      </c>
      <c r="B37" s="18" t="n">
        <v>2026</v>
      </c>
      <c r="C37" s="18" t="n">
        <v>23</v>
      </c>
      <c r="D37" s="18">
        <f>COUNTIFS(Ordenes!$W$2:$W$840,$B37,Ordenes!$X$2:$X$840,$C37,Ordenes!$T$2:$T$840,"Válida",Ordenes!$F$2:$F$840,IF($B$4="Todos","*",$B$4),Ordenes!$G$2:$G$840,IF($B$5="Todos","*",$B$5))</f>
        <v/>
      </c>
      <c r="E37" s="19">
        <f>SUMIFS(Ordenes!$P$2:$P$840,Ordenes!$W$2:$W$840,$B37,Ordenes!$X$2:$X$840,$C37,Ordenes!$T$2:$T$840,"Válida",Ordenes!$F$2:$F$840,IF($B$4="Todos","*",$B$4),Ordenes!$G$2:$G$840,IF($B$5="Todos","*",$B$5))</f>
        <v/>
      </c>
      <c r="F37" s="19">
        <f>SUMIFS(Ordenes!$Q$2:$Q$840,Ordenes!$W$2:$W$840,$B37,Ordenes!$X$2:$X$840,$C37,Ordenes!$T$2:$T$840,"Válida",Ordenes!$F$2:$F$840,IF($B$4="Todos","*",$B$4),Ordenes!$G$2:$G$840,IF($B$5="Todos","*",$B$5))</f>
        <v/>
      </c>
      <c r="G37" s="20">
        <f>IF(F37=0,NA(),E37/F37)</f>
        <v/>
      </c>
      <c r="H37" s="20">
        <f>IFERROR(SUMIFS(Ordenes!$V$2:$V$840,Ordenes!$W$2:$W$840,$B37,Ordenes!$X$2:$X$840,$C37,Ordenes!$T$2:$T$840,"Válida",Ordenes!$F$2:$F$840,IF($B$4="Todos","*",$B$4),Ordenes!$G$2:$G$840,IF($B$5="Todos","*",$B$5))/F37,NA())</f>
        <v/>
      </c>
      <c r="I37" s="21">
        <f>IFERROR((G37-H37)*100,"")</f>
        <v/>
      </c>
      <c r="J37" s="20">
        <f>IFERROR(ABS(G37-G36),"")</f>
        <v/>
      </c>
      <c r="K37" s="20">
        <f>$G$7</f>
        <v/>
      </c>
      <c r="L37" s="20">
        <f>$G$10</f>
        <v/>
      </c>
      <c r="M37" s="20">
        <f>$G$11</f>
        <v/>
      </c>
      <c r="N37" s="18">
        <f>IF(ISNA(G37),"Sin producción",IF(L37="","Sin límites",IF(G37&gt;L37,"▲ Sobre LCS",IF(G37&lt;M37,"▼ Bajo LCI","En control"))))</f>
        <v/>
      </c>
      <c r="O37" s="18">
        <f>COUNTIFS(Ordenes!$W$2:$W$840,$B37,Ordenes!$X$2:$X$840,$C37,Ordenes!$T$2:$T$840,"A corregir",Ordenes!$F$2:$F$840,IF($B$4="Todos","*",$B$4),Ordenes!$G$2:$G$840,IF($B$5="Todos","*",$B$5))</f>
        <v/>
      </c>
    </row>
    <row r="38">
      <c r="A38" s="18" t="inlineStr">
        <is>
          <t>S24 2026 (8 jun)</t>
        </is>
      </c>
      <c r="B38" s="18" t="n">
        <v>2026</v>
      </c>
      <c r="C38" s="18" t="n">
        <v>24</v>
      </c>
      <c r="D38" s="18">
        <f>COUNTIFS(Ordenes!$W$2:$W$840,$B38,Ordenes!$X$2:$X$840,$C38,Ordenes!$T$2:$T$840,"Válida",Ordenes!$F$2:$F$840,IF($B$4="Todos","*",$B$4),Ordenes!$G$2:$G$840,IF($B$5="Todos","*",$B$5))</f>
        <v/>
      </c>
      <c r="E38" s="19">
        <f>SUMIFS(Ordenes!$P$2:$P$840,Ordenes!$W$2:$W$840,$B38,Ordenes!$X$2:$X$840,$C38,Ordenes!$T$2:$T$840,"Válida",Ordenes!$F$2:$F$840,IF($B$4="Todos","*",$B$4),Ordenes!$G$2:$G$840,IF($B$5="Todos","*",$B$5))</f>
        <v/>
      </c>
      <c r="F38" s="19">
        <f>SUMIFS(Ordenes!$Q$2:$Q$840,Ordenes!$W$2:$W$840,$B38,Ordenes!$X$2:$X$840,$C38,Ordenes!$T$2:$T$840,"Válida",Ordenes!$F$2:$F$840,IF($B$4="Todos","*",$B$4),Ordenes!$G$2:$G$840,IF($B$5="Todos","*",$B$5))</f>
        <v/>
      </c>
      <c r="G38" s="20">
        <f>IF(F38=0,NA(),E38/F38)</f>
        <v/>
      </c>
      <c r="H38" s="20">
        <f>IFERROR(SUMIFS(Ordenes!$V$2:$V$840,Ordenes!$W$2:$W$840,$B38,Ordenes!$X$2:$X$840,$C38,Ordenes!$T$2:$T$840,"Válida",Ordenes!$F$2:$F$840,IF($B$4="Todos","*",$B$4),Ordenes!$G$2:$G$840,IF($B$5="Todos","*",$B$5))/F38,NA())</f>
        <v/>
      </c>
      <c r="I38" s="21">
        <f>IFERROR((G38-H38)*100,"")</f>
        <v/>
      </c>
      <c r="J38" s="20">
        <f>IFERROR(ABS(G38-G37),"")</f>
        <v/>
      </c>
      <c r="K38" s="20">
        <f>$G$7</f>
        <v/>
      </c>
      <c r="L38" s="20">
        <f>$G$10</f>
        <v/>
      </c>
      <c r="M38" s="20">
        <f>$G$11</f>
        <v/>
      </c>
      <c r="N38" s="18">
        <f>IF(ISNA(G38),"Sin producción",IF(L38="","Sin límites",IF(G38&gt;L38,"▲ Sobre LCS",IF(G38&lt;M38,"▼ Bajo LCI","En control"))))</f>
        <v/>
      </c>
      <c r="O38" s="18">
        <f>COUNTIFS(Ordenes!$W$2:$W$840,$B38,Ordenes!$X$2:$X$840,$C38,Ordenes!$T$2:$T$840,"A corregir",Ordenes!$F$2:$F$840,IF($B$4="Todos","*",$B$4),Ordenes!$G$2:$G$840,IF($B$5="Todos","*",$B$5))</f>
        <v/>
      </c>
    </row>
    <row r="39">
      <c r="A39" s="18" t="inlineStr">
        <is>
          <t>S25 2026 (15 jun)</t>
        </is>
      </c>
      <c r="B39" s="18" t="n">
        <v>2026</v>
      </c>
      <c r="C39" s="18" t="n">
        <v>25</v>
      </c>
      <c r="D39" s="18">
        <f>COUNTIFS(Ordenes!$W$2:$W$840,$B39,Ordenes!$X$2:$X$840,$C39,Ordenes!$T$2:$T$840,"Válida",Ordenes!$F$2:$F$840,IF($B$4="Todos","*",$B$4),Ordenes!$G$2:$G$840,IF($B$5="Todos","*",$B$5))</f>
        <v/>
      </c>
      <c r="E39" s="19">
        <f>SUMIFS(Ordenes!$P$2:$P$840,Ordenes!$W$2:$W$840,$B39,Ordenes!$X$2:$X$840,$C39,Ordenes!$T$2:$T$840,"Válida",Ordenes!$F$2:$F$840,IF($B$4="Todos","*",$B$4),Ordenes!$G$2:$G$840,IF($B$5="Todos","*",$B$5))</f>
        <v/>
      </c>
      <c r="F39" s="19">
        <f>SUMIFS(Ordenes!$Q$2:$Q$840,Ordenes!$W$2:$W$840,$B39,Ordenes!$X$2:$X$840,$C39,Ordenes!$T$2:$T$840,"Válida",Ordenes!$F$2:$F$840,IF($B$4="Todos","*",$B$4),Ordenes!$G$2:$G$840,IF($B$5="Todos","*",$B$5))</f>
        <v/>
      </c>
      <c r="G39" s="20">
        <f>IF(F39=0,NA(),E39/F39)</f>
        <v/>
      </c>
      <c r="H39" s="20">
        <f>IFERROR(SUMIFS(Ordenes!$V$2:$V$840,Ordenes!$W$2:$W$840,$B39,Ordenes!$X$2:$X$840,$C39,Ordenes!$T$2:$T$840,"Válida",Ordenes!$F$2:$F$840,IF($B$4="Todos","*",$B$4),Ordenes!$G$2:$G$840,IF($B$5="Todos","*",$B$5))/F39,NA())</f>
        <v/>
      </c>
      <c r="I39" s="21">
        <f>IFERROR((G39-H39)*100,"")</f>
        <v/>
      </c>
      <c r="J39" s="20">
        <f>IFERROR(ABS(G39-G38),"")</f>
        <v/>
      </c>
      <c r="K39" s="20">
        <f>$G$7</f>
        <v/>
      </c>
      <c r="L39" s="20">
        <f>$G$10</f>
        <v/>
      </c>
      <c r="M39" s="20">
        <f>$G$11</f>
        <v/>
      </c>
      <c r="N39" s="18">
        <f>IF(ISNA(G39),"Sin producción",IF(L39="","Sin límites",IF(G39&gt;L39,"▲ Sobre LCS",IF(G39&lt;M39,"▼ Bajo LCI","En control"))))</f>
        <v/>
      </c>
      <c r="O39" s="18">
        <f>COUNTIFS(Ordenes!$W$2:$W$840,$B39,Ordenes!$X$2:$X$840,$C39,Ordenes!$T$2:$T$840,"A corregir",Ordenes!$F$2:$F$840,IF($B$4="Todos","*",$B$4),Ordenes!$G$2:$G$840,IF($B$5="Todos","*",$B$5))</f>
        <v/>
      </c>
    </row>
    <row r="40">
      <c r="A40" s="18" t="inlineStr">
        <is>
          <t>S26 2026 (22 jun)</t>
        </is>
      </c>
      <c r="B40" s="18" t="n">
        <v>2026</v>
      </c>
      <c r="C40" s="18" t="n">
        <v>26</v>
      </c>
      <c r="D40" s="18">
        <f>COUNTIFS(Ordenes!$W$2:$W$840,$B40,Ordenes!$X$2:$X$840,$C40,Ordenes!$T$2:$T$840,"Válida",Ordenes!$F$2:$F$840,IF($B$4="Todos","*",$B$4),Ordenes!$G$2:$G$840,IF($B$5="Todos","*",$B$5))</f>
        <v/>
      </c>
      <c r="E40" s="19">
        <f>SUMIFS(Ordenes!$P$2:$P$840,Ordenes!$W$2:$W$840,$B40,Ordenes!$X$2:$X$840,$C40,Ordenes!$T$2:$T$840,"Válida",Ordenes!$F$2:$F$840,IF($B$4="Todos","*",$B$4),Ordenes!$G$2:$G$840,IF($B$5="Todos","*",$B$5))</f>
        <v/>
      </c>
      <c r="F40" s="19">
        <f>SUMIFS(Ordenes!$Q$2:$Q$840,Ordenes!$W$2:$W$840,$B40,Ordenes!$X$2:$X$840,$C40,Ordenes!$T$2:$T$840,"Válida",Ordenes!$F$2:$F$840,IF($B$4="Todos","*",$B$4),Ordenes!$G$2:$G$840,IF($B$5="Todos","*",$B$5))</f>
        <v/>
      </c>
      <c r="G40" s="20">
        <f>IF(F40=0,NA(),E40/F40)</f>
        <v/>
      </c>
      <c r="H40" s="20">
        <f>IFERROR(SUMIFS(Ordenes!$V$2:$V$840,Ordenes!$W$2:$W$840,$B40,Ordenes!$X$2:$X$840,$C40,Ordenes!$T$2:$T$840,"Válida",Ordenes!$F$2:$F$840,IF($B$4="Todos","*",$B$4),Ordenes!$G$2:$G$840,IF($B$5="Todos","*",$B$5))/F40,NA())</f>
        <v/>
      </c>
      <c r="I40" s="21">
        <f>IFERROR((G40-H40)*100,"")</f>
        <v/>
      </c>
      <c r="J40" s="20">
        <f>IFERROR(ABS(G40-G39),"")</f>
        <v/>
      </c>
      <c r="K40" s="20">
        <f>$G$7</f>
        <v/>
      </c>
      <c r="L40" s="20">
        <f>$G$10</f>
        <v/>
      </c>
      <c r="M40" s="20">
        <f>$G$11</f>
        <v/>
      </c>
      <c r="N40" s="18">
        <f>IF(ISNA(G40),"Sin producción",IF(L40="","Sin límites",IF(G40&gt;L40,"▲ Sobre LCS",IF(G40&lt;M40,"▼ Bajo LCI","En control"))))</f>
        <v/>
      </c>
      <c r="O40" s="18">
        <f>COUNTIFS(Ordenes!$W$2:$W$840,$B40,Ordenes!$X$2:$X$840,$C40,Ordenes!$T$2:$T$840,"A corregir",Ordenes!$F$2:$F$840,IF($B$4="Todos","*",$B$4),Ordenes!$G$2:$G$840,IF($B$5="Todos","*",$B$5))</f>
        <v/>
      </c>
    </row>
    <row r="41">
      <c r="A41" s="18" t="inlineStr">
        <is>
          <t>S27 2026 (29 jun)</t>
        </is>
      </c>
      <c r="B41" s="18" t="n">
        <v>2026</v>
      </c>
      <c r="C41" s="18" t="n">
        <v>27</v>
      </c>
      <c r="D41" s="18">
        <f>COUNTIFS(Ordenes!$W$2:$W$840,$B41,Ordenes!$X$2:$X$840,$C41,Ordenes!$T$2:$T$840,"Válida",Ordenes!$F$2:$F$840,IF($B$4="Todos","*",$B$4),Ordenes!$G$2:$G$840,IF($B$5="Todos","*",$B$5))</f>
        <v/>
      </c>
      <c r="E41" s="19">
        <f>SUMIFS(Ordenes!$P$2:$P$840,Ordenes!$W$2:$W$840,$B41,Ordenes!$X$2:$X$840,$C41,Ordenes!$T$2:$T$840,"Válida",Ordenes!$F$2:$F$840,IF($B$4="Todos","*",$B$4),Ordenes!$G$2:$G$840,IF($B$5="Todos","*",$B$5))</f>
        <v/>
      </c>
      <c r="F41" s="19">
        <f>SUMIFS(Ordenes!$Q$2:$Q$840,Ordenes!$W$2:$W$840,$B41,Ordenes!$X$2:$X$840,$C41,Ordenes!$T$2:$T$840,"Válida",Ordenes!$F$2:$F$840,IF($B$4="Todos","*",$B$4),Ordenes!$G$2:$G$840,IF($B$5="Todos","*",$B$5))</f>
        <v/>
      </c>
      <c r="G41" s="20">
        <f>IF(F41=0,NA(),E41/F41)</f>
        <v/>
      </c>
      <c r="H41" s="20">
        <f>IFERROR(SUMIFS(Ordenes!$V$2:$V$840,Ordenes!$W$2:$W$840,$B41,Ordenes!$X$2:$X$840,$C41,Ordenes!$T$2:$T$840,"Válida",Ordenes!$F$2:$F$840,IF($B$4="Todos","*",$B$4),Ordenes!$G$2:$G$840,IF($B$5="Todos","*",$B$5))/F41,NA())</f>
        <v/>
      </c>
      <c r="I41" s="21">
        <f>IFERROR((G41-H41)*100,"")</f>
        <v/>
      </c>
      <c r="J41" s="20">
        <f>IFERROR(ABS(G41-G40),"")</f>
        <v/>
      </c>
      <c r="K41" s="20">
        <f>$G$7</f>
        <v/>
      </c>
      <c r="L41" s="20">
        <f>$G$10</f>
        <v/>
      </c>
      <c r="M41" s="20">
        <f>$G$11</f>
        <v/>
      </c>
      <c r="N41" s="18">
        <f>IF(ISNA(G41),"Sin producción",IF(L41="","Sin límites",IF(G41&gt;L41,"▲ Sobre LCS",IF(G41&lt;M41,"▼ Bajo LCI","En control"))))</f>
        <v/>
      </c>
      <c r="O41" s="18">
        <f>COUNTIFS(Ordenes!$W$2:$W$840,$B41,Ordenes!$X$2:$X$840,$C41,Ordenes!$T$2:$T$840,"A corregir",Ordenes!$F$2:$F$840,IF($B$4="Todos","*",$B$4),Ordenes!$G$2:$G$840,IF($B$5="Todos","*",$B$5))</f>
        <v/>
      </c>
    </row>
    <row r="42">
      <c r="A42" s="18" t="inlineStr">
        <is>
          <t>S28 2026 (6 jul)</t>
        </is>
      </c>
      <c r="B42" s="18" t="n">
        <v>2026</v>
      </c>
      <c r="C42" s="18" t="n">
        <v>28</v>
      </c>
      <c r="D42" s="18">
        <f>COUNTIFS(Ordenes!$W$2:$W$840,$B42,Ordenes!$X$2:$X$840,$C42,Ordenes!$T$2:$T$840,"Válida",Ordenes!$F$2:$F$840,IF($B$4="Todos","*",$B$4),Ordenes!$G$2:$G$840,IF($B$5="Todos","*",$B$5))</f>
        <v/>
      </c>
      <c r="E42" s="19">
        <f>SUMIFS(Ordenes!$P$2:$P$840,Ordenes!$W$2:$W$840,$B42,Ordenes!$X$2:$X$840,$C42,Ordenes!$T$2:$T$840,"Válida",Ordenes!$F$2:$F$840,IF($B$4="Todos","*",$B$4),Ordenes!$G$2:$G$840,IF($B$5="Todos","*",$B$5))</f>
        <v/>
      </c>
      <c r="F42" s="19">
        <f>SUMIFS(Ordenes!$Q$2:$Q$840,Ordenes!$W$2:$W$840,$B42,Ordenes!$X$2:$X$840,$C42,Ordenes!$T$2:$T$840,"Válida",Ordenes!$F$2:$F$840,IF($B$4="Todos","*",$B$4),Ordenes!$G$2:$G$840,IF($B$5="Todos","*",$B$5))</f>
        <v/>
      </c>
      <c r="G42" s="20">
        <f>IF(F42=0,NA(),E42/F42)</f>
        <v/>
      </c>
      <c r="H42" s="20">
        <f>IFERROR(SUMIFS(Ordenes!$V$2:$V$840,Ordenes!$W$2:$W$840,$B42,Ordenes!$X$2:$X$840,$C42,Ordenes!$T$2:$T$840,"Válida",Ordenes!$F$2:$F$840,IF($B$4="Todos","*",$B$4),Ordenes!$G$2:$G$840,IF($B$5="Todos","*",$B$5))/F42,NA())</f>
        <v/>
      </c>
      <c r="I42" s="21">
        <f>IFERROR((G42-H42)*100,"")</f>
        <v/>
      </c>
      <c r="J42" s="20">
        <f>IFERROR(ABS(G42-G41),"")</f>
        <v/>
      </c>
      <c r="K42" s="20">
        <f>$G$7</f>
        <v/>
      </c>
      <c r="L42" s="20">
        <f>$G$10</f>
        <v/>
      </c>
      <c r="M42" s="20">
        <f>$G$11</f>
        <v/>
      </c>
      <c r="N42" s="18">
        <f>IF(ISNA(G42),"Sin producción",IF(L42="","Sin límites",IF(G42&gt;L42,"▲ Sobre LCS",IF(G42&lt;M42,"▼ Bajo LCI","En control"))))</f>
        <v/>
      </c>
      <c r="O42" s="18">
        <f>COUNTIFS(Ordenes!$W$2:$W$840,$B42,Ordenes!$X$2:$X$840,$C42,Ordenes!$T$2:$T$840,"A corregir",Ordenes!$F$2:$F$840,IF($B$4="Todos","*",$B$4),Ordenes!$G$2:$G$840,IF($B$5="Todos","*",$B$5))</f>
        <v/>
      </c>
    </row>
    <row r="43">
      <c r="A43" s="18" t="inlineStr">
        <is>
          <t>S29 2026 (13 jul)</t>
        </is>
      </c>
      <c r="B43" s="18" t="n">
        <v>2026</v>
      </c>
      <c r="C43" s="18" t="n">
        <v>29</v>
      </c>
      <c r="D43" s="18">
        <f>COUNTIFS(Ordenes!$W$2:$W$840,$B43,Ordenes!$X$2:$X$840,$C43,Ordenes!$T$2:$T$840,"Válida",Ordenes!$F$2:$F$840,IF($B$4="Todos","*",$B$4),Ordenes!$G$2:$G$840,IF($B$5="Todos","*",$B$5))</f>
        <v/>
      </c>
      <c r="E43" s="19">
        <f>SUMIFS(Ordenes!$P$2:$P$840,Ordenes!$W$2:$W$840,$B43,Ordenes!$X$2:$X$840,$C43,Ordenes!$T$2:$T$840,"Válida",Ordenes!$F$2:$F$840,IF($B$4="Todos","*",$B$4),Ordenes!$G$2:$G$840,IF($B$5="Todos","*",$B$5))</f>
        <v/>
      </c>
      <c r="F43" s="19">
        <f>SUMIFS(Ordenes!$Q$2:$Q$840,Ordenes!$W$2:$W$840,$B43,Ordenes!$X$2:$X$840,$C43,Ordenes!$T$2:$T$840,"Válida",Ordenes!$F$2:$F$840,IF($B$4="Todos","*",$B$4),Ordenes!$G$2:$G$840,IF($B$5="Todos","*",$B$5))</f>
        <v/>
      </c>
      <c r="G43" s="20">
        <f>IF(F43=0,NA(),E43/F43)</f>
        <v/>
      </c>
      <c r="H43" s="20">
        <f>IFERROR(SUMIFS(Ordenes!$V$2:$V$840,Ordenes!$W$2:$W$840,$B43,Ordenes!$X$2:$X$840,$C43,Ordenes!$T$2:$T$840,"Válida",Ordenes!$F$2:$F$840,IF($B$4="Todos","*",$B$4),Ordenes!$G$2:$G$840,IF($B$5="Todos","*",$B$5))/F43,NA())</f>
        <v/>
      </c>
      <c r="I43" s="21">
        <f>IFERROR((G43-H43)*100,"")</f>
        <v/>
      </c>
      <c r="J43" s="20">
        <f>IFERROR(ABS(G43-G42),"")</f>
        <v/>
      </c>
      <c r="K43" s="20">
        <f>$G$7</f>
        <v/>
      </c>
      <c r="L43" s="20">
        <f>$G$10</f>
        <v/>
      </c>
      <c r="M43" s="20">
        <f>$G$11</f>
        <v/>
      </c>
      <c r="N43" s="18">
        <f>IF(ISNA(G43),"Sin producción",IF(L43="","Sin límites",IF(G43&gt;L43,"▲ Sobre LCS",IF(G43&lt;M43,"▼ Bajo LCI","En control"))))</f>
        <v/>
      </c>
      <c r="O43" s="18">
        <f>COUNTIFS(Ordenes!$W$2:$W$840,$B43,Ordenes!$X$2:$X$840,$C43,Ordenes!$T$2:$T$840,"A corregir",Ordenes!$F$2:$F$840,IF($B$4="Todos","*",$B$4),Ordenes!$G$2:$G$840,IF($B$5="Todos","*",$B$5))</f>
        <v/>
      </c>
    </row>
    <row r="44">
      <c r="A44" s="18" t="inlineStr">
        <is>
          <t>S30 2026 (20 jul)</t>
        </is>
      </c>
      <c r="B44" s="18" t="n">
        <v>2026</v>
      </c>
      <c r="C44" s="18" t="n">
        <v>30</v>
      </c>
      <c r="D44" s="18">
        <f>COUNTIFS(Ordenes!$W$2:$W$840,$B44,Ordenes!$X$2:$X$840,$C44,Ordenes!$T$2:$T$840,"Válida",Ordenes!$F$2:$F$840,IF($B$4="Todos","*",$B$4),Ordenes!$G$2:$G$840,IF($B$5="Todos","*",$B$5))</f>
        <v/>
      </c>
      <c r="E44" s="19">
        <f>SUMIFS(Ordenes!$P$2:$P$840,Ordenes!$W$2:$W$840,$B44,Ordenes!$X$2:$X$840,$C44,Ordenes!$T$2:$T$840,"Válida",Ordenes!$F$2:$F$840,IF($B$4="Todos","*",$B$4),Ordenes!$G$2:$G$840,IF($B$5="Todos","*",$B$5))</f>
        <v/>
      </c>
      <c r="F44" s="19">
        <f>SUMIFS(Ordenes!$Q$2:$Q$840,Ordenes!$W$2:$W$840,$B44,Ordenes!$X$2:$X$840,$C44,Ordenes!$T$2:$T$840,"Válida",Ordenes!$F$2:$F$840,IF($B$4="Todos","*",$B$4),Ordenes!$G$2:$G$840,IF($B$5="Todos","*",$B$5))</f>
        <v/>
      </c>
      <c r="G44" s="20">
        <f>IF(F44=0,NA(),E44/F44)</f>
        <v/>
      </c>
      <c r="H44" s="20">
        <f>IFERROR(SUMIFS(Ordenes!$V$2:$V$840,Ordenes!$W$2:$W$840,$B44,Ordenes!$X$2:$X$840,$C44,Ordenes!$T$2:$T$840,"Válida",Ordenes!$F$2:$F$840,IF($B$4="Todos","*",$B$4),Ordenes!$G$2:$G$840,IF($B$5="Todos","*",$B$5))/F44,NA())</f>
        <v/>
      </c>
      <c r="I44" s="21">
        <f>IFERROR((G44-H44)*100,"")</f>
        <v/>
      </c>
      <c r="J44" s="20">
        <f>IFERROR(ABS(G44-G43),"")</f>
        <v/>
      </c>
      <c r="K44" s="20">
        <f>$G$7</f>
        <v/>
      </c>
      <c r="L44" s="20">
        <f>$G$10</f>
        <v/>
      </c>
      <c r="M44" s="20">
        <f>$G$11</f>
        <v/>
      </c>
      <c r="N44" s="18">
        <f>IF(ISNA(G44),"Sin producción",IF(L44="","Sin límites",IF(G44&gt;L44,"▲ Sobre LCS",IF(G44&lt;M44,"▼ Bajo LCI","En control"))))</f>
        <v/>
      </c>
      <c r="O44" s="18">
        <f>COUNTIFS(Ordenes!$W$2:$W$840,$B44,Ordenes!$X$2:$X$840,$C44,Ordenes!$T$2:$T$840,"A corregir",Ordenes!$F$2:$F$840,IF($B$4="Todos","*",$B$4),Ordenes!$G$2:$G$840,IF($B$5="Todos","*",$B$5))</f>
        <v/>
      </c>
    </row>
    <row r="45">
      <c r="A45" s="18" t="inlineStr">
        <is>
          <t>S31 2026 (27 jul)</t>
        </is>
      </c>
      <c r="B45" s="18" t="n">
        <v>2026</v>
      </c>
      <c r="C45" s="18" t="n">
        <v>31</v>
      </c>
      <c r="D45" s="18">
        <f>COUNTIFS(Ordenes!$W$2:$W$840,$B45,Ordenes!$X$2:$X$840,$C45,Ordenes!$T$2:$T$840,"Válida",Ordenes!$F$2:$F$840,IF($B$4="Todos","*",$B$4),Ordenes!$G$2:$G$840,IF($B$5="Todos","*",$B$5))</f>
        <v/>
      </c>
      <c r="E45" s="19">
        <f>SUMIFS(Ordenes!$P$2:$P$840,Ordenes!$W$2:$W$840,$B45,Ordenes!$X$2:$X$840,$C45,Ordenes!$T$2:$T$840,"Válida",Ordenes!$F$2:$F$840,IF($B$4="Todos","*",$B$4),Ordenes!$G$2:$G$840,IF($B$5="Todos","*",$B$5))</f>
        <v/>
      </c>
      <c r="F45" s="19">
        <f>SUMIFS(Ordenes!$Q$2:$Q$840,Ordenes!$W$2:$W$840,$B45,Ordenes!$X$2:$X$840,$C45,Ordenes!$T$2:$T$840,"Válida",Ordenes!$F$2:$F$840,IF($B$4="Todos","*",$B$4),Ordenes!$G$2:$G$840,IF($B$5="Todos","*",$B$5))</f>
        <v/>
      </c>
      <c r="G45" s="20">
        <f>IF(F45=0,NA(),E45/F45)</f>
        <v/>
      </c>
      <c r="H45" s="20">
        <f>IFERROR(SUMIFS(Ordenes!$V$2:$V$840,Ordenes!$W$2:$W$840,$B45,Ordenes!$X$2:$X$840,$C45,Ordenes!$T$2:$T$840,"Válida",Ordenes!$F$2:$F$840,IF($B$4="Todos","*",$B$4),Ordenes!$G$2:$G$840,IF($B$5="Todos","*",$B$5))/F45,NA())</f>
        <v/>
      </c>
      <c r="I45" s="21">
        <f>IFERROR((G45-H45)*100,"")</f>
        <v/>
      </c>
      <c r="J45" s="20">
        <f>IFERROR(ABS(G45-G44),"")</f>
        <v/>
      </c>
      <c r="K45" s="20">
        <f>$G$7</f>
        <v/>
      </c>
      <c r="L45" s="20">
        <f>$G$10</f>
        <v/>
      </c>
      <c r="M45" s="20">
        <f>$G$11</f>
        <v/>
      </c>
      <c r="N45" s="18">
        <f>IF(ISNA(G45),"Sin producción",IF(L45="","Sin límites",IF(G45&gt;L45,"▲ Sobre LCS",IF(G45&lt;M45,"▼ Bajo LCI","En control"))))</f>
        <v/>
      </c>
      <c r="O45" s="18">
        <f>COUNTIFS(Ordenes!$W$2:$W$840,$B45,Ordenes!$X$2:$X$840,$C45,Ordenes!$T$2:$T$840,"A corregir",Ordenes!$F$2:$F$840,IF($B$4="Todos","*",$B$4),Ordenes!$G$2:$G$840,IF($B$5="Todos","*",$B$5))</f>
        <v/>
      </c>
    </row>
    <row r="46">
      <c r="A46" s="18" t="inlineStr">
        <is>
          <t>S32 2026 (3 ago)</t>
        </is>
      </c>
      <c r="B46" s="18" t="n">
        <v>2026</v>
      </c>
      <c r="C46" s="18" t="n">
        <v>32</v>
      </c>
      <c r="D46" s="18">
        <f>COUNTIFS(Ordenes!$W$2:$W$840,$B46,Ordenes!$X$2:$X$840,$C46,Ordenes!$T$2:$T$840,"Válida",Ordenes!$F$2:$F$840,IF($B$4="Todos","*",$B$4),Ordenes!$G$2:$G$840,IF($B$5="Todos","*",$B$5))</f>
        <v/>
      </c>
      <c r="E46" s="19">
        <f>SUMIFS(Ordenes!$P$2:$P$840,Ordenes!$W$2:$W$840,$B46,Ordenes!$X$2:$X$840,$C46,Ordenes!$T$2:$T$840,"Válida",Ordenes!$F$2:$F$840,IF($B$4="Todos","*",$B$4),Ordenes!$G$2:$G$840,IF($B$5="Todos","*",$B$5))</f>
        <v/>
      </c>
      <c r="F46" s="19">
        <f>SUMIFS(Ordenes!$Q$2:$Q$840,Ordenes!$W$2:$W$840,$B46,Ordenes!$X$2:$X$840,$C46,Ordenes!$T$2:$T$840,"Válida",Ordenes!$F$2:$F$840,IF($B$4="Todos","*",$B$4),Ordenes!$G$2:$G$840,IF($B$5="Todos","*",$B$5))</f>
        <v/>
      </c>
      <c r="G46" s="20">
        <f>IF(F46=0,NA(),E46/F46)</f>
        <v/>
      </c>
      <c r="H46" s="20">
        <f>IFERROR(SUMIFS(Ordenes!$V$2:$V$840,Ordenes!$W$2:$W$840,$B46,Ordenes!$X$2:$X$840,$C46,Ordenes!$T$2:$T$840,"Válida",Ordenes!$F$2:$F$840,IF($B$4="Todos","*",$B$4),Ordenes!$G$2:$G$840,IF($B$5="Todos","*",$B$5))/F46,NA())</f>
        <v/>
      </c>
      <c r="I46" s="21">
        <f>IFERROR((G46-H46)*100,"")</f>
        <v/>
      </c>
      <c r="J46" s="20">
        <f>IFERROR(ABS(G46-G45),"")</f>
        <v/>
      </c>
      <c r="K46" s="20">
        <f>$G$7</f>
        <v/>
      </c>
      <c r="L46" s="20">
        <f>$G$10</f>
        <v/>
      </c>
      <c r="M46" s="20">
        <f>$G$11</f>
        <v/>
      </c>
      <c r="N46" s="18">
        <f>IF(ISNA(G46),"Sin producción",IF(L46="","Sin límites",IF(G46&gt;L46,"▲ Sobre LCS",IF(G46&lt;M46,"▼ Bajo LCI","En control"))))</f>
        <v/>
      </c>
      <c r="O46" s="18">
        <f>COUNTIFS(Ordenes!$W$2:$W$840,$B46,Ordenes!$X$2:$X$840,$C46,Ordenes!$T$2:$T$840,"A corregir",Ordenes!$F$2:$F$840,IF($B$4="Todos","*",$B$4),Ordenes!$G$2:$G$840,IF($B$5="Todos","*",$B$5))</f>
        <v/>
      </c>
    </row>
    <row r="47">
      <c r="A47" s="18" t="inlineStr">
        <is>
          <t>S33 2026 (10 ago)</t>
        </is>
      </c>
      <c r="B47" s="18" t="n">
        <v>2026</v>
      </c>
      <c r="C47" s="18" t="n">
        <v>33</v>
      </c>
      <c r="D47" s="18">
        <f>COUNTIFS(Ordenes!$W$2:$W$840,$B47,Ordenes!$X$2:$X$840,$C47,Ordenes!$T$2:$T$840,"Válida",Ordenes!$F$2:$F$840,IF($B$4="Todos","*",$B$4),Ordenes!$G$2:$G$840,IF($B$5="Todos","*",$B$5))</f>
        <v/>
      </c>
      <c r="E47" s="19">
        <f>SUMIFS(Ordenes!$P$2:$P$840,Ordenes!$W$2:$W$840,$B47,Ordenes!$X$2:$X$840,$C47,Ordenes!$T$2:$T$840,"Válida",Ordenes!$F$2:$F$840,IF($B$4="Todos","*",$B$4),Ordenes!$G$2:$G$840,IF($B$5="Todos","*",$B$5))</f>
        <v/>
      </c>
      <c r="F47" s="19">
        <f>SUMIFS(Ordenes!$Q$2:$Q$840,Ordenes!$W$2:$W$840,$B47,Ordenes!$X$2:$X$840,$C47,Ordenes!$T$2:$T$840,"Válida",Ordenes!$F$2:$F$840,IF($B$4="Todos","*",$B$4),Ordenes!$G$2:$G$840,IF($B$5="Todos","*",$B$5))</f>
        <v/>
      </c>
      <c r="G47" s="20">
        <f>IF(F47=0,NA(),E47/F47)</f>
        <v/>
      </c>
      <c r="H47" s="20">
        <f>IFERROR(SUMIFS(Ordenes!$V$2:$V$840,Ordenes!$W$2:$W$840,$B47,Ordenes!$X$2:$X$840,$C47,Ordenes!$T$2:$T$840,"Válida",Ordenes!$F$2:$F$840,IF($B$4="Todos","*",$B$4),Ordenes!$G$2:$G$840,IF($B$5="Todos","*",$B$5))/F47,NA())</f>
        <v/>
      </c>
      <c r="I47" s="21">
        <f>IFERROR((G47-H47)*100,"")</f>
        <v/>
      </c>
      <c r="J47" s="20">
        <f>IFERROR(ABS(G47-G46),"")</f>
        <v/>
      </c>
      <c r="K47" s="20">
        <f>$G$7</f>
        <v/>
      </c>
      <c r="L47" s="20">
        <f>$G$10</f>
        <v/>
      </c>
      <c r="M47" s="20">
        <f>$G$11</f>
        <v/>
      </c>
      <c r="N47" s="18">
        <f>IF(ISNA(G47),"Sin producción",IF(L47="","Sin límites",IF(G47&gt;L47,"▲ Sobre LCS",IF(G47&lt;M47,"▼ Bajo LCI","En control"))))</f>
        <v/>
      </c>
      <c r="O47" s="18">
        <f>COUNTIFS(Ordenes!$W$2:$W$840,$B47,Ordenes!$X$2:$X$840,$C47,Ordenes!$T$2:$T$840,"A corregir",Ordenes!$F$2:$F$840,IF($B$4="Todos","*",$B$4),Ordenes!$G$2:$G$840,IF($B$5="Todos","*",$B$5))</f>
        <v/>
      </c>
    </row>
    <row r="48">
      <c r="A48" s="18" t="inlineStr">
        <is>
          <t>S34 2026 (17 ago)</t>
        </is>
      </c>
      <c r="B48" s="18" t="n">
        <v>2026</v>
      </c>
      <c r="C48" s="18" t="n">
        <v>34</v>
      </c>
      <c r="D48" s="18">
        <f>COUNTIFS(Ordenes!$W$2:$W$840,$B48,Ordenes!$X$2:$X$840,$C48,Ordenes!$T$2:$T$840,"Válida",Ordenes!$F$2:$F$840,IF($B$4="Todos","*",$B$4),Ordenes!$G$2:$G$840,IF($B$5="Todos","*",$B$5))</f>
        <v/>
      </c>
      <c r="E48" s="19">
        <f>SUMIFS(Ordenes!$P$2:$P$840,Ordenes!$W$2:$W$840,$B48,Ordenes!$X$2:$X$840,$C48,Ordenes!$T$2:$T$840,"Válida",Ordenes!$F$2:$F$840,IF($B$4="Todos","*",$B$4),Ordenes!$G$2:$G$840,IF($B$5="Todos","*",$B$5))</f>
        <v/>
      </c>
      <c r="F48" s="19">
        <f>SUMIFS(Ordenes!$Q$2:$Q$840,Ordenes!$W$2:$W$840,$B48,Ordenes!$X$2:$X$840,$C48,Ordenes!$T$2:$T$840,"Válida",Ordenes!$F$2:$F$840,IF($B$4="Todos","*",$B$4),Ordenes!$G$2:$G$840,IF($B$5="Todos","*",$B$5))</f>
        <v/>
      </c>
      <c r="G48" s="20">
        <f>IF(F48=0,NA(),E48/F48)</f>
        <v/>
      </c>
      <c r="H48" s="20">
        <f>IFERROR(SUMIFS(Ordenes!$V$2:$V$840,Ordenes!$W$2:$W$840,$B48,Ordenes!$X$2:$X$840,$C48,Ordenes!$T$2:$T$840,"Válida",Ordenes!$F$2:$F$840,IF($B$4="Todos","*",$B$4),Ordenes!$G$2:$G$840,IF($B$5="Todos","*",$B$5))/F48,NA())</f>
        <v/>
      </c>
      <c r="I48" s="21">
        <f>IFERROR((G48-H48)*100,"")</f>
        <v/>
      </c>
      <c r="J48" s="20">
        <f>IFERROR(ABS(G48-G47),"")</f>
        <v/>
      </c>
      <c r="K48" s="20">
        <f>$G$7</f>
        <v/>
      </c>
      <c r="L48" s="20">
        <f>$G$10</f>
        <v/>
      </c>
      <c r="M48" s="20">
        <f>$G$11</f>
        <v/>
      </c>
      <c r="N48" s="18">
        <f>IF(ISNA(G48),"Sin producción",IF(L48="","Sin límites",IF(G48&gt;L48,"▲ Sobre LCS",IF(G48&lt;M48,"▼ Bajo LCI","En control"))))</f>
        <v/>
      </c>
      <c r="O48" s="18">
        <f>COUNTIFS(Ordenes!$W$2:$W$840,$B48,Ordenes!$X$2:$X$840,$C48,Ordenes!$T$2:$T$840,"A corregir",Ordenes!$F$2:$F$840,IF($B$4="Todos","*",$B$4),Ordenes!$G$2:$G$840,IF($B$5="Todos","*",$B$5))</f>
        <v/>
      </c>
    </row>
    <row r="49">
      <c r="A49" s="18" t="inlineStr">
        <is>
          <t>S35 2026 (24 ago)</t>
        </is>
      </c>
      <c r="B49" s="18" t="n">
        <v>2026</v>
      </c>
      <c r="C49" s="18" t="n">
        <v>35</v>
      </c>
      <c r="D49" s="18">
        <f>COUNTIFS(Ordenes!$W$2:$W$840,$B49,Ordenes!$X$2:$X$840,$C49,Ordenes!$T$2:$T$840,"Válida",Ordenes!$F$2:$F$840,IF($B$4="Todos","*",$B$4),Ordenes!$G$2:$G$840,IF($B$5="Todos","*",$B$5))</f>
        <v/>
      </c>
      <c r="E49" s="19">
        <f>SUMIFS(Ordenes!$P$2:$P$840,Ordenes!$W$2:$W$840,$B49,Ordenes!$X$2:$X$840,$C49,Ordenes!$T$2:$T$840,"Válida",Ordenes!$F$2:$F$840,IF($B$4="Todos","*",$B$4),Ordenes!$G$2:$G$840,IF($B$5="Todos","*",$B$5))</f>
        <v/>
      </c>
      <c r="F49" s="19">
        <f>SUMIFS(Ordenes!$Q$2:$Q$840,Ordenes!$W$2:$W$840,$B49,Ordenes!$X$2:$X$840,$C49,Ordenes!$T$2:$T$840,"Válida",Ordenes!$F$2:$F$840,IF($B$4="Todos","*",$B$4),Ordenes!$G$2:$G$840,IF($B$5="Todos","*",$B$5))</f>
        <v/>
      </c>
      <c r="G49" s="20">
        <f>IF(F49=0,NA(),E49/F49)</f>
        <v/>
      </c>
      <c r="H49" s="20">
        <f>IFERROR(SUMIFS(Ordenes!$V$2:$V$840,Ordenes!$W$2:$W$840,$B49,Ordenes!$X$2:$X$840,$C49,Ordenes!$T$2:$T$840,"Válida",Ordenes!$F$2:$F$840,IF($B$4="Todos","*",$B$4),Ordenes!$G$2:$G$840,IF($B$5="Todos","*",$B$5))/F49,NA())</f>
        <v/>
      </c>
      <c r="I49" s="21">
        <f>IFERROR((G49-H49)*100,"")</f>
        <v/>
      </c>
      <c r="J49" s="20">
        <f>IFERROR(ABS(G49-G48),"")</f>
        <v/>
      </c>
      <c r="K49" s="20">
        <f>$G$7</f>
        <v/>
      </c>
      <c r="L49" s="20">
        <f>$G$10</f>
        <v/>
      </c>
      <c r="M49" s="20">
        <f>$G$11</f>
        <v/>
      </c>
      <c r="N49" s="18">
        <f>IF(ISNA(G49),"Sin producción",IF(L49="","Sin límites",IF(G49&gt;L49,"▲ Sobre LCS",IF(G49&lt;M49,"▼ Bajo LCI","En control"))))</f>
        <v/>
      </c>
      <c r="O49" s="18">
        <f>COUNTIFS(Ordenes!$W$2:$W$840,$B49,Ordenes!$X$2:$X$840,$C49,Ordenes!$T$2:$T$840,"A corregir",Ordenes!$F$2:$F$840,IF($B$4="Todos","*",$B$4),Ordenes!$G$2:$G$840,IF($B$5="Todos","*",$B$5))</f>
        <v/>
      </c>
    </row>
    <row r="50">
      <c r="A50" s="18" t="inlineStr">
        <is>
          <t>S36 2026 (31 ago)</t>
        </is>
      </c>
      <c r="B50" s="18" t="n">
        <v>2026</v>
      </c>
      <c r="C50" s="18" t="n">
        <v>36</v>
      </c>
      <c r="D50" s="18">
        <f>COUNTIFS(Ordenes!$W$2:$W$840,$B50,Ordenes!$X$2:$X$840,$C50,Ordenes!$T$2:$T$840,"Válida",Ordenes!$F$2:$F$840,IF($B$4="Todos","*",$B$4),Ordenes!$G$2:$G$840,IF($B$5="Todos","*",$B$5))</f>
        <v/>
      </c>
      <c r="E50" s="19">
        <f>SUMIFS(Ordenes!$P$2:$P$840,Ordenes!$W$2:$W$840,$B50,Ordenes!$X$2:$X$840,$C50,Ordenes!$T$2:$T$840,"Válida",Ordenes!$F$2:$F$840,IF($B$4="Todos","*",$B$4),Ordenes!$G$2:$G$840,IF($B$5="Todos","*",$B$5))</f>
        <v/>
      </c>
      <c r="F50" s="19">
        <f>SUMIFS(Ordenes!$Q$2:$Q$840,Ordenes!$W$2:$W$840,$B50,Ordenes!$X$2:$X$840,$C50,Ordenes!$T$2:$T$840,"Válida",Ordenes!$F$2:$F$840,IF($B$4="Todos","*",$B$4),Ordenes!$G$2:$G$840,IF($B$5="Todos","*",$B$5))</f>
        <v/>
      </c>
      <c r="G50" s="20">
        <f>IF(F50=0,NA(),E50/F50)</f>
        <v/>
      </c>
      <c r="H50" s="20">
        <f>IFERROR(SUMIFS(Ordenes!$V$2:$V$840,Ordenes!$W$2:$W$840,$B50,Ordenes!$X$2:$X$840,$C50,Ordenes!$T$2:$T$840,"Válida",Ordenes!$F$2:$F$840,IF($B$4="Todos","*",$B$4),Ordenes!$G$2:$G$840,IF($B$5="Todos","*",$B$5))/F50,NA())</f>
        <v/>
      </c>
      <c r="I50" s="21">
        <f>IFERROR((G50-H50)*100,"")</f>
        <v/>
      </c>
      <c r="J50" s="20">
        <f>IFERROR(ABS(G50-G49),"")</f>
        <v/>
      </c>
      <c r="K50" s="20">
        <f>$G$7</f>
        <v/>
      </c>
      <c r="L50" s="20">
        <f>$G$10</f>
        <v/>
      </c>
      <c r="M50" s="20">
        <f>$G$11</f>
        <v/>
      </c>
      <c r="N50" s="18">
        <f>IF(ISNA(G50),"Sin producción",IF(L50="","Sin límites",IF(G50&gt;L50,"▲ Sobre LCS",IF(G50&lt;M50,"▼ Bajo LCI","En control"))))</f>
        <v/>
      </c>
      <c r="O50" s="18">
        <f>COUNTIFS(Ordenes!$W$2:$W$840,$B50,Ordenes!$X$2:$X$840,$C50,Ordenes!$T$2:$T$840,"A corregir",Ordenes!$F$2:$F$840,IF($B$4="Todos","*",$B$4),Ordenes!$G$2:$G$840,IF($B$5="Todos","*",$B$5))</f>
        <v/>
      </c>
    </row>
    <row r="51">
      <c r="A51" s="18" t="inlineStr">
        <is>
          <t>S37 2026 (7 sep)</t>
        </is>
      </c>
      <c r="B51" s="18" t="n">
        <v>2026</v>
      </c>
      <c r="C51" s="18" t="n">
        <v>37</v>
      </c>
      <c r="D51" s="18">
        <f>COUNTIFS(Ordenes!$W$2:$W$840,$B51,Ordenes!$X$2:$X$840,$C51,Ordenes!$T$2:$T$840,"Válida",Ordenes!$F$2:$F$840,IF($B$4="Todos","*",$B$4),Ordenes!$G$2:$G$840,IF($B$5="Todos","*",$B$5))</f>
        <v/>
      </c>
      <c r="E51" s="19">
        <f>SUMIFS(Ordenes!$P$2:$P$840,Ordenes!$W$2:$W$840,$B51,Ordenes!$X$2:$X$840,$C51,Ordenes!$T$2:$T$840,"Válida",Ordenes!$F$2:$F$840,IF($B$4="Todos","*",$B$4),Ordenes!$G$2:$G$840,IF($B$5="Todos","*",$B$5))</f>
        <v/>
      </c>
      <c r="F51" s="19">
        <f>SUMIFS(Ordenes!$Q$2:$Q$840,Ordenes!$W$2:$W$840,$B51,Ordenes!$X$2:$X$840,$C51,Ordenes!$T$2:$T$840,"Válida",Ordenes!$F$2:$F$840,IF($B$4="Todos","*",$B$4),Ordenes!$G$2:$G$840,IF($B$5="Todos","*",$B$5))</f>
        <v/>
      </c>
      <c r="G51" s="20">
        <f>IF(F51=0,NA(),E51/F51)</f>
        <v/>
      </c>
      <c r="H51" s="20">
        <f>IFERROR(SUMIFS(Ordenes!$V$2:$V$840,Ordenes!$W$2:$W$840,$B51,Ordenes!$X$2:$X$840,$C51,Ordenes!$T$2:$T$840,"Válida",Ordenes!$F$2:$F$840,IF($B$4="Todos","*",$B$4),Ordenes!$G$2:$G$840,IF($B$5="Todos","*",$B$5))/F51,NA())</f>
        <v/>
      </c>
      <c r="I51" s="21">
        <f>IFERROR((G51-H51)*100,"")</f>
        <v/>
      </c>
      <c r="J51" s="20">
        <f>IFERROR(ABS(G51-G50),"")</f>
        <v/>
      </c>
      <c r="K51" s="20">
        <f>$G$7</f>
        <v/>
      </c>
      <c r="L51" s="20">
        <f>$G$10</f>
        <v/>
      </c>
      <c r="M51" s="20">
        <f>$G$11</f>
        <v/>
      </c>
      <c r="N51" s="18">
        <f>IF(ISNA(G51),"Sin producción",IF(L51="","Sin límites",IF(G51&gt;L51,"▲ Sobre LCS",IF(G51&lt;M51,"▼ Bajo LCI","En control"))))</f>
        <v/>
      </c>
      <c r="O51" s="18">
        <f>COUNTIFS(Ordenes!$W$2:$W$840,$B51,Ordenes!$X$2:$X$840,$C51,Ordenes!$T$2:$T$840,"A corregir",Ordenes!$F$2:$F$840,IF($B$4="Todos","*",$B$4),Ordenes!$G$2:$G$840,IF($B$5="Todos","*",$B$5))</f>
        <v/>
      </c>
    </row>
    <row r="52">
      <c r="A52" s="18" t="inlineStr">
        <is>
          <t>S38 2026 (14 sep)</t>
        </is>
      </c>
      <c r="B52" s="18" t="n">
        <v>2026</v>
      </c>
      <c r="C52" s="18" t="n">
        <v>38</v>
      </c>
      <c r="D52" s="18">
        <f>COUNTIFS(Ordenes!$W$2:$W$840,$B52,Ordenes!$X$2:$X$840,$C52,Ordenes!$T$2:$T$840,"Válida",Ordenes!$F$2:$F$840,IF($B$4="Todos","*",$B$4),Ordenes!$G$2:$G$840,IF($B$5="Todos","*",$B$5))</f>
        <v/>
      </c>
      <c r="E52" s="19">
        <f>SUMIFS(Ordenes!$P$2:$P$840,Ordenes!$W$2:$W$840,$B52,Ordenes!$X$2:$X$840,$C52,Ordenes!$T$2:$T$840,"Válida",Ordenes!$F$2:$F$840,IF($B$4="Todos","*",$B$4),Ordenes!$G$2:$G$840,IF($B$5="Todos","*",$B$5))</f>
        <v/>
      </c>
      <c r="F52" s="19">
        <f>SUMIFS(Ordenes!$Q$2:$Q$840,Ordenes!$W$2:$W$840,$B52,Ordenes!$X$2:$X$840,$C52,Ordenes!$T$2:$T$840,"Válida",Ordenes!$F$2:$F$840,IF($B$4="Todos","*",$B$4),Ordenes!$G$2:$G$840,IF($B$5="Todos","*",$B$5))</f>
        <v/>
      </c>
      <c r="G52" s="20">
        <f>IF(F52=0,NA(),E52/F52)</f>
        <v/>
      </c>
      <c r="H52" s="20">
        <f>IFERROR(SUMIFS(Ordenes!$V$2:$V$840,Ordenes!$W$2:$W$840,$B52,Ordenes!$X$2:$X$840,$C52,Ordenes!$T$2:$T$840,"Válida",Ordenes!$F$2:$F$840,IF($B$4="Todos","*",$B$4),Ordenes!$G$2:$G$840,IF($B$5="Todos","*",$B$5))/F52,NA())</f>
        <v/>
      </c>
      <c r="I52" s="21">
        <f>IFERROR((G52-H52)*100,"")</f>
        <v/>
      </c>
      <c r="J52" s="20">
        <f>IFERROR(ABS(G52-G51),"")</f>
        <v/>
      </c>
      <c r="K52" s="20">
        <f>$G$7</f>
        <v/>
      </c>
      <c r="L52" s="20">
        <f>$G$10</f>
        <v/>
      </c>
      <c r="M52" s="20">
        <f>$G$11</f>
        <v/>
      </c>
      <c r="N52" s="18">
        <f>IF(ISNA(G52),"Sin producción",IF(L52="","Sin límites",IF(G52&gt;L52,"▲ Sobre LCS",IF(G52&lt;M52,"▼ Bajo LCI","En control"))))</f>
        <v/>
      </c>
      <c r="O52" s="18">
        <f>COUNTIFS(Ordenes!$W$2:$W$840,$B52,Ordenes!$X$2:$X$840,$C52,Ordenes!$T$2:$T$840,"A corregir",Ordenes!$F$2:$F$840,IF($B$4="Todos","*",$B$4),Ordenes!$G$2:$G$840,IF($B$5="Todos","*",$B$5))</f>
        <v/>
      </c>
    </row>
    <row r="53">
      <c r="A53" s="18" t="inlineStr">
        <is>
          <t>S39 2026 (21 sep)</t>
        </is>
      </c>
      <c r="B53" s="18" t="n">
        <v>2026</v>
      </c>
      <c r="C53" s="18" t="n">
        <v>39</v>
      </c>
      <c r="D53" s="18">
        <f>COUNTIFS(Ordenes!$W$2:$W$840,$B53,Ordenes!$X$2:$X$840,$C53,Ordenes!$T$2:$T$840,"Válida",Ordenes!$F$2:$F$840,IF($B$4="Todos","*",$B$4),Ordenes!$G$2:$G$840,IF($B$5="Todos","*",$B$5))</f>
        <v/>
      </c>
      <c r="E53" s="19">
        <f>SUMIFS(Ordenes!$P$2:$P$840,Ordenes!$W$2:$W$840,$B53,Ordenes!$X$2:$X$840,$C53,Ordenes!$T$2:$T$840,"Válida",Ordenes!$F$2:$F$840,IF($B$4="Todos","*",$B$4),Ordenes!$G$2:$G$840,IF($B$5="Todos","*",$B$5))</f>
        <v/>
      </c>
      <c r="F53" s="19">
        <f>SUMIFS(Ordenes!$Q$2:$Q$840,Ordenes!$W$2:$W$840,$B53,Ordenes!$X$2:$X$840,$C53,Ordenes!$T$2:$T$840,"Válida",Ordenes!$F$2:$F$840,IF($B$4="Todos","*",$B$4),Ordenes!$G$2:$G$840,IF($B$5="Todos","*",$B$5))</f>
        <v/>
      </c>
      <c r="G53" s="20">
        <f>IF(F53=0,NA(),E53/F53)</f>
        <v/>
      </c>
      <c r="H53" s="20">
        <f>IFERROR(SUMIFS(Ordenes!$V$2:$V$840,Ordenes!$W$2:$W$840,$B53,Ordenes!$X$2:$X$840,$C53,Ordenes!$T$2:$T$840,"Válida",Ordenes!$F$2:$F$840,IF($B$4="Todos","*",$B$4),Ordenes!$G$2:$G$840,IF($B$5="Todos","*",$B$5))/F53,NA())</f>
        <v/>
      </c>
      <c r="I53" s="21">
        <f>IFERROR((G53-H53)*100,"")</f>
        <v/>
      </c>
      <c r="J53" s="20">
        <f>IFERROR(ABS(G53-G52),"")</f>
        <v/>
      </c>
      <c r="K53" s="20">
        <f>$G$7</f>
        <v/>
      </c>
      <c r="L53" s="20">
        <f>$G$10</f>
        <v/>
      </c>
      <c r="M53" s="20">
        <f>$G$11</f>
        <v/>
      </c>
      <c r="N53" s="18">
        <f>IF(ISNA(G53),"Sin producción",IF(L53="","Sin límites",IF(G53&gt;L53,"▲ Sobre LCS",IF(G53&lt;M53,"▼ Bajo LCI","En control"))))</f>
        <v/>
      </c>
      <c r="O53" s="18">
        <f>COUNTIFS(Ordenes!$W$2:$W$840,$B53,Ordenes!$X$2:$X$840,$C53,Ordenes!$T$2:$T$840,"A corregir",Ordenes!$F$2:$F$840,IF($B$4="Todos","*",$B$4),Ordenes!$G$2:$G$840,IF($B$5="Todos","*",$B$5))</f>
        <v/>
      </c>
    </row>
  </sheetData>
  <conditionalFormatting sqref="N16:N53">
    <cfRule type="expression" priority="1" dxfId="1">
      <formula>LEFT(N16,1)&lt;&gt;"E"</formula>
    </cfRule>
  </conditionalFormatting>
  <conditionalFormatting sqref="I16:I53">
    <cfRule type="cellIs" priority="2" operator="lessThan" dxfId="2">
      <formula>0</formula>
    </cfRule>
  </conditionalFormatting>
  <dataValidations count="1">
    <dataValidation sqref="B4" showDropDown="0" showInputMessage="0" showErrorMessage="0" allowBlank="0" type="list">
      <formula1>"Todos,B Hormigón,Redondo liso,Plana,Ángulo,Cuadrado,Estrella,Saferock,Hexágono"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32"/>
  <sheetViews>
    <sheetView showGridLines="0"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10" customWidth="1" min="4" max="4"/>
    <col width="14" customWidth="1" min="5" max="5"/>
    <col width="26" customWidth="1" min="6" max="6"/>
    <col width="11" customWidth="1" min="7" max="7"/>
    <col width="10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14" customWidth="1" min="14" max="14"/>
    <col width="11" customWidth="1" min="15" max="15"/>
  </cols>
  <sheetData>
    <row r="1">
      <c r="A1" s="1" t="inlineStr">
        <is>
          <t>Carta de control diaria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Carta I-MR sobre el rendimiento ponderado (Σ kg producidos / Σ kg consumidos) de las órdenes válidas (≤ 100 %).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4" t="inlineStr">
        <is>
          <t>Grupo:</t>
        </is>
      </c>
      <c r="B4" s="16" t="inlineStr">
        <is>
          <t>Todos</t>
        </is>
      </c>
      <c r="C4" s="3" t="inlineStr">
        <is>
          <t>← elige un grupo de la lista (celda amarilla) o deja «Todos»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4" t="inlineStr">
        <is>
          <t>Producto:</t>
        </is>
      </c>
      <c r="B5" s="16" t="inlineStr">
        <is>
          <t>Todos</t>
        </is>
      </c>
      <c r="C5" s="3" t="inlineStr">
        <is>
          <t>← escribe el nombre exacto del producto (columna Producto de «Ordenes») o deja «Todos»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4" t="inlineStr">
        <is>
          <t>LC (rend. ponderado)</t>
        </is>
      </c>
      <c r="G7" s="17">
        <f>IFERROR(SUM(E16:E232)/SUM(F16:F232),"")</f>
        <v/>
      </c>
      <c r="H7" s="3" t="inlineStr">
        <is>
          <t>d2 = 1,128 es la constante de la carta I-MR para rangos móviles de 2 puntos.</t>
        </is>
      </c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4" t="inlineStr">
        <is>
          <t>MR̄ (promedio rango móvil)</t>
        </is>
      </c>
      <c r="G8" s="17">
        <f>IFERROR(AVERAGE(J16:J232),"")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4" t="inlineStr">
        <is>
          <t>σ = MR̄ / 1,128</t>
        </is>
      </c>
      <c r="G9" s="17">
        <f>IFERROR(G8/1.128,"")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4" t="inlineStr">
        <is>
          <t>LCS = LC + 3σ</t>
        </is>
      </c>
      <c r="G10" s="17">
        <f>IFERROR(G7+3*G9,"")</f>
        <v/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4" t="inlineStr">
        <is>
          <t>LCI = LC − 3σ</t>
        </is>
      </c>
      <c r="G11" s="17">
        <f>IFERROR(G7-3*G9,"")</f>
        <v/>
      </c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4" t="inlineStr">
        <is>
          <t>Meta ponderada</t>
        </is>
      </c>
      <c r="G12" s="17">
        <f>IFERROR(SUMIFS(Ordenes!$V$2:$V$840,Ordenes!$T$2:$T$840,"Válida",Ordenes!$F$2:$F$840,IF($B$4="Todos","*",$B$4),Ordenes!$G$2:$G$840,IF($B$5="Todos","*",$B$5))/SUMIFS(Ordenes!$Q$2:$Q$840,Ordenes!$T$2:$T$840,"Válida",Ordenes!$F$2:$F$840,IF($B$4="Todos","*",$B$4),Ordenes!$G$2:$G$840,IF($B$5="Todos","*",$B$5)),"")</f>
        <v/>
      </c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30" customHeight="1">
      <c r="A15" s="10" t="inlineStr">
        <is>
          <t>Período</t>
        </is>
      </c>
      <c r="B15" s="10" t="inlineStr">
        <is>
          <t>Año</t>
        </is>
      </c>
      <c r="C15" s="10" t="inlineStr">
        <is>
          <t>Mes</t>
        </is>
      </c>
      <c r="D15" s="10" t="inlineStr">
        <is>
          <t>Órdenes válidas</t>
        </is>
      </c>
      <c r="E15" s="10" t="inlineStr">
        <is>
          <t>Kg producidos</t>
        </is>
      </c>
      <c r="F15" s="10" t="inlineStr">
        <is>
          <t>Kg consumidos</t>
        </is>
      </c>
      <c r="G15" s="10" t="inlineStr">
        <is>
          <t>Rend. met.</t>
        </is>
      </c>
      <c r="H15" s="10" t="inlineStr">
        <is>
          <t>Meta</t>
        </is>
      </c>
      <c r="I15" s="10" t="inlineStr">
        <is>
          <t>vs meta (pp)</t>
        </is>
      </c>
      <c r="J15" s="10" t="inlineStr">
        <is>
          <t>MR</t>
        </is>
      </c>
      <c r="K15" s="10" t="inlineStr">
        <is>
          <t>LC</t>
        </is>
      </c>
      <c r="L15" s="10" t="inlineStr">
        <is>
          <t>LCS</t>
        </is>
      </c>
      <c r="M15" s="10" t="inlineStr">
        <is>
          <t>LCI</t>
        </is>
      </c>
      <c r="N15" s="10" t="inlineStr">
        <is>
          <t>Estado</t>
        </is>
      </c>
      <c r="O15" s="10" t="inlineStr">
        <is>
          <t>Órdenes a corregir</t>
        </is>
      </c>
    </row>
    <row r="16">
      <c r="A16" s="22" t="n">
        <v>46024</v>
      </c>
      <c r="B16" s="18">
        <f>YEAR(A16)</f>
        <v/>
      </c>
      <c r="C16" s="18">
        <f>MONTH(A16)</f>
        <v/>
      </c>
      <c r="D16" s="18">
        <f>COUNTIFS(Ordenes!$C$2:$C$840,$A16,Ordenes!$T$2:$T$840,"Válida",Ordenes!$F$2:$F$840,IF($B$4="Todos","*",$B$4),Ordenes!$G$2:$G$840,IF($B$5="Todos","*",$B$5))</f>
        <v/>
      </c>
      <c r="E16" s="19">
        <f>SUMIFS(Ordenes!$P$2:$P$840,Ordenes!$C$2:$C$840,$A16,Ordenes!$T$2:$T$840,"Válida",Ordenes!$F$2:$F$840,IF($B$4="Todos","*",$B$4),Ordenes!$G$2:$G$840,IF($B$5="Todos","*",$B$5))</f>
        <v/>
      </c>
      <c r="F16" s="19">
        <f>SUMIFS(Ordenes!$Q$2:$Q$840,Ordenes!$C$2:$C$840,$A16,Ordenes!$T$2:$T$840,"Válida",Ordenes!$F$2:$F$840,IF($B$4="Todos","*",$B$4),Ordenes!$G$2:$G$840,IF($B$5="Todos","*",$B$5))</f>
        <v/>
      </c>
      <c r="G16" s="20">
        <f>IF(F16=0,NA(),E16/F16)</f>
        <v/>
      </c>
      <c r="H16" s="20">
        <f>IFERROR(SUMIFS(Ordenes!$V$2:$V$840,Ordenes!$C$2:$C$840,$A16,Ordenes!$T$2:$T$840,"Válida",Ordenes!$F$2:$F$840,IF($B$4="Todos","*",$B$4),Ordenes!$G$2:$G$840,IF($B$5="Todos","*",$B$5))/F16,NA())</f>
        <v/>
      </c>
      <c r="I16" s="21">
        <f>IFERROR((G16-H16)*100,"")</f>
        <v/>
      </c>
      <c r="J16" s="20" t="inlineStr"/>
      <c r="K16" s="20">
        <f>$G$7</f>
        <v/>
      </c>
      <c r="L16" s="20">
        <f>$G$10</f>
        <v/>
      </c>
      <c r="M16" s="20">
        <f>$G$11</f>
        <v/>
      </c>
      <c r="N16" s="18">
        <f>IF(ISNA(G16),"Sin producción",IF(L16="","Sin límites",IF(G16&gt;L16,"▲ Sobre LCS",IF(G16&lt;M16,"▼ Bajo LCI","En control"))))</f>
        <v/>
      </c>
      <c r="O16" s="18">
        <f>COUNTIFS(Ordenes!$C$2:$C$840,$A16,Ordenes!$T$2:$T$840,"A corregir",Ordenes!$F$2:$F$840,IF($B$4="Todos","*",$B$4),Ordenes!$G$2:$G$840,IF($B$5="Todos","*",$B$5))</f>
        <v/>
      </c>
    </row>
    <row r="17">
      <c r="A17" s="22" t="n">
        <v>46025</v>
      </c>
      <c r="B17" s="18">
        <f>YEAR(A17)</f>
        <v/>
      </c>
      <c r="C17" s="18">
        <f>MONTH(A17)</f>
        <v/>
      </c>
      <c r="D17" s="18">
        <f>COUNTIFS(Ordenes!$C$2:$C$840,$A17,Ordenes!$T$2:$T$840,"Válida",Ordenes!$F$2:$F$840,IF($B$4="Todos","*",$B$4),Ordenes!$G$2:$G$840,IF($B$5="Todos","*",$B$5))</f>
        <v/>
      </c>
      <c r="E17" s="19">
        <f>SUMIFS(Ordenes!$P$2:$P$840,Ordenes!$C$2:$C$840,$A17,Ordenes!$T$2:$T$840,"Válida",Ordenes!$F$2:$F$840,IF($B$4="Todos","*",$B$4),Ordenes!$G$2:$G$840,IF($B$5="Todos","*",$B$5))</f>
        <v/>
      </c>
      <c r="F17" s="19">
        <f>SUMIFS(Ordenes!$Q$2:$Q$840,Ordenes!$C$2:$C$840,$A17,Ordenes!$T$2:$T$840,"Válida",Ordenes!$F$2:$F$840,IF($B$4="Todos","*",$B$4),Ordenes!$G$2:$G$840,IF($B$5="Todos","*",$B$5))</f>
        <v/>
      </c>
      <c r="G17" s="20">
        <f>IF(F17=0,NA(),E17/F17)</f>
        <v/>
      </c>
      <c r="H17" s="20">
        <f>IFERROR(SUMIFS(Ordenes!$V$2:$V$840,Ordenes!$C$2:$C$840,$A17,Ordenes!$T$2:$T$840,"Válida",Ordenes!$F$2:$F$840,IF($B$4="Todos","*",$B$4),Ordenes!$G$2:$G$840,IF($B$5="Todos","*",$B$5))/F17,NA())</f>
        <v/>
      </c>
      <c r="I17" s="21">
        <f>IFERROR((G17-H17)*100,"")</f>
        <v/>
      </c>
      <c r="J17" s="20">
        <f>IFERROR(ABS(G17-G16),"")</f>
        <v/>
      </c>
      <c r="K17" s="20">
        <f>$G$7</f>
        <v/>
      </c>
      <c r="L17" s="20">
        <f>$G$10</f>
        <v/>
      </c>
      <c r="M17" s="20">
        <f>$G$11</f>
        <v/>
      </c>
      <c r="N17" s="18">
        <f>IF(ISNA(G17),"Sin producción",IF(L17="","Sin límites",IF(G17&gt;L17,"▲ Sobre LCS",IF(G17&lt;M17,"▼ Bajo LCI","En control"))))</f>
        <v/>
      </c>
      <c r="O17" s="18">
        <f>COUNTIFS(Ordenes!$C$2:$C$840,$A17,Ordenes!$T$2:$T$840,"A corregir",Ordenes!$F$2:$F$840,IF($B$4="Todos","*",$B$4),Ordenes!$G$2:$G$840,IF($B$5="Todos","*",$B$5))</f>
        <v/>
      </c>
    </row>
    <row r="18">
      <c r="A18" s="22" t="n">
        <v>46027</v>
      </c>
      <c r="B18" s="18">
        <f>YEAR(A18)</f>
        <v/>
      </c>
      <c r="C18" s="18">
        <f>MONTH(A18)</f>
        <v/>
      </c>
      <c r="D18" s="18">
        <f>COUNTIFS(Ordenes!$C$2:$C$840,$A18,Ordenes!$T$2:$T$840,"Válida",Ordenes!$F$2:$F$840,IF($B$4="Todos","*",$B$4),Ordenes!$G$2:$G$840,IF($B$5="Todos","*",$B$5))</f>
        <v/>
      </c>
      <c r="E18" s="19">
        <f>SUMIFS(Ordenes!$P$2:$P$840,Ordenes!$C$2:$C$840,$A18,Ordenes!$T$2:$T$840,"Válida",Ordenes!$F$2:$F$840,IF($B$4="Todos","*",$B$4),Ordenes!$G$2:$G$840,IF($B$5="Todos","*",$B$5))</f>
        <v/>
      </c>
      <c r="F18" s="19">
        <f>SUMIFS(Ordenes!$Q$2:$Q$840,Ordenes!$C$2:$C$840,$A18,Ordenes!$T$2:$T$840,"Válida",Ordenes!$F$2:$F$840,IF($B$4="Todos","*",$B$4),Ordenes!$G$2:$G$840,IF($B$5="Todos","*",$B$5))</f>
        <v/>
      </c>
      <c r="G18" s="20">
        <f>IF(F18=0,NA(),E18/F18)</f>
        <v/>
      </c>
      <c r="H18" s="20">
        <f>IFERROR(SUMIFS(Ordenes!$V$2:$V$840,Ordenes!$C$2:$C$840,$A18,Ordenes!$T$2:$T$840,"Válida",Ordenes!$F$2:$F$840,IF($B$4="Todos","*",$B$4),Ordenes!$G$2:$G$840,IF($B$5="Todos","*",$B$5))/F18,NA())</f>
        <v/>
      </c>
      <c r="I18" s="21">
        <f>IFERROR((G18-H18)*100,"")</f>
        <v/>
      </c>
      <c r="J18" s="20">
        <f>IFERROR(ABS(G18-G17),"")</f>
        <v/>
      </c>
      <c r="K18" s="20">
        <f>$G$7</f>
        <v/>
      </c>
      <c r="L18" s="20">
        <f>$G$10</f>
        <v/>
      </c>
      <c r="M18" s="20">
        <f>$G$11</f>
        <v/>
      </c>
      <c r="N18" s="18">
        <f>IF(ISNA(G18),"Sin producción",IF(L18="","Sin límites",IF(G18&gt;L18,"▲ Sobre LCS",IF(G18&lt;M18,"▼ Bajo LCI","En control"))))</f>
        <v/>
      </c>
      <c r="O18" s="18">
        <f>COUNTIFS(Ordenes!$C$2:$C$840,$A18,Ordenes!$T$2:$T$840,"A corregir",Ordenes!$F$2:$F$840,IF($B$4="Todos","*",$B$4),Ordenes!$G$2:$G$840,IF($B$5="Todos","*",$B$5))</f>
        <v/>
      </c>
    </row>
    <row r="19">
      <c r="A19" s="22" t="n">
        <v>46028</v>
      </c>
      <c r="B19" s="18">
        <f>YEAR(A19)</f>
        <v/>
      </c>
      <c r="C19" s="18">
        <f>MONTH(A19)</f>
        <v/>
      </c>
      <c r="D19" s="18">
        <f>COUNTIFS(Ordenes!$C$2:$C$840,$A19,Ordenes!$T$2:$T$840,"Válida",Ordenes!$F$2:$F$840,IF($B$4="Todos","*",$B$4),Ordenes!$G$2:$G$840,IF($B$5="Todos","*",$B$5))</f>
        <v/>
      </c>
      <c r="E19" s="19">
        <f>SUMIFS(Ordenes!$P$2:$P$840,Ordenes!$C$2:$C$840,$A19,Ordenes!$T$2:$T$840,"Válida",Ordenes!$F$2:$F$840,IF($B$4="Todos","*",$B$4),Ordenes!$G$2:$G$840,IF($B$5="Todos","*",$B$5))</f>
        <v/>
      </c>
      <c r="F19" s="19">
        <f>SUMIFS(Ordenes!$Q$2:$Q$840,Ordenes!$C$2:$C$840,$A19,Ordenes!$T$2:$T$840,"Válida",Ordenes!$F$2:$F$840,IF($B$4="Todos","*",$B$4),Ordenes!$G$2:$G$840,IF($B$5="Todos","*",$B$5))</f>
        <v/>
      </c>
      <c r="G19" s="20">
        <f>IF(F19=0,NA(),E19/F19)</f>
        <v/>
      </c>
      <c r="H19" s="20">
        <f>IFERROR(SUMIFS(Ordenes!$V$2:$V$840,Ordenes!$C$2:$C$840,$A19,Ordenes!$T$2:$T$840,"Válida",Ordenes!$F$2:$F$840,IF($B$4="Todos","*",$B$4),Ordenes!$G$2:$G$840,IF($B$5="Todos","*",$B$5))/F19,NA())</f>
        <v/>
      </c>
      <c r="I19" s="21">
        <f>IFERROR((G19-H19)*100,"")</f>
        <v/>
      </c>
      <c r="J19" s="20">
        <f>IFERROR(ABS(G19-G18),"")</f>
        <v/>
      </c>
      <c r="K19" s="20">
        <f>$G$7</f>
        <v/>
      </c>
      <c r="L19" s="20">
        <f>$G$10</f>
        <v/>
      </c>
      <c r="M19" s="20">
        <f>$G$11</f>
        <v/>
      </c>
      <c r="N19" s="18">
        <f>IF(ISNA(G19),"Sin producción",IF(L19="","Sin límites",IF(G19&gt;L19,"▲ Sobre LCS",IF(G19&lt;M19,"▼ Bajo LCI","En control"))))</f>
        <v/>
      </c>
      <c r="O19" s="18">
        <f>COUNTIFS(Ordenes!$C$2:$C$840,$A19,Ordenes!$T$2:$T$840,"A corregir",Ordenes!$F$2:$F$840,IF($B$4="Todos","*",$B$4),Ordenes!$G$2:$G$840,IF($B$5="Todos","*",$B$5))</f>
        <v/>
      </c>
    </row>
    <row r="20">
      <c r="A20" s="22" t="n">
        <v>46029</v>
      </c>
      <c r="B20" s="18">
        <f>YEAR(A20)</f>
        <v/>
      </c>
      <c r="C20" s="18">
        <f>MONTH(A20)</f>
        <v/>
      </c>
      <c r="D20" s="18">
        <f>COUNTIFS(Ordenes!$C$2:$C$840,$A20,Ordenes!$T$2:$T$840,"Válida",Ordenes!$F$2:$F$840,IF($B$4="Todos","*",$B$4),Ordenes!$G$2:$G$840,IF($B$5="Todos","*",$B$5))</f>
        <v/>
      </c>
      <c r="E20" s="19">
        <f>SUMIFS(Ordenes!$P$2:$P$840,Ordenes!$C$2:$C$840,$A20,Ordenes!$T$2:$T$840,"Válida",Ordenes!$F$2:$F$840,IF($B$4="Todos","*",$B$4),Ordenes!$G$2:$G$840,IF($B$5="Todos","*",$B$5))</f>
        <v/>
      </c>
      <c r="F20" s="19">
        <f>SUMIFS(Ordenes!$Q$2:$Q$840,Ordenes!$C$2:$C$840,$A20,Ordenes!$T$2:$T$840,"Válida",Ordenes!$F$2:$F$840,IF($B$4="Todos","*",$B$4),Ordenes!$G$2:$G$840,IF($B$5="Todos","*",$B$5))</f>
        <v/>
      </c>
      <c r="G20" s="20">
        <f>IF(F20=0,NA(),E20/F20)</f>
        <v/>
      </c>
      <c r="H20" s="20">
        <f>IFERROR(SUMIFS(Ordenes!$V$2:$V$840,Ordenes!$C$2:$C$840,$A20,Ordenes!$T$2:$T$840,"Válida",Ordenes!$F$2:$F$840,IF($B$4="Todos","*",$B$4),Ordenes!$G$2:$G$840,IF($B$5="Todos","*",$B$5))/F20,NA())</f>
        <v/>
      </c>
      <c r="I20" s="21">
        <f>IFERROR((G20-H20)*100,"")</f>
        <v/>
      </c>
      <c r="J20" s="20">
        <f>IFERROR(ABS(G20-G19),"")</f>
        <v/>
      </c>
      <c r="K20" s="20">
        <f>$G$7</f>
        <v/>
      </c>
      <c r="L20" s="20">
        <f>$G$10</f>
        <v/>
      </c>
      <c r="M20" s="20">
        <f>$G$11</f>
        <v/>
      </c>
      <c r="N20" s="18">
        <f>IF(ISNA(G20),"Sin producción",IF(L20="","Sin límites",IF(G20&gt;L20,"▲ Sobre LCS",IF(G20&lt;M20,"▼ Bajo LCI","En control"))))</f>
        <v/>
      </c>
      <c r="O20" s="18">
        <f>COUNTIFS(Ordenes!$C$2:$C$840,$A20,Ordenes!$T$2:$T$840,"A corregir",Ordenes!$F$2:$F$840,IF($B$4="Todos","*",$B$4),Ordenes!$G$2:$G$840,IF($B$5="Todos","*",$B$5))</f>
        <v/>
      </c>
    </row>
    <row r="21">
      <c r="A21" s="22" t="n">
        <v>46030</v>
      </c>
      <c r="B21" s="18">
        <f>YEAR(A21)</f>
        <v/>
      </c>
      <c r="C21" s="18">
        <f>MONTH(A21)</f>
        <v/>
      </c>
      <c r="D21" s="18">
        <f>COUNTIFS(Ordenes!$C$2:$C$840,$A21,Ordenes!$T$2:$T$840,"Válida",Ordenes!$F$2:$F$840,IF($B$4="Todos","*",$B$4),Ordenes!$G$2:$G$840,IF($B$5="Todos","*",$B$5))</f>
        <v/>
      </c>
      <c r="E21" s="19">
        <f>SUMIFS(Ordenes!$P$2:$P$840,Ordenes!$C$2:$C$840,$A21,Ordenes!$T$2:$T$840,"Válida",Ordenes!$F$2:$F$840,IF($B$4="Todos","*",$B$4),Ordenes!$G$2:$G$840,IF($B$5="Todos","*",$B$5))</f>
        <v/>
      </c>
      <c r="F21" s="19">
        <f>SUMIFS(Ordenes!$Q$2:$Q$840,Ordenes!$C$2:$C$840,$A21,Ordenes!$T$2:$T$840,"Válida",Ordenes!$F$2:$F$840,IF($B$4="Todos","*",$B$4),Ordenes!$G$2:$G$840,IF($B$5="Todos","*",$B$5))</f>
        <v/>
      </c>
      <c r="G21" s="20">
        <f>IF(F21=0,NA(),E21/F21)</f>
        <v/>
      </c>
      <c r="H21" s="20">
        <f>IFERROR(SUMIFS(Ordenes!$V$2:$V$840,Ordenes!$C$2:$C$840,$A21,Ordenes!$T$2:$T$840,"Válida",Ordenes!$F$2:$F$840,IF($B$4="Todos","*",$B$4),Ordenes!$G$2:$G$840,IF($B$5="Todos","*",$B$5))/F21,NA())</f>
        <v/>
      </c>
      <c r="I21" s="21">
        <f>IFERROR((G21-H21)*100,"")</f>
        <v/>
      </c>
      <c r="J21" s="20">
        <f>IFERROR(ABS(G21-G20),"")</f>
        <v/>
      </c>
      <c r="K21" s="20">
        <f>$G$7</f>
        <v/>
      </c>
      <c r="L21" s="20">
        <f>$G$10</f>
        <v/>
      </c>
      <c r="M21" s="20">
        <f>$G$11</f>
        <v/>
      </c>
      <c r="N21" s="18">
        <f>IF(ISNA(G21),"Sin producción",IF(L21="","Sin límites",IF(G21&gt;L21,"▲ Sobre LCS",IF(G21&lt;M21,"▼ Bajo LCI","En control"))))</f>
        <v/>
      </c>
      <c r="O21" s="18">
        <f>COUNTIFS(Ordenes!$C$2:$C$840,$A21,Ordenes!$T$2:$T$840,"A corregir",Ordenes!$F$2:$F$840,IF($B$4="Todos","*",$B$4),Ordenes!$G$2:$G$840,IF($B$5="Todos","*",$B$5))</f>
        <v/>
      </c>
    </row>
    <row r="22">
      <c r="A22" s="22" t="n">
        <v>46031</v>
      </c>
      <c r="B22" s="18">
        <f>YEAR(A22)</f>
        <v/>
      </c>
      <c r="C22" s="18">
        <f>MONTH(A22)</f>
        <v/>
      </c>
      <c r="D22" s="18">
        <f>COUNTIFS(Ordenes!$C$2:$C$840,$A22,Ordenes!$T$2:$T$840,"Válida",Ordenes!$F$2:$F$840,IF($B$4="Todos","*",$B$4),Ordenes!$G$2:$G$840,IF($B$5="Todos","*",$B$5))</f>
        <v/>
      </c>
      <c r="E22" s="19">
        <f>SUMIFS(Ordenes!$P$2:$P$840,Ordenes!$C$2:$C$840,$A22,Ordenes!$T$2:$T$840,"Válida",Ordenes!$F$2:$F$840,IF($B$4="Todos","*",$B$4),Ordenes!$G$2:$G$840,IF($B$5="Todos","*",$B$5))</f>
        <v/>
      </c>
      <c r="F22" s="19">
        <f>SUMIFS(Ordenes!$Q$2:$Q$840,Ordenes!$C$2:$C$840,$A22,Ordenes!$T$2:$T$840,"Válida",Ordenes!$F$2:$F$840,IF($B$4="Todos","*",$B$4),Ordenes!$G$2:$G$840,IF($B$5="Todos","*",$B$5))</f>
        <v/>
      </c>
      <c r="G22" s="20">
        <f>IF(F22=0,NA(),E22/F22)</f>
        <v/>
      </c>
      <c r="H22" s="20">
        <f>IFERROR(SUMIFS(Ordenes!$V$2:$V$840,Ordenes!$C$2:$C$840,$A22,Ordenes!$T$2:$T$840,"Válida",Ordenes!$F$2:$F$840,IF($B$4="Todos","*",$B$4),Ordenes!$G$2:$G$840,IF($B$5="Todos","*",$B$5))/F22,NA())</f>
        <v/>
      </c>
      <c r="I22" s="21">
        <f>IFERROR((G22-H22)*100,"")</f>
        <v/>
      </c>
      <c r="J22" s="20">
        <f>IFERROR(ABS(G22-G21),"")</f>
        <v/>
      </c>
      <c r="K22" s="20">
        <f>$G$7</f>
        <v/>
      </c>
      <c r="L22" s="20">
        <f>$G$10</f>
        <v/>
      </c>
      <c r="M22" s="20">
        <f>$G$11</f>
        <v/>
      </c>
      <c r="N22" s="18">
        <f>IF(ISNA(G22),"Sin producción",IF(L22="","Sin límites",IF(G22&gt;L22,"▲ Sobre LCS",IF(G22&lt;M22,"▼ Bajo LCI","En control"))))</f>
        <v/>
      </c>
      <c r="O22" s="18">
        <f>COUNTIFS(Ordenes!$C$2:$C$840,$A22,Ordenes!$T$2:$T$840,"A corregir",Ordenes!$F$2:$F$840,IF($B$4="Todos","*",$B$4),Ordenes!$G$2:$G$840,IF($B$5="Todos","*",$B$5))</f>
        <v/>
      </c>
    </row>
    <row r="23">
      <c r="A23" s="22" t="n">
        <v>46032</v>
      </c>
      <c r="B23" s="18">
        <f>YEAR(A23)</f>
        <v/>
      </c>
      <c r="C23" s="18">
        <f>MONTH(A23)</f>
        <v/>
      </c>
      <c r="D23" s="18">
        <f>COUNTIFS(Ordenes!$C$2:$C$840,$A23,Ordenes!$T$2:$T$840,"Válida",Ordenes!$F$2:$F$840,IF($B$4="Todos","*",$B$4),Ordenes!$G$2:$G$840,IF($B$5="Todos","*",$B$5))</f>
        <v/>
      </c>
      <c r="E23" s="19">
        <f>SUMIFS(Ordenes!$P$2:$P$840,Ordenes!$C$2:$C$840,$A23,Ordenes!$T$2:$T$840,"Válida",Ordenes!$F$2:$F$840,IF($B$4="Todos","*",$B$4),Ordenes!$G$2:$G$840,IF($B$5="Todos","*",$B$5))</f>
        <v/>
      </c>
      <c r="F23" s="19">
        <f>SUMIFS(Ordenes!$Q$2:$Q$840,Ordenes!$C$2:$C$840,$A23,Ordenes!$T$2:$T$840,"Válida",Ordenes!$F$2:$F$840,IF($B$4="Todos","*",$B$4),Ordenes!$G$2:$G$840,IF($B$5="Todos","*",$B$5))</f>
        <v/>
      </c>
      <c r="G23" s="20">
        <f>IF(F23=0,NA(),E23/F23)</f>
        <v/>
      </c>
      <c r="H23" s="20">
        <f>IFERROR(SUMIFS(Ordenes!$V$2:$V$840,Ordenes!$C$2:$C$840,$A23,Ordenes!$T$2:$T$840,"Válida",Ordenes!$F$2:$F$840,IF($B$4="Todos","*",$B$4),Ordenes!$G$2:$G$840,IF($B$5="Todos","*",$B$5))/F23,NA())</f>
        <v/>
      </c>
      <c r="I23" s="21">
        <f>IFERROR((G23-H23)*100,"")</f>
        <v/>
      </c>
      <c r="J23" s="20">
        <f>IFERROR(ABS(G23-G22),"")</f>
        <v/>
      </c>
      <c r="K23" s="20">
        <f>$G$7</f>
        <v/>
      </c>
      <c r="L23" s="20">
        <f>$G$10</f>
        <v/>
      </c>
      <c r="M23" s="20">
        <f>$G$11</f>
        <v/>
      </c>
      <c r="N23" s="18">
        <f>IF(ISNA(G23),"Sin producción",IF(L23="","Sin límites",IF(G23&gt;L23,"▲ Sobre LCS",IF(G23&lt;M23,"▼ Bajo LCI","En control"))))</f>
        <v/>
      </c>
      <c r="O23" s="18">
        <f>COUNTIFS(Ordenes!$C$2:$C$840,$A23,Ordenes!$T$2:$T$840,"A corregir",Ordenes!$F$2:$F$840,IF($B$4="Todos","*",$B$4),Ordenes!$G$2:$G$840,IF($B$5="Todos","*",$B$5))</f>
        <v/>
      </c>
    </row>
    <row r="24">
      <c r="A24" s="22" t="n">
        <v>46034</v>
      </c>
      <c r="B24" s="18">
        <f>YEAR(A24)</f>
        <v/>
      </c>
      <c r="C24" s="18">
        <f>MONTH(A24)</f>
        <v/>
      </c>
      <c r="D24" s="18">
        <f>COUNTIFS(Ordenes!$C$2:$C$840,$A24,Ordenes!$T$2:$T$840,"Válida",Ordenes!$F$2:$F$840,IF($B$4="Todos","*",$B$4),Ordenes!$G$2:$G$840,IF($B$5="Todos","*",$B$5))</f>
        <v/>
      </c>
      <c r="E24" s="19">
        <f>SUMIFS(Ordenes!$P$2:$P$840,Ordenes!$C$2:$C$840,$A24,Ordenes!$T$2:$T$840,"Válida",Ordenes!$F$2:$F$840,IF($B$4="Todos","*",$B$4),Ordenes!$G$2:$G$840,IF($B$5="Todos","*",$B$5))</f>
        <v/>
      </c>
      <c r="F24" s="19">
        <f>SUMIFS(Ordenes!$Q$2:$Q$840,Ordenes!$C$2:$C$840,$A24,Ordenes!$T$2:$T$840,"Válida",Ordenes!$F$2:$F$840,IF($B$4="Todos","*",$B$4),Ordenes!$G$2:$G$840,IF($B$5="Todos","*",$B$5))</f>
        <v/>
      </c>
      <c r="G24" s="20">
        <f>IF(F24=0,NA(),E24/F24)</f>
        <v/>
      </c>
      <c r="H24" s="20">
        <f>IFERROR(SUMIFS(Ordenes!$V$2:$V$840,Ordenes!$C$2:$C$840,$A24,Ordenes!$T$2:$T$840,"Válida",Ordenes!$F$2:$F$840,IF($B$4="Todos","*",$B$4),Ordenes!$G$2:$G$840,IF($B$5="Todos","*",$B$5))/F24,NA())</f>
        <v/>
      </c>
      <c r="I24" s="21">
        <f>IFERROR((G24-H24)*100,"")</f>
        <v/>
      </c>
      <c r="J24" s="20">
        <f>IFERROR(ABS(G24-G23),"")</f>
        <v/>
      </c>
      <c r="K24" s="20">
        <f>$G$7</f>
        <v/>
      </c>
      <c r="L24" s="20">
        <f>$G$10</f>
        <v/>
      </c>
      <c r="M24" s="20">
        <f>$G$11</f>
        <v/>
      </c>
      <c r="N24" s="18">
        <f>IF(ISNA(G24),"Sin producción",IF(L24="","Sin límites",IF(G24&gt;L24,"▲ Sobre LCS",IF(G24&lt;M24,"▼ Bajo LCI","En control"))))</f>
        <v/>
      </c>
      <c r="O24" s="18">
        <f>COUNTIFS(Ordenes!$C$2:$C$840,$A24,Ordenes!$T$2:$T$840,"A corregir",Ordenes!$F$2:$F$840,IF($B$4="Todos","*",$B$4),Ordenes!$G$2:$G$840,IF($B$5="Todos","*",$B$5))</f>
        <v/>
      </c>
    </row>
    <row r="25">
      <c r="A25" s="22" t="n">
        <v>46035</v>
      </c>
      <c r="B25" s="18">
        <f>YEAR(A25)</f>
        <v/>
      </c>
      <c r="C25" s="18">
        <f>MONTH(A25)</f>
        <v/>
      </c>
      <c r="D25" s="18">
        <f>COUNTIFS(Ordenes!$C$2:$C$840,$A25,Ordenes!$T$2:$T$840,"Válida",Ordenes!$F$2:$F$840,IF($B$4="Todos","*",$B$4),Ordenes!$G$2:$G$840,IF($B$5="Todos","*",$B$5))</f>
        <v/>
      </c>
      <c r="E25" s="19">
        <f>SUMIFS(Ordenes!$P$2:$P$840,Ordenes!$C$2:$C$840,$A25,Ordenes!$T$2:$T$840,"Válida",Ordenes!$F$2:$F$840,IF($B$4="Todos","*",$B$4),Ordenes!$G$2:$G$840,IF($B$5="Todos","*",$B$5))</f>
        <v/>
      </c>
      <c r="F25" s="19">
        <f>SUMIFS(Ordenes!$Q$2:$Q$840,Ordenes!$C$2:$C$840,$A25,Ordenes!$T$2:$T$840,"Válida",Ordenes!$F$2:$F$840,IF($B$4="Todos","*",$B$4),Ordenes!$G$2:$G$840,IF($B$5="Todos","*",$B$5))</f>
        <v/>
      </c>
      <c r="G25" s="20">
        <f>IF(F25=0,NA(),E25/F25)</f>
        <v/>
      </c>
      <c r="H25" s="20">
        <f>IFERROR(SUMIFS(Ordenes!$V$2:$V$840,Ordenes!$C$2:$C$840,$A25,Ordenes!$T$2:$T$840,"Válida",Ordenes!$F$2:$F$840,IF($B$4="Todos","*",$B$4),Ordenes!$G$2:$G$840,IF($B$5="Todos","*",$B$5))/F25,NA())</f>
        <v/>
      </c>
      <c r="I25" s="21">
        <f>IFERROR((G25-H25)*100,"")</f>
        <v/>
      </c>
      <c r="J25" s="20">
        <f>IFERROR(ABS(G25-G24),"")</f>
        <v/>
      </c>
      <c r="K25" s="20">
        <f>$G$7</f>
        <v/>
      </c>
      <c r="L25" s="20">
        <f>$G$10</f>
        <v/>
      </c>
      <c r="M25" s="20">
        <f>$G$11</f>
        <v/>
      </c>
      <c r="N25" s="18">
        <f>IF(ISNA(G25),"Sin producción",IF(L25="","Sin límites",IF(G25&gt;L25,"▲ Sobre LCS",IF(G25&lt;M25,"▼ Bajo LCI","En control"))))</f>
        <v/>
      </c>
      <c r="O25" s="18">
        <f>COUNTIFS(Ordenes!$C$2:$C$840,$A25,Ordenes!$T$2:$T$840,"A corregir",Ordenes!$F$2:$F$840,IF($B$4="Todos","*",$B$4),Ordenes!$G$2:$G$840,IF($B$5="Todos","*",$B$5))</f>
        <v/>
      </c>
    </row>
    <row r="26">
      <c r="A26" s="22" t="n">
        <v>46036</v>
      </c>
      <c r="B26" s="18">
        <f>YEAR(A26)</f>
        <v/>
      </c>
      <c r="C26" s="18">
        <f>MONTH(A26)</f>
        <v/>
      </c>
      <c r="D26" s="18">
        <f>COUNTIFS(Ordenes!$C$2:$C$840,$A26,Ordenes!$T$2:$T$840,"Válida",Ordenes!$F$2:$F$840,IF($B$4="Todos","*",$B$4),Ordenes!$G$2:$G$840,IF($B$5="Todos","*",$B$5))</f>
        <v/>
      </c>
      <c r="E26" s="19">
        <f>SUMIFS(Ordenes!$P$2:$P$840,Ordenes!$C$2:$C$840,$A26,Ordenes!$T$2:$T$840,"Válida",Ordenes!$F$2:$F$840,IF($B$4="Todos","*",$B$4),Ordenes!$G$2:$G$840,IF($B$5="Todos","*",$B$5))</f>
        <v/>
      </c>
      <c r="F26" s="19">
        <f>SUMIFS(Ordenes!$Q$2:$Q$840,Ordenes!$C$2:$C$840,$A26,Ordenes!$T$2:$T$840,"Válida",Ordenes!$F$2:$F$840,IF($B$4="Todos","*",$B$4),Ordenes!$G$2:$G$840,IF($B$5="Todos","*",$B$5))</f>
        <v/>
      </c>
      <c r="G26" s="20">
        <f>IF(F26=0,NA(),E26/F26)</f>
        <v/>
      </c>
      <c r="H26" s="20">
        <f>IFERROR(SUMIFS(Ordenes!$V$2:$V$840,Ordenes!$C$2:$C$840,$A26,Ordenes!$T$2:$T$840,"Válida",Ordenes!$F$2:$F$840,IF($B$4="Todos","*",$B$4),Ordenes!$G$2:$G$840,IF($B$5="Todos","*",$B$5))/F26,NA())</f>
        <v/>
      </c>
      <c r="I26" s="21">
        <f>IFERROR((G26-H26)*100,"")</f>
        <v/>
      </c>
      <c r="J26" s="20">
        <f>IFERROR(ABS(G26-G25),"")</f>
        <v/>
      </c>
      <c r="K26" s="20">
        <f>$G$7</f>
        <v/>
      </c>
      <c r="L26" s="20">
        <f>$G$10</f>
        <v/>
      </c>
      <c r="M26" s="20">
        <f>$G$11</f>
        <v/>
      </c>
      <c r="N26" s="18">
        <f>IF(ISNA(G26),"Sin producción",IF(L26="","Sin límites",IF(G26&gt;L26,"▲ Sobre LCS",IF(G26&lt;M26,"▼ Bajo LCI","En control"))))</f>
        <v/>
      </c>
      <c r="O26" s="18">
        <f>COUNTIFS(Ordenes!$C$2:$C$840,$A26,Ordenes!$T$2:$T$840,"A corregir",Ordenes!$F$2:$F$840,IF($B$4="Todos","*",$B$4),Ordenes!$G$2:$G$840,IF($B$5="Todos","*",$B$5))</f>
        <v/>
      </c>
    </row>
    <row r="27">
      <c r="A27" s="22" t="n">
        <v>46037</v>
      </c>
      <c r="B27" s="18">
        <f>YEAR(A27)</f>
        <v/>
      </c>
      <c r="C27" s="18">
        <f>MONTH(A27)</f>
        <v/>
      </c>
      <c r="D27" s="18">
        <f>COUNTIFS(Ordenes!$C$2:$C$840,$A27,Ordenes!$T$2:$T$840,"Válida",Ordenes!$F$2:$F$840,IF($B$4="Todos","*",$B$4),Ordenes!$G$2:$G$840,IF($B$5="Todos","*",$B$5))</f>
        <v/>
      </c>
      <c r="E27" s="19">
        <f>SUMIFS(Ordenes!$P$2:$P$840,Ordenes!$C$2:$C$840,$A27,Ordenes!$T$2:$T$840,"Válida",Ordenes!$F$2:$F$840,IF($B$4="Todos","*",$B$4),Ordenes!$G$2:$G$840,IF($B$5="Todos","*",$B$5))</f>
        <v/>
      </c>
      <c r="F27" s="19">
        <f>SUMIFS(Ordenes!$Q$2:$Q$840,Ordenes!$C$2:$C$840,$A27,Ordenes!$T$2:$T$840,"Válida",Ordenes!$F$2:$F$840,IF($B$4="Todos","*",$B$4),Ordenes!$G$2:$G$840,IF($B$5="Todos","*",$B$5))</f>
        <v/>
      </c>
      <c r="G27" s="20">
        <f>IF(F27=0,NA(),E27/F27)</f>
        <v/>
      </c>
      <c r="H27" s="20">
        <f>IFERROR(SUMIFS(Ordenes!$V$2:$V$840,Ordenes!$C$2:$C$840,$A27,Ordenes!$T$2:$T$840,"Válida",Ordenes!$F$2:$F$840,IF($B$4="Todos","*",$B$4),Ordenes!$G$2:$G$840,IF($B$5="Todos","*",$B$5))/F27,NA())</f>
        <v/>
      </c>
      <c r="I27" s="21">
        <f>IFERROR((G27-H27)*100,"")</f>
        <v/>
      </c>
      <c r="J27" s="20">
        <f>IFERROR(ABS(G27-G26),"")</f>
        <v/>
      </c>
      <c r="K27" s="20">
        <f>$G$7</f>
        <v/>
      </c>
      <c r="L27" s="20">
        <f>$G$10</f>
        <v/>
      </c>
      <c r="M27" s="20">
        <f>$G$11</f>
        <v/>
      </c>
      <c r="N27" s="18">
        <f>IF(ISNA(G27),"Sin producción",IF(L27="","Sin límites",IF(G27&gt;L27,"▲ Sobre LCS",IF(G27&lt;M27,"▼ Bajo LCI","En control"))))</f>
        <v/>
      </c>
      <c r="O27" s="18">
        <f>COUNTIFS(Ordenes!$C$2:$C$840,$A27,Ordenes!$T$2:$T$840,"A corregir",Ordenes!$F$2:$F$840,IF($B$4="Todos","*",$B$4),Ordenes!$G$2:$G$840,IF($B$5="Todos","*",$B$5))</f>
        <v/>
      </c>
    </row>
    <row r="28">
      <c r="A28" s="22" t="n">
        <v>46038</v>
      </c>
      <c r="B28" s="18">
        <f>YEAR(A28)</f>
        <v/>
      </c>
      <c r="C28" s="18">
        <f>MONTH(A28)</f>
        <v/>
      </c>
      <c r="D28" s="18">
        <f>COUNTIFS(Ordenes!$C$2:$C$840,$A28,Ordenes!$T$2:$T$840,"Válida",Ordenes!$F$2:$F$840,IF($B$4="Todos","*",$B$4),Ordenes!$G$2:$G$840,IF($B$5="Todos","*",$B$5))</f>
        <v/>
      </c>
      <c r="E28" s="19">
        <f>SUMIFS(Ordenes!$P$2:$P$840,Ordenes!$C$2:$C$840,$A28,Ordenes!$T$2:$T$840,"Válida",Ordenes!$F$2:$F$840,IF($B$4="Todos","*",$B$4),Ordenes!$G$2:$G$840,IF($B$5="Todos","*",$B$5))</f>
        <v/>
      </c>
      <c r="F28" s="19">
        <f>SUMIFS(Ordenes!$Q$2:$Q$840,Ordenes!$C$2:$C$840,$A28,Ordenes!$T$2:$T$840,"Válida",Ordenes!$F$2:$F$840,IF($B$4="Todos","*",$B$4),Ordenes!$G$2:$G$840,IF($B$5="Todos","*",$B$5))</f>
        <v/>
      </c>
      <c r="G28" s="20">
        <f>IF(F28=0,NA(),E28/F28)</f>
        <v/>
      </c>
      <c r="H28" s="20">
        <f>IFERROR(SUMIFS(Ordenes!$V$2:$V$840,Ordenes!$C$2:$C$840,$A28,Ordenes!$T$2:$T$840,"Válida",Ordenes!$F$2:$F$840,IF($B$4="Todos","*",$B$4),Ordenes!$G$2:$G$840,IF($B$5="Todos","*",$B$5))/F28,NA())</f>
        <v/>
      </c>
      <c r="I28" s="21">
        <f>IFERROR((G28-H28)*100,"")</f>
        <v/>
      </c>
      <c r="J28" s="20">
        <f>IFERROR(ABS(G28-G27),"")</f>
        <v/>
      </c>
      <c r="K28" s="20">
        <f>$G$7</f>
        <v/>
      </c>
      <c r="L28" s="20">
        <f>$G$10</f>
        <v/>
      </c>
      <c r="M28" s="20">
        <f>$G$11</f>
        <v/>
      </c>
      <c r="N28" s="18">
        <f>IF(ISNA(G28),"Sin producción",IF(L28="","Sin límites",IF(G28&gt;L28,"▲ Sobre LCS",IF(G28&lt;M28,"▼ Bajo LCI","En control"))))</f>
        <v/>
      </c>
      <c r="O28" s="18">
        <f>COUNTIFS(Ordenes!$C$2:$C$840,$A28,Ordenes!$T$2:$T$840,"A corregir",Ordenes!$F$2:$F$840,IF($B$4="Todos","*",$B$4),Ordenes!$G$2:$G$840,IF($B$5="Todos","*",$B$5))</f>
        <v/>
      </c>
    </row>
    <row r="29">
      <c r="A29" s="22" t="n">
        <v>46039</v>
      </c>
      <c r="B29" s="18">
        <f>YEAR(A29)</f>
        <v/>
      </c>
      <c r="C29" s="18">
        <f>MONTH(A29)</f>
        <v/>
      </c>
      <c r="D29" s="18">
        <f>COUNTIFS(Ordenes!$C$2:$C$840,$A29,Ordenes!$T$2:$T$840,"Válida",Ordenes!$F$2:$F$840,IF($B$4="Todos","*",$B$4),Ordenes!$G$2:$G$840,IF($B$5="Todos","*",$B$5))</f>
        <v/>
      </c>
      <c r="E29" s="19">
        <f>SUMIFS(Ordenes!$P$2:$P$840,Ordenes!$C$2:$C$840,$A29,Ordenes!$T$2:$T$840,"Válida",Ordenes!$F$2:$F$840,IF($B$4="Todos","*",$B$4),Ordenes!$G$2:$G$840,IF($B$5="Todos","*",$B$5))</f>
        <v/>
      </c>
      <c r="F29" s="19">
        <f>SUMIFS(Ordenes!$Q$2:$Q$840,Ordenes!$C$2:$C$840,$A29,Ordenes!$T$2:$T$840,"Válida",Ordenes!$F$2:$F$840,IF($B$4="Todos","*",$B$4),Ordenes!$G$2:$G$840,IF($B$5="Todos","*",$B$5))</f>
        <v/>
      </c>
      <c r="G29" s="20">
        <f>IF(F29=0,NA(),E29/F29)</f>
        <v/>
      </c>
      <c r="H29" s="20">
        <f>IFERROR(SUMIFS(Ordenes!$V$2:$V$840,Ordenes!$C$2:$C$840,$A29,Ordenes!$T$2:$T$840,"Válida",Ordenes!$F$2:$F$840,IF($B$4="Todos","*",$B$4),Ordenes!$G$2:$G$840,IF($B$5="Todos","*",$B$5))/F29,NA())</f>
        <v/>
      </c>
      <c r="I29" s="21">
        <f>IFERROR((G29-H29)*100,"")</f>
        <v/>
      </c>
      <c r="J29" s="20">
        <f>IFERROR(ABS(G29-G28),"")</f>
        <v/>
      </c>
      <c r="K29" s="20">
        <f>$G$7</f>
        <v/>
      </c>
      <c r="L29" s="20">
        <f>$G$10</f>
        <v/>
      </c>
      <c r="M29" s="20">
        <f>$G$11</f>
        <v/>
      </c>
      <c r="N29" s="18">
        <f>IF(ISNA(G29),"Sin producción",IF(L29="","Sin límites",IF(G29&gt;L29,"▲ Sobre LCS",IF(G29&lt;M29,"▼ Bajo LCI","En control"))))</f>
        <v/>
      </c>
      <c r="O29" s="18">
        <f>COUNTIFS(Ordenes!$C$2:$C$840,$A29,Ordenes!$T$2:$T$840,"A corregir",Ordenes!$F$2:$F$840,IF($B$4="Todos","*",$B$4),Ordenes!$G$2:$G$840,IF($B$5="Todos","*",$B$5))</f>
        <v/>
      </c>
    </row>
    <row r="30">
      <c r="A30" s="22" t="n">
        <v>46041</v>
      </c>
      <c r="B30" s="18">
        <f>YEAR(A30)</f>
        <v/>
      </c>
      <c r="C30" s="18">
        <f>MONTH(A30)</f>
        <v/>
      </c>
      <c r="D30" s="18">
        <f>COUNTIFS(Ordenes!$C$2:$C$840,$A30,Ordenes!$T$2:$T$840,"Válida",Ordenes!$F$2:$F$840,IF($B$4="Todos","*",$B$4),Ordenes!$G$2:$G$840,IF($B$5="Todos","*",$B$5))</f>
        <v/>
      </c>
      <c r="E30" s="19">
        <f>SUMIFS(Ordenes!$P$2:$P$840,Ordenes!$C$2:$C$840,$A30,Ordenes!$T$2:$T$840,"Válida",Ordenes!$F$2:$F$840,IF($B$4="Todos","*",$B$4),Ordenes!$G$2:$G$840,IF($B$5="Todos","*",$B$5))</f>
        <v/>
      </c>
      <c r="F30" s="19">
        <f>SUMIFS(Ordenes!$Q$2:$Q$840,Ordenes!$C$2:$C$840,$A30,Ordenes!$T$2:$T$840,"Válida",Ordenes!$F$2:$F$840,IF($B$4="Todos","*",$B$4),Ordenes!$G$2:$G$840,IF($B$5="Todos","*",$B$5))</f>
        <v/>
      </c>
      <c r="G30" s="20">
        <f>IF(F30=0,NA(),E30/F30)</f>
        <v/>
      </c>
      <c r="H30" s="20">
        <f>IFERROR(SUMIFS(Ordenes!$V$2:$V$840,Ordenes!$C$2:$C$840,$A30,Ordenes!$T$2:$T$840,"Válida",Ordenes!$F$2:$F$840,IF($B$4="Todos","*",$B$4),Ordenes!$G$2:$G$840,IF($B$5="Todos","*",$B$5))/F30,NA())</f>
        <v/>
      </c>
      <c r="I30" s="21">
        <f>IFERROR((G30-H30)*100,"")</f>
        <v/>
      </c>
      <c r="J30" s="20">
        <f>IFERROR(ABS(G30-G29),"")</f>
        <v/>
      </c>
      <c r="K30" s="20">
        <f>$G$7</f>
        <v/>
      </c>
      <c r="L30" s="20">
        <f>$G$10</f>
        <v/>
      </c>
      <c r="M30" s="20">
        <f>$G$11</f>
        <v/>
      </c>
      <c r="N30" s="18">
        <f>IF(ISNA(G30),"Sin producción",IF(L30="","Sin límites",IF(G30&gt;L30,"▲ Sobre LCS",IF(G30&lt;M30,"▼ Bajo LCI","En control"))))</f>
        <v/>
      </c>
      <c r="O30" s="18">
        <f>COUNTIFS(Ordenes!$C$2:$C$840,$A30,Ordenes!$T$2:$T$840,"A corregir",Ordenes!$F$2:$F$840,IF($B$4="Todos","*",$B$4),Ordenes!$G$2:$G$840,IF($B$5="Todos","*",$B$5))</f>
        <v/>
      </c>
    </row>
    <row r="31">
      <c r="A31" s="22" t="n">
        <v>46042</v>
      </c>
      <c r="B31" s="18">
        <f>YEAR(A31)</f>
        <v/>
      </c>
      <c r="C31" s="18">
        <f>MONTH(A31)</f>
        <v/>
      </c>
      <c r="D31" s="18">
        <f>COUNTIFS(Ordenes!$C$2:$C$840,$A31,Ordenes!$T$2:$T$840,"Válida",Ordenes!$F$2:$F$840,IF($B$4="Todos","*",$B$4),Ordenes!$G$2:$G$840,IF($B$5="Todos","*",$B$5))</f>
        <v/>
      </c>
      <c r="E31" s="19">
        <f>SUMIFS(Ordenes!$P$2:$P$840,Ordenes!$C$2:$C$840,$A31,Ordenes!$T$2:$T$840,"Válida",Ordenes!$F$2:$F$840,IF($B$4="Todos","*",$B$4),Ordenes!$G$2:$G$840,IF($B$5="Todos","*",$B$5))</f>
        <v/>
      </c>
      <c r="F31" s="19">
        <f>SUMIFS(Ordenes!$Q$2:$Q$840,Ordenes!$C$2:$C$840,$A31,Ordenes!$T$2:$T$840,"Válida",Ordenes!$F$2:$F$840,IF($B$4="Todos","*",$B$4),Ordenes!$G$2:$G$840,IF($B$5="Todos","*",$B$5))</f>
        <v/>
      </c>
      <c r="G31" s="20">
        <f>IF(F31=0,NA(),E31/F31)</f>
        <v/>
      </c>
      <c r="H31" s="20">
        <f>IFERROR(SUMIFS(Ordenes!$V$2:$V$840,Ordenes!$C$2:$C$840,$A31,Ordenes!$T$2:$T$840,"Válida",Ordenes!$F$2:$F$840,IF($B$4="Todos","*",$B$4),Ordenes!$G$2:$G$840,IF($B$5="Todos","*",$B$5))/F31,NA())</f>
        <v/>
      </c>
      <c r="I31" s="21">
        <f>IFERROR((G31-H31)*100,"")</f>
        <v/>
      </c>
      <c r="J31" s="20">
        <f>IFERROR(ABS(G31-G30),"")</f>
        <v/>
      </c>
      <c r="K31" s="20">
        <f>$G$7</f>
        <v/>
      </c>
      <c r="L31" s="20">
        <f>$G$10</f>
        <v/>
      </c>
      <c r="M31" s="20">
        <f>$G$11</f>
        <v/>
      </c>
      <c r="N31" s="18">
        <f>IF(ISNA(G31),"Sin producción",IF(L31="","Sin límites",IF(G31&gt;L31,"▲ Sobre LCS",IF(G31&lt;M31,"▼ Bajo LCI","En control"))))</f>
        <v/>
      </c>
      <c r="O31" s="18">
        <f>COUNTIFS(Ordenes!$C$2:$C$840,$A31,Ordenes!$T$2:$T$840,"A corregir",Ordenes!$F$2:$F$840,IF($B$4="Todos","*",$B$4),Ordenes!$G$2:$G$840,IF($B$5="Todos","*",$B$5))</f>
        <v/>
      </c>
    </row>
    <row r="32">
      <c r="A32" s="22" t="n">
        <v>46043</v>
      </c>
      <c r="B32" s="18">
        <f>YEAR(A32)</f>
        <v/>
      </c>
      <c r="C32" s="18">
        <f>MONTH(A32)</f>
        <v/>
      </c>
      <c r="D32" s="18">
        <f>COUNTIFS(Ordenes!$C$2:$C$840,$A32,Ordenes!$T$2:$T$840,"Válida",Ordenes!$F$2:$F$840,IF($B$4="Todos","*",$B$4),Ordenes!$G$2:$G$840,IF($B$5="Todos","*",$B$5))</f>
        <v/>
      </c>
      <c r="E32" s="19">
        <f>SUMIFS(Ordenes!$P$2:$P$840,Ordenes!$C$2:$C$840,$A32,Ordenes!$T$2:$T$840,"Válida",Ordenes!$F$2:$F$840,IF($B$4="Todos","*",$B$4),Ordenes!$G$2:$G$840,IF($B$5="Todos","*",$B$5))</f>
        <v/>
      </c>
      <c r="F32" s="19">
        <f>SUMIFS(Ordenes!$Q$2:$Q$840,Ordenes!$C$2:$C$840,$A32,Ordenes!$T$2:$T$840,"Válida",Ordenes!$F$2:$F$840,IF($B$4="Todos","*",$B$4),Ordenes!$G$2:$G$840,IF($B$5="Todos","*",$B$5))</f>
        <v/>
      </c>
      <c r="G32" s="20">
        <f>IF(F32=0,NA(),E32/F32)</f>
        <v/>
      </c>
      <c r="H32" s="20">
        <f>IFERROR(SUMIFS(Ordenes!$V$2:$V$840,Ordenes!$C$2:$C$840,$A32,Ordenes!$T$2:$T$840,"Válida",Ordenes!$F$2:$F$840,IF($B$4="Todos","*",$B$4),Ordenes!$G$2:$G$840,IF($B$5="Todos","*",$B$5))/F32,NA())</f>
        <v/>
      </c>
      <c r="I32" s="21">
        <f>IFERROR((G32-H32)*100,"")</f>
        <v/>
      </c>
      <c r="J32" s="20">
        <f>IFERROR(ABS(G32-G31),"")</f>
        <v/>
      </c>
      <c r="K32" s="20">
        <f>$G$7</f>
        <v/>
      </c>
      <c r="L32" s="20">
        <f>$G$10</f>
        <v/>
      </c>
      <c r="M32" s="20">
        <f>$G$11</f>
        <v/>
      </c>
      <c r="N32" s="18">
        <f>IF(ISNA(G32),"Sin producción",IF(L32="","Sin límites",IF(G32&gt;L32,"▲ Sobre LCS",IF(G32&lt;M32,"▼ Bajo LCI","En control"))))</f>
        <v/>
      </c>
      <c r="O32" s="18">
        <f>COUNTIFS(Ordenes!$C$2:$C$840,$A32,Ordenes!$T$2:$T$840,"A corregir",Ordenes!$F$2:$F$840,IF($B$4="Todos","*",$B$4),Ordenes!$G$2:$G$840,IF($B$5="Todos","*",$B$5))</f>
        <v/>
      </c>
    </row>
    <row r="33">
      <c r="A33" s="22" t="n">
        <v>46044</v>
      </c>
      <c r="B33" s="18">
        <f>YEAR(A33)</f>
        <v/>
      </c>
      <c r="C33" s="18">
        <f>MONTH(A33)</f>
        <v/>
      </c>
      <c r="D33" s="18">
        <f>COUNTIFS(Ordenes!$C$2:$C$840,$A33,Ordenes!$T$2:$T$840,"Válida",Ordenes!$F$2:$F$840,IF($B$4="Todos","*",$B$4),Ordenes!$G$2:$G$840,IF($B$5="Todos","*",$B$5))</f>
        <v/>
      </c>
      <c r="E33" s="19">
        <f>SUMIFS(Ordenes!$P$2:$P$840,Ordenes!$C$2:$C$840,$A33,Ordenes!$T$2:$T$840,"Válida",Ordenes!$F$2:$F$840,IF($B$4="Todos","*",$B$4),Ordenes!$G$2:$G$840,IF($B$5="Todos","*",$B$5))</f>
        <v/>
      </c>
      <c r="F33" s="19">
        <f>SUMIFS(Ordenes!$Q$2:$Q$840,Ordenes!$C$2:$C$840,$A33,Ordenes!$T$2:$T$840,"Válida",Ordenes!$F$2:$F$840,IF($B$4="Todos","*",$B$4),Ordenes!$G$2:$G$840,IF($B$5="Todos","*",$B$5))</f>
        <v/>
      </c>
      <c r="G33" s="20">
        <f>IF(F33=0,NA(),E33/F33)</f>
        <v/>
      </c>
      <c r="H33" s="20">
        <f>IFERROR(SUMIFS(Ordenes!$V$2:$V$840,Ordenes!$C$2:$C$840,$A33,Ordenes!$T$2:$T$840,"Válida",Ordenes!$F$2:$F$840,IF($B$4="Todos","*",$B$4),Ordenes!$G$2:$G$840,IF($B$5="Todos","*",$B$5))/F33,NA())</f>
        <v/>
      </c>
      <c r="I33" s="21">
        <f>IFERROR((G33-H33)*100,"")</f>
        <v/>
      </c>
      <c r="J33" s="20">
        <f>IFERROR(ABS(G33-G32),"")</f>
        <v/>
      </c>
      <c r="K33" s="20">
        <f>$G$7</f>
        <v/>
      </c>
      <c r="L33" s="20">
        <f>$G$10</f>
        <v/>
      </c>
      <c r="M33" s="20">
        <f>$G$11</f>
        <v/>
      </c>
      <c r="N33" s="18">
        <f>IF(ISNA(G33),"Sin producción",IF(L33="","Sin límites",IF(G33&gt;L33,"▲ Sobre LCS",IF(G33&lt;M33,"▼ Bajo LCI","En control"))))</f>
        <v/>
      </c>
      <c r="O33" s="18">
        <f>COUNTIFS(Ordenes!$C$2:$C$840,$A33,Ordenes!$T$2:$T$840,"A corregir",Ordenes!$F$2:$F$840,IF($B$4="Todos","*",$B$4),Ordenes!$G$2:$G$840,IF($B$5="Todos","*",$B$5))</f>
        <v/>
      </c>
    </row>
    <row r="34">
      <c r="A34" s="22" t="n">
        <v>46045</v>
      </c>
      <c r="B34" s="18">
        <f>YEAR(A34)</f>
        <v/>
      </c>
      <c r="C34" s="18">
        <f>MONTH(A34)</f>
        <v/>
      </c>
      <c r="D34" s="18">
        <f>COUNTIFS(Ordenes!$C$2:$C$840,$A34,Ordenes!$T$2:$T$840,"Válida",Ordenes!$F$2:$F$840,IF($B$4="Todos","*",$B$4),Ordenes!$G$2:$G$840,IF($B$5="Todos","*",$B$5))</f>
        <v/>
      </c>
      <c r="E34" s="19">
        <f>SUMIFS(Ordenes!$P$2:$P$840,Ordenes!$C$2:$C$840,$A34,Ordenes!$T$2:$T$840,"Válida",Ordenes!$F$2:$F$840,IF($B$4="Todos","*",$B$4),Ordenes!$G$2:$G$840,IF($B$5="Todos","*",$B$5))</f>
        <v/>
      </c>
      <c r="F34" s="19">
        <f>SUMIFS(Ordenes!$Q$2:$Q$840,Ordenes!$C$2:$C$840,$A34,Ordenes!$T$2:$T$840,"Válida",Ordenes!$F$2:$F$840,IF($B$4="Todos","*",$B$4),Ordenes!$G$2:$G$840,IF($B$5="Todos","*",$B$5))</f>
        <v/>
      </c>
      <c r="G34" s="20">
        <f>IF(F34=0,NA(),E34/F34)</f>
        <v/>
      </c>
      <c r="H34" s="20">
        <f>IFERROR(SUMIFS(Ordenes!$V$2:$V$840,Ordenes!$C$2:$C$840,$A34,Ordenes!$T$2:$T$840,"Válida",Ordenes!$F$2:$F$840,IF($B$4="Todos","*",$B$4),Ordenes!$G$2:$G$840,IF($B$5="Todos","*",$B$5))/F34,NA())</f>
        <v/>
      </c>
      <c r="I34" s="21">
        <f>IFERROR((G34-H34)*100,"")</f>
        <v/>
      </c>
      <c r="J34" s="20">
        <f>IFERROR(ABS(G34-G33),"")</f>
        <v/>
      </c>
      <c r="K34" s="20">
        <f>$G$7</f>
        <v/>
      </c>
      <c r="L34" s="20">
        <f>$G$10</f>
        <v/>
      </c>
      <c r="M34" s="20">
        <f>$G$11</f>
        <v/>
      </c>
      <c r="N34" s="18">
        <f>IF(ISNA(G34),"Sin producción",IF(L34="","Sin límites",IF(G34&gt;L34,"▲ Sobre LCS",IF(G34&lt;M34,"▼ Bajo LCI","En control"))))</f>
        <v/>
      </c>
      <c r="O34" s="18">
        <f>COUNTIFS(Ordenes!$C$2:$C$840,$A34,Ordenes!$T$2:$T$840,"A corregir",Ordenes!$F$2:$F$840,IF($B$4="Todos","*",$B$4),Ordenes!$G$2:$G$840,IF($B$5="Todos","*",$B$5))</f>
        <v/>
      </c>
    </row>
    <row r="35">
      <c r="A35" s="22" t="n">
        <v>46048</v>
      </c>
      <c r="B35" s="18">
        <f>YEAR(A35)</f>
        <v/>
      </c>
      <c r="C35" s="18">
        <f>MONTH(A35)</f>
        <v/>
      </c>
      <c r="D35" s="18">
        <f>COUNTIFS(Ordenes!$C$2:$C$840,$A35,Ordenes!$T$2:$T$840,"Válida",Ordenes!$F$2:$F$840,IF($B$4="Todos","*",$B$4),Ordenes!$G$2:$G$840,IF($B$5="Todos","*",$B$5))</f>
        <v/>
      </c>
      <c r="E35" s="19">
        <f>SUMIFS(Ordenes!$P$2:$P$840,Ordenes!$C$2:$C$840,$A35,Ordenes!$T$2:$T$840,"Válida",Ordenes!$F$2:$F$840,IF($B$4="Todos","*",$B$4),Ordenes!$G$2:$G$840,IF($B$5="Todos","*",$B$5))</f>
        <v/>
      </c>
      <c r="F35" s="19">
        <f>SUMIFS(Ordenes!$Q$2:$Q$840,Ordenes!$C$2:$C$840,$A35,Ordenes!$T$2:$T$840,"Válida",Ordenes!$F$2:$F$840,IF($B$4="Todos","*",$B$4),Ordenes!$G$2:$G$840,IF($B$5="Todos","*",$B$5))</f>
        <v/>
      </c>
      <c r="G35" s="20">
        <f>IF(F35=0,NA(),E35/F35)</f>
        <v/>
      </c>
      <c r="H35" s="20">
        <f>IFERROR(SUMIFS(Ordenes!$V$2:$V$840,Ordenes!$C$2:$C$840,$A35,Ordenes!$T$2:$T$840,"Válida",Ordenes!$F$2:$F$840,IF($B$4="Todos","*",$B$4),Ordenes!$G$2:$G$840,IF($B$5="Todos","*",$B$5))/F35,NA())</f>
        <v/>
      </c>
      <c r="I35" s="21">
        <f>IFERROR((G35-H35)*100,"")</f>
        <v/>
      </c>
      <c r="J35" s="20">
        <f>IFERROR(ABS(G35-G34),"")</f>
        <v/>
      </c>
      <c r="K35" s="20">
        <f>$G$7</f>
        <v/>
      </c>
      <c r="L35" s="20">
        <f>$G$10</f>
        <v/>
      </c>
      <c r="M35" s="20">
        <f>$G$11</f>
        <v/>
      </c>
      <c r="N35" s="18">
        <f>IF(ISNA(G35),"Sin producción",IF(L35="","Sin límites",IF(G35&gt;L35,"▲ Sobre LCS",IF(G35&lt;M35,"▼ Bajo LCI","En control"))))</f>
        <v/>
      </c>
      <c r="O35" s="18">
        <f>COUNTIFS(Ordenes!$C$2:$C$840,$A35,Ordenes!$T$2:$T$840,"A corregir",Ordenes!$F$2:$F$840,IF($B$4="Todos","*",$B$4),Ordenes!$G$2:$G$840,IF($B$5="Todos","*",$B$5))</f>
        <v/>
      </c>
    </row>
    <row r="36">
      <c r="A36" s="22" t="n">
        <v>46049</v>
      </c>
      <c r="B36" s="18">
        <f>YEAR(A36)</f>
        <v/>
      </c>
      <c r="C36" s="18">
        <f>MONTH(A36)</f>
        <v/>
      </c>
      <c r="D36" s="18">
        <f>COUNTIFS(Ordenes!$C$2:$C$840,$A36,Ordenes!$T$2:$T$840,"Válida",Ordenes!$F$2:$F$840,IF($B$4="Todos","*",$B$4),Ordenes!$G$2:$G$840,IF($B$5="Todos","*",$B$5))</f>
        <v/>
      </c>
      <c r="E36" s="19">
        <f>SUMIFS(Ordenes!$P$2:$P$840,Ordenes!$C$2:$C$840,$A36,Ordenes!$T$2:$T$840,"Válida",Ordenes!$F$2:$F$840,IF($B$4="Todos","*",$B$4),Ordenes!$G$2:$G$840,IF($B$5="Todos","*",$B$5))</f>
        <v/>
      </c>
      <c r="F36" s="19">
        <f>SUMIFS(Ordenes!$Q$2:$Q$840,Ordenes!$C$2:$C$840,$A36,Ordenes!$T$2:$T$840,"Válida",Ordenes!$F$2:$F$840,IF($B$4="Todos","*",$B$4),Ordenes!$G$2:$G$840,IF($B$5="Todos","*",$B$5))</f>
        <v/>
      </c>
      <c r="G36" s="20">
        <f>IF(F36=0,NA(),E36/F36)</f>
        <v/>
      </c>
      <c r="H36" s="20">
        <f>IFERROR(SUMIFS(Ordenes!$V$2:$V$840,Ordenes!$C$2:$C$840,$A36,Ordenes!$T$2:$T$840,"Válida",Ordenes!$F$2:$F$840,IF($B$4="Todos","*",$B$4),Ordenes!$G$2:$G$840,IF($B$5="Todos","*",$B$5))/F36,NA())</f>
        <v/>
      </c>
      <c r="I36" s="21">
        <f>IFERROR((G36-H36)*100,"")</f>
        <v/>
      </c>
      <c r="J36" s="20">
        <f>IFERROR(ABS(G36-G35),"")</f>
        <v/>
      </c>
      <c r="K36" s="20">
        <f>$G$7</f>
        <v/>
      </c>
      <c r="L36" s="20">
        <f>$G$10</f>
        <v/>
      </c>
      <c r="M36" s="20">
        <f>$G$11</f>
        <v/>
      </c>
      <c r="N36" s="18">
        <f>IF(ISNA(G36),"Sin producción",IF(L36="","Sin límites",IF(G36&gt;L36,"▲ Sobre LCS",IF(G36&lt;M36,"▼ Bajo LCI","En control"))))</f>
        <v/>
      </c>
      <c r="O36" s="18">
        <f>COUNTIFS(Ordenes!$C$2:$C$840,$A36,Ordenes!$T$2:$T$840,"A corregir",Ordenes!$F$2:$F$840,IF($B$4="Todos","*",$B$4),Ordenes!$G$2:$G$840,IF($B$5="Todos","*",$B$5))</f>
        <v/>
      </c>
    </row>
    <row r="37">
      <c r="A37" s="22" t="n">
        <v>46050</v>
      </c>
      <c r="B37" s="18">
        <f>YEAR(A37)</f>
        <v/>
      </c>
      <c r="C37" s="18">
        <f>MONTH(A37)</f>
        <v/>
      </c>
      <c r="D37" s="18">
        <f>COUNTIFS(Ordenes!$C$2:$C$840,$A37,Ordenes!$T$2:$T$840,"Válida",Ordenes!$F$2:$F$840,IF($B$4="Todos","*",$B$4),Ordenes!$G$2:$G$840,IF($B$5="Todos","*",$B$5))</f>
        <v/>
      </c>
      <c r="E37" s="19">
        <f>SUMIFS(Ordenes!$P$2:$P$840,Ordenes!$C$2:$C$840,$A37,Ordenes!$T$2:$T$840,"Válida",Ordenes!$F$2:$F$840,IF($B$4="Todos","*",$B$4),Ordenes!$G$2:$G$840,IF($B$5="Todos","*",$B$5))</f>
        <v/>
      </c>
      <c r="F37" s="19">
        <f>SUMIFS(Ordenes!$Q$2:$Q$840,Ordenes!$C$2:$C$840,$A37,Ordenes!$T$2:$T$840,"Válida",Ordenes!$F$2:$F$840,IF($B$4="Todos","*",$B$4),Ordenes!$G$2:$G$840,IF($B$5="Todos","*",$B$5))</f>
        <v/>
      </c>
      <c r="G37" s="20">
        <f>IF(F37=0,NA(),E37/F37)</f>
        <v/>
      </c>
      <c r="H37" s="20">
        <f>IFERROR(SUMIFS(Ordenes!$V$2:$V$840,Ordenes!$C$2:$C$840,$A37,Ordenes!$T$2:$T$840,"Válida",Ordenes!$F$2:$F$840,IF($B$4="Todos","*",$B$4),Ordenes!$G$2:$G$840,IF($B$5="Todos","*",$B$5))/F37,NA())</f>
        <v/>
      </c>
      <c r="I37" s="21">
        <f>IFERROR((G37-H37)*100,"")</f>
        <v/>
      </c>
      <c r="J37" s="20">
        <f>IFERROR(ABS(G37-G36),"")</f>
        <v/>
      </c>
      <c r="K37" s="20">
        <f>$G$7</f>
        <v/>
      </c>
      <c r="L37" s="20">
        <f>$G$10</f>
        <v/>
      </c>
      <c r="M37" s="20">
        <f>$G$11</f>
        <v/>
      </c>
      <c r="N37" s="18">
        <f>IF(ISNA(G37),"Sin producción",IF(L37="","Sin límites",IF(G37&gt;L37,"▲ Sobre LCS",IF(G37&lt;M37,"▼ Bajo LCI","En control"))))</f>
        <v/>
      </c>
      <c r="O37" s="18">
        <f>COUNTIFS(Ordenes!$C$2:$C$840,$A37,Ordenes!$T$2:$T$840,"A corregir",Ordenes!$F$2:$F$840,IF($B$4="Todos","*",$B$4),Ordenes!$G$2:$G$840,IF($B$5="Todos","*",$B$5))</f>
        <v/>
      </c>
    </row>
    <row r="38">
      <c r="A38" s="22" t="n">
        <v>46051</v>
      </c>
      <c r="B38" s="18">
        <f>YEAR(A38)</f>
        <v/>
      </c>
      <c r="C38" s="18">
        <f>MONTH(A38)</f>
        <v/>
      </c>
      <c r="D38" s="18">
        <f>COUNTIFS(Ordenes!$C$2:$C$840,$A38,Ordenes!$T$2:$T$840,"Válida",Ordenes!$F$2:$F$840,IF($B$4="Todos","*",$B$4),Ordenes!$G$2:$G$840,IF($B$5="Todos","*",$B$5))</f>
        <v/>
      </c>
      <c r="E38" s="19">
        <f>SUMIFS(Ordenes!$P$2:$P$840,Ordenes!$C$2:$C$840,$A38,Ordenes!$T$2:$T$840,"Válida",Ordenes!$F$2:$F$840,IF($B$4="Todos","*",$B$4),Ordenes!$G$2:$G$840,IF($B$5="Todos","*",$B$5))</f>
        <v/>
      </c>
      <c r="F38" s="19">
        <f>SUMIFS(Ordenes!$Q$2:$Q$840,Ordenes!$C$2:$C$840,$A38,Ordenes!$T$2:$T$840,"Válida",Ordenes!$F$2:$F$840,IF($B$4="Todos","*",$B$4),Ordenes!$G$2:$G$840,IF($B$5="Todos","*",$B$5))</f>
        <v/>
      </c>
      <c r="G38" s="20">
        <f>IF(F38=0,NA(),E38/F38)</f>
        <v/>
      </c>
      <c r="H38" s="20">
        <f>IFERROR(SUMIFS(Ordenes!$V$2:$V$840,Ordenes!$C$2:$C$840,$A38,Ordenes!$T$2:$T$840,"Válida",Ordenes!$F$2:$F$840,IF($B$4="Todos","*",$B$4),Ordenes!$G$2:$G$840,IF($B$5="Todos","*",$B$5))/F38,NA())</f>
        <v/>
      </c>
      <c r="I38" s="21">
        <f>IFERROR((G38-H38)*100,"")</f>
        <v/>
      </c>
      <c r="J38" s="20">
        <f>IFERROR(ABS(G38-G37),"")</f>
        <v/>
      </c>
      <c r="K38" s="20">
        <f>$G$7</f>
        <v/>
      </c>
      <c r="L38" s="20">
        <f>$G$10</f>
        <v/>
      </c>
      <c r="M38" s="20">
        <f>$G$11</f>
        <v/>
      </c>
      <c r="N38" s="18">
        <f>IF(ISNA(G38),"Sin producción",IF(L38="","Sin límites",IF(G38&gt;L38,"▲ Sobre LCS",IF(G38&lt;M38,"▼ Bajo LCI","En control"))))</f>
        <v/>
      </c>
      <c r="O38" s="18">
        <f>COUNTIFS(Ordenes!$C$2:$C$840,$A38,Ordenes!$T$2:$T$840,"A corregir",Ordenes!$F$2:$F$840,IF($B$4="Todos","*",$B$4),Ordenes!$G$2:$G$840,IF($B$5="Todos","*",$B$5))</f>
        <v/>
      </c>
    </row>
    <row r="39">
      <c r="A39" s="22" t="n">
        <v>46052</v>
      </c>
      <c r="B39" s="18">
        <f>YEAR(A39)</f>
        <v/>
      </c>
      <c r="C39" s="18">
        <f>MONTH(A39)</f>
        <v/>
      </c>
      <c r="D39" s="18">
        <f>COUNTIFS(Ordenes!$C$2:$C$840,$A39,Ordenes!$T$2:$T$840,"Válida",Ordenes!$F$2:$F$840,IF($B$4="Todos","*",$B$4),Ordenes!$G$2:$G$840,IF($B$5="Todos","*",$B$5))</f>
        <v/>
      </c>
      <c r="E39" s="19">
        <f>SUMIFS(Ordenes!$P$2:$P$840,Ordenes!$C$2:$C$840,$A39,Ordenes!$T$2:$T$840,"Válida",Ordenes!$F$2:$F$840,IF($B$4="Todos","*",$B$4),Ordenes!$G$2:$G$840,IF($B$5="Todos","*",$B$5))</f>
        <v/>
      </c>
      <c r="F39" s="19">
        <f>SUMIFS(Ordenes!$Q$2:$Q$840,Ordenes!$C$2:$C$840,$A39,Ordenes!$T$2:$T$840,"Válida",Ordenes!$F$2:$F$840,IF($B$4="Todos","*",$B$4),Ordenes!$G$2:$G$840,IF($B$5="Todos","*",$B$5))</f>
        <v/>
      </c>
      <c r="G39" s="20">
        <f>IF(F39=0,NA(),E39/F39)</f>
        <v/>
      </c>
      <c r="H39" s="20">
        <f>IFERROR(SUMIFS(Ordenes!$V$2:$V$840,Ordenes!$C$2:$C$840,$A39,Ordenes!$T$2:$T$840,"Válida",Ordenes!$F$2:$F$840,IF($B$4="Todos","*",$B$4),Ordenes!$G$2:$G$840,IF($B$5="Todos","*",$B$5))/F39,NA())</f>
        <v/>
      </c>
      <c r="I39" s="21">
        <f>IFERROR((G39-H39)*100,"")</f>
        <v/>
      </c>
      <c r="J39" s="20">
        <f>IFERROR(ABS(G39-G38),"")</f>
        <v/>
      </c>
      <c r="K39" s="20">
        <f>$G$7</f>
        <v/>
      </c>
      <c r="L39" s="20">
        <f>$G$10</f>
        <v/>
      </c>
      <c r="M39" s="20">
        <f>$G$11</f>
        <v/>
      </c>
      <c r="N39" s="18">
        <f>IF(ISNA(G39),"Sin producción",IF(L39="","Sin límites",IF(G39&gt;L39,"▲ Sobre LCS",IF(G39&lt;M39,"▼ Bajo LCI","En control"))))</f>
        <v/>
      </c>
      <c r="O39" s="18">
        <f>COUNTIFS(Ordenes!$C$2:$C$840,$A39,Ordenes!$T$2:$T$840,"A corregir",Ordenes!$F$2:$F$840,IF($B$4="Todos","*",$B$4),Ordenes!$G$2:$G$840,IF($B$5="Todos","*",$B$5))</f>
        <v/>
      </c>
    </row>
    <row r="40">
      <c r="A40" s="22" t="n">
        <v>46053</v>
      </c>
      <c r="B40" s="18">
        <f>YEAR(A40)</f>
        <v/>
      </c>
      <c r="C40" s="18">
        <f>MONTH(A40)</f>
        <v/>
      </c>
      <c r="D40" s="18">
        <f>COUNTIFS(Ordenes!$C$2:$C$840,$A40,Ordenes!$T$2:$T$840,"Válida",Ordenes!$F$2:$F$840,IF($B$4="Todos","*",$B$4),Ordenes!$G$2:$G$840,IF($B$5="Todos","*",$B$5))</f>
        <v/>
      </c>
      <c r="E40" s="19">
        <f>SUMIFS(Ordenes!$P$2:$P$840,Ordenes!$C$2:$C$840,$A40,Ordenes!$T$2:$T$840,"Válida",Ordenes!$F$2:$F$840,IF($B$4="Todos","*",$B$4),Ordenes!$G$2:$G$840,IF($B$5="Todos","*",$B$5))</f>
        <v/>
      </c>
      <c r="F40" s="19">
        <f>SUMIFS(Ordenes!$Q$2:$Q$840,Ordenes!$C$2:$C$840,$A40,Ordenes!$T$2:$T$840,"Válida",Ordenes!$F$2:$F$840,IF($B$4="Todos","*",$B$4),Ordenes!$G$2:$G$840,IF($B$5="Todos","*",$B$5))</f>
        <v/>
      </c>
      <c r="G40" s="20">
        <f>IF(F40=0,NA(),E40/F40)</f>
        <v/>
      </c>
      <c r="H40" s="20">
        <f>IFERROR(SUMIFS(Ordenes!$V$2:$V$840,Ordenes!$C$2:$C$840,$A40,Ordenes!$T$2:$T$840,"Válida",Ordenes!$F$2:$F$840,IF($B$4="Todos","*",$B$4),Ordenes!$G$2:$G$840,IF($B$5="Todos","*",$B$5))/F40,NA())</f>
        <v/>
      </c>
      <c r="I40" s="21">
        <f>IFERROR((G40-H40)*100,"")</f>
        <v/>
      </c>
      <c r="J40" s="20">
        <f>IFERROR(ABS(G40-G39),"")</f>
        <v/>
      </c>
      <c r="K40" s="20">
        <f>$G$7</f>
        <v/>
      </c>
      <c r="L40" s="20">
        <f>$G$10</f>
        <v/>
      </c>
      <c r="M40" s="20">
        <f>$G$11</f>
        <v/>
      </c>
      <c r="N40" s="18">
        <f>IF(ISNA(G40),"Sin producción",IF(L40="","Sin límites",IF(G40&gt;L40,"▲ Sobre LCS",IF(G40&lt;M40,"▼ Bajo LCI","En control"))))</f>
        <v/>
      </c>
      <c r="O40" s="18">
        <f>COUNTIFS(Ordenes!$C$2:$C$840,$A40,Ordenes!$T$2:$T$840,"A corregir",Ordenes!$F$2:$F$840,IF($B$4="Todos","*",$B$4),Ordenes!$G$2:$G$840,IF($B$5="Todos","*",$B$5))</f>
        <v/>
      </c>
    </row>
    <row r="41">
      <c r="A41" s="22" t="n">
        <v>46055</v>
      </c>
      <c r="B41" s="18">
        <f>YEAR(A41)</f>
        <v/>
      </c>
      <c r="C41" s="18">
        <f>MONTH(A41)</f>
        <v/>
      </c>
      <c r="D41" s="18">
        <f>COUNTIFS(Ordenes!$C$2:$C$840,$A41,Ordenes!$T$2:$T$840,"Válida",Ordenes!$F$2:$F$840,IF($B$4="Todos","*",$B$4),Ordenes!$G$2:$G$840,IF($B$5="Todos","*",$B$5))</f>
        <v/>
      </c>
      <c r="E41" s="19">
        <f>SUMIFS(Ordenes!$P$2:$P$840,Ordenes!$C$2:$C$840,$A41,Ordenes!$T$2:$T$840,"Válida",Ordenes!$F$2:$F$840,IF($B$4="Todos","*",$B$4),Ordenes!$G$2:$G$840,IF($B$5="Todos","*",$B$5))</f>
        <v/>
      </c>
      <c r="F41" s="19">
        <f>SUMIFS(Ordenes!$Q$2:$Q$840,Ordenes!$C$2:$C$840,$A41,Ordenes!$T$2:$T$840,"Válida",Ordenes!$F$2:$F$840,IF($B$4="Todos","*",$B$4),Ordenes!$G$2:$G$840,IF($B$5="Todos","*",$B$5))</f>
        <v/>
      </c>
      <c r="G41" s="20">
        <f>IF(F41=0,NA(),E41/F41)</f>
        <v/>
      </c>
      <c r="H41" s="20">
        <f>IFERROR(SUMIFS(Ordenes!$V$2:$V$840,Ordenes!$C$2:$C$840,$A41,Ordenes!$T$2:$T$840,"Válida",Ordenes!$F$2:$F$840,IF($B$4="Todos","*",$B$4),Ordenes!$G$2:$G$840,IF($B$5="Todos","*",$B$5))/F41,NA())</f>
        <v/>
      </c>
      <c r="I41" s="21">
        <f>IFERROR((G41-H41)*100,"")</f>
        <v/>
      </c>
      <c r="J41" s="20">
        <f>IFERROR(ABS(G41-G40),"")</f>
        <v/>
      </c>
      <c r="K41" s="20">
        <f>$G$7</f>
        <v/>
      </c>
      <c r="L41" s="20">
        <f>$G$10</f>
        <v/>
      </c>
      <c r="M41" s="20">
        <f>$G$11</f>
        <v/>
      </c>
      <c r="N41" s="18">
        <f>IF(ISNA(G41),"Sin producción",IF(L41="","Sin límites",IF(G41&gt;L41,"▲ Sobre LCS",IF(G41&lt;M41,"▼ Bajo LCI","En control"))))</f>
        <v/>
      </c>
      <c r="O41" s="18">
        <f>COUNTIFS(Ordenes!$C$2:$C$840,$A41,Ordenes!$T$2:$T$840,"A corregir",Ordenes!$F$2:$F$840,IF($B$4="Todos","*",$B$4),Ordenes!$G$2:$G$840,IF($B$5="Todos","*",$B$5))</f>
        <v/>
      </c>
    </row>
    <row r="42">
      <c r="A42" s="22" t="n">
        <v>46056</v>
      </c>
      <c r="B42" s="18">
        <f>YEAR(A42)</f>
        <v/>
      </c>
      <c r="C42" s="18">
        <f>MONTH(A42)</f>
        <v/>
      </c>
      <c r="D42" s="18">
        <f>COUNTIFS(Ordenes!$C$2:$C$840,$A42,Ordenes!$T$2:$T$840,"Válida",Ordenes!$F$2:$F$840,IF($B$4="Todos","*",$B$4),Ordenes!$G$2:$G$840,IF($B$5="Todos","*",$B$5))</f>
        <v/>
      </c>
      <c r="E42" s="19">
        <f>SUMIFS(Ordenes!$P$2:$P$840,Ordenes!$C$2:$C$840,$A42,Ordenes!$T$2:$T$840,"Válida",Ordenes!$F$2:$F$840,IF($B$4="Todos","*",$B$4),Ordenes!$G$2:$G$840,IF($B$5="Todos","*",$B$5))</f>
        <v/>
      </c>
      <c r="F42" s="19">
        <f>SUMIFS(Ordenes!$Q$2:$Q$840,Ordenes!$C$2:$C$840,$A42,Ordenes!$T$2:$T$840,"Válida",Ordenes!$F$2:$F$840,IF($B$4="Todos","*",$B$4),Ordenes!$G$2:$G$840,IF($B$5="Todos","*",$B$5))</f>
        <v/>
      </c>
      <c r="G42" s="20">
        <f>IF(F42=0,NA(),E42/F42)</f>
        <v/>
      </c>
      <c r="H42" s="20">
        <f>IFERROR(SUMIFS(Ordenes!$V$2:$V$840,Ordenes!$C$2:$C$840,$A42,Ordenes!$T$2:$T$840,"Válida",Ordenes!$F$2:$F$840,IF($B$4="Todos","*",$B$4),Ordenes!$G$2:$G$840,IF($B$5="Todos","*",$B$5))/F42,NA())</f>
        <v/>
      </c>
      <c r="I42" s="21">
        <f>IFERROR((G42-H42)*100,"")</f>
        <v/>
      </c>
      <c r="J42" s="20">
        <f>IFERROR(ABS(G42-G41),"")</f>
        <v/>
      </c>
      <c r="K42" s="20">
        <f>$G$7</f>
        <v/>
      </c>
      <c r="L42" s="20">
        <f>$G$10</f>
        <v/>
      </c>
      <c r="M42" s="20">
        <f>$G$11</f>
        <v/>
      </c>
      <c r="N42" s="18">
        <f>IF(ISNA(G42),"Sin producción",IF(L42="","Sin límites",IF(G42&gt;L42,"▲ Sobre LCS",IF(G42&lt;M42,"▼ Bajo LCI","En control"))))</f>
        <v/>
      </c>
      <c r="O42" s="18">
        <f>COUNTIFS(Ordenes!$C$2:$C$840,$A42,Ordenes!$T$2:$T$840,"A corregir",Ordenes!$F$2:$F$840,IF($B$4="Todos","*",$B$4),Ordenes!$G$2:$G$840,IF($B$5="Todos","*",$B$5))</f>
        <v/>
      </c>
    </row>
    <row r="43">
      <c r="A43" s="22" t="n">
        <v>46057</v>
      </c>
      <c r="B43" s="18">
        <f>YEAR(A43)</f>
        <v/>
      </c>
      <c r="C43" s="18">
        <f>MONTH(A43)</f>
        <v/>
      </c>
      <c r="D43" s="18">
        <f>COUNTIFS(Ordenes!$C$2:$C$840,$A43,Ordenes!$T$2:$T$840,"Válida",Ordenes!$F$2:$F$840,IF($B$4="Todos","*",$B$4),Ordenes!$G$2:$G$840,IF($B$5="Todos","*",$B$5))</f>
        <v/>
      </c>
      <c r="E43" s="19">
        <f>SUMIFS(Ordenes!$P$2:$P$840,Ordenes!$C$2:$C$840,$A43,Ordenes!$T$2:$T$840,"Válida",Ordenes!$F$2:$F$840,IF($B$4="Todos","*",$B$4),Ordenes!$G$2:$G$840,IF($B$5="Todos","*",$B$5))</f>
        <v/>
      </c>
      <c r="F43" s="19">
        <f>SUMIFS(Ordenes!$Q$2:$Q$840,Ordenes!$C$2:$C$840,$A43,Ordenes!$T$2:$T$840,"Válida",Ordenes!$F$2:$F$840,IF($B$4="Todos","*",$B$4),Ordenes!$G$2:$G$840,IF($B$5="Todos","*",$B$5))</f>
        <v/>
      </c>
      <c r="G43" s="20">
        <f>IF(F43=0,NA(),E43/F43)</f>
        <v/>
      </c>
      <c r="H43" s="20">
        <f>IFERROR(SUMIFS(Ordenes!$V$2:$V$840,Ordenes!$C$2:$C$840,$A43,Ordenes!$T$2:$T$840,"Válida",Ordenes!$F$2:$F$840,IF($B$4="Todos","*",$B$4),Ordenes!$G$2:$G$840,IF($B$5="Todos","*",$B$5))/F43,NA())</f>
        <v/>
      </c>
      <c r="I43" s="21">
        <f>IFERROR((G43-H43)*100,"")</f>
        <v/>
      </c>
      <c r="J43" s="20">
        <f>IFERROR(ABS(G43-G42),"")</f>
        <v/>
      </c>
      <c r="K43" s="20">
        <f>$G$7</f>
        <v/>
      </c>
      <c r="L43" s="20">
        <f>$G$10</f>
        <v/>
      </c>
      <c r="M43" s="20">
        <f>$G$11</f>
        <v/>
      </c>
      <c r="N43" s="18">
        <f>IF(ISNA(G43),"Sin producción",IF(L43="","Sin límites",IF(G43&gt;L43,"▲ Sobre LCS",IF(G43&lt;M43,"▼ Bajo LCI","En control"))))</f>
        <v/>
      </c>
      <c r="O43" s="18">
        <f>COUNTIFS(Ordenes!$C$2:$C$840,$A43,Ordenes!$T$2:$T$840,"A corregir",Ordenes!$F$2:$F$840,IF($B$4="Todos","*",$B$4),Ordenes!$G$2:$G$840,IF($B$5="Todos","*",$B$5))</f>
        <v/>
      </c>
    </row>
    <row r="44">
      <c r="A44" s="22" t="n">
        <v>46058</v>
      </c>
      <c r="B44" s="18">
        <f>YEAR(A44)</f>
        <v/>
      </c>
      <c r="C44" s="18">
        <f>MONTH(A44)</f>
        <v/>
      </c>
      <c r="D44" s="18">
        <f>COUNTIFS(Ordenes!$C$2:$C$840,$A44,Ordenes!$T$2:$T$840,"Válida",Ordenes!$F$2:$F$840,IF($B$4="Todos","*",$B$4),Ordenes!$G$2:$G$840,IF($B$5="Todos","*",$B$5))</f>
        <v/>
      </c>
      <c r="E44" s="19">
        <f>SUMIFS(Ordenes!$P$2:$P$840,Ordenes!$C$2:$C$840,$A44,Ordenes!$T$2:$T$840,"Válida",Ordenes!$F$2:$F$840,IF($B$4="Todos","*",$B$4),Ordenes!$G$2:$G$840,IF($B$5="Todos","*",$B$5))</f>
        <v/>
      </c>
      <c r="F44" s="19">
        <f>SUMIFS(Ordenes!$Q$2:$Q$840,Ordenes!$C$2:$C$840,$A44,Ordenes!$T$2:$T$840,"Válida",Ordenes!$F$2:$F$840,IF($B$4="Todos","*",$B$4),Ordenes!$G$2:$G$840,IF($B$5="Todos","*",$B$5))</f>
        <v/>
      </c>
      <c r="G44" s="20">
        <f>IF(F44=0,NA(),E44/F44)</f>
        <v/>
      </c>
      <c r="H44" s="20">
        <f>IFERROR(SUMIFS(Ordenes!$V$2:$V$840,Ordenes!$C$2:$C$840,$A44,Ordenes!$T$2:$T$840,"Válida",Ordenes!$F$2:$F$840,IF($B$4="Todos","*",$B$4),Ordenes!$G$2:$G$840,IF($B$5="Todos","*",$B$5))/F44,NA())</f>
        <v/>
      </c>
      <c r="I44" s="21">
        <f>IFERROR((G44-H44)*100,"")</f>
        <v/>
      </c>
      <c r="J44" s="20">
        <f>IFERROR(ABS(G44-G43),"")</f>
        <v/>
      </c>
      <c r="K44" s="20">
        <f>$G$7</f>
        <v/>
      </c>
      <c r="L44" s="20">
        <f>$G$10</f>
        <v/>
      </c>
      <c r="M44" s="20">
        <f>$G$11</f>
        <v/>
      </c>
      <c r="N44" s="18">
        <f>IF(ISNA(G44),"Sin producción",IF(L44="","Sin límites",IF(G44&gt;L44,"▲ Sobre LCS",IF(G44&lt;M44,"▼ Bajo LCI","En control"))))</f>
        <v/>
      </c>
      <c r="O44" s="18">
        <f>COUNTIFS(Ordenes!$C$2:$C$840,$A44,Ordenes!$T$2:$T$840,"A corregir",Ordenes!$F$2:$F$840,IF($B$4="Todos","*",$B$4),Ordenes!$G$2:$G$840,IF($B$5="Todos","*",$B$5))</f>
        <v/>
      </c>
    </row>
    <row r="45">
      <c r="A45" s="22" t="n">
        <v>46059</v>
      </c>
      <c r="B45" s="18">
        <f>YEAR(A45)</f>
        <v/>
      </c>
      <c r="C45" s="18">
        <f>MONTH(A45)</f>
        <v/>
      </c>
      <c r="D45" s="18">
        <f>COUNTIFS(Ordenes!$C$2:$C$840,$A45,Ordenes!$T$2:$T$840,"Válida",Ordenes!$F$2:$F$840,IF($B$4="Todos","*",$B$4),Ordenes!$G$2:$G$840,IF($B$5="Todos","*",$B$5))</f>
        <v/>
      </c>
      <c r="E45" s="19">
        <f>SUMIFS(Ordenes!$P$2:$P$840,Ordenes!$C$2:$C$840,$A45,Ordenes!$T$2:$T$840,"Válida",Ordenes!$F$2:$F$840,IF($B$4="Todos","*",$B$4),Ordenes!$G$2:$G$840,IF($B$5="Todos","*",$B$5))</f>
        <v/>
      </c>
      <c r="F45" s="19">
        <f>SUMIFS(Ordenes!$Q$2:$Q$840,Ordenes!$C$2:$C$840,$A45,Ordenes!$T$2:$T$840,"Válida",Ordenes!$F$2:$F$840,IF($B$4="Todos","*",$B$4),Ordenes!$G$2:$G$840,IF($B$5="Todos","*",$B$5))</f>
        <v/>
      </c>
      <c r="G45" s="20">
        <f>IF(F45=0,NA(),E45/F45)</f>
        <v/>
      </c>
      <c r="H45" s="20">
        <f>IFERROR(SUMIFS(Ordenes!$V$2:$V$840,Ordenes!$C$2:$C$840,$A45,Ordenes!$T$2:$T$840,"Válida",Ordenes!$F$2:$F$840,IF($B$4="Todos","*",$B$4),Ordenes!$G$2:$G$840,IF($B$5="Todos","*",$B$5))/F45,NA())</f>
        <v/>
      </c>
      <c r="I45" s="21">
        <f>IFERROR((G45-H45)*100,"")</f>
        <v/>
      </c>
      <c r="J45" s="20">
        <f>IFERROR(ABS(G45-G44),"")</f>
        <v/>
      </c>
      <c r="K45" s="20">
        <f>$G$7</f>
        <v/>
      </c>
      <c r="L45" s="20">
        <f>$G$10</f>
        <v/>
      </c>
      <c r="M45" s="20">
        <f>$G$11</f>
        <v/>
      </c>
      <c r="N45" s="18">
        <f>IF(ISNA(G45),"Sin producción",IF(L45="","Sin límites",IF(G45&gt;L45,"▲ Sobre LCS",IF(G45&lt;M45,"▼ Bajo LCI","En control"))))</f>
        <v/>
      </c>
      <c r="O45" s="18">
        <f>COUNTIFS(Ordenes!$C$2:$C$840,$A45,Ordenes!$T$2:$T$840,"A corregir",Ordenes!$F$2:$F$840,IF($B$4="Todos","*",$B$4),Ordenes!$G$2:$G$840,IF($B$5="Todos","*",$B$5))</f>
        <v/>
      </c>
    </row>
    <row r="46">
      <c r="A46" s="22" t="n">
        <v>46060</v>
      </c>
      <c r="B46" s="18">
        <f>YEAR(A46)</f>
        <v/>
      </c>
      <c r="C46" s="18">
        <f>MONTH(A46)</f>
        <v/>
      </c>
      <c r="D46" s="18">
        <f>COUNTIFS(Ordenes!$C$2:$C$840,$A46,Ordenes!$T$2:$T$840,"Válida",Ordenes!$F$2:$F$840,IF($B$4="Todos","*",$B$4),Ordenes!$G$2:$G$840,IF($B$5="Todos","*",$B$5))</f>
        <v/>
      </c>
      <c r="E46" s="19">
        <f>SUMIFS(Ordenes!$P$2:$P$840,Ordenes!$C$2:$C$840,$A46,Ordenes!$T$2:$T$840,"Válida",Ordenes!$F$2:$F$840,IF($B$4="Todos","*",$B$4),Ordenes!$G$2:$G$840,IF($B$5="Todos","*",$B$5))</f>
        <v/>
      </c>
      <c r="F46" s="19">
        <f>SUMIFS(Ordenes!$Q$2:$Q$840,Ordenes!$C$2:$C$840,$A46,Ordenes!$T$2:$T$840,"Válida",Ordenes!$F$2:$F$840,IF($B$4="Todos","*",$B$4),Ordenes!$G$2:$G$840,IF($B$5="Todos","*",$B$5))</f>
        <v/>
      </c>
      <c r="G46" s="20">
        <f>IF(F46=0,NA(),E46/F46)</f>
        <v/>
      </c>
      <c r="H46" s="20">
        <f>IFERROR(SUMIFS(Ordenes!$V$2:$V$840,Ordenes!$C$2:$C$840,$A46,Ordenes!$T$2:$T$840,"Válida",Ordenes!$F$2:$F$840,IF($B$4="Todos","*",$B$4),Ordenes!$G$2:$G$840,IF($B$5="Todos","*",$B$5))/F46,NA())</f>
        <v/>
      </c>
      <c r="I46" s="21">
        <f>IFERROR((G46-H46)*100,"")</f>
        <v/>
      </c>
      <c r="J46" s="20">
        <f>IFERROR(ABS(G46-G45),"")</f>
        <v/>
      </c>
      <c r="K46" s="20">
        <f>$G$7</f>
        <v/>
      </c>
      <c r="L46" s="20">
        <f>$G$10</f>
        <v/>
      </c>
      <c r="M46" s="20">
        <f>$G$11</f>
        <v/>
      </c>
      <c r="N46" s="18">
        <f>IF(ISNA(G46),"Sin producción",IF(L46="","Sin límites",IF(G46&gt;L46,"▲ Sobre LCS",IF(G46&lt;M46,"▼ Bajo LCI","En control"))))</f>
        <v/>
      </c>
      <c r="O46" s="18">
        <f>COUNTIFS(Ordenes!$C$2:$C$840,$A46,Ordenes!$T$2:$T$840,"A corregir",Ordenes!$F$2:$F$840,IF($B$4="Todos","*",$B$4),Ordenes!$G$2:$G$840,IF($B$5="Todos","*",$B$5))</f>
        <v/>
      </c>
    </row>
    <row r="47">
      <c r="A47" s="22" t="n">
        <v>46062</v>
      </c>
      <c r="B47" s="18">
        <f>YEAR(A47)</f>
        <v/>
      </c>
      <c r="C47" s="18">
        <f>MONTH(A47)</f>
        <v/>
      </c>
      <c r="D47" s="18">
        <f>COUNTIFS(Ordenes!$C$2:$C$840,$A47,Ordenes!$T$2:$T$840,"Válida",Ordenes!$F$2:$F$840,IF($B$4="Todos","*",$B$4),Ordenes!$G$2:$G$840,IF($B$5="Todos","*",$B$5))</f>
        <v/>
      </c>
      <c r="E47" s="19">
        <f>SUMIFS(Ordenes!$P$2:$P$840,Ordenes!$C$2:$C$840,$A47,Ordenes!$T$2:$T$840,"Válida",Ordenes!$F$2:$F$840,IF($B$4="Todos","*",$B$4),Ordenes!$G$2:$G$840,IF($B$5="Todos","*",$B$5))</f>
        <v/>
      </c>
      <c r="F47" s="19">
        <f>SUMIFS(Ordenes!$Q$2:$Q$840,Ordenes!$C$2:$C$840,$A47,Ordenes!$T$2:$T$840,"Válida",Ordenes!$F$2:$F$840,IF($B$4="Todos","*",$B$4),Ordenes!$G$2:$G$840,IF($B$5="Todos","*",$B$5))</f>
        <v/>
      </c>
      <c r="G47" s="20">
        <f>IF(F47=0,NA(),E47/F47)</f>
        <v/>
      </c>
      <c r="H47" s="20">
        <f>IFERROR(SUMIFS(Ordenes!$V$2:$V$840,Ordenes!$C$2:$C$840,$A47,Ordenes!$T$2:$T$840,"Válida",Ordenes!$F$2:$F$840,IF($B$4="Todos","*",$B$4),Ordenes!$G$2:$G$840,IF($B$5="Todos","*",$B$5))/F47,NA())</f>
        <v/>
      </c>
      <c r="I47" s="21">
        <f>IFERROR((G47-H47)*100,"")</f>
        <v/>
      </c>
      <c r="J47" s="20">
        <f>IFERROR(ABS(G47-G46),"")</f>
        <v/>
      </c>
      <c r="K47" s="20">
        <f>$G$7</f>
        <v/>
      </c>
      <c r="L47" s="20">
        <f>$G$10</f>
        <v/>
      </c>
      <c r="M47" s="20">
        <f>$G$11</f>
        <v/>
      </c>
      <c r="N47" s="18">
        <f>IF(ISNA(G47),"Sin producción",IF(L47="","Sin límites",IF(G47&gt;L47,"▲ Sobre LCS",IF(G47&lt;M47,"▼ Bajo LCI","En control"))))</f>
        <v/>
      </c>
      <c r="O47" s="18">
        <f>COUNTIFS(Ordenes!$C$2:$C$840,$A47,Ordenes!$T$2:$T$840,"A corregir",Ordenes!$F$2:$F$840,IF($B$4="Todos","*",$B$4),Ordenes!$G$2:$G$840,IF($B$5="Todos","*",$B$5))</f>
        <v/>
      </c>
    </row>
    <row r="48">
      <c r="A48" s="22" t="n">
        <v>46063</v>
      </c>
      <c r="B48" s="18">
        <f>YEAR(A48)</f>
        <v/>
      </c>
      <c r="C48" s="18">
        <f>MONTH(A48)</f>
        <v/>
      </c>
      <c r="D48" s="18">
        <f>COUNTIFS(Ordenes!$C$2:$C$840,$A48,Ordenes!$T$2:$T$840,"Válida",Ordenes!$F$2:$F$840,IF($B$4="Todos","*",$B$4),Ordenes!$G$2:$G$840,IF($B$5="Todos","*",$B$5))</f>
        <v/>
      </c>
      <c r="E48" s="19">
        <f>SUMIFS(Ordenes!$P$2:$P$840,Ordenes!$C$2:$C$840,$A48,Ordenes!$T$2:$T$840,"Válida",Ordenes!$F$2:$F$840,IF($B$4="Todos","*",$B$4),Ordenes!$G$2:$G$840,IF($B$5="Todos","*",$B$5))</f>
        <v/>
      </c>
      <c r="F48" s="19">
        <f>SUMIFS(Ordenes!$Q$2:$Q$840,Ordenes!$C$2:$C$840,$A48,Ordenes!$T$2:$T$840,"Válida",Ordenes!$F$2:$F$840,IF($B$4="Todos","*",$B$4),Ordenes!$G$2:$G$840,IF($B$5="Todos","*",$B$5))</f>
        <v/>
      </c>
      <c r="G48" s="20">
        <f>IF(F48=0,NA(),E48/F48)</f>
        <v/>
      </c>
      <c r="H48" s="20">
        <f>IFERROR(SUMIFS(Ordenes!$V$2:$V$840,Ordenes!$C$2:$C$840,$A48,Ordenes!$T$2:$T$840,"Válida",Ordenes!$F$2:$F$840,IF($B$4="Todos","*",$B$4),Ordenes!$G$2:$G$840,IF($B$5="Todos","*",$B$5))/F48,NA())</f>
        <v/>
      </c>
      <c r="I48" s="21">
        <f>IFERROR((G48-H48)*100,"")</f>
        <v/>
      </c>
      <c r="J48" s="20">
        <f>IFERROR(ABS(G48-G47),"")</f>
        <v/>
      </c>
      <c r="K48" s="20">
        <f>$G$7</f>
        <v/>
      </c>
      <c r="L48" s="20">
        <f>$G$10</f>
        <v/>
      </c>
      <c r="M48" s="20">
        <f>$G$11</f>
        <v/>
      </c>
      <c r="N48" s="18">
        <f>IF(ISNA(G48),"Sin producción",IF(L48="","Sin límites",IF(G48&gt;L48,"▲ Sobre LCS",IF(G48&lt;M48,"▼ Bajo LCI","En control"))))</f>
        <v/>
      </c>
      <c r="O48" s="18">
        <f>COUNTIFS(Ordenes!$C$2:$C$840,$A48,Ordenes!$T$2:$T$840,"A corregir",Ordenes!$F$2:$F$840,IF($B$4="Todos","*",$B$4),Ordenes!$G$2:$G$840,IF($B$5="Todos","*",$B$5))</f>
        <v/>
      </c>
    </row>
    <row r="49">
      <c r="A49" s="22" t="n">
        <v>46064</v>
      </c>
      <c r="B49" s="18">
        <f>YEAR(A49)</f>
        <v/>
      </c>
      <c r="C49" s="18">
        <f>MONTH(A49)</f>
        <v/>
      </c>
      <c r="D49" s="18">
        <f>COUNTIFS(Ordenes!$C$2:$C$840,$A49,Ordenes!$T$2:$T$840,"Válida",Ordenes!$F$2:$F$840,IF($B$4="Todos","*",$B$4),Ordenes!$G$2:$G$840,IF($B$5="Todos","*",$B$5))</f>
        <v/>
      </c>
      <c r="E49" s="19">
        <f>SUMIFS(Ordenes!$P$2:$P$840,Ordenes!$C$2:$C$840,$A49,Ordenes!$T$2:$T$840,"Válida",Ordenes!$F$2:$F$840,IF($B$4="Todos","*",$B$4),Ordenes!$G$2:$G$840,IF($B$5="Todos","*",$B$5))</f>
        <v/>
      </c>
      <c r="F49" s="19">
        <f>SUMIFS(Ordenes!$Q$2:$Q$840,Ordenes!$C$2:$C$840,$A49,Ordenes!$T$2:$T$840,"Válida",Ordenes!$F$2:$F$840,IF($B$4="Todos","*",$B$4),Ordenes!$G$2:$G$840,IF($B$5="Todos","*",$B$5))</f>
        <v/>
      </c>
      <c r="G49" s="20">
        <f>IF(F49=0,NA(),E49/F49)</f>
        <v/>
      </c>
      <c r="H49" s="20">
        <f>IFERROR(SUMIFS(Ordenes!$V$2:$V$840,Ordenes!$C$2:$C$840,$A49,Ordenes!$T$2:$T$840,"Válida",Ordenes!$F$2:$F$840,IF($B$4="Todos","*",$B$4),Ordenes!$G$2:$G$840,IF($B$5="Todos","*",$B$5))/F49,NA())</f>
        <v/>
      </c>
      <c r="I49" s="21">
        <f>IFERROR((G49-H49)*100,"")</f>
        <v/>
      </c>
      <c r="J49" s="20">
        <f>IFERROR(ABS(G49-G48),"")</f>
        <v/>
      </c>
      <c r="K49" s="20">
        <f>$G$7</f>
        <v/>
      </c>
      <c r="L49" s="20">
        <f>$G$10</f>
        <v/>
      </c>
      <c r="M49" s="20">
        <f>$G$11</f>
        <v/>
      </c>
      <c r="N49" s="18">
        <f>IF(ISNA(G49),"Sin producción",IF(L49="","Sin límites",IF(G49&gt;L49,"▲ Sobre LCS",IF(G49&lt;M49,"▼ Bajo LCI","En control"))))</f>
        <v/>
      </c>
      <c r="O49" s="18">
        <f>COUNTIFS(Ordenes!$C$2:$C$840,$A49,Ordenes!$T$2:$T$840,"A corregir",Ordenes!$F$2:$F$840,IF($B$4="Todos","*",$B$4),Ordenes!$G$2:$G$840,IF($B$5="Todos","*",$B$5))</f>
        <v/>
      </c>
    </row>
    <row r="50">
      <c r="A50" s="22" t="n">
        <v>46065</v>
      </c>
      <c r="B50" s="18">
        <f>YEAR(A50)</f>
        <v/>
      </c>
      <c r="C50" s="18">
        <f>MONTH(A50)</f>
        <v/>
      </c>
      <c r="D50" s="18">
        <f>COUNTIFS(Ordenes!$C$2:$C$840,$A50,Ordenes!$T$2:$T$840,"Válida",Ordenes!$F$2:$F$840,IF($B$4="Todos","*",$B$4),Ordenes!$G$2:$G$840,IF($B$5="Todos","*",$B$5))</f>
        <v/>
      </c>
      <c r="E50" s="19">
        <f>SUMIFS(Ordenes!$P$2:$P$840,Ordenes!$C$2:$C$840,$A50,Ordenes!$T$2:$T$840,"Válida",Ordenes!$F$2:$F$840,IF($B$4="Todos","*",$B$4),Ordenes!$G$2:$G$840,IF($B$5="Todos","*",$B$5))</f>
        <v/>
      </c>
      <c r="F50" s="19">
        <f>SUMIFS(Ordenes!$Q$2:$Q$840,Ordenes!$C$2:$C$840,$A50,Ordenes!$T$2:$T$840,"Válida",Ordenes!$F$2:$F$840,IF($B$4="Todos","*",$B$4),Ordenes!$G$2:$G$840,IF($B$5="Todos","*",$B$5))</f>
        <v/>
      </c>
      <c r="G50" s="20">
        <f>IF(F50=0,NA(),E50/F50)</f>
        <v/>
      </c>
      <c r="H50" s="20">
        <f>IFERROR(SUMIFS(Ordenes!$V$2:$V$840,Ordenes!$C$2:$C$840,$A50,Ordenes!$T$2:$T$840,"Válida",Ordenes!$F$2:$F$840,IF($B$4="Todos","*",$B$4),Ordenes!$G$2:$G$840,IF($B$5="Todos","*",$B$5))/F50,NA())</f>
        <v/>
      </c>
      <c r="I50" s="21">
        <f>IFERROR((G50-H50)*100,"")</f>
        <v/>
      </c>
      <c r="J50" s="20">
        <f>IFERROR(ABS(G50-G49),"")</f>
        <v/>
      </c>
      <c r="K50" s="20">
        <f>$G$7</f>
        <v/>
      </c>
      <c r="L50" s="20">
        <f>$G$10</f>
        <v/>
      </c>
      <c r="M50" s="20">
        <f>$G$11</f>
        <v/>
      </c>
      <c r="N50" s="18">
        <f>IF(ISNA(G50),"Sin producción",IF(L50="","Sin límites",IF(G50&gt;L50,"▲ Sobre LCS",IF(G50&lt;M50,"▼ Bajo LCI","En control"))))</f>
        <v/>
      </c>
      <c r="O50" s="18">
        <f>COUNTIFS(Ordenes!$C$2:$C$840,$A50,Ordenes!$T$2:$T$840,"A corregir",Ordenes!$F$2:$F$840,IF($B$4="Todos","*",$B$4),Ordenes!$G$2:$G$840,IF($B$5="Todos","*",$B$5))</f>
        <v/>
      </c>
    </row>
    <row r="51">
      <c r="A51" s="22" t="n">
        <v>46066</v>
      </c>
      <c r="B51" s="18">
        <f>YEAR(A51)</f>
        <v/>
      </c>
      <c r="C51" s="18">
        <f>MONTH(A51)</f>
        <v/>
      </c>
      <c r="D51" s="18">
        <f>COUNTIFS(Ordenes!$C$2:$C$840,$A51,Ordenes!$T$2:$T$840,"Válida",Ordenes!$F$2:$F$840,IF($B$4="Todos","*",$B$4),Ordenes!$G$2:$G$840,IF($B$5="Todos","*",$B$5))</f>
        <v/>
      </c>
      <c r="E51" s="19">
        <f>SUMIFS(Ordenes!$P$2:$P$840,Ordenes!$C$2:$C$840,$A51,Ordenes!$T$2:$T$840,"Válida",Ordenes!$F$2:$F$840,IF($B$4="Todos","*",$B$4),Ordenes!$G$2:$G$840,IF($B$5="Todos","*",$B$5))</f>
        <v/>
      </c>
      <c r="F51" s="19">
        <f>SUMIFS(Ordenes!$Q$2:$Q$840,Ordenes!$C$2:$C$840,$A51,Ordenes!$T$2:$T$840,"Válida",Ordenes!$F$2:$F$840,IF($B$4="Todos","*",$B$4),Ordenes!$G$2:$G$840,IF($B$5="Todos","*",$B$5))</f>
        <v/>
      </c>
      <c r="G51" s="20">
        <f>IF(F51=0,NA(),E51/F51)</f>
        <v/>
      </c>
      <c r="H51" s="20">
        <f>IFERROR(SUMIFS(Ordenes!$V$2:$V$840,Ordenes!$C$2:$C$840,$A51,Ordenes!$T$2:$T$840,"Válida",Ordenes!$F$2:$F$840,IF($B$4="Todos","*",$B$4),Ordenes!$G$2:$G$840,IF($B$5="Todos","*",$B$5))/F51,NA())</f>
        <v/>
      </c>
      <c r="I51" s="21">
        <f>IFERROR((G51-H51)*100,"")</f>
        <v/>
      </c>
      <c r="J51" s="20">
        <f>IFERROR(ABS(G51-G50),"")</f>
        <v/>
      </c>
      <c r="K51" s="20">
        <f>$G$7</f>
        <v/>
      </c>
      <c r="L51" s="20">
        <f>$G$10</f>
        <v/>
      </c>
      <c r="M51" s="20">
        <f>$G$11</f>
        <v/>
      </c>
      <c r="N51" s="18">
        <f>IF(ISNA(G51),"Sin producción",IF(L51="","Sin límites",IF(G51&gt;L51,"▲ Sobre LCS",IF(G51&lt;M51,"▼ Bajo LCI","En control"))))</f>
        <v/>
      </c>
      <c r="O51" s="18">
        <f>COUNTIFS(Ordenes!$C$2:$C$840,$A51,Ordenes!$T$2:$T$840,"A corregir",Ordenes!$F$2:$F$840,IF($B$4="Todos","*",$B$4),Ordenes!$G$2:$G$840,IF($B$5="Todos","*",$B$5))</f>
        <v/>
      </c>
    </row>
    <row r="52">
      <c r="A52" s="22" t="n">
        <v>46067</v>
      </c>
      <c r="B52" s="18">
        <f>YEAR(A52)</f>
        <v/>
      </c>
      <c r="C52" s="18">
        <f>MONTH(A52)</f>
        <v/>
      </c>
      <c r="D52" s="18">
        <f>COUNTIFS(Ordenes!$C$2:$C$840,$A52,Ordenes!$T$2:$T$840,"Válida",Ordenes!$F$2:$F$840,IF($B$4="Todos","*",$B$4),Ordenes!$G$2:$G$840,IF($B$5="Todos","*",$B$5))</f>
        <v/>
      </c>
      <c r="E52" s="19">
        <f>SUMIFS(Ordenes!$P$2:$P$840,Ordenes!$C$2:$C$840,$A52,Ordenes!$T$2:$T$840,"Válida",Ordenes!$F$2:$F$840,IF($B$4="Todos","*",$B$4),Ordenes!$G$2:$G$840,IF($B$5="Todos","*",$B$5))</f>
        <v/>
      </c>
      <c r="F52" s="19">
        <f>SUMIFS(Ordenes!$Q$2:$Q$840,Ordenes!$C$2:$C$840,$A52,Ordenes!$T$2:$T$840,"Válida",Ordenes!$F$2:$F$840,IF($B$4="Todos","*",$B$4),Ordenes!$G$2:$G$840,IF($B$5="Todos","*",$B$5))</f>
        <v/>
      </c>
      <c r="G52" s="20">
        <f>IF(F52=0,NA(),E52/F52)</f>
        <v/>
      </c>
      <c r="H52" s="20">
        <f>IFERROR(SUMIFS(Ordenes!$V$2:$V$840,Ordenes!$C$2:$C$840,$A52,Ordenes!$T$2:$T$840,"Válida",Ordenes!$F$2:$F$840,IF($B$4="Todos","*",$B$4),Ordenes!$G$2:$G$840,IF($B$5="Todos","*",$B$5))/F52,NA())</f>
        <v/>
      </c>
      <c r="I52" s="21">
        <f>IFERROR((G52-H52)*100,"")</f>
        <v/>
      </c>
      <c r="J52" s="20">
        <f>IFERROR(ABS(G52-G51),"")</f>
        <v/>
      </c>
      <c r="K52" s="20">
        <f>$G$7</f>
        <v/>
      </c>
      <c r="L52" s="20">
        <f>$G$10</f>
        <v/>
      </c>
      <c r="M52" s="20">
        <f>$G$11</f>
        <v/>
      </c>
      <c r="N52" s="18">
        <f>IF(ISNA(G52),"Sin producción",IF(L52="","Sin límites",IF(G52&gt;L52,"▲ Sobre LCS",IF(G52&lt;M52,"▼ Bajo LCI","En control"))))</f>
        <v/>
      </c>
      <c r="O52" s="18">
        <f>COUNTIFS(Ordenes!$C$2:$C$840,$A52,Ordenes!$T$2:$T$840,"A corregir",Ordenes!$F$2:$F$840,IF($B$4="Todos","*",$B$4),Ordenes!$G$2:$G$840,IF($B$5="Todos","*",$B$5))</f>
        <v/>
      </c>
    </row>
    <row r="53">
      <c r="A53" s="22" t="n">
        <v>46069</v>
      </c>
      <c r="B53" s="18">
        <f>YEAR(A53)</f>
        <v/>
      </c>
      <c r="C53" s="18">
        <f>MONTH(A53)</f>
        <v/>
      </c>
      <c r="D53" s="18">
        <f>COUNTIFS(Ordenes!$C$2:$C$840,$A53,Ordenes!$T$2:$T$840,"Válida",Ordenes!$F$2:$F$840,IF($B$4="Todos","*",$B$4),Ordenes!$G$2:$G$840,IF($B$5="Todos","*",$B$5))</f>
        <v/>
      </c>
      <c r="E53" s="19">
        <f>SUMIFS(Ordenes!$P$2:$P$840,Ordenes!$C$2:$C$840,$A53,Ordenes!$T$2:$T$840,"Válida",Ordenes!$F$2:$F$840,IF($B$4="Todos","*",$B$4),Ordenes!$G$2:$G$840,IF($B$5="Todos","*",$B$5))</f>
        <v/>
      </c>
      <c r="F53" s="19">
        <f>SUMIFS(Ordenes!$Q$2:$Q$840,Ordenes!$C$2:$C$840,$A53,Ordenes!$T$2:$T$840,"Válida",Ordenes!$F$2:$F$840,IF($B$4="Todos","*",$B$4),Ordenes!$G$2:$G$840,IF($B$5="Todos","*",$B$5))</f>
        <v/>
      </c>
      <c r="G53" s="20">
        <f>IF(F53=0,NA(),E53/F53)</f>
        <v/>
      </c>
      <c r="H53" s="20">
        <f>IFERROR(SUMIFS(Ordenes!$V$2:$V$840,Ordenes!$C$2:$C$840,$A53,Ordenes!$T$2:$T$840,"Válida",Ordenes!$F$2:$F$840,IF($B$4="Todos","*",$B$4),Ordenes!$G$2:$G$840,IF($B$5="Todos","*",$B$5))/F53,NA())</f>
        <v/>
      </c>
      <c r="I53" s="21">
        <f>IFERROR((G53-H53)*100,"")</f>
        <v/>
      </c>
      <c r="J53" s="20">
        <f>IFERROR(ABS(G53-G52),"")</f>
        <v/>
      </c>
      <c r="K53" s="20">
        <f>$G$7</f>
        <v/>
      </c>
      <c r="L53" s="20">
        <f>$G$10</f>
        <v/>
      </c>
      <c r="M53" s="20">
        <f>$G$11</f>
        <v/>
      </c>
      <c r="N53" s="18">
        <f>IF(ISNA(G53),"Sin producción",IF(L53="","Sin límites",IF(G53&gt;L53,"▲ Sobre LCS",IF(G53&lt;M53,"▼ Bajo LCI","En control"))))</f>
        <v/>
      </c>
      <c r="O53" s="18">
        <f>COUNTIFS(Ordenes!$C$2:$C$840,$A53,Ordenes!$T$2:$T$840,"A corregir",Ordenes!$F$2:$F$840,IF($B$4="Todos","*",$B$4),Ordenes!$G$2:$G$840,IF($B$5="Todos","*",$B$5))</f>
        <v/>
      </c>
    </row>
    <row r="54">
      <c r="A54" s="22" t="n">
        <v>46070</v>
      </c>
      <c r="B54" s="18">
        <f>YEAR(A54)</f>
        <v/>
      </c>
      <c r="C54" s="18">
        <f>MONTH(A54)</f>
        <v/>
      </c>
      <c r="D54" s="18">
        <f>COUNTIFS(Ordenes!$C$2:$C$840,$A54,Ordenes!$T$2:$T$840,"Válida",Ordenes!$F$2:$F$840,IF($B$4="Todos","*",$B$4),Ordenes!$G$2:$G$840,IF($B$5="Todos","*",$B$5))</f>
        <v/>
      </c>
      <c r="E54" s="19">
        <f>SUMIFS(Ordenes!$P$2:$P$840,Ordenes!$C$2:$C$840,$A54,Ordenes!$T$2:$T$840,"Válida",Ordenes!$F$2:$F$840,IF($B$4="Todos","*",$B$4),Ordenes!$G$2:$G$840,IF($B$5="Todos","*",$B$5))</f>
        <v/>
      </c>
      <c r="F54" s="19">
        <f>SUMIFS(Ordenes!$Q$2:$Q$840,Ordenes!$C$2:$C$840,$A54,Ordenes!$T$2:$T$840,"Válida",Ordenes!$F$2:$F$840,IF($B$4="Todos","*",$B$4),Ordenes!$G$2:$G$840,IF($B$5="Todos","*",$B$5))</f>
        <v/>
      </c>
      <c r="G54" s="20">
        <f>IF(F54=0,NA(),E54/F54)</f>
        <v/>
      </c>
      <c r="H54" s="20">
        <f>IFERROR(SUMIFS(Ordenes!$V$2:$V$840,Ordenes!$C$2:$C$840,$A54,Ordenes!$T$2:$T$840,"Válida",Ordenes!$F$2:$F$840,IF($B$4="Todos","*",$B$4),Ordenes!$G$2:$G$840,IF($B$5="Todos","*",$B$5))/F54,NA())</f>
        <v/>
      </c>
      <c r="I54" s="21">
        <f>IFERROR((G54-H54)*100,"")</f>
        <v/>
      </c>
      <c r="J54" s="20">
        <f>IFERROR(ABS(G54-G53),"")</f>
        <v/>
      </c>
      <c r="K54" s="20">
        <f>$G$7</f>
        <v/>
      </c>
      <c r="L54" s="20">
        <f>$G$10</f>
        <v/>
      </c>
      <c r="M54" s="20">
        <f>$G$11</f>
        <v/>
      </c>
      <c r="N54" s="18">
        <f>IF(ISNA(G54),"Sin producción",IF(L54="","Sin límites",IF(G54&gt;L54,"▲ Sobre LCS",IF(G54&lt;M54,"▼ Bajo LCI","En control"))))</f>
        <v/>
      </c>
      <c r="O54" s="18">
        <f>COUNTIFS(Ordenes!$C$2:$C$840,$A54,Ordenes!$T$2:$T$840,"A corregir",Ordenes!$F$2:$F$840,IF($B$4="Todos","*",$B$4),Ordenes!$G$2:$G$840,IF($B$5="Todos","*",$B$5))</f>
        <v/>
      </c>
    </row>
    <row r="55">
      <c r="A55" s="22" t="n">
        <v>46071</v>
      </c>
      <c r="B55" s="18">
        <f>YEAR(A55)</f>
        <v/>
      </c>
      <c r="C55" s="18">
        <f>MONTH(A55)</f>
        <v/>
      </c>
      <c r="D55" s="18">
        <f>COUNTIFS(Ordenes!$C$2:$C$840,$A55,Ordenes!$T$2:$T$840,"Válida",Ordenes!$F$2:$F$840,IF($B$4="Todos","*",$B$4),Ordenes!$G$2:$G$840,IF($B$5="Todos","*",$B$5))</f>
        <v/>
      </c>
      <c r="E55" s="19">
        <f>SUMIFS(Ordenes!$P$2:$P$840,Ordenes!$C$2:$C$840,$A55,Ordenes!$T$2:$T$840,"Válida",Ordenes!$F$2:$F$840,IF($B$4="Todos","*",$B$4),Ordenes!$G$2:$G$840,IF($B$5="Todos","*",$B$5))</f>
        <v/>
      </c>
      <c r="F55" s="19">
        <f>SUMIFS(Ordenes!$Q$2:$Q$840,Ordenes!$C$2:$C$840,$A55,Ordenes!$T$2:$T$840,"Válida",Ordenes!$F$2:$F$840,IF($B$4="Todos","*",$B$4),Ordenes!$G$2:$G$840,IF($B$5="Todos","*",$B$5))</f>
        <v/>
      </c>
      <c r="G55" s="20">
        <f>IF(F55=0,NA(),E55/F55)</f>
        <v/>
      </c>
      <c r="H55" s="20">
        <f>IFERROR(SUMIFS(Ordenes!$V$2:$V$840,Ordenes!$C$2:$C$840,$A55,Ordenes!$T$2:$T$840,"Válida",Ordenes!$F$2:$F$840,IF($B$4="Todos","*",$B$4),Ordenes!$G$2:$G$840,IF($B$5="Todos","*",$B$5))/F55,NA())</f>
        <v/>
      </c>
      <c r="I55" s="21">
        <f>IFERROR((G55-H55)*100,"")</f>
        <v/>
      </c>
      <c r="J55" s="20">
        <f>IFERROR(ABS(G55-G54),"")</f>
        <v/>
      </c>
      <c r="K55" s="20">
        <f>$G$7</f>
        <v/>
      </c>
      <c r="L55" s="20">
        <f>$G$10</f>
        <v/>
      </c>
      <c r="M55" s="20">
        <f>$G$11</f>
        <v/>
      </c>
      <c r="N55" s="18">
        <f>IF(ISNA(G55),"Sin producción",IF(L55="","Sin límites",IF(G55&gt;L55,"▲ Sobre LCS",IF(G55&lt;M55,"▼ Bajo LCI","En control"))))</f>
        <v/>
      </c>
      <c r="O55" s="18">
        <f>COUNTIFS(Ordenes!$C$2:$C$840,$A55,Ordenes!$T$2:$T$840,"A corregir",Ordenes!$F$2:$F$840,IF($B$4="Todos","*",$B$4),Ordenes!$G$2:$G$840,IF($B$5="Todos","*",$B$5))</f>
        <v/>
      </c>
    </row>
    <row r="56">
      <c r="A56" s="22" t="n">
        <v>46072</v>
      </c>
      <c r="B56" s="18">
        <f>YEAR(A56)</f>
        <v/>
      </c>
      <c r="C56" s="18">
        <f>MONTH(A56)</f>
        <v/>
      </c>
      <c r="D56" s="18">
        <f>COUNTIFS(Ordenes!$C$2:$C$840,$A56,Ordenes!$T$2:$T$840,"Válida",Ordenes!$F$2:$F$840,IF($B$4="Todos","*",$B$4),Ordenes!$G$2:$G$840,IF($B$5="Todos","*",$B$5))</f>
        <v/>
      </c>
      <c r="E56" s="19">
        <f>SUMIFS(Ordenes!$P$2:$P$840,Ordenes!$C$2:$C$840,$A56,Ordenes!$T$2:$T$840,"Válida",Ordenes!$F$2:$F$840,IF($B$4="Todos","*",$B$4),Ordenes!$G$2:$G$840,IF($B$5="Todos","*",$B$5))</f>
        <v/>
      </c>
      <c r="F56" s="19">
        <f>SUMIFS(Ordenes!$Q$2:$Q$840,Ordenes!$C$2:$C$840,$A56,Ordenes!$T$2:$T$840,"Válida",Ordenes!$F$2:$F$840,IF($B$4="Todos","*",$B$4),Ordenes!$G$2:$G$840,IF($B$5="Todos","*",$B$5))</f>
        <v/>
      </c>
      <c r="G56" s="20">
        <f>IF(F56=0,NA(),E56/F56)</f>
        <v/>
      </c>
      <c r="H56" s="20">
        <f>IFERROR(SUMIFS(Ordenes!$V$2:$V$840,Ordenes!$C$2:$C$840,$A56,Ordenes!$T$2:$T$840,"Válida",Ordenes!$F$2:$F$840,IF($B$4="Todos","*",$B$4),Ordenes!$G$2:$G$840,IF($B$5="Todos","*",$B$5))/F56,NA())</f>
        <v/>
      </c>
      <c r="I56" s="21">
        <f>IFERROR((G56-H56)*100,"")</f>
        <v/>
      </c>
      <c r="J56" s="20">
        <f>IFERROR(ABS(G56-G55),"")</f>
        <v/>
      </c>
      <c r="K56" s="20">
        <f>$G$7</f>
        <v/>
      </c>
      <c r="L56" s="20">
        <f>$G$10</f>
        <v/>
      </c>
      <c r="M56" s="20">
        <f>$G$11</f>
        <v/>
      </c>
      <c r="N56" s="18">
        <f>IF(ISNA(G56),"Sin producción",IF(L56="","Sin límites",IF(G56&gt;L56,"▲ Sobre LCS",IF(G56&lt;M56,"▼ Bajo LCI","En control"))))</f>
        <v/>
      </c>
      <c r="O56" s="18">
        <f>COUNTIFS(Ordenes!$C$2:$C$840,$A56,Ordenes!$T$2:$T$840,"A corregir",Ordenes!$F$2:$F$840,IF($B$4="Todos","*",$B$4),Ordenes!$G$2:$G$840,IF($B$5="Todos","*",$B$5))</f>
        <v/>
      </c>
    </row>
    <row r="57">
      <c r="A57" s="22" t="n">
        <v>46073</v>
      </c>
      <c r="B57" s="18">
        <f>YEAR(A57)</f>
        <v/>
      </c>
      <c r="C57" s="18">
        <f>MONTH(A57)</f>
        <v/>
      </c>
      <c r="D57" s="18">
        <f>COUNTIFS(Ordenes!$C$2:$C$840,$A57,Ordenes!$T$2:$T$840,"Válida",Ordenes!$F$2:$F$840,IF($B$4="Todos","*",$B$4),Ordenes!$G$2:$G$840,IF($B$5="Todos","*",$B$5))</f>
        <v/>
      </c>
      <c r="E57" s="19">
        <f>SUMIFS(Ordenes!$P$2:$P$840,Ordenes!$C$2:$C$840,$A57,Ordenes!$T$2:$T$840,"Válida",Ordenes!$F$2:$F$840,IF($B$4="Todos","*",$B$4),Ordenes!$G$2:$G$840,IF($B$5="Todos","*",$B$5))</f>
        <v/>
      </c>
      <c r="F57" s="19">
        <f>SUMIFS(Ordenes!$Q$2:$Q$840,Ordenes!$C$2:$C$840,$A57,Ordenes!$T$2:$T$840,"Válida",Ordenes!$F$2:$F$840,IF($B$4="Todos","*",$B$4),Ordenes!$G$2:$G$840,IF($B$5="Todos","*",$B$5))</f>
        <v/>
      </c>
      <c r="G57" s="20">
        <f>IF(F57=0,NA(),E57/F57)</f>
        <v/>
      </c>
      <c r="H57" s="20">
        <f>IFERROR(SUMIFS(Ordenes!$V$2:$V$840,Ordenes!$C$2:$C$840,$A57,Ordenes!$T$2:$T$840,"Válida",Ordenes!$F$2:$F$840,IF($B$4="Todos","*",$B$4),Ordenes!$G$2:$G$840,IF($B$5="Todos","*",$B$5))/F57,NA())</f>
        <v/>
      </c>
      <c r="I57" s="21">
        <f>IFERROR((G57-H57)*100,"")</f>
        <v/>
      </c>
      <c r="J57" s="20">
        <f>IFERROR(ABS(G57-G56),"")</f>
        <v/>
      </c>
      <c r="K57" s="20">
        <f>$G$7</f>
        <v/>
      </c>
      <c r="L57" s="20">
        <f>$G$10</f>
        <v/>
      </c>
      <c r="M57" s="20">
        <f>$G$11</f>
        <v/>
      </c>
      <c r="N57" s="18">
        <f>IF(ISNA(G57),"Sin producción",IF(L57="","Sin límites",IF(G57&gt;L57,"▲ Sobre LCS",IF(G57&lt;M57,"▼ Bajo LCI","En control"))))</f>
        <v/>
      </c>
      <c r="O57" s="18">
        <f>COUNTIFS(Ordenes!$C$2:$C$840,$A57,Ordenes!$T$2:$T$840,"A corregir",Ordenes!$F$2:$F$840,IF($B$4="Todos","*",$B$4),Ordenes!$G$2:$G$840,IF($B$5="Todos","*",$B$5))</f>
        <v/>
      </c>
    </row>
    <row r="58">
      <c r="A58" s="22" t="n">
        <v>46074</v>
      </c>
      <c r="B58" s="18">
        <f>YEAR(A58)</f>
        <v/>
      </c>
      <c r="C58" s="18">
        <f>MONTH(A58)</f>
        <v/>
      </c>
      <c r="D58" s="18">
        <f>COUNTIFS(Ordenes!$C$2:$C$840,$A58,Ordenes!$T$2:$T$840,"Válida",Ordenes!$F$2:$F$840,IF($B$4="Todos","*",$B$4),Ordenes!$G$2:$G$840,IF($B$5="Todos","*",$B$5))</f>
        <v/>
      </c>
      <c r="E58" s="19">
        <f>SUMIFS(Ordenes!$P$2:$P$840,Ordenes!$C$2:$C$840,$A58,Ordenes!$T$2:$T$840,"Válida",Ordenes!$F$2:$F$840,IF($B$4="Todos","*",$B$4),Ordenes!$G$2:$G$840,IF($B$5="Todos","*",$B$5))</f>
        <v/>
      </c>
      <c r="F58" s="19">
        <f>SUMIFS(Ordenes!$Q$2:$Q$840,Ordenes!$C$2:$C$840,$A58,Ordenes!$T$2:$T$840,"Válida",Ordenes!$F$2:$F$840,IF($B$4="Todos","*",$B$4),Ordenes!$G$2:$G$840,IF($B$5="Todos","*",$B$5))</f>
        <v/>
      </c>
      <c r="G58" s="20">
        <f>IF(F58=0,NA(),E58/F58)</f>
        <v/>
      </c>
      <c r="H58" s="20">
        <f>IFERROR(SUMIFS(Ordenes!$V$2:$V$840,Ordenes!$C$2:$C$840,$A58,Ordenes!$T$2:$T$840,"Válida",Ordenes!$F$2:$F$840,IF($B$4="Todos","*",$B$4),Ordenes!$G$2:$G$840,IF($B$5="Todos","*",$B$5))/F58,NA())</f>
        <v/>
      </c>
      <c r="I58" s="21">
        <f>IFERROR((G58-H58)*100,"")</f>
        <v/>
      </c>
      <c r="J58" s="20">
        <f>IFERROR(ABS(G58-G57),"")</f>
        <v/>
      </c>
      <c r="K58" s="20">
        <f>$G$7</f>
        <v/>
      </c>
      <c r="L58" s="20">
        <f>$G$10</f>
        <v/>
      </c>
      <c r="M58" s="20">
        <f>$G$11</f>
        <v/>
      </c>
      <c r="N58" s="18">
        <f>IF(ISNA(G58),"Sin producción",IF(L58="","Sin límites",IF(G58&gt;L58,"▲ Sobre LCS",IF(G58&lt;M58,"▼ Bajo LCI","En control"))))</f>
        <v/>
      </c>
      <c r="O58" s="18">
        <f>COUNTIFS(Ordenes!$C$2:$C$840,$A58,Ordenes!$T$2:$T$840,"A corregir",Ordenes!$F$2:$F$840,IF($B$4="Todos","*",$B$4),Ordenes!$G$2:$G$840,IF($B$5="Todos","*",$B$5))</f>
        <v/>
      </c>
    </row>
    <row r="59">
      <c r="A59" s="22" t="n">
        <v>46076</v>
      </c>
      <c r="B59" s="18">
        <f>YEAR(A59)</f>
        <v/>
      </c>
      <c r="C59" s="18">
        <f>MONTH(A59)</f>
        <v/>
      </c>
      <c r="D59" s="18">
        <f>COUNTIFS(Ordenes!$C$2:$C$840,$A59,Ordenes!$T$2:$T$840,"Válida",Ordenes!$F$2:$F$840,IF($B$4="Todos","*",$B$4),Ordenes!$G$2:$G$840,IF($B$5="Todos","*",$B$5))</f>
        <v/>
      </c>
      <c r="E59" s="19">
        <f>SUMIFS(Ordenes!$P$2:$P$840,Ordenes!$C$2:$C$840,$A59,Ordenes!$T$2:$T$840,"Válida",Ordenes!$F$2:$F$840,IF($B$4="Todos","*",$B$4),Ordenes!$G$2:$G$840,IF($B$5="Todos","*",$B$5))</f>
        <v/>
      </c>
      <c r="F59" s="19">
        <f>SUMIFS(Ordenes!$Q$2:$Q$840,Ordenes!$C$2:$C$840,$A59,Ordenes!$T$2:$T$840,"Válida",Ordenes!$F$2:$F$840,IF($B$4="Todos","*",$B$4),Ordenes!$G$2:$G$840,IF($B$5="Todos","*",$B$5))</f>
        <v/>
      </c>
      <c r="G59" s="20">
        <f>IF(F59=0,NA(),E59/F59)</f>
        <v/>
      </c>
      <c r="H59" s="20">
        <f>IFERROR(SUMIFS(Ordenes!$V$2:$V$840,Ordenes!$C$2:$C$840,$A59,Ordenes!$T$2:$T$840,"Válida",Ordenes!$F$2:$F$840,IF($B$4="Todos","*",$B$4),Ordenes!$G$2:$G$840,IF($B$5="Todos","*",$B$5))/F59,NA())</f>
        <v/>
      </c>
      <c r="I59" s="21">
        <f>IFERROR((G59-H59)*100,"")</f>
        <v/>
      </c>
      <c r="J59" s="20">
        <f>IFERROR(ABS(G59-G58),"")</f>
        <v/>
      </c>
      <c r="K59" s="20">
        <f>$G$7</f>
        <v/>
      </c>
      <c r="L59" s="20">
        <f>$G$10</f>
        <v/>
      </c>
      <c r="M59" s="20">
        <f>$G$11</f>
        <v/>
      </c>
      <c r="N59" s="18">
        <f>IF(ISNA(G59),"Sin producción",IF(L59="","Sin límites",IF(G59&gt;L59,"▲ Sobre LCS",IF(G59&lt;M59,"▼ Bajo LCI","En control"))))</f>
        <v/>
      </c>
      <c r="O59" s="18">
        <f>COUNTIFS(Ordenes!$C$2:$C$840,$A59,Ordenes!$T$2:$T$840,"A corregir",Ordenes!$F$2:$F$840,IF($B$4="Todos","*",$B$4),Ordenes!$G$2:$G$840,IF($B$5="Todos","*",$B$5))</f>
        <v/>
      </c>
    </row>
    <row r="60">
      <c r="A60" s="22" t="n">
        <v>46077</v>
      </c>
      <c r="B60" s="18">
        <f>YEAR(A60)</f>
        <v/>
      </c>
      <c r="C60" s="18">
        <f>MONTH(A60)</f>
        <v/>
      </c>
      <c r="D60" s="18">
        <f>COUNTIFS(Ordenes!$C$2:$C$840,$A60,Ordenes!$T$2:$T$840,"Válida",Ordenes!$F$2:$F$840,IF($B$4="Todos","*",$B$4),Ordenes!$G$2:$G$840,IF($B$5="Todos","*",$B$5))</f>
        <v/>
      </c>
      <c r="E60" s="19">
        <f>SUMIFS(Ordenes!$P$2:$P$840,Ordenes!$C$2:$C$840,$A60,Ordenes!$T$2:$T$840,"Válida",Ordenes!$F$2:$F$840,IF($B$4="Todos","*",$B$4),Ordenes!$G$2:$G$840,IF($B$5="Todos","*",$B$5))</f>
        <v/>
      </c>
      <c r="F60" s="19">
        <f>SUMIFS(Ordenes!$Q$2:$Q$840,Ordenes!$C$2:$C$840,$A60,Ordenes!$T$2:$T$840,"Válida",Ordenes!$F$2:$F$840,IF($B$4="Todos","*",$B$4),Ordenes!$G$2:$G$840,IF($B$5="Todos","*",$B$5))</f>
        <v/>
      </c>
      <c r="G60" s="20">
        <f>IF(F60=0,NA(),E60/F60)</f>
        <v/>
      </c>
      <c r="H60" s="20">
        <f>IFERROR(SUMIFS(Ordenes!$V$2:$V$840,Ordenes!$C$2:$C$840,$A60,Ordenes!$T$2:$T$840,"Válida",Ordenes!$F$2:$F$840,IF($B$4="Todos","*",$B$4),Ordenes!$G$2:$G$840,IF($B$5="Todos","*",$B$5))/F60,NA())</f>
        <v/>
      </c>
      <c r="I60" s="21">
        <f>IFERROR((G60-H60)*100,"")</f>
        <v/>
      </c>
      <c r="J60" s="20">
        <f>IFERROR(ABS(G60-G59),"")</f>
        <v/>
      </c>
      <c r="K60" s="20">
        <f>$G$7</f>
        <v/>
      </c>
      <c r="L60" s="20">
        <f>$G$10</f>
        <v/>
      </c>
      <c r="M60" s="20">
        <f>$G$11</f>
        <v/>
      </c>
      <c r="N60" s="18">
        <f>IF(ISNA(G60),"Sin producción",IF(L60="","Sin límites",IF(G60&gt;L60,"▲ Sobre LCS",IF(G60&lt;M60,"▼ Bajo LCI","En control"))))</f>
        <v/>
      </c>
      <c r="O60" s="18">
        <f>COUNTIFS(Ordenes!$C$2:$C$840,$A60,Ordenes!$T$2:$T$840,"A corregir",Ordenes!$F$2:$F$840,IF($B$4="Todos","*",$B$4),Ordenes!$G$2:$G$840,IF($B$5="Todos","*",$B$5))</f>
        <v/>
      </c>
    </row>
    <row r="61">
      <c r="A61" s="22" t="n">
        <v>46078</v>
      </c>
      <c r="B61" s="18">
        <f>YEAR(A61)</f>
        <v/>
      </c>
      <c r="C61" s="18">
        <f>MONTH(A61)</f>
        <v/>
      </c>
      <c r="D61" s="18">
        <f>COUNTIFS(Ordenes!$C$2:$C$840,$A61,Ordenes!$T$2:$T$840,"Válida",Ordenes!$F$2:$F$840,IF($B$4="Todos","*",$B$4),Ordenes!$G$2:$G$840,IF($B$5="Todos","*",$B$5))</f>
        <v/>
      </c>
      <c r="E61" s="19">
        <f>SUMIFS(Ordenes!$P$2:$P$840,Ordenes!$C$2:$C$840,$A61,Ordenes!$T$2:$T$840,"Válida",Ordenes!$F$2:$F$840,IF($B$4="Todos","*",$B$4),Ordenes!$G$2:$G$840,IF($B$5="Todos","*",$B$5))</f>
        <v/>
      </c>
      <c r="F61" s="19">
        <f>SUMIFS(Ordenes!$Q$2:$Q$840,Ordenes!$C$2:$C$840,$A61,Ordenes!$T$2:$T$840,"Válida",Ordenes!$F$2:$F$840,IF($B$4="Todos","*",$B$4),Ordenes!$G$2:$G$840,IF($B$5="Todos","*",$B$5))</f>
        <v/>
      </c>
      <c r="G61" s="20">
        <f>IF(F61=0,NA(),E61/F61)</f>
        <v/>
      </c>
      <c r="H61" s="20">
        <f>IFERROR(SUMIFS(Ordenes!$V$2:$V$840,Ordenes!$C$2:$C$840,$A61,Ordenes!$T$2:$T$840,"Válida",Ordenes!$F$2:$F$840,IF($B$4="Todos","*",$B$4),Ordenes!$G$2:$G$840,IF($B$5="Todos","*",$B$5))/F61,NA())</f>
        <v/>
      </c>
      <c r="I61" s="21">
        <f>IFERROR((G61-H61)*100,"")</f>
        <v/>
      </c>
      <c r="J61" s="20">
        <f>IFERROR(ABS(G61-G60),"")</f>
        <v/>
      </c>
      <c r="K61" s="20">
        <f>$G$7</f>
        <v/>
      </c>
      <c r="L61" s="20">
        <f>$G$10</f>
        <v/>
      </c>
      <c r="M61" s="20">
        <f>$G$11</f>
        <v/>
      </c>
      <c r="N61" s="18">
        <f>IF(ISNA(G61),"Sin producción",IF(L61="","Sin límites",IF(G61&gt;L61,"▲ Sobre LCS",IF(G61&lt;M61,"▼ Bajo LCI","En control"))))</f>
        <v/>
      </c>
      <c r="O61" s="18">
        <f>COUNTIFS(Ordenes!$C$2:$C$840,$A61,Ordenes!$T$2:$T$840,"A corregir",Ordenes!$F$2:$F$840,IF($B$4="Todos","*",$B$4),Ordenes!$G$2:$G$840,IF($B$5="Todos","*",$B$5))</f>
        <v/>
      </c>
    </row>
    <row r="62">
      <c r="A62" s="22" t="n">
        <v>46079</v>
      </c>
      <c r="B62" s="18">
        <f>YEAR(A62)</f>
        <v/>
      </c>
      <c r="C62" s="18">
        <f>MONTH(A62)</f>
        <v/>
      </c>
      <c r="D62" s="18">
        <f>COUNTIFS(Ordenes!$C$2:$C$840,$A62,Ordenes!$T$2:$T$840,"Válida",Ordenes!$F$2:$F$840,IF($B$4="Todos","*",$B$4),Ordenes!$G$2:$G$840,IF($B$5="Todos","*",$B$5))</f>
        <v/>
      </c>
      <c r="E62" s="19">
        <f>SUMIFS(Ordenes!$P$2:$P$840,Ordenes!$C$2:$C$840,$A62,Ordenes!$T$2:$T$840,"Válida",Ordenes!$F$2:$F$840,IF($B$4="Todos","*",$B$4),Ordenes!$G$2:$G$840,IF($B$5="Todos","*",$B$5))</f>
        <v/>
      </c>
      <c r="F62" s="19">
        <f>SUMIFS(Ordenes!$Q$2:$Q$840,Ordenes!$C$2:$C$840,$A62,Ordenes!$T$2:$T$840,"Válida",Ordenes!$F$2:$F$840,IF($B$4="Todos","*",$B$4),Ordenes!$G$2:$G$840,IF($B$5="Todos","*",$B$5))</f>
        <v/>
      </c>
      <c r="G62" s="20">
        <f>IF(F62=0,NA(),E62/F62)</f>
        <v/>
      </c>
      <c r="H62" s="20">
        <f>IFERROR(SUMIFS(Ordenes!$V$2:$V$840,Ordenes!$C$2:$C$840,$A62,Ordenes!$T$2:$T$840,"Válida",Ordenes!$F$2:$F$840,IF($B$4="Todos","*",$B$4),Ordenes!$G$2:$G$840,IF($B$5="Todos","*",$B$5))/F62,NA())</f>
        <v/>
      </c>
      <c r="I62" s="21">
        <f>IFERROR((G62-H62)*100,"")</f>
        <v/>
      </c>
      <c r="J62" s="20">
        <f>IFERROR(ABS(G62-G61),"")</f>
        <v/>
      </c>
      <c r="K62" s="20">
        <f>$G$7</f>
        <v/>
      </c>
      <c r="L62" s="20">
        <f>$G$10</f>
        <v/>
      </c>
      <c r="M62" s="20">
        <f>$G$11</f>
        <v/>
      </c>
      <c r="N62" s="18">
        <f>IF(ISNA(G62),"Sin producción",IF(L62="","Sin límites",IF(G62&gt;L62,"▲ Sobre LCS",IF(G62&lt;M62,"▼ Bajo LCI","En control"))))</f>
        <v/>
      </c>
      <c r="O62" s="18">
        <f>COUNTIFS(Ordenes!$C$2:$C$840,$A62,Ordenes!$T$2:$T$840,"A corregir",Ordenes!$F$2:$F$840,IF($B$4="Todos","*",$B$4),Ordenes!$G$2:$G$840,IF($B$5="Todos","*",$B$5))</f>
        <v/>
      </c>
    </row>
    <row r="63">
      <c r="A63" s="22" t="n">
        <v>46080</v>
      </c>
      <c r="B63" s="18">
        <f>YEAR(A63)</f>
        <v/>
      </c>
      <c r="C63" s="18">
        <f>MONTH(A63)</f>
        <v/>
      </c>
      <c r="D63" s="18">
        <f>COUNTIFS(Ordenes!$C$2:$C$840,$A63,Ordenes!$T$2:$T$840,"Válida",Ordenes!$F$2:$F$840,IF($B$4="Todos","*",$B$4),Ordenes!$G$2:$G$840,IF($B$5="Todos","*",$B$5))</f>
        <v/>
      </c>
      <c r="E63" s="19">
        <f>SUMIFS(Ordenes!$P$2:$P$840,Ordenes!$C$2:$C$840,$A63,Ordenes!$T$2:$T$840,"Válida",Ordenes!$F$2:$F$840,IF($B$4="Todos","*",$B$4),Ordenes!$G$2:$G$840,IF($B$5="Todos","*",$B$5))</f>
        <v/>
      </c>
      <c r="F63" s="19">
        <f>SUMIFS(Ordenes!$Q$2:$Q$840,Ordenes!$C$2:$C$840,$A63,Ordenes!$T$2:$T$840,"Válida",Ordenes!$F$2:$F$840,IF($B$4="Todos","*",$B$4),Ordenes!$G$2:$G$840,IF($B$5="Todos","*",$B$5))</f>
        <v/>
      </c>
      <c r="G63" s="20">
        <f>IF(F63=0,NA(),E63/F63)</f>
        <v/>
      </c>
      <c r="H63" s="20">
        <f>IFERROR(SUMIFS(Ordenes!$V$2:$V$840,Ordenes!$C$2:$C$840,$A63,Ordenes!$T$2:$T$840,"Válida",Ordenes!$F$2:$F$840,IF($B$4="Todos","*",$B$4),Ordenes!$G$2:$G$840,IF($B$5="Todos","*",$B$5))/F63,NA())</f>
        <v/>
      </c>
      <c r="I63" s="21">
        <f>IFERROR((G63-H63)*100,"")</f>
        <v/>
      </c>
      <c r="J63" s="20">
        <f>IFERROR(ABS(G63-G62),"")</f>
        <v/>
      </c>
      <c r="K63" s="20">
        <f>$G$7</f>
        <v/>
      </c>
      <c r="L63" s="20">
        <f>$G$10</f>
        <v/>
      </c>
      <c r="M63" s="20">
        <f>$G$11</f>
        <v/>
      </c>
      <c r="N63" s="18">
        <f>IF(ISNA(G63),"Sin producción",IF(L63="","Sin límites",IF(G63&gt;L63,"▲ Sobre LCS",IF(G63&lt;M63,"▼ Bajo LCI","En control"))))</f>
        <v/>
      </c>
      <c r="O63" s="18">
        <f>COUNTIFS(Ordenes!$C$2:$C$840,$A63,Ordenes!$T$2:$T$840,"A corregir",Ordenes!$F$2:$F$840,IF($B$4="Todos","*",$B$4),Ordenes!$G$2:$G$840,IF($B$5="Todos","*",$B$5))</f>
        <v/>
      </c>
    </row>
    <row r="64">
      <c r="A64" s="22" t="n">
        <v>46081</v>
      </c>
      <c r="B64" s="18">
        <f>YEAR(A64)</f>
        <v/>
      </c>
      <c r="C64" s="18">
        <f>MONTH(A64)</f>
        <v/>
      </c>
      <c r="D64" s="18">
        <f>COUNTIFS(Ordenes!$C$2:$C$840,$A64,Ordenes!$T$2:$T$840,"Válida",Ordenes!$F$2:$F$840,IF($B$4="Todos","*",$B$4),Ordenes!$G$2:$G$840,IF($B$5="Todos","*",$B$5))</f>
        <v/>
      </c>
      <c r="E64" s="19">
        <f>SUMIFS(Ordenes!$P$2:$P$840,Ordenes!$C$2:$C$840,$A64,Ordenes!$T$2:$T$840,"Válida",Ordenes!$F$2:$F$840,IF($B$4="Todos","*",$B$4),Ordenes!$G$2:$G$840,IF($B$5="Todos","*",$B$5))</f>
        <v/>
      </c>
      <c r="F64" s="19">
        <f>SUMIFS(Ordenes!$Q$2:$Q$840,Ordenes!$C$2:$C$840,$A64,Ordenes!$T$2:$T$840,"Válida",Ordenes!$F$2:$F$840,IF($B$4="Todos","*",$B$4),Ordenes!$G$2:$G$840,IF($B$5="Todos","*",$B$5))</f>
        <v/>
      </c>
      <c r="G64" s="20">
        <f>IF(F64=0,NA(),E64/F64)</f>
        <v/>
      </c>
      <c r="H64" s="20">
        <f>IFERROR(SUMIFS(Ordenes!$V$2:$V$840,Ordenes!$C$2:$C$840,$A64,Ordenes!$T$2:$T$840,"Válida",Ordenes!$F$2:$F$840,IF($B$4="Todos","*",$B$4),Ordenes!$G$2:$G$840,IF($B$5="Todos","*",$B$5))/F64,NA())</f>
        <v/>
      </c>
      <c r="I64" s="21">
        <f>IFERROR((G64-H64)*100,"")</f>
        <v/>
      </c>
      <c r="J64" s="20">
        <f>IFERROR(ABS(G64-G63),"")</f>
        <v/>
      </c>
      <c r="K64" s="20">
        <f>$G$7</f>
        <v/>
      </c>
      <c r="L64" s="20">
        <f>$G$10</f>
        <v/>
      </c>
      <c r="M64" s="20">
        <f>$G$11</f>
        <v/>
      </c>
      <c r="N64" s="18">
        <f>IF(ISNA(G64),"Sin producción",IF(L64="","Sin límites",IF(G64&gt;L64,"▲ Sobre LCS",IF(G64&lt;M64,"▼ Bajo LCI","En control"))))</f>
        <v/>
      </c>
      <c r="O64" s="18">
        <f>COUNTIFS(Ordenes!$C$2:$C$840,$A64,Ordenes!$T$2:$T$840,"A corregir",Ordenes!$F$2:$F$840,IF($B$4="Todos","*",$B$4),Ordenes!$G$2:$G$840,IF($B$5="Todos","*",$B$5))</f>
        <v/>
      </c>
    </row>
    <row r="65">
      <c r="A65" s="22" t="n">
        <v>46083</v>
      </c>
      <c r="B65" s="18">
        <f>YEAR(A65)</f>
        <v/>
      </c>
      <c r="C65" s="18">
        <f>MONTH(A65)</f>
        <v/>
      </c>
      <c r="D65" s="18">
        <f>COUNTIFS(Ordenes!$C$2:$C$840,$A65,Ordenes!$T$2:$T$840,"Válida",Ordenes!$F$2:$F$840,IF($B$4="Todos","*",$B$4),Ordenes!$G$2:$G$840,IF($B$5="Todos","*",$B$5))</f>
        <v/>
      </c>
      <c r="E65" s="19">
        <f>SUMIFS(Ordenes!$P$2:$P$840,Ordenes!$C$2:$C$840,$A65,Ordenes!$T$2:$T$840,"Válida",Ordenes!$F$2:$F$840,IF($B$4="Todos","*",$B$4),Ordenes!$G$2:$G$840,IF($B$5="Todos","*",$B$5))</f>
        <v/>
      </c>
      <c r="F65" s="19">
        <f>SUMIFS(Ordenes!$Q$2:$Q$840,Ordenes!$C$2:$C$840,$A65,Ordenes!$T$2:$T$840,"Válida",Ordenes!$F$2:$F$840,IF($B$4="Todos","*",$B$4),Ordenes!$G$2:$G$840,IF($B$5="Todos","*",$B$5))</f>
        <v/>
      </c>
      <c r="G65" s="20">
        <f>IF(F65=0,NA(),E65/F65)</f>
        <v/>
      </c>
      <c r="H65" s="20">
        <f>IFERROR(SUMIFS(Ordenes!$V$2:$V$840,Ordenes!$C$2:$C$840,$A65,Ordenes!$T$2:$T$840,"Válida",Ordenes!$F$2:$F$840,IF($B$4="Todos","*",$B$4),Ordenes!$G$2:$G$840,IF($B$5="Todos","*",$B$5))/F65,NA())</f>
        <v/>
      </c>
      <c r="I65" s="21">
        <f>IFERROR((G65-H65)*100,"")</f>
        <v/>
      </c>
      <c r="J65" s="20">
        <f>IFERROR(ABS(G65-G64),"")</f>
        <v/>
      </c>
      <c r="K65" s="20">
        <f>$G$7</f>
        <v/>
      </c>
      <c r="L65" s="20">
        <f>$G$10</f>
        <v/>
      </c>
      <c r="M65" s="20">
        <f>$G$11</f>
        <v/>
      </c>
      <c r="N65" s="18">
        <f>IF(ISNA(G65),"Sin producción",IF(L65="","Sin límites",IF(G65&gt;L65,"▲ Sobre LCS",IF(G65&lt;M65,"▼ Bajo LCI","En control"))))</f>
        <v/>
      </c>
      <c r="O65" s="18">
        <f>COUNTIFS(Ordenes!$C$2:$C$840,$A65,Ordenes!$T$2:$T$840,"A corregir",Ordenes!$F$2:$F$840,IF($B$4="Todos","*",$B$4),Ordenes!$G$2:$G$840,IF($B$5="Todos","*",$B$5))</f>
        <v/>
      </c>
    </row>
    <row r="66">
      <c r="A66" s="22" t="n">
        <v>46084</v>
      </c>
      <c r="B66" s="18">
        <f>YEAR(A66)</f>
        <v/>
      </c>
      <c r="C66" s="18">
        <f>MONTH(A66)</f>
        <v/>
      </c>
      <c r="D66" s="18">
        <f>COUNTIFS(Ordenes!$C$2:$C$840,$A66,Ordenes!$T$2:$T$840,"Válida",Ordenes!$F$2:$F$840,IF($B$4="Todos","*",$B$4),Ordenes!$G$2:$G$840,IF($B$5="Todos","*",$B$5))</f>
        <v/>
      </c>
      <c r="E66" s="19">
        <f>SUMIFS(Ordenes!$P$2:$P$840,Ordenes!$C$2:$C$840,$A66,Ordenes!$T$2:$T$840,"Válida",Ordenes!$F$2:$F$840,IF($B$4="Todos","*",$B$4),Ordenes!$G$2:$G$840,IF($B$5="Todos","*",$B$5))</f>
        <v/>
      </c>
      <c r="F66" s="19">
        <f>SUMIFS(Ordenes!$Q$2:$Q$840,Ordenes!$C$2:$C$840,$A66,Ordenes!$T$2:$T$840,"Válida",Ordenes!$F$2:$F$840,IF($B$4="Todos","*",$B$4),Ordenes!$G$2:$G$840,IF($B$5="Todos","*",$B$5))</f>
        <v/>
      </c>
      <c r="G66" s="20">
        <f>IF(F66=0,NA(),E66/F66)</f>
        <v/>
      </c>
      <c r="H66" s="20">
        <f>IFERROR(SUMIFS(Ordenes!$V$2:$V$840,Ordenes!$C$2:$C$840,$A66,Ordenes!$T$2:$T$840,"Válida",Ordenes!$F$2:$F$840,IF($B$4="Todos","*",$B$4),Ordenes!$G$2:$G$840,IF($B$5="Todos","*",$B$5))/F66,NA())</f>
        <v/>
      </c>
      <c r="I66" s="21">
        <f>IFERROR((G66-H66)*100,"")</f>
        <v/>
      </c>
      <c r="J66" s="20">
        <f>IFERROR(ABS(G66-G65),"")</f>
        <v/>
      </c>
      <c r="K66" s="20">
        <f>$G$7</f>
        <v/>
      </c>
      <c r="L66" s="20">
        <f>$G$10</f>
        <v/>
      </c>
      <c r="M66" s="20">
        <f>$G$11</f>
        <v/>
      </c>
      <c r="N66" s="18">
        <f>IF(ISNA(G66),"Sin producción",IF(L66="","Sin límites",IF(G66&gt;L66,"▲ Sobre LCS",IF(G66&lt;M66,"▼ Bajo LCI","En control"))))</f>
        <v/>
      </c>
      <c r="O66" s="18">
        <f>COUNTIFS(Ordenes!$C$2:$C$840,$A66,Ordenes!$T$2:$T$840,"A corregir",Ordenes!$F$2:$F$840,IF($B$4="Todos","*",$B$4),Ordenes!$G$2:$G$840,IF($B$5="Todos","*",$B$5))</f>
        <v/>
      </c>
    </row>
    <row r="67">
      <c r="A67" s="22" t="n">
        <v>46085</v>
      </c>
      <c r="B67" s="18">
        <f>YEAR(A67)</f>
        <v/>
      </c>
      <c r="C67" s="18">
        <f>MONTH(A67)</f>
        <v/>
      </c>
      <c r="D67" s="18">
        <f>COUNTIFS(Ordenes!$C$2:$C$840,$A67,Ordenes!$T$2:$T$840,"Válida",Ordenes!$F$2:$F$840,IF($B$4="Todos","*",$B$4),Ordenes!$G$2:$G$840,IF($B$5="Todos","*",$B$5))</f>
        <v/>
      </c>
      <c r="E67" s="19">
        <f>SUMIFS(Ordenes!$P$2:$P$840,Ordenes!$C$2:$C$840,$A67,Ordenes!$T$2:$T$840,"Válida",Ordenes!$F$2:$F$840,IF($B$4="Todos","*",$B$4),Ordenes!$G$2:$G$840,IF($B$5="Todos","*",$B$5))</f>
        <v/>
      </c>
      <c r="F67" s="19">
        <f>SUMIFS(Ordenes!$Q$2:$Q$840,Ordenes!$C$2:$C$840,$A67,Ordenes!$T$2:$T$840,"Válida",Ordenes!$F$2:$F$840,IF($B$4="Todos","*",$B$4),Ordenes!$G$2:$G$840,IF($B$5="Todos","*",$B$5))</f>
        <v/>
      </c>
      <c r="G67" s="20">
        <f>IF(F67=0,NA(),E67/F67)</f>
        <v/>
      </c>
      <c r="H67" s="20">
        <f>IFERROR(SUMIFS(Ordenes!$V$2:$V$840,Ordenes!$C$2:$C$840,$A67,Ordenes!$T$2:$T$840,"Válida",Ordenes!$F$2:$F$840,IF($B$4="Todos","*",$B$4),Ordenes!$G$2:$G$840,IF($B$5="Todos","*",$B$5))/F67,NA())</f>
        <v/>
      </c>
      <c r="I67" s="21">
        <f>IFERROR((G67-H67)*100,"")</f>
        <v/>
      </c>
      <c r="J67" s="20">
        <f>IFERROR(ABS(G67-G66),"")</f>
        <v/>
      </c>
      <c r="K67" s="20">
        <f>$G$7</f>
        <v/>
      </c>
      <c r="L67" s="20">
        <f>$G$10</f>
        <v/>
      </c>
      <c r="M67" s="20">
        <f>$G$11</f>
        <v/>
      </c>
      <c r="N67" s="18">
        <f>IF(ISNA(G67),"Sin producción",IF(L67="","Sin límites",IF(G67&gt;L67,"▲ Sobre LCS",IF(G67&lt;M67,"▼ Bajo LCI","En control"))))</f>
        <v/>
      </c>
      <c r="O67" s="18">
        <f>COUNTIFS(Ordenes!$C$2:$C$840,$A67,Ordenes!$T$2:$T$840,"A corregir",Ordenes!$F$2:$F$840,IF($B$4="Todos","*",$B$4),Ordenes!$G$2:$G$840,IF($B$5="Todos","*",$B$5))</f>
        <v/>
      </c>
    </row>
    <row r="68">
      <c r="A68" s="22" t="n">
        <v>46086</v>
      </c>
      <c r="B68" s="18">
        <f>YEAR(A68)</f>
        <v/>
      </c>
      <c r="C68" s="18">
        <f>MONTH(A68)</f>
        <v/>
      </c>
      <c r="D68" s="18">
        <f>COUNTIFS(Ordenes!$C$2:$C$840,$A68,Ordenes!$T$2:$T$840,"Válida",Ordenes!$F$2:$F$840,IF($B$4="Todos","*",$B$4),Ordenes!$G$2:$G$840,IF($B$5="Todos","*",$B$5))</f>
        <v/>
      </c>
      <c r="E68" s="19">
        <f>SUMIFS(Ordenes!$P$2:$P$840,Ordenes!$C$2:$C$840,$A68,Ordenes!$T$2:$T$840,"Válida",Ordenes!$F$2:$F$840,IF($B$4="Todos","*",$B$4),Ordenes!$G$2:$G$840,IF($B$5="Todos","*",$B$5))</f>
        <v/>
      </c>
      <c r="F68" s="19">
        <f>SUMIFS(Ordenes!$Q$2:$Q$840,Ordenes!$C$2:$C$840,$A68,Ordenes!$T$2:$T$840,"Válida",Ordenes!$F$2:$F$840,IF($B$4="Todos","*",$B$4),Ordenes!$G$2:$G$840,IF($B$5="Todos","*",$B$5))</f>
        <v/>
      </c>
      <c r="G68" s="20">
        <f>IF(F68=0,NA(),E68/F68)</f>
        <v/>
      </c>
      <c r="H68" s="20">
        <f>IFERROR(SUMIFS(Ordenes!$V$2:$V$840,Ordenes!$C$2:$C$840,$A68,Ordenes!$T$2:$T$840,"Válida",Ordenes!$F$2:$F$840,IF($B$4="Todos","*",$B$4),Ordenes!$G$2:$G$840,IF($B$5="Todos","*",$B$5))/F68,NA())</f>
        <v/>
      </c>
      <c r="I68" s="21">
        <f>IFERROR((G68-H68)*100,"")</f>
        <v/>
      </c>
      <c r="J68" s="20">
        <f>IFERROR(ABS(G68-G67),"")</f>
        <v/>
      </c>
      <c r="K68" s="20">
        <f>$G$7</f>
        <v/>
      </c>
      <c r="L68" s="20">
        <f>$G$10</f>
        <v/>
      </c>
      <c r="M68" s="20">
        <f>$G$11</f>
        <v/>
      </c>
      <c r="N68" s="18">
        <f>IF(ISNA(G68),"Sin producción",IF(L68="","Sin límites",IF(G68&gt;L68,"▲ Sobre LCS",IF(G68&lt;M68,"▼ Bajo LCI","En control"))))</f>
        <v/>
      </c>
      <c r="O68" s="18">
        <f>COUNTIFS(Ordenes!$C$2:$C$840,$A68,Ordenes!$T$2:$T$840,"A corregir",Ordenes!$F$2:$F$840,IF($B$4="Todos","*",$B$4),Ordenes!$G$2:$G$840,IF($B$5="Todos","*",$B$5))</f>
        <v/>
      </c>
    </row>
    <row r="69">
      <c r="A69" s="22" t="n">
        <v>46087</v>
      </c>
      <c r="B69" s="18">
        <f>YEAR(A69)</f>
        <v/>
      </c>
      <c r="C69" s="18">
        <f>MONTH(A69)</f>
        <v/>
      </c>
      <c r="D69" s="18">
        <f>COUNTIFS(Ordenes!$C$2:$C$840,$A69,Ordenes!$T$2:$T$840,"Válida",Ordenes!$F$2:$F$840,IF($B$4="Todos","*",$B$4),Ordenes!$G$2:$G$840,IF($B$5="Todos","*",$B$5))</f>
        <v/>
      </c>
      <c r="E69" s="19">
        <f>SUMIFS(Ordenes!$P$2:$P$840,Ordenes!$C$2:$C$840,$A69,Ordenes!$T$2:$T$840,"Válida",Ordenes!$F$2:$F$840,IF($B$4="Todos","*",$B$4),Ordenes!$G$2:$G$840,IF($B$5="Todos","*",$B$5))</f>
        <v/>
      </c>
      <c r="F69" s="19">
        <f>SUMIFS(Ordenes!$Q$2:$Q$840,Ordenes!$C$2:$C$840,$A69,Ordenes!$T$2:$T$840,"Válida",Ordenes!$F$2:$F$840,IF($B$4="Todos","*",$B$4),Ordenes!$G$2:$G$840,IF($B$5="Todos","*",$B$5))</f>
        <v/>
      </c>
      <c r="G69" s="20">
        <f>IF(F69=0,NA(),E69/F69)</f>
        <v/>
      </c>
      <c r="H69" s="20">
        <f>IFERROR(SUMIFS(Ordenes!$V$2:$V$840,Ordenes!$C$2:$C$840,$A69,Ordenes!$T$2:$T$840,"Válida",Ordenes!$F$2:$F$840,IF($B$4="Todos","*",$B$4),Ordenes!$G$2:$G$840,IF($B$5="Todos","*",$B$5))/F69,NA())</f>
        <v/>
      </c>
      <c r="I69" s="21">
        <f>IFERROR((G69-H69)*100,"")</f>
        <v/>
      </c>
      <c r="J69" s="20">
        <f>IFERROR(ABS(G69-G68),"")</f>
        <v/>
      </c>
      <c r="K69" s="20">
        <f>$G$7</f>
        <v/>
      </c>
      <c r="L69" s="20">
        <f>$G$10</f>
        <v/>
      </c>
      <c r="M69" s="20">
        <f>$G$11</f>
        <v/>
      </c>
      <c r="N69" s="18">
        <f>IF(ISNA(G69),"Sin producción",IF(L69="","Sin límites",IF(G69&gt;L69,"▲ Sobre LCS",IF(G69&lt;M69,"▼ Bajo LCI","En control"))))</f>
        <v/>
      </c>
      <c r="O69" s="18">
        <f>COUNTIFS(Ordenes!$C$2:$C$840,$A69,Ordenes!$T$2:$T$840,"A corregir",Ordenes!$F$2:$F$840,IF($B$4="Todos","*",$B$4),Ordenes!$G$2:$G$840,IF($B$5="Todos","*",$B$5))</f>
        <v/>
      </c>
    </row>
    <row r="70">
      <c r="A70" s="22" t="n">
        <v>46088</v>
      </c>
      <c r="B70" s="18">
        <f>YEAR(A70)</f>
        <v/>
      </c>
      <c r="C70" s="18">
        <f>MONTH(A70)</f>
        <v/>
      </c>
      <c r="D70" s="18">
        <f>COUNTIFS(Ordenes!$C$2:$C$840,$A70,Ordenes!$T$2:$T$840,"Válida",Ordenes!$F$2:$F$840,IF($B$4="Todos","*",$B$4),Ordenes!$G$2:$G$840,IF($B$5="Todos","*",$B$5))</f>
        <v/>
      </c>
      <c r="E70" s="19">
        <f>SUMIFS(Ordenes!$P$2:$P$840,Ordenes!$C$2:$C$840,$A70,Ordenes!$T$2:$T$840,"Válida",Ordenes!$F$2:$F$840,IF($B$4="Todos","*",$B$4),Ordenes!$G$2:$G$840,IF($B$5="Todos","*",$B$5))</f>
        <v/>
      </c>
      <c r="F70" s="19">
        <f>SUMIFS(Ordenes!$Q$2:$Q$840,Ordenes!$C$2:$C$840,$A70,Ordenes!$T$2:$T$840,"Válida",Ordenes!$F$2:$F$840,IF($B$4="Todos","*",$B$4),Ordenes!$G$2:$G$840,IF($B$5="Todos","*",$B$5))</f>
        <v/>
      </c>
      <c r="G70" s="20">
        <f>IF(F70=0,NA(),E70/F70)</f>
        <v/>
      </c>
      <c r="H70" s="20">
        <f>IFERROR(SUMIFS(Ordenes!$V$2:$V$840,Ordenes!$C$2:$C$840,$A70,Ordenes!$T$2:$T$840,"Válida",Ordenes!$F$2:$F$840,IF($B$4="Todos","*",$B$4),Ordenes!$G$2:$G$840,IF($B$5="Todos","*",$B$5))/F70,NA())</f>
        <v/>
      </c>
      <c r="I70" s="21">
        <f>IFERROR((G70-H70)*100,"")</f>
        <v/>
      </c>
      <c r="J70" s="20">
        <f>IFERROR(ABS(G70-G69),"")</f>
        <v/>
      </c>
      <c r="K70" s="20">
        <f>$G$7</f>
        <v/>
      </c>
      <c r="L70" s="20">
        <f>$G$10</f>
        <v/>
      </c>
      <c r="M70" s="20">
        <f>$G$11</f>
        <v/>
      </c>
      <c r="N70" s="18">
        <f>IF(ISNA(G70),"Sin producción",IF(L70="","Sin límites",IF(G70&gt;L70,"▲ Sobre LCS",IF(G70&lt;M70,"▼ Bajo LCI","En control"))))</f>
        <v/>
      </c>
      <c r="O70" s="18">
        <f>COUNTIFS(Ordenes!$C$2:$C$840,$A70,Ordenes!$T$2:$T$840,"A corregir",Ordenes!$F$2:$F$840,IF($B$4="Todos","*",$B$4),Ordenes!$G$2:$G$840,IF($B$5="Todos","*",$B$5))</f>
        <v/>
      </c>
    </row>
    <row r="71">
      <c r="A71" s="22" t="n">
        <v>46090</v>
      </c>
      <c r="B71" s="18">
        <f>YEAR(A71)</f>
        <v/>
      </c>
      <c r="C71" s="18">
        <f>MONTH(A71)</f>
        <v/>
      </c>
      <c r="D71" s="18">
        <f>COUNTIFS(Ordenes!$C$2:$C$840,$A71,Ordenes!$T$2:$T$840,"Válida",Ordenes!$F$2:$F$840,IF($B$4="Todos","*",$B$4),Ordenes!$G$2:$G$840,IF($B$5="Todos","*",$B$5))</f>
        <v/>
      </c>
      <c r="E71" s="19">
        <f>SUMIFS(Ordenes!$P$2:$P$840,Ordenes!$C$2:$C$840,$A71,Ordenes!$T$2:$T$840,"Válida",Ordenes!$F$2:$F$840,IF($B$4="Todos","*",$B$4),Ordenes!$G$2:$G$840,IF($B$5="Todos","*",$B$5))</f>
        <v/>
      </c>
      <c r="F71" s="19">
        <f>SUMIFS(Ordenes!$Q$2:$Q$840,Ordenes!$C$2:$C$840,$A71,Ordenes!$T$2:$T$840,"Válida",Ordenes!$F$2:$F$840,IF($B$4="Todos","*",$B$4),Ordenes!$G$2:$G$840,IF($B$5="Todos","*",$B$5))</f>
        <v/>
      </c>
      <c r="G71" s="20">
        <f>IF(F71=0,NA(),E71/F71)</f>
        <v/>
      </c>
      <c r="H71" s="20">
        <f>IFERROR(SUMIFS(Ordenes!$V$2:$V$840,Ordenes!$C$2:$C$840,$A71,Ordenes!$T$2:$T$840,"Válida",Ordenes!$F$2:$F$840,IF($B$4="Todos","*",$B$4),Ordenes!$G$2:$G$840,IF($B$5="Todos","*",$B$5))/F71,NA())</f>
        <v/>
      </c>
      <c r="I71" s="21">
        <f>IFERROR((G71-H71)*100,"")</f>
        <v/>
      </c>
      <c r="J71" s="20">
        <f>IFERROR(ABS(G71-G70),"")</f>
        <v/>
      </c>
      <c r="K71" s="20">
        <f>$G$7</f>
        <v/>
      </c>
      <c r="L71" s="20">
        <f>$G$10</f>
        <v/>
      </c>
      <c r="M71" s="20">
        <f>$G$11</f>
        <v/>
      </c>
      <c r="N71" s="18">
        <f>IF(ISNA(G71),"Sin producción",IF(L71="","Sin límites",IF(G71&gt;L71,"▲ Sobre LCS",IF(G71&lt;M71,"▼ Bajo LCI","En control"))))</f>
        <v/>
      </c>
      <c r="O71" s="18">
        <f>COUNTIFS(Ordenes!$C$2:$C$840,$A71,Ordenes!$T$2:$T$840,"A corregir",Ordenes!$F$2:$F$840,IF($B$4="Todos","*",$B$4),Ordenes!$G$2:$G$840,IF($B$5="Todos","*",$B$5))</f>
        <v/>
      </c>
    </row>
    <row r="72">
      <c r="A72" s="22" t="n">
        <v>46091</v>
      </c>
      <c r="B72" s="18">
        <f>YEAR(A72)</f>
        <v/>
      </c>
      <c r="C72" s="18">
        <f>MONTH(A72)</f>
        <v/>
      </c>
      <c r="D72" s="18">
        <f>COUNTIFS(Ordenes!$C$2:$C$840,$A72,Ordenes!$T$2:$T$840,"Válida",Ordenes!$F$2:$F$840,IF($B$4="Todos","*",$B$4),Ordenes!$G$2:$G$840,IF($B$5="Todos","*",$B$5))</f>
        <v/>
      </c>
      <c r="E72" s="19">
        <f>SUMIFS(Ordenes!$P$2:$P$840,Ordenes!$C$2:$C$840,$A72,Ordenes!$T$2:$T$840,"Válida",Ordenes!$F$2:$F$840,IF($B$4="Todos","*",$B$4),Ordenes!$G$2:$G$840,IF($B$5="Todos","*",$B$5))</f>
        <v/>
      </c>
      <c r="F72" s="19">
        <f>SUMIFS(Ordenes!$Q$2:$Q$840,Ordenes!$C$2:$C$840,$A72,Ordenes!$T$2:$T$840,"Válida",Ordenes!$F$2:$F$840,IF($B$4="Todos","*",$B$4),Ordenes!$G$2:$G$840,IF($B$5="Todos","*",$B$5))</f>
        <v/>
      </c>
      <c r="G72" s="20">
        <f>IF(F72=0,NA(),E72/F72)</f>
        <v/>
      </c>
      <c r="H72" s="20">
        <f>IFERROR(SUMIFS(Ordenes!$V$2:$V$840,Ordenes!$C$2:$C$840,$A72,Ordenes!$T$2:$T$840,"Válida",Ordenes!$F$2:$F$840,IF($B$4="Todos","*",$B$4),Ordenes!$G$2:$G$840,IF($B$5="Todos","*",$B$5))/F72,NA())</f>
        <v/>
      </c>
      <c r="I72" s="21">
        <f>IFERROR((G72-H72)*100,"")</f>
        <v/>
      </c>
      <c r="J72" s="20">
        <f>IFERROR(ABS(G72-G71),"")</f>
        <v/>
      </c>
      <c r="K72" s="20">
        <f>$G$7</f>
        <v/>
      </c>
      <c r="L72" s="20">
        <f>$G$10</f>
        <v/>
      </c>
      <c r="M72" s="20">
        <f>$G$11</f>
        <v/>
      </c>
      <c r="N72" s="18">
        <f>IF(ISNA(G72),"Sin producción",IF(L72="","Sin límites",IF(G72&gt;L72,"▲ Sobre LCS",IF(G72&lt;M72,"▼ Bajo LCI","En control"))))</f>
        <v/>
      </c>
      <c r="O72" s="18">
        <f>COUNTIFS(Ordenes!$C$2:$C$840,$A72,Ordenes!$T$2:$T$840,"A corregir",Ordenes!$F$2:$F$840,IF($B$4="Todos","*",$B$4),Ordenes!$G$2:$G$840,IF($B$5="Todos","*",$B$5))</f>
        <v/>
      </c>
    </row>
    <row r="73">
      <c r="A73" s="22" t="n">
        <v>46092</v>
      </c>
      <c r="B73" s="18">
        <f>YEAR(A73)</f>
        <v/>
      </c>
      <c r="C73" s="18">
        <f>MONTH(A73)</f>
        <v/>
      </c>
      <c r="D73" s="18">
        <f>COUNTIFS(Ordenes!$C$2:$C$840,$A73,Ordenes!$T$2:$T$840,"Válida",Ordenes!$F$2:$F$840,IF($B$4="Todos","*",$B$4),Ordenes!$G$2:$G$840,IF($B$5="Todos","*",$B$5))</f>
        <v/>
      </c>
      <c r="E73" s="19">
        <f>SUMIFS(Ordenes!$P$2:$P$840,Ordenes!$C$2:$C$840,$A73,Ordenes!$T$2:$T$840,"Válida",Ordenes!$F$2:$F$840,IF($B$4="Todos","*",$B$4),Ordenes!$G$2:$G$840,IF($B$5="Todos","*",$B$5))</f>
        <v/>
      </c>
      <c r="F73" s="19">
        <f>SUMIFS(Ordenes!$Q$2:$Q$840,Ordenes!$C$2:$C$840,$A73,Ordenes!$T$2:$T$840,"Válida",Ordenes!$F$2:$F$840,IF($B$4="Todos","*",$B$4),Ordenes!$G$2:$G$840,IF($B$5="Todos","*",$B$5))</f>
        <v/>
      </c>
      <c r="G73" s="20">
        <f>IF(F73=0,NA(),E73/F73)</f>
        <v/>
      </c>
      <c r="H73" s="20">
        <f>IFERROR(SUMIFS(Ordenes!$V$2:$V$840,Ordenes!$C$2:$C$840,$A73,Ordenes!$T$2:$T$840,"Válida",Ordenes!$F$2:$F$840,IF($B$4="Todos","*",$B$4),Ordenes!$G$2:$G$840,IF($B$5="Todos","*",$B$5))/F73,NA())</f>
        <v/>
      </c>
      <c r="I73" s="21">
        <f>IFERROR((G73-H73)*100,"")</f>
        <v/>
      </c>
      <c r="J73" s="20">
        <f>IFERROR(ABS(G73-G72),"")</f>
        <v/>
      </c>
      <c r="K73" s="20">
        <f>$G$7</f>
        <v/>
      </c>
      <c r="L73" s="20">
        <f>$G$10</f>
        <v/>
      </c>
      <c r="M73" s="20">
        <f>$G$11</f>
        <v/>
      </c>
      <c r="N73" s="18">
        <f>IF(ISNA(G73),"Sin producción",IF(L73="","Sin límites",IF(G73&gt;L73,"▲ Sobre LCS",IF(G73&lt;M73,"▼ Bajo LCI","En control"))))</f>
        <v/>
      </c>
      <c r="O73" s="18">
        <f>COUNTIFS(Ordenes!$C$2:$C$840,$A73,Ordenes!$T$2:$T$840,"A corregir",Ordenes!$F$2:$F$840,IF($B$4="Todos","*",$B$4),Ordenes!$G$2:$G$840,IF($B$5="Todos","*",$B$5))</f>
        <v/>
      </c>
    </row>
    <row r="74">
      <c r="A74" s="22" t="n">
        <v>46093</v>
      </c>
      <c r="B74" s="18">
        <f>YEAR(A74)</f>
        <v/>
      </c>
      <c r="C74" s="18">
        <f>MONTH(A74)</f>
        <v/>
      </c>
      <c r="D74" s="18">
        <f>COUNTIFS(Ordenes!$C$2:$C$840,$A74,Ordenes!$T$2:$T$840,"Válida",Ordenes!$F$2:$F$840,IF($B$4="Todos","*",$B$4),Ordenes!$G$2:$G$840,IF($B$5="Todos","*",$B$5))</f>
        <v/>
      </c>
      <c r="E74" s="19">
        <f>SUMIFS(Ordenes!$P$2:$P$840,Ordenes!$C$2:$C$840,$A74,Ordenes!$T$2:$T$840,"Válida",Ordenes!$F$2:$F$840,IF($B$4="Todos","*",$B$4),Ordenes!$G$2:$G$840,IF($B$5="Todos","*",$B$5))</f>
        <v/>
      </c>
      <c r="F74" s="19">
        <f>SUMIFS(Ordenes!$Q$2:$Q$840,Ordenes!$C$2:$C$840,$A74,Ordenes!$T$2:$T$840,"Válida",Ordenes!$F$2:$F$840,IF($B$4="Todos","*",$B$4),Ordenes!$G$2:$G$840,IF($B$5="Todos","*",$B$5))</f>
        <v/>
      </c>
      <c r="G74" s="20">
        <f>IF(F74=0,NA(),E74/F74)</f>
        <v/>
      </c>
      <c r="H74" s="20">
        <f>IFERROR(SUMIFS(Ordenes!$V$2:$V$840,Ordenes!$C$2:$C$840,$A74,Ordenes!$T$2:$T$840,"Válida",Ordenes!$F$2:$F$840,IF($B$4="Todos","*",$B$4),Ordenes!$G$2:$G$840,IF($B$5="Todos","*",$B$5))/F74,NA())</f>
        <v/>
      </c>
      <c r="I74" s="21">
        <f>IFERROR((G74-H74)*100,"")</f>
        <v/>
      </c>
      <c r="J74" s="20">
        <f>IFERROR(ABS(G74-G73),"")</f>
        <v/>
      </c>
      <c r="K74" s="20">
        <f>$G$7</f>
        <v/>
      </c>
      <c r="L74" s="20">
        <f>$G$10</f>
        <v/>
      </c>
      <c r="M74" s="20">
        <f>$G$11</f>
        <v/>
      </c>
      <c r="N74" s="18">
        <f>IF(ISNA(G74),"Sin producción",IF(L74="","Sin límites",IF(G74&gt;L74,"▲ Sobre LCS",IF(G74&lt;M74,"▼ Bajo LCI","En control"))))</f>
        <v/>
      </c>
      <c r="O74" s="18">
        <f>COUNTIFS(Ordenes!$C$2:$C$840,$A74,Ordenes!$T$2:$T$840,"A corregir",Ordenes!$F$2:$F$840,IF($B$4="Todos","*",$B$4),Ordenes!$G$2:$G$840,IF($B$5="Todos","*",$B$5))</f>
        <v/>
      </c>
    </row>
    <row r="75">
      <c r="A75" s="22" t="n">
        <v>46094</v>
      </c>
      <c r="B75" s="18">
        <f>YEAR(A75)</f>
        <v/>
      </c>
      <c r="C75" s="18">
        <f>MONTH(A75)</f>
        <v/>
      </c>
      <c r="D75" s="18">
        <f>COUNTIFS(Ordenes!$C$2:$C$840,$A75,Ordenes!$T$2:$T$840,"Válida",Ordenes!$F$2:$F$840,IF($B$4="Todos","*",$B$4),Ordenes!$G$2:$G$840,IF($B$5="Todos","*",$B$5))</f>
        <v/>
      </c>
      <c r="E75" s="19">
        <f>SUMIFS(Ordenes!$P$2:$P$840,Ordenes!$C$2:$C$840,$A75,Ordenes!$T$2:$T$840,"Válida",Ordenes!$F$2:$F$840,IF($B$4="Todos","*",$B$4),Ordenes!$G$2:$G$840,IF($B$5="Todos","*",$B$5))</f>
        <v/>
      </c>
      <c r="F75" s="19">
        <f>SUMIFS(Ordenes!$Q$2:$Q$840,Ordenes!$C$2:$C$840,$A75,Ordenes!$T$2:$T$840,"Válida",Ordenes!$F$2:$F$840,IF($B$4="Todos","*",$B$4),Ordenes!$G$2:$G$840,IF($B$5="Todos","*",$B$5))</f>
        <v/>
      </c>
      <c r="G75" s="20">
        <f>IF(F75=0,NA(),E75/F75)</f>
        <v/>
      </c>
      <c r="H75" s="20">
        <f>IFERROR(SUMIFS(Ordenes!$V$2:$V$840,Ordenes!$C$2:$C$840,$A75,Ordenes!$T$2:$T$840,"Válida",Ordenes!$F$2:$F$840,IF($B$4="Todos","*",$B$4),Ordenes!$G$2:$G$840,IF($B$5="Todos","*",$B$5))/F75,NA())</f>
        <v/>
      </c>
      <c r="I75" s="21">
        <f>IFERROR((G75-H75)*100,"")</f>
        <v/>
      </c>
      <c r="J75" s="20">
        <f>IFERROR(ABS(G75-G74),"")</f>
        <v/>
      </c>
      <c r="K75" s="20">
        <f>$G$7</f>
        <v/>
      </c>
      <c r="L75" s="20">
        <f>$G$10</f>
        <v/>
      </c>
      <c r="M75" s="20">
        <f>$G$11</f>
        <v/>
      </c>
      <c r="N75" s="18">
        <f>IF(ISNA(G75),"Sin producción",IF(L75="","Sin límites",IF(G75&gt;L75,"▲ Sobre LCS",IF(G75&lt;M75,"▼ Bajo LCI","En control"))))</f>
        <v/>
      </c>
      <c r="O75" s="18">
        <f>COUNTIFS(Ordenes!$C$2:$C$840,$A75,Ordenes!$T$2:$T$840,"A corregir",Ordenes!$F$2:$F$840,IF($B$4="Todos","*",$B$4),Ordenes!$G$2:$G$840,IF($B$5="Todos","*",$B$5))</f>
        <v/>
      </c>
    </row>
    <row r="76">
      <c r="A76" s="22" t="n">
        <v>46095</v>
      </c>
      <c r="B76" s="18">
        <f>YEAR(A76)</f>
        <v/>
      </c>
      <c r="C76" s="18">
        <f>MONTH(A76)</f>
        <v/>
      </c>
      <c r="D76" s="18">
        <f>COUNTIFS(Ordenes!$C$2:$C$840,$A76,Ordenes!$T$2:$T$840,"Válida",Ordenes!$F$2:$F$840,IF($B$4="Todos","*",$B$4),Ordenes!$G$2:$G$840,IF($B$5="Todos","*",$B$5))</f>
        <v/>
      </c>
      <c r="E76" s="19">
        <f>SUMIFS(Ordenes!$P$2:$P$840,Ordenes!$C$2:$C$840,$A76,Ordenes!$T$2:$T$840,"Válida",Ordenes!$F$2:$F$840,IF($B$4="Todos","*",$B$4),Ordenes!$G$2:$G$840,IF($B$5="Todos","*",$B$5))</f>
        <v/>
      </c>
      <c r="F76" s="19">
        <f>SUMIFS(Ordenes!$Q$2:$Q$840,Ordenes!$C$2:$C$840,$A76,Ordenes!$T$2:$T$840,"Válida",Ordenes!$F$2:$F$840,IF($B$4="Todos","*",$B$4),Ordenes!$G$2:$G$840,IF($B$5="Todos","*",$B$5))</f>
        <v/>
      </c>
      <c r="G76" s="20">
        <f>IF(F76=0,NA(),E76/F76)</f>
        <v/>
      </c>
      <c r="H76" s="20">
        <f>IFERROR(SUMIFS(Ordenes!$V$2:$V$840,Ordenes!$C$2:$C$840,$A76,Ordenes!$T$2:$T$840,"Válida",Ordenes!$F$2:$F$840,IF($B$4="Todos","*",$B$4),Ordenes!$G$2:$G$840,IF($B$5="Todos","*",$B$5))/F76,NA())</f>
        <v/>
      </c>
      <c r="I76" s="21">
        <f>IFERROR((G76-H76)*100,"")</f>
        <v/>
      </c>
      <c r="J76" s="20">
        <f>IFERROR(ABS(G76-G75),"")</f>
        <v/>
      </c>
      <c r="K76" s="20">
        <f>$G$7</f>
        <v/>
      </c>
      <c r="L76" s="20">
        <f>$G$10</f>
        <v/>
      </c>
      <c r="M76" s="20">
        <f>$G$11</f>
        <v/>
      </c>
      <c r="N76" s="18">
        <f>IF(ISNA(G76),"Sin producción",IF(L76="","Sin límites",IF(G76&gt;L76,"▲ Sobre LCS",IF(G76&lt;M76,"▼ Bajo LCI","En control"))))</f>
        <v/>
      </c>
      <c r="O76" s="18">
        <f>COUNTIFS(Ordenes!$C$2:$C$840,$A76,Ordenes!$T$2:$T$840,"A corregir",Ordenes!$F$2:$F$840,IF($B$4="Todos","*",$B$4),Ordenes!$G$2:$G$840,IF($B$5="Todos","*",$B$5))</f>
        <v/>
      </c>
    </row>
    <row r="77">
      <c r="A77" s="22" t="n">
        <v>46096</v>
      </c>
      <c r="B77" s="18">
        <f>YEAR(A77)</f>
        <v/>
      </c>
      <c r="C77" s="18">
        <f>MONTH(A77)</f>
        <v/>
      </c>
      <c r="D77" s="18">
        <f>COUNTIFS(Ordenes!$C$2:$C$840,$A77,Ordenes!$T$2:$T$840,"Válida",Ordenes!$F$2:$F$840,IF($B$4="Todos","*",$B$4),Ordenes!$G$2:$G$840,IF($B$5="Todos","*",$B$5))</f>
        <v/>
      </c>
      <c r="E77" s="19">
        <f>SUMIFS(Ordenes!$P$2:$P$840,Ordenes!$C$2:$C$840,$A77,Ordenes!$T$2:$T$840,"Válida",Ordenes!$F$2:$F$840,IF($B$4="Todos","*",$B$4),Ordenes!$G$2:$G$840,IF($B$5="Todos","*",$B$5))</f>
        <v/>
      </c>
      <c r="F77" s="19">
        <f>SUMIFS(Ordenes!$Q$2:$Q$840,Ordenes!$C$2:$C$840,$A77,Ordenes!$T$2:$T$840,"Válida",Ordenes!$F$2:$F$840,IF($B$4="Todos","*",$B$4),Ordenes!$G$2:$G$840,IF($B$5="Todos","*",$B$5))</f>
        <v/>
      </c>
      <c r="G77" s="20">
        <f>IF(F77=0,NA(),E77/F77)</f>
        <v/>
      </c>
      <c r="H77" s="20">
        <f>IFERROR(SUMIFS(Ordenes!$V$2:$V$840,Ordenes!$C$2:$C$840,$A77,Ordenes!$T$2:$T$840,"Válida",Ordenes!$F$2:$F$840,IF($B$4="Todos","*",$B$4),Ordenes!$G$2:$G$840,IF($B$5="Todos","*",$B$5))/F77,NA())</f>
        <v/>
      </c>
      <c r="I77" s="21">
        <f>IFERROR((G77-H77)*100,"")</f>
        <v/>
      </c>
      <c r="J77" s="20">
        <f>IFERROR(ABS(G77-G76),"")</f>
        <v/>
      </c>
      <c r="K77" s="20">
        <f>$G$7</f>
        <v/>
      </c>
      <c r="L77" s="20">
        <f>$G$10</f>
        <v/>
      </c>
      <c r="M77" s="20">
        <f>$G$11</f>
        <v/>
      </c>
      <c r="N77" s="18">
        <f>IF(ISNA(G77),"Sin producción",IF(L77="","Sin límites",IF(G77&gt;L77,"▲ Sobre LCS",IF(G77&lt;M77,"▼ Bajo LCI","En control"))))</f>
        <v/>
      </c>
      <c r="O77" s="18">
        <f>COUNTIFS(Ordenes!$C$2:$C$840,$A77,Ordenes!$T$2:$T$840,"A corregir",Ordenes!$F$2:$F$840,IF($B$4="Todos","*",$B$4),Ordenes!$G$2:$G$840,IF($B$5="Todos","*",$B$5))</f>
        <v/>
      </c>
    </row>
    <row r="78">
      <c r="A78" s="22" t="n">
        <v>46097</v>
      </c>
      <c r="B78" s="18">
        <f>YEAR(A78)</f>
        <v/>
      </c>
      <c r="C78" s="18">
        <f>MONTH(A78)</f>
        <v/>
      </c>
      <c r="D78" s="18">
        <f>COUNTIFS(Ordenes!$C$2:$C$840,$A78,Ordenes!$T$2:$T$840,"Válida",Ordenes!$F$2:$F$840,IF($B$4="Todos","*",$B$4),Ordenes!$G$2:$G$840,IF($B$5="Todos","*",$B$5))</f>
        <v/>
      </c>
      <c r="E78" s="19">
        <f>SUMIFS(Ordenes!$P$2:$P$840,Ordenes!$C$2:$C$840,$A78,Ordenes!$T$2:$T$840,"Válida",Ordenes!$F$2:$F$840,IF($B$4="Todos","*",$B$4),Ordenes!$G$2:$G$840,IF($B$5="Todos","*",$B$5))</f>
        <v/>
      </c>
      <c r="F78" s="19">
        <f>SUMIFS(Ordenes!$Q$2:$Q$840,Ordenes!$C$2:$C$840,$A78,Ordenes!$T$2:$T$840,"Válida",Ordenes!$F$2:$F$840,IF($B$4="Todos","*",$B$4),Ordenes!$G$2:$G$840,IF($B$5="Todos","*",$B$5))</f>
        <v/>
      </c>
      <c r="G78" s="20">
        <f>IF(F78=0,NA(),E78/F78)</f>
        <v/>
      </c>
      <c r="H78" s="20">
        <f>IFERROR(SUMIFS(Ordenes!$V$2:$V$840,Ordenes!$C$2:$C$840,$A78,Ordenes!$T$2:$T$840,"Válida",Ordenes!$F$2:$F$840,IF($B$4="Todos","*",$B$4),Ordenes!$G$2:$G$840,IF($B$5="Todos","*",$B$5))/F78,NA())</f>
        <v/>
      </c>
      <c r="I78" s="21">
        <f>IFERROR((G78-H78)*100,"")</f>
        <v/>
      </c>
      <c r="J78" s="20">
        <f>IFERROR(ABS(G78-G77),"")</f>
        <v/>
      </c>
      <c r="K78" s="20">
        <f>$G$7</f>
        <v/>
      </c>
      <c r="L78" s="20">
        <f>$G$10</f>
        <v/>
      </c>
      <c r="M78" s="20">
        <f>$G$11</f>
        <v/>
      </c>
      <c r="N78" s="18">
        <f>IF(ISNA(G78),"Sin producción",IF(L78="","Sin límites",IF(G78&gt;L78,"▲ Sobre LCS",IF(G78&lt;M78,"▼ Bajo LCI","En control"))))</f>
        <v/>
      </c>
      <c r="O78" s="18">
        <f>COUNTIFS(Ordenes!$C$2:$C$840,$A78,Ordenes!$T$2:$T$840,"A corregir",Ordenes!$F$2:$F$840,IF($B$4="Todos","*",$B$4),Ordenes!$G$2:$G$840,IF($B$5="Todos","*",$B$5))</f>
        <v/>
      </c>
    </row>
    <row r="79">
      <c r="A79" s="22" t="n">
        <v>46098</v>
      </c>
      <c r="B79" s="18">
        <f>YEAR(A79)</f>
        <v/>
      </c>
      <c r="C79" s="18">
        <f>MONTH(A79)</f>
        <v/>
      </c>
      <c r="D79" s="18">
        <f>COUNTIFS(Ordenes!$C$2:$C$840,$A79,Ordenes!$T$2:$T$840,"Válida",Ordenes!$F$2:$F$840,IF($B$4="Todos","*",$B$4),Ordenes!$G$2:$G$840,IF($B$5="Todos","*",$B$5))</f>
        <v/>
      </c>
      <c r="E79" s="19">
        <f>SUMIFS(Ordenes!$P$2:$P$840,Ordenes!$C$2:$C$840,$A79,Ordenes!$T$2:$T$840,"Válida",Ordenes!$F$2:$F$840,IF($B$4="Todos","*",$B$4),Ordenes!$G$2:$G$840,IF($B$5="Todos","*",$B$5))</f>
        <v/>
      </c>
      <c r="F79" s="19">
        <f>SUMIFS(Ordenes!$Q$2:$Q$840,Ordenes!$C$2:$C$840,$A79,Ordenes!$T$2:$T$840,"Válida",Ordenes!$F$2:$F$840,IF($B$4="Todos","*",$B$4),Ordenes!$G$2:$G$840,IF($B$5="Todos","*",$B$5))</f>
        <v/>
      </c>
      <c r="G79" s="20">
        <f>IF(F79=0,NA(),E79/F79)</f>
        <v/>
      </c>
      <c r="H79" s="20">
        <f>IFERROR(SUMIFS(Ordenes!$V$2:$V$840,Ordenes!$C$2:$C$840,$A79,Ordenes!$T$2:$T$840,"Válida",Ordenes!$F$2:$F$840,IF($B$4="Todos","*",$B$4),Ordenes!$G$2:$G$840,IF($B$5="Todos","*",$B$5))/F79,NA())</f>
        <v/>
      </c>
      <c r="I79" s="21">
        <f>IFERROR((G79-H79)*100,"")</f>
        <v/>
      </c>
      <c r="J79" s="20">
        <f>IFERROR(ABS(G79-G78),"")</f>
        <v/>
      </c>
      <c r="K79" s="20">
        <f>$G$7</f>
        <v/>
      </c>
      <c r="L79" s="20">
        <f>$G$10</f>
        <v/>
      </c>
      <c r="M79" s="20">
        <f>$G$11</f>
        <v/>
      </c>
      <c r="N79" s="18">
        <f>IF(ISNA(G79),"Sin producción",IF(L79="","Sin límites",IF(G79&gt;L79,"▲ Sobre LCS",IF(G79&lt;M79,"▼ Bajo LCI","En control"))))</f>
        <v/>
      </c>
      <c r="O79" s="18">
        <f>COUNTIFS(Ordenes!$C$2:$C$840,$A79,Ordenes!$T$2:$T$840,"A corregir",Ordenes!$F$2:$F$840,IF($B$4="Todos","*",$B$4),Ordenes!$G$2:$G$840,IF($B$5="Todos","*",$B$5))</f>
        <v/>
      </c>
    </row>
    <row r="80">
      <c r="A80" s="22" t="n">
        <v>46099</v>
      </c>
      <c r="B80" s="18">
        <f>YEAR(A80)</f>
        <v/>
      </c>
      <c r="C80" s="18">
        <f>MONTH(A80)</f>
        <v/>
      </c>
      <c r="D80" s="18">
        <f>COUNTIFS(Ordenes!$C$2:$C$840,$A80,Ordenes!$T$2:$T$840,"Válida",Ordenes!$F$2:$F$840,IF($B$4="Todos","*",$B$4),Ordenes!$G$2:$G$840,IF($B$5="Todos","*",$B$5))</f>
        <v/>
      </c>
      <c r="E80" s="19">
        <f>SUMIFS(Ordenes!$P$2:$P$840,Ordenes!$C$2:$C$840,$A80,Ordenes!$T$2:$T$840,"Válida",Ordenes!$F$2:$F$840,IF($B$4="Todos","*",$B$4),Ordenes!$G$2:$G$840,IF($B$5="Todos","*",$B$5))</f>
        <v/>
      </c>
      <c r="F80" s="19">
        <f>SUMIFS(Ordenes!$Q$2:$Q$840,Ordenes!$C$2:$C$840,$A80,Ordenes!$T$2:$T$840,"Válida",Ordenes!$F$2:$F$840,IF($B$4="Todos","*",$B$4),Ordenes!$G$2:$G$840,IF($B$5="Todos","*",$B$5))</f>
        <v/>
      </c>
      <c r="G80" s="20">
        <f>IF(F80=0,NA(),E80/F80)</f>
        <v/>
      </c>
      <c r="H80" s="20">
        <f>IFERROR(SUMIFS(Ordenes!$V$2:$V$840,Ordenes!$C$2:$C$840,$A80,Ordenes!$T$2:$T$840,"Válida",Ordenes!$F$2:$F$840,IF($B$4="Todos","*",$B$4),Ordenes!$G$2:$G$840,IF($B$5="Todos","*",$B$5))/F80,NA())</f>
        <v/>
      </c>
      <c r="I80" s="21">
        <f>IFERROR((G80-H80)*100,"")</f>
        <v/>
      </c>
      <c r="J80" s="20">
        <f>IFERROR(ABS(G80-G79),"")</f>
        <v/>
      </c>
      <c r="K80" s="20">
        <f>$G$7</f>
        <v/>
      </c>
      <c r="L80" s="20">
        <f>$G$10</f>
        <v/>
      </c>
      <c r="M80" s="20">
        <f>$G$11</f>
        <v/>
      </c>
      <c r="N80" s="18">
        <f>IF(ISNA(G80),"Sin producción",IF(L80="","Sin límites",IF(G80&gt;L80,"▲ Sobre LCS",IF(G80&lt;M80,"▼ Bajo LCI","En control"))))</f>
        <v/>
      </c>
      <c r="O80" s="18">
        <f>COUNTIFS(Ordenes!$C$2:$C$840,$A80,Ordenes!$T$2:$T$840,"A corregir",Ordenes!$F$2:$F$840,IF($B$4="Todos","*",$B$4),Ordenes!$G$2:$G$840,IF($B$5="Todos","*",$B$5))</f>
        <v/>
      </c>
    </row>
    <row r="81">
      <c r="A81" s="22" t="n">
        <v>46100</v>
      </c>
      <c r="B81" s="18">
        <f>YEAR(A81)</f>
        <v/>
      </c>
      <c r="C81" s="18">
        <f>MONTH(A81)</f>
        <v/>
      </c>
      <c r="D81" s="18">
        <f>COUNTIFS(Ordenes!$C$2:$C$840,$A81,Ordenes!$T$2:$T$840,"Válida",Ordenes!$F$2:$F$840,IF($B$4="Todos","*",$B$4),Ordenes!$G$2:$G$840,IF($B$5="Todos","*",$B$5))</f>
        <v/>
      </c>
      <c r="E81" s="19">
        <f>SUMIFS(Ordenes!$P$2:$P$840,Ordenes!$C$2:$C$840,$A81,Ordenes!$T$2:$T$840,"Válida",Ordenes!$F$2:$F$840,IF($B$4="Todos","*",$B$4),Ordenes!$G$2:$G$840,IF($B$5="Todos","*",$B$5))</f>
        <v/>
      </c>
      <c r="F81" s="19">
        <f>SUMIFS(Ordenes!$Q$2:$Q$840,Ordenes!$C$2:$C$840,$A81,Ordenes!$T$2:$T$840,"Válida",Ordenes!$F$2:$F$840,IF($B$4="Todos","*",$B$4),Ordenes!$G$2:$G$840,IF($B$5="Todos","*",$B$5))</f>
        <v/>
      </c>
      <c r="G81" s="20">
        <f>IF(F81=0,NA(),E81/F81)</f>
        <v/>
      </c>
      <c r="H81" s="20">
        <f>IFERROR(SUMIFS(Ordenes!$V$2:$V$840,Ordenes!$C$2:$C$840,$A81,Ordenes!$T$2:$T$840,"Válida",Ordenes!$F$2:$F$840,IF($B$4="Todos","*",$B$4),Ordenes!$G$2:$G$840,IF($B$5="Todos","*",$B$5))/F81,NA())</f>
        <v/>
      </c>
      <c r="I81" s="21">
        <f>IFERROR((G81-H81)*100,"")</f>
        <v/>
      </c>
      <c r="J81" s="20">
        <f>IFERROR(ABS(G81-G80),"")</f>
        <v/>
      </c>
      <c r="K81" s="20">
        <f>$G$7</f>
        <v/>
      </c>
      <c r="L81" s="20">
        <f>$G$10</f>
        <v/>
      </c>
      <c r="M81" s="20">
        <f>$G$11</f>
        <v/>
      </c>
      <c r="N81" s="18">
        <f>IF(ISNA(G81),"Sin producción",IF(L81="","Sin límites",IF(G81&gt;L81,"▲ Sobre LCS",IF(G81&lt;M81,"▼ Bajo LCI","En control"))))</f>
        <v/>
      </c>
      <c r="O81" s="18">
        <f>COUNTIFS(Ordenes!$C$2:$C$840,$A81,Ordenes!$T$2:$T$840,"A corregir",Ordenes!$F$2:$F$840,IF($B$4="Todos","*",$B$4),Ordenes!$G$2:$G$840,IF($B$5="Todos","*",$B$5))</f>
        <v/>
      </c>
    </row>
    <row r="82">
      <c r="A82" s="22" t="n">
        <v>46101</v>
      </c>
      <c r="B82" s="18">
        <f>YEAR(A82)</f>
        <v/>
      </c>
      <c r="C82" s="18">
        <f>MONTH(A82)</f>
        <v/>
      </c>
      <c r="D82" s="18">
        <f>COUNTIFS(Ordenes!$C$2:$C$840,$A82,Ordenes!$T$2:$T$840,"Válida",Ordenes!$F$2:$F$840,IF($B$4="Todos","*",$B$4),Ordenes!$G$2:$G$840,IF($B$5="Todos","*",$B$5))</f>
        <v/>
      </c>
      <c r="E82" s="19">
        <f>SUMIFS(Ordenes!$P$2:$P$840,Ordenes!$C$2:$C$840,$A82,Ordenes!$T$2:$T$840,"Válida",Ordenes!$F$2:$F$840,IF($B$4="Todos","*",$B$4),Ordenes!$G$2:$G$840,IF($B$5="Todos","*",$B$5))</f>
        <v/>
      </c>
      <c r="F82" s="19">
        <f>SUMIFS(Ordenes!$Q$2:$Q$840,Ordenes!$C$2:$C$840,$A82,Ordenes!$T$2:$T$840,"Válida",Ordenes!$F$2:$F$840,IF($B$4="Todos","*",$B$4),Ordenes!$G$2:$G$840,IF($B$5="Todos","*",$B$5))</f>
        <v/>
      </c>
      <c r="G82" s="20">
        <f>IF(F82=0,NA(),E82/F82)</f>
        <v/>
      </c>
      <c r="H82" s="20">
        <f>IFERROR(SUMIFS(Ordenes!$V$2:$V$840,Ordenes!$C$2:$C$840,$A82,Ordenes!$T$2:$T$840,"Válida",Ordenes!$F$2:$F$840,IF($B$4="Todos","*",$B$4),Ordenes!$G$2:$G$840,IF($B$5="Todos","*",$B$5))/F82,NA())</f>
        <v/>
      </c>
      <c r="I82" s="21">
        <f>IFERROR((G82-H82)*100,"")</f>
        <v/>
      </c>
      <c r="J82" s="20">
        <f>IFERROR(ABS(G82-G81),"")</f>
        <v/>
      </c>
      <c r="K82" s="20">
        <f>$G$7</f>
        <v/>
      </c>
      <c r="L82" s="20">
        <f>$G$10</f>
        <v/>
      </c>
      <c r="M82" s="20">
        <f>$G$11</f>
        <v/>
      </c>
      <c r="N82" s="18">
        <f>IF(ISNA(G82),"Sin producción",IF(L82="","Sin límites",IF(G82&gt;L82,"▲ Sobre LCS",IF(G82&lt;M82,"▼ Bajo LCI","En control"))))</f>
        <v/>
      </c>
      <c r="O82" s="18">
        <f>COUNTIFS(Ordenes!$C$2:$C$840,$A82,Ordenes!$T$2:$T$840,"A corregir",Ordenes!$F$2:$F$840,IF($B$4="Todos","*",$B$4),Ordenes!$G$2:$G$840,IF($B$5="Todos","*",$B$5))</f>
        <v/>
      </c>
    </row>
    <row r="83">
      <c r="A83" s="22" t="n">
        <v>46102</v>
      </c>
      <c r="B83" s="18">
        <f>YEAR(A83)</f>
        <v/>
      </c>
      <c r="C83" s="18">
        <f>MONTH(A83)</f>
        <v/>
      </c>
      <c r="D83" s="18">
        <f>COUNTIFS(Ordenes!$C$2:$C$840,$A83,Ordenes!$T$2:$T$840,"Válida",Ordenes!$F$2:$F$840,IF($B$4="Todos","*",$B$4),Ordenes!$G$2:$G$840,IF($B$5="Todos","*",$B$5))</f>
        <v/>
      </c>
      <c r="E83" s="19">
        <f>SUMIFS(Ordenes!$P$2:$P$840,Ordenes!$C$2:$C$840,$A83,Ordenes!$T$2:$T$840,"Válida",Ordenes!$F$2:$F$840,IF($B$4="Todos","*",$B$4),Ordenes!$G$2:$G$840,IF($B$5="Todos","*",$B$5))</f>
        <v/>
      </c>
      <c r="F83" s="19">
        <f>SUMIFS(Ordenes!$Q$2:$Q$840,Ordenes!$C$2:$C$840,$A83,Ordenes!$T$2:$T$840,"Válida",Ordenes!$F$2:$F$840,IF($B$4="Todos","*",$B$4),Ordenes!$G$2:$G$840,IF($B$5="Todos","*",$B$5))</f>
        <v/>
      </c>
      <c r="G83" s="20">
        <f>IF(F83=0,NA(),E83/F83)</f>
        <v/>
      </c>
      <c r="H83" s="20">
        <f>IFERROR(SUMIFS(Ordenes!$V$2:$V$840,Ordenes!$C$2:$C$840,$A83,Ordenes!$T$2:$T$840,"Válida",Ordenes!$F$2:$F$840,IF($B$4="Todos","*",$B$4),Ordenes!$G$2:$G$840,IF($B$5="Todos","*",$B$5))/F83,NA())</f>
        <v/>
      </c>
      <c r="I83" s="21">
        <f>IFERROR((G83-H83)*100,"")</f>
        <v/>
      </c>
      <c r="J83" s="20">
        <f>IFERROR(ABS(G83-G82),"")</f>
        <v/>
      </c>
      <c r="K83" s="20">
        <f>$G$7</f>
        <v/>
      </c>
      <c r="L83" s="20">
        <f>$G$10</f>
        <v/>
      </c>
      <c r="M83" s="20">
        <f>$G$11</f>
        <v/>
      </c>
      <c r="N83" s="18">
        <f>IF(ISNA(G83),"Sin producción",IF(L83="","Sin límites",IF(G83&gt;L83,"▲ Sobre LCS",IF(G83&lt;M83,"▼ Bajo LCI","En control"))))</f>
        <v/>
      </c>
      <c r="O83" s="18">
        <f>COUNTIFS(Ordenes!$C$2:$C$840,$A83,Ordenes!$T$2:$T$840,"A corregir",Ordenes!$F$2:$F$840,IF($B$4="Todos","*",$B$4),Ordenes!$G$2:$G$840,IF($B$5="Todos","*",$B$5))</f>
        <v/>
      </c>
    </row>
    <row r="84">
      <c r="A84" s="22" t="n">
        <v>46103</v>
      </c>
      <c r="B84" s="18">
        <f>YEAR(A84)</f>
        <v/>
      </c>
      <c r="C84" s="18">
        <f>MONTH(A84)</f>
        <v/>
      </c>
      <c r="D84" s="18">
        <f>COUNTIFS(Ordenes!$C$2:$C$840,$A84,Ordenes!$T$2:$T$840,"Válida",Ordenes!$F$2:$F$840,IF($B$4="Todos","*",$B$4),Ordenes!$G$2:$G$840,IF($B$5="Todos","*",$B$5))</f>
        <v/>
      </c>
      <c r="E84" s="19">
        <f>SUMIFS(Ordenes!$P$2:$P$840,Ordenes!$C$2:$C$840,$A84,Ordenes!$T$2:$T$840,"Válida",Ordenes!$F$2:$F$840,IF($B$4="Todos","*",$B$4),Ordenes!$G$2:$G$840,IF($B$5="Todos","*",$B$5))</f>
        <v/>
      </c>
      <c r="F84" s="19">
        <f>SUMIFS(Ordenes!$Q$2:$Q$840,Ordenes!$C$2:$C$840,$A84,Ordenes!$T$2:$T$840,"Válida",Ordenes!$F$2:$F$840,IF($B$4="Todos","*",$B$4),Ordenes!$G$2:$G$840,IF($B$5="Todos","*",$B$5))</f>
        <v/>
      </c>
      <c r="G84" s="20">
        <f>IF(F84=0,NA(),E84/F84)</f>
        <v/>
      </c>
      <c r="H84" s="20">
        <f>IFERROR(SUMIFS(Ordenes!$V$2:$V$840,Ordenes!$C$2:$C$840,$A84,Ordenes!$T$2:$T$840,"Válida",Ordenes!$F$2:$F$840,IF($B$4="Todos","*",$B$4),Ordenes!$G$2:$G$840,IF($B$5="Todos","*",$B$5))/F84,NA())</f>
        <v/>
      </c>
      <c r="I84" s="21">
        <f>IFERROR((G84-H84)*100,"")</f>
        <v/>
      </c>
      <c r="J84" s="20">
        <f>IFERROR(ABS(G84-G83),"")</f>
        <v/>
      </c>
      <c r="K84" s="20">
        <f>$G$7</f>
        <v/>
      </c>
      <c r="L84" s="20">
        <f>$G$10</f>
        <v/>
      </c>
      <c r="M84" s="20">
        <f>$G$11</f>
        <v/>
      </c>
      <c r="N84" s="18">
        <f>IF(ISNA(G84),"Sin producción",IF(L84="","Sin límites",IF(G84&gt;L84,"▲ Sobre LCS",IF(G84&lt;M84,"▼ Bajo LCI","En control"))))</f>
        <v/>
      </c>
      <c r="O84" s="18">
        <f>COUNTIFS(Ordenes!$C$2:$C$840,$A84,Ordenes!$T$2:$T$840,"A corregir",Ordenes!$F$2:$F$840,IF($B$4="Todos","*",$B$4),Ordenes!$G$2:$G$840,IF($B$5="Todos","*",$B$5))</f>
        <v/>
      </c>
    </row>
    <row r="85">
      <c r="A85" s="22" t="n">
        <v>46104</v>
      </c>
      <c r="B85" s="18">
        <f>YEAR(A85)</f>
        <v/>
      </c>
      <c r="C85" s="18">
        <f>MONTH(A85)</f>
        <v/>
      </c>
      <c r="D85" s="18">
        <f>COUNTIFS(Ordenes!$C$2:$C$840,$A85,Ordenes!$T$2:$T$840,"Válida",Ordenes!$F$2:$F$840,IF($B$4="Todos","*",$B$4),Ordenes!$G$2:$G$840,IF($B$5="Todos","*",$B$5))</f>
        <v/>
      </c>
      <c r="E85" s="19">
        <f>SUMIFS(Ordenes!$P$2:$P$840,Ordenes!$C$2:$C$840,$A85,Ordenes!$T$2:$T$840,"Válida",Ordenes!$F$2:$F$840,IF($B$4="Todos","*",$B$4),Ordenes!$G$2:$G$840,IF($B$5="Todos","*",$B$5))</f>
        <v/>
      </c>
      <c r="F85" s="19">
        <f>SUMIFS(Ordenes!$Q$2:$Q$840,Ordenes!$C$2:$C$840,$A85,Ordenes!$T$2:$T$840,"Válida",Ordenes!$F$2:$F$840,IF($B$4="Todos","*",$B$4),Ordenes!$G$2:$G$840,IF($B$5="Todos","*",$B$5))</f>
        <v/>
      </c>
      <c r="G85" s="20">
        <f>IF(F85=0,NA(),E85/F85)</f>
        <v/>
      </c>
      <c r="H85" s="20">
        <f>IFERROR(SUMIFS(Ordenes!$V$2:$V$840,Ordenes!$C$2:$C$840,$A85,Ordenes!$T$2:$T$840,"Válida",Ordenes!$F$2:$F$840,IF($B$4="Todos","*",$B$4),Ordenes!$G$2:$G$840,IF($B$5="Todos","*",$B$5))/F85,NA())</f>
        <v/>
      </c>
      <c r="I85" s="21">
        <f>IFERROR((G85-H85)*100,"")</f>
        <v/>
      </c>
      <c r="J85" s="20">
        <f>IFERROR(ABS(G85-G84),"")</f>
        <v/>
      </c>
      <c r="K85" s="20">
        <f>$G$7</f>
        <v/>
      </c>
      <c r="L85" s="20">
        <f>$G$10</f>
        <v/>
      </c>
      <c r="M85" s="20">
        <f>$G$11</f>
        <v/>
      </c>
      <c r="N85" s="18">
        <f>IF(ISNA(G85),"Sin producción",IF(L85="","Sin límites",IF(G85&gt;L85,"▲ Sobre LCS",IF(G85&lt;M85,"▼ Bajo LCI","En control"))))</f>
        <v/>
      </c>
      <c r="O85" s="18">
        <f>COUNTIFS(Ordenes!$C$2:$C$840,$A85,Ordenes!$T$2:$T$840,"A corregir",Ordenes!$F$2:$F$840,IF($B$4="Todos","*",$B$4),Ordenes!$G$2:$G$840,IF($B$5="Todos","*",$B$5))</f>
        <v/>
      </c>
    </row>
    <row r="86">
      <c r="A86" s="22" t="n">
        <v>46105</v>
      </c>
      <c r="B86" s="18">
        <f>YEAR(A86)</f>
        <v/>
      </c>
      <c r="C86" s="18">
        <f>MONTH(A86)</f>
        <v/>
      </c>
      <c r="D86" s="18">
        <f>COUNTIFS(Ordenes!$C$2:$C$840,$A86,Ordenes!$T$2:$T$840,"Válida",Ordenes!$F$2:$F$840,IF($B$4="Todos","*",$B$4),Ordenes!$G$2:$G$840,IF($B$5="Todos","*",$B$5))</f>
        <v/>
      </c>
      <c r="E86" s="19">
        <f>SUMIFS(Ordenes!$P$2:$P$840,Ordenes!$C$2:$C$840,$A86,Ordenes!$T$2:$T$840,"Válida",Ordenes!$F$2:$F$840,IF($B$4="Todos","*",$B$4),Ordenes!$G$2:$G$840,IF($B$5="Todos","*",$B$5))</f>
        <v/>
      </c>
      <c r="F86" s="19">
        <f>SUMIFS(Ordenes!$Q$2:$Q$840,Ordenes!$C$2:$C$840,$A86,Ordenes!$T$2:$T$840,"Válida",Ordenes!$F$2:$F$840,IF($B$4="Todos","*",$B$4),Ordenes!$G$2:$G$840,IF($B$5="Todos","*",$B$5))</f>
        <v/>
      </c>
      <c r="G86" s="20">
        <f>IF(F86=0,NA(),E86/F86)</f>
        <v/>
      </c>
      <c r="H86" s="20">
        <f>IFERROR(SUMIFS(Ordenes!$V$2:$V$840,Ordenes!$C$2:$C$840,$A86,Ordenes!$T$2:$T$840,"Válida",Ordenes!$F$2:$F$840,IF($B$4="Todos","*",$B$4),Ordenes!$G$2:$G$840,IF($B$5="Todos","*",$B$5))/F86,NA())</f>
        <v/>
      </c>
      <c r="I86" s="21">
        <f>IFERROR((G86-H86)*100,"")</f>
        <v/>
      </c>
      <c r="J86" s="20">
        <f>IFERROR(ABS(G86-G85),"")</f>
        <v/>
      </c>
      <c r="K86" s="20">
        <f>$G$7</f>
        <v/>
      </c>
      <c r="L86" s="20">
        <f>$G$10</f>
        <v/>
      </c>
      <c r="M86" s="20">
        <f>$G$11</f>
        <v/>
      </c>
      <c r="N86" s="18">
        <f>IF(ISNA(G86),"Sin producción",IF(L86="","Sin límites",IF(G86&gt;L86,"▲ Sobre LCS",IF(G86&lt;M86,"▼ Bajo LCI","En control"))))</f>
        <v/>
      </c>
      <c r="O86" s="18">
        <f>COUNTIFS(Ordenes!$C$2:$C$840,$A86,Ordenes!$T$2:$T$840,"A corregir",Ordenes!$F$2:$F$840,IF($B$4="Todos","*",$B$4),Ordenes!$G$2:$G$840,IF($B$5="Todos","*",$B$5))</f>
        <v/>
      </c>
    </row>
    <row r="87">
      <c r="A87" s="22" t="n">
        <v>46106</v>
      </c>
      <c r="B87" s="18">
        <f>YEAR(A87)</f>
        <v/>
      </c>
      <c r="C87" s="18">
        <f>MONTH(A87)</f>
        <v/>
      </c>
      <c r="D87" s="18">
        <f>COUNTIFS(Ordenes!$C$2:$C$840,$A87,Ordenes!$T$2:$T$840,"Válida",Ordenes!$F$2:$F$840,IF($B$4="Todos","*",$B$4),Ordenes!$G$2:$G$840,IF($B$5="Todos","*",$B$5))</f>
        <v/>
      </c>
      <c r="E87" s="19">
        <f>SUMIFS(Ordenes!$P$2:$P$840,Ordenes!$C$2:$C$840,$A87,Ordenes!$T$2:$T$840,"Válida",Ordenes!$F$2:$F$840,IF($B$4="Todos","*",$B$4),Ordenes!$G$2:$G$840,IF($B$5="Todos","*",$B$5))</f>
        <v/>
      </c>
      <c r="F87" s="19">
        <f>SUMIFS(Ordenes!$Q$2:$Q$840,Ordenes!$C$2:$C$840,$A87,Ordenes!$T$2:$T$840,"Válida",Ordenes!$F$2:$F$840,IF($B$4="Todos","*",$B$4),Ordenes!$G$2:$G$840,IF($B$5="Todos","*",$B$5))</f>
        <v/>
      </c>
      <c r="G87" s="20">
        <f>IF(F87=0,NA(),E87/F87)</f>
        <v/>
      </c>
      <c r="H87" s="20">
        <f>IFERROR(SUMIFS(Ordenes!$V$2:$V$840,Ordenes!$C$2:$C$840,$A87,Ordenes!$T$2:$T$840,"Válida",Ordenes!$F$2:$F$840,IF($B$4="Todos","*",$B$4),Ordenes!$G$2:$G$840,IF($B$5="Todos","*",$B$5))/F87,NA())</f>
        <v/>
      </c>
      <c r="I87" s="21">
        <f>IFERROR((G87-H87)*100,"")</f>
        <v/>
      </c>
      <c r="J87" s="20">
        <f>IFERROR(ABS(G87-G86),"")</f>
        <v/>
      </c>
      <c r="K87" s="20">
        <f>$G$7</f>
        <v/>
      </c>
      <c r="L87" s="20">
        <f>$G$10</f>
        <v/>
      </c>
      <c r="M87" s="20">
        <f>$G$11</f>
        <v/>
      </c>
      <c r="N87" s="18">
        <f>IF(ISNA(G87),"Sin producción",IF(L87="","Sin límites",IF(G87&gt;L87,"▲ Sobre LCS",IF(G87&lt;M87,"▼ Bajo LCI","En control"))))</f>
        <v/>
      </c>
      <c r="O87" s="18">
        <f>COUNTIFS(Ordenes!$C$2:$C$840,$A87,Ordenes!$T$2:$T$840,"A corregir",Ordenes!$F$2:$F$840,IF($B$4="Todos","*",$B$4),Ordenes!$G$2:$G$840,IF($B$5="Todos","*",$B$5))</f>
        <v/>
      </c>
    </row>
    <row r="88">
      <c r="A88" s="22" t="n">
        <v>46107</v>
      </c>
      <c r="B88" s="18">
        <f>YEAR(A88)</f>
        <v/>
      </c>
      <c r="C88" s="18">
        <f>MONTH(A88)</f>
        <v/>
      </c>
      <c r="D88" s="18">
        <f>COUNTIFS(Ordenes!$C$2:$C$840,$A88,Ordenes!$T$2:$T$840,"Válida",Ordenes!$F$2:$F$840,IF($B$4="Todos","*",$B$4),Ordenes!$G$2:$G$840,IF($B$5="Todos","*",$B$5))</f>
        <v/>
      </c>
      <c r="E88" s="19">
        <f>SUMIFS(Ordenes!$P$2:$P$840,Ordenes!$C$2:$C$840,$A88,Ordenes!$T$2:$T$840,"Válida",Ordenes!$F$2:$F$840,IF($B$4="Todos","*",$B$4),Ordenes!$G$2:$G$840,IF($B$5="Todos","*",$B$5))</f>
        <v/>
      </c>
      <c r="F88" s="19">
        <f>SUMIFS(Ordenes!$Q$2:$Q$840,Ordenes!$C$2:$C$840,$A88,Ordenes!$T$2:$T$840,"Válida",Ordenes!$F$2:$F$840,IF($B$4="Todos","*",$B$4),Ordenes!$G$2:$G$840,IF($B$5="Todos","*",$B$5))</f>
        <v/>
      </c>
      <c r="G88" s="20">
        <f>IF(F88=0,NA(),E88/F88)</f>
        <v/>
      </c>
      <c r="H88" s="20">
        <f>IFERROR(SUMIFS(Ordenes!$V$2:$V$840,Ordenes!$C$2:$C$840,$A88,Ordenes!$T$2:$T$840,"Válida",Ordenes!$F$2:$F$840,IF($B$4="Todos","*",$B$4),Ordenes!$G$2:$G$840,IF($B$5="Todos","*",$B$5))/F88,NA())</f>
        <v/>
      </c>
      <c r="I88" s="21">
        <f>IFERROR((G88-H88)*100,"")</f>
        <v/>
      </c>
      <c r="J88" s="20">
        <f>IFERROR(ABS(G88-G87),"")</f>
        <v/>
      </c>
      <c r="K88" s="20">
        <f>$G$7</f>
        <v/>
      </c>
      <c r="L88" s="20">
        <f>$G$10</f>
        <v/>
      </c>
      <c r="M88" s="20">
        <f>$G$11</f>
        <v/>
      </c>
      <c r="N88" s="18">
        <f>IF(ISNA(G88),"Sin producción",IF(L88="","Sin límites",IF(G88&gt;L88,"▲ Sobre LCS",IF(G88&lt;M88,"▼ Bajo LCI","En control"))))</f>
        <v/>
      </c>
      <c r="O88" s="18">
        <f>COUNTIFS(Ordenes!$C$2:$C$840,$A88,Ordenes!$T$2:$T$840,"A corregir",Ordenes!$F$2:$F$840,IF($B$4="Todos","*",$B$4),Ordenes!$G$2:$G$840,IF($B$5="Todos","*",$B$5))</f>
        <v/>
      </c>
    </row>
    <row r="89">
      <c r="A89" s="22" t="n">
        <v>46108</v>
      </c>
      <c r="B89" s="18">
        <f>YEAR(A89)</f>
        <v/>
      </c>
      <c r="C89" s="18">
        <f>MONTH(A89)</f>
        <v/>
      </c>
      <c r="D89" s="18">
        <f>COUNTIFS(Ordenes!$C$2:$C$840,$A89,Ordenes!$T$2:$T$840,"Válida",Ordenes!$F$2:$F$840,IF($B$4="Todos","*",$B$4),Ordenes!$G$2:$G$840,IF($B$5="Todos","*",$B$5))</f>
        <v/>
      </c>
      <c r="E89" s="19">
        <f>SUMIFS(Ordenes!$P$2:$P$840,Ordenes!$C$2:$C$840,$A89,Ordenes!$T$2:$T$840,"Válida",Ordenes!$F$2:$F$840,IF($B$4="Todos","*",$B$4),Ordenes!$G$2:$G$840,IF($B$5="Todos","*",$B$5))</f>
        <v/>
      </c>
      <c r="F89" s="19">
        <f>SUMIFS(Ordenes!$Q$2:$Q$840,Ordenes!$C$2:$C$840,$A89,Ordenes!$T$2:$T$840,"Válida",Ordenes!$F$2:$F$840,IF($B$4="Todos","*",$B$4),Ordenes!$G$2:$G$840,IF($B$5="Todos","*",$B$5))</f>
        <v/>
      </c>
      <c r="G89" s="20">
        <f>IF(F89=0,NA(),E89/F89)</f>
        <v/>
      </c>
      <c r="H89" s="20">
        <f>IFERROR(SUMIFS(Ordenes!$V$2:$V$840,Ordenes!$C$2:$C$840,$A89,Ordenes!$T$2:$T$840,"Válida",Ordenes!$F$2:$F$840,IF($B$4="Todos","*",$B$4),Ordenes!$G$2:$G$840,IF($B$5="Todos","*",$B$5))/F89,NA())</f>
        <v/>
      </c>
      <c r="I89" s="21">
        <f>IFERROR((G89-H89)*100,"")</f>
        <v/>
      </c>
      <c r="J89" s="20">
        <f>IFERROR(ABS(G89-G88),"")</f>
        <v/>
      </c>
      <c r="K89" s="20">
        <f>$G$7</f>
        <v/>
      </c>
      <c r="L89" s="20">
        <f>$G$10</f>
        <v/>
      </c>
      <c r="M89" s="20">
        <f>$G$11</f>
        <v/>
      </c>
      <c r="N89" s="18">
        <f>IF(ISNA(G89),"Sin producción",IF(L89="","Sin límites",IF(G89&gt;L89,"▲ Sobre LCS",IF(G89&lt;M89,"▼ Bajo LCI","En control"))))</f>
        <v/>
      </c>
      <c r="O89" s="18">
        <f>COUNTIFS(Ordenes!$C$2:$C$840,$A89,Ordenes!$T$2:$T$840,"A corregir",Ordenes!$F$2:$F$840,IF($B$4="Todos","*",$B$4),Ordenes!$G$2:$G$840,IF($B$5="Todos","*",$B$5))</f>
        <v/>
      </c>
    </row>
    <row r="90">
      <c r="A90" s="22" t="n">
        <v>46109</v>
      </c>
      <c r="B90" s="18">
        <f>YEAR(A90)</f>
        <v/>
      </c>
      <c r="C90" s="18">
        <f>MONTH(A90)</f>
        <v/>
      </c>
      <c r="D90" s="18">
        <f>COUNTIFS(Ordenes!$C$2:$C$840,$A90,Ordenes!$T$2:$T$840,"Válida",Ordenes!$F$2:$F$840,IF($B$4="Todos","*",$B$4),Ordenes!$G$2:$G$840,IF($B$5="Todos","*",$B$5))</f>
        <v/>
      </c>
      <c r="E90" s="19">
        <f>SUMIFS(Ordenes!$P$2:$P$840,Ordenes!$C$2:$C$840,$A90,Ordenes!$T$2:$T$840,"Válida",Ordenes!$F$2:$F$840,IF($B$4="Todos","*",$B$4),Ordenes!$G$2:$G$840,IF($B$5="Todos","*",$B$5))</f>
        <v/>
      </c>
      <c r="F90" s="19">
        <f>SUMIFS(Ordenes!$Q$2:$Q$840,Ordenes!$C$2:$C$840,$A90,Ordenes!$T$2:$T$840,"Válida",Ordenes!$F$2:$F$840,IF($B$4="Todos","*",$B$4),Ordenes!$G$2:$G$840,IF($B$5="Todos","*",$B$5))</f>
        <v/>
      </c>
      <c r="G90" s="20">
        <f>IF(F90=0,NA(),E90/F90)</f>
        <v/>
      </c>
      <c r="H90" s="20">
        <f>IFERROR(SUMIFS(Ordenes!$V$2:$V$840,Ordenes!$C$2:$C$840,$A90,Ordenes!$T$2:$T$840,"Válida",Ordenes!$F$2:$F$840,IF($B$4="Todos","*",$B$4),Ordenes!$G$2:$G$840,IF($B$5="Todos","*",$B$5))/F90,NA())</f>
        <v/>
      </c>
      <c r="I90" s="21">
        <f>IFERROR((G90-H90)*100,"")</f>
        <v/>
      </c>
      <c r="J90" s="20">
        <f>IFERROR(ABS(G90-G89),"")</f>
        <v/>
      </c>
      <c r="K90" s="20">
        <f>$G$7</f>
        <v/>
      </c>
      <c r="L90" s="20">
        <f>$G$10</f>
        <v/>
      </c>
      <c r="M90" s="20">
        <f>$G$11</f>
        <v/>
      </c>
      <c r="N90" s="18">
        <f>IF(ISNA(G90),"Sin producción",IF(L90="","Sin límites",IF(G90&gt;L90,"▲ Sobre LCS",IF(G90&lt;M90,"▼ Bajo LCI","En control"))))</f>
        <v/>
      </c>
      <c r="O90" s="18">
        <f>COUNTIFS(Ordenes!$C$2:$C$840,$A90,Ordenes!$T$2:$T$840,"A corregir",Ordenes!$F$2:$F$840,IF($B$4="Todos","*",$B$4),Ordenes!$G$2:$G$840,IF($B$5="Todos","*",$B$5))</f>
        <v/>
      </c>
    </row>
    <row r="91">
      <c r="A91" s="22" t="n">
        <v>46111</v>
      </c>
      <c r="B91" s="18">
        <f>YEAR(A91)</f>
        <v/>
      </c>
      <c r="C91" s="18">
        <f>MONTH(A91)</f>
        <v/>
      </c>
      <c r="D91" s="18">
        <f>COUNTIFS(Ordenes!$C$2:$C$840,$A91,Ordenes!$T$2:$T$840,"Válida",Ordenes!$F$2:$F$840,IF($B$4="Todos","*",$B$4),Ordenes!$G$2:$G$840,IF($B$5="Todos","*",$B$5))</f>
        <v/>
      </c>
      <c r="E91" s="19">
        <f>SUMIFS(Ordenes!$P$2:$P$840,Ordenes!$C$2:$C$840,$A91,Ordenes!$T$2:$T$840,"Válida",Ordenes!$F$2:$F$840,IF($B$4="Todos","*",$B$4),Ordenes!$G$2:$G$840,IF($B$5="Todos","*",$B$5))</f>
        <v/>
      </c>
      <c r="F91" s="19">
        <f>SUMIFS(Ordenes!$Q$2:$Q$840,Ordenes!$C$2:$C$840,$A91,Ordenes!$T$2:$T$840,"Válida",Ordenes!$F$2:$F$840,IF($B$4="Todos","*",$B$4),Ordenes!$G$2:$G$840,IF($B$5="Todos","*",$B$5))</f>
        <v/>
      </c>
      <c r="G91" s="20">
        <f>IF(F91=0,NA(),E91/F91)</f>
        <v/>
      </c>
      <c r="H91" s="20">
        <f>IFERROR(SUMIFS(Ordenes!$V$2:$V$840,Ordenes!$C$2:$C$840,$A91,Ordenes!$T$2:$T$840,"Válida",Ordenes!$F$2:$F$840,IF($B$4="Todos","*",$B$4),Ordenes!$G$2:$G$840,IF($B$5="Todos","*",$B$5))/F91,NA())</f>
        <v/>
      </c>
      <c r="I91" s="21">
        <f>IFERROR((G91-H91)*100,"")</f>
        <v/>
      </c>
      <c r="J91" s="20">
        <f>IFERROR(ABS(G91-G90),"")</f>
        <v/>
      </c>
      <c r="K91" s="20">
        <f>$G$7</f>
        <v/>
      </c>
      <c r="L91" s="20">
        <f>$G$10</f>
        <v/>
      </c>
      <c r="M91" s="20">
        <f>$G$11</f>
        <v/>
      </c>
      <c r="N91" s="18">
        <f>IF(ISNA(G91),"Sin producción",IF(L91="","Sin límites",IF(G91&gt;L91,"▲ Sobre LCS",IF(G91&lt;M91,"▼ Bajo LCI","En control"))))</f>
        <v/>
      </c>
      <c r="O91" s="18">
        <f>COUNTIFS(Ordenes!$C$2:$C$840,$A91,Ordenes!$T$2:$T$840,"A corregir",Ordenes!$F$2:$F$840,IF($B$4="Todos","*",$B$4),Ordenes!$G$2:$G$840,IF($B$5="Todos","*",$B$5))</f>
        <v/>
      </c>
    </row>
    <row r="92">
      <c r="A92" s="22" t="n">
        <v>46112</v>
      </c>
      <c r="B92" s="18">
        <f>YEAR(A92)</f>
        <v/>
      </c>
      <c r="C92" s="18">
        <f>MONTH(A92)</f>
        <v/>
      </c>
      <c r="D92" s="18">
        <f>COUNTIFS(Ordenes!$C$2:$C$840,$A92,Ordenes!$T$2:$T$840,"Válida",Ordenes!$F$2:$F$840,IF($B$4="Todos","*",$B$4),Ordenes!$G$2:$G$840,IF($B$5="Todos","*",$B$5))</f>
        <v/>
      </c>
      <c r="E92" s="19">
        <f>SUMIFS(Ordenes!$P$2:$P$840,Ordenes!$C$2:$C$840,$A92,Ordenes!$T$2:$T$840,"Válida",Ordenes!$F$2:$F$840,IF($B$4="Todos","*",$B$4),Ordenes!$G$2:$G$840,IF($B$5="Todos","*",$B$5))</f>
        <v/>
      </c>
      <c r="F92" s="19">
        <f>SUMIFS(Ordenes!$Q$2:$Q$840,Ordenes!$C$2:$C$840,$A92,Ordenes!$T$2:$T$840,"Válida",Ordenes!$F$2:$F$840,IF($B$4="Todos","*",$B$4),Ordenes!$G$2:$G$840,IF($B$5="Todos","*",$B$5))</f>
        <v/>
      </c>
      <c r="G92" s="20">
        <f>IF(F92=0,NA(),E92/F92)</f>
        <v/>
      </c>
      <c r="H92" s="20">
        <f>IFERROR(SUMIFS(Ordenes!$V$2:$V$840,Ordenes!$C$2:$C$840,$A92,Ordenes!$T$2:$T$840,"Válida",Ordenes!$F$2:$F$840,IF($B$4="Todos","*",$B$4),Ordenes!$G$2:$G$840,IF($B$5="Todos","*",$B$5))/F92,NA())</f>
        <v/>
      </c>
      <c r="I92" s="21">
        <f>IFERROR((G92-H92)*100,"")</f>
        <v/>
      </c>
      <c r="J92" s="20">
        <f>IFERROR(ABS(G92-G91),"")</f>
        <v/>
      </c>
      <c r="K92" s="20">
        <f>$G$7</f>
        <v/>
      </c>
      <c r="L92" s="20">
        <f>$G$10</f>
        <v/>
      </c>
      <c r="M92" s="20">
        <f>$G$11</f>
        <v/>
      </c>
      <c r="N92" s="18">
        <f>IF(ISNA(G92),"Sin producción",IF(L92="","Sin límites",IF(G92&gt;L92,"▲ Sobre LCS",IF(G92&lt;M92,"▼ Bajo LCI","En control"))))</f>
        <v/>
      </c>
      <c r="O92" s="18">
        <f>COUNTIFS(Ordenes!$C$2:$C$840,$A92,Ordenes!$T$2:$T$840,"A corregir",Ordenes!$F$2:$F$840,IF($B$4="Todos","*",$B$4),Ordenes!$G$2:$G$840,IF($B$5="Todos","*",$B$5))</f>
        <v/>
      </c>
    </row>
    <row r="93">
      <c r="A93" s="22" t="n">
        <v>46113</v>
      </c>
      <c r="B93" s="18">
        <f>YEAR(A93)</f>
        <v/>
      </c>
      <c r="C93" s="18">
        <f>MONTH(A93)</f>
        <v/>
      </c>
      <c r="D93" s="18">
        <f>COUNTIFS(Ordenes!$C$2:$C$840,$A93,Ordenes!$T$2:$T$840,"Válida",Ordenes!$F$2:$F$840,IF($B$4="Todos","*",$B$4),Ordenes!$G$2:$G$840,IF($B$5="Todos","*",$B$5))</f>
        <v/>
      </c>
      <c r="E93" s="19">
        <f>SUMIFS(Ordenes!$P$2:$P$840,Ordenes!$C$2:$C$840,$A93,Ordenes!$T$2:$T$840,"Válida",Ordenes!$F$2:$F$840,IF($B$4="Todos","*",$B$4),Ordenes!$G$2:$G$840,IF($B$5="Todos","*",$B$5))</f>
        <v/>
      </c>
      <c r="F93" s="19">
        <f>SUMIFS(Ordenes!$Q$2:$Q$840,Ordenes!$C$2:$C$840,$A93,Ordenes!$T$2:$T$840,"Válida",Ordenes!$F$2:$F$840,IF($B$4="Todos","*",$B$4),Ordenes!$G$2:$G$840,IF($B$5="Todos","*",$B$5))</f>
        <v/>
      </c>
      <c r="G93" s="20">
        <f>IF(F93=0,NA(),E93/F93)</f>
        <v/>
      </c>
      <c r="H93" s="20">
        <f>IFERROR(SUMIFS(Ordenes!$V$2:$V$840,Ordenes!$C$2:$C$840,$A93,Ordenes!$T$2:$T$840,"Válida",Ordenes!$F$2:$F$840,IF($B$4="Todos","*",$B$4),Ordenes!$G$2:$G$840,IF($B$5="Todos","*",$B$5))/F93,NA())</f>
        <v/>
      </c>
      <c r="I93" s="21">
        <f>IFERROR((G93-H93)*100,"")</f>
        <v/>
      </c>
      <c r="J93" s="20">
        <f>IFERROR(ABS(G93-G92),"")</f>
        <v/>
      </c>
      <c r="K93" s="20">
        <f>$G$7</f>
        <v/>
      </c>
      <c r="L93" s="20">
        <f>$G$10</f>
        <v/>
      </c>
      <c r="M93" s="20">
        <f>$G$11</f>
        <v/>
      </c>
      <c r="N93" s="18">
        <f>IF(ISNA(G93),"Sin producción",IF(L93="","Sin límites",IF(G93&gt;L93,"▲ Sobre LCS",IF(G93&lt;M93,"▼ Bajo LCI","En control"))))</f>
        <v/>
      </c>
      <c r="O93" s="18">
        <f>COUNTIFS(Ordenes!$C$2:$C$840,$A93,Ordenes!$T$2:$T$840,"A corregir",Ordenes!$F$2:$F$840,IF($B$4="Todos","*",$B$4),Ordenes!$G$2:$G$840,IF($B$5="Todos","*",$B$5))</f>
        <v/>
      </c>
    </row>
    <row r="94">
      <c r="A94" s="22" t="n">
        <v>46114</v>
      </c>
      <c r="B94" s="18">
        <f>YEAR(A94)</f>
        <v/>
      </c>
      <c r="C94" s="18">
        <f>MONTH(A94)</f>
        <v/>
      </c>
      <c r="D94" s="18">
        <f>COUNTIFS(Ordenes!$C$2:$C$840,$A94,Ordenes!$T$2:$T$840,"Válida",Ordenes!$F$2:$F$840,IF($B$4="Todos","*",$B$4),Ordenes!$G$2:$G$840,IF($B$5="Todos","*",$B$5))</f>
        <v/>
      </c>
      <c r="E94" s="19">
        <f>SUMIFS(Ordenes!$P$2:$P$840,Ordenes!$C$2:$C$840,$A94,Ordenes!$T$2:$T$840,"Válida",Ordenes!$F$2:$F$840,IF($B$4="Todos","*",$B$4),Ordenes!$G$2:$G$840,IF($B$5="Todos","*",$B$5))</f>
        <v/>
      </c>
      <c r="F94" s="19">
        <f>SUMIFS(Ordenes!$Q$2:$Q$840,Ordenes!$C$2:$C$840,$A94,Ordenes!$T$2:$T$840,"Válida",Ordenes!$F$2:$F$840,IF($B$4="Todos","*",$B$4),Ordenes!$G$2:$G$840,IF($B$5="Todos","*",$B$5))</f>
        <v/>
      </c>
      <c r="G94" s="20">
        <f>IF(F94=0,NA(),E94/F94)</f>
        <v/>
      </c>
      <c r="H94" s="20">
        <f>IFERROR(SUMIFS(Ordenes!$V$2:$V$840,Ordenes!$C$2:$C$840,$A94,Ordenes!$T$2:$T$840,"Válida",Ordenes!$F$2:$F$840,IF($B$4="Todos","*",$B$4),Ordenes!$G$2:$G$840,IF($B$5="Todos","*",$B$5))/F94,NA())</f>
        <v/>
      </c>
      <c r="I94" s="21">
        <f>IFERROR((G94-H94)*100,"")</f>
        <v/>
      </c>
      <c r="J94" s="20">
        <f>IFERROR(ABS(G94-G93),"")</f>
        <v/>
      </c>
      <c r="K94" s="20">
        <f>$G$7</f>
        <v/>
      </c>
      <c r="L94" s="20">
        <f>$G$10</f>
        <v/>
      </c>
      <c r="M94" s="20">
        <f>$G$11</f>
        <v/>
      </c>
      <c r="N94" s="18">
        <f>IF(ISNA(G94),"Sin producción",IF(L94="","Sin límites",IF(G94&gt;L94,"▲ Sobre LCS",IF(G94&lt;M94,"▼ Bajo LCI","En control"))))</f>
        <v/>
      </c>
      <c r="O94" s="18">
        <f>COUNTIFS(Ordenes!$C$2:$C$840,$A94,Ordenes!$T$2:$T$840,"A corregir",Ordenes!$F$2:$F$840,IF($B$4="Todos","*",$B$4),Ordenes!$G$2:$G$840,IF($B$5="Todos","*",$B$5))</f>
        <v/>
      </c>
    </row>
    <row r="95">
      <c r="A95" s="22" t="n">
        <v>46129</v>
      </c>
      <c r="B95" s="18">
        <f>YEAR(A95)</f>
        <v/>
      </c>
      <c r="C95" s="18">
        <f>MONTH(A95)</f>
        <v/>
      </c>
      <c r="D95" s="18">
        <f>COUNTIFS(Ordenes!$C$2:$C$840,$A95,Ordenes!$T$2:$T$840,"Válida",Ordenes!$F$2:$F$840,IF($B$4="Todos","*",$B$4),Ordenes!$G$2:$G$840,IF($B$5="Todos","*",$B$5))</f>
        <v/>
      </c>
      <c r="E95" s="19">
        <f>SUMIFS(Ordenes!$P$2:$P$840,Ordenes!$C$2:$C$840,$A95,Ordenes!$T$2:$T$840,"Válida",Ordenes!$F$2:$F$840,IF($B$4="Todos","*",$B$4),Ordenes!$G$2:$G$840,IF($B$5="Todos","*",$B$5))</f>
        <v/>
      </c>
      <c r="F95" s="19">
        <f>SUMIFS(Ordenes!$Q$2:$Q$840,Ordenes!$C$2:$C$840,$A95,Ordenes!$T$2:$T$840,"Válida",Ordenes!$F$2:$F$840,IF($B$4="Todos","*",$B$4),Ordenes!$G$2:$G$840,IF($B$5="Todos","*",$B$5))</f>
        <v/>
      </c>
      <c r="G95" s="20">
        <f>IF(F95=0,NA(),E95/F95)</f>
        <v/>
      </c>
      <c r="H95" s="20">
        <f>IFERROR(SUMIFS(Ordenes!$V$2:$V$840,Ordenes!$C$2:$C$840,$A95,Ordenes!$T$2:$T$840,"Válida",Ordenes!$F$2:$F$840,IF($B$4="Todos","*",$B$4),Ordenes!$G$2:$G$840,IF($B$5="Todos","*",$B$5))/F95,NA())</f>
        <v/>
      </c>
      <c r="I95" s="21">
        <f>IFERROR((G95-H95)*100,"")</f>
        <v/>
      </c>
      <c r="J95" s="20">
        <f>IFERROR(ABS(G95-G94),"")</f>
        <v/>
      </c>
      <c r="K95" s="20">
        <f>$G$7</f>
        <v/>
      </c>
      <c r="L95" s="20">
        <f>$G$10</f>
        <v/>
      </c>
      <c r="M95" s="20">
        <f>$G$11</f>
        <v/>
      </c>
      <c r="N95" s="18">
        <f>IF(ISNA(G95),"Sin producción",IF(L95="","Sin límites",IF(G95&gt;L95,"▲ Sobre LCS",IF(G95&lt;M95,"▼ Bajo LCI","En control"))))</f>
        <v/>
      </c>
      <c r="O95" s="18">
        <f>COUNTIFS(Ordenes!$C$2:$C$840,$A95,Ordenes!$T$2:$T$840,"A corregir",Ordenes!$F$2:$F$840,IF($B$4="Todos","*",$B$4),Ordenes!$G$2:$G$840,IF($B$5="Todos","*",$B$5))</f>
        <v/>
      </c>
    </row>
    <row r="96">
      <c r="A96" s="22" t="n">
        <v>46130</v>
      </c>
      <c r="B96" s="18">
        <f>YEAR(A96)</f>
        <v/>
      </c>
      <c r="C96" s="18">
        <f>MONTH(A96)</f>
        <v/>
      </c>
      <c r="D96" s="18">
        <f>COUNTIFS(Ordenes!$C$2:$C$840,$A96,Ordenes!$T$2:$T$840,"Válida",Ordenes!$F$2:$F$840,IF($B$4="Todos","*",$B$4),Ordenes!$G$2:$G$840,IF($B$5="Todos","*",$B$5))</f>
        <v/>
      </c>
      <c r="E96" s="19">
        <f>SUMIFS(Ordenes!$P$2:$P$840,Ordenes!$C$2:$C$840,$A96,Ordenes!$T$2:$T$840,"Válida",Ordenes!$F$2:$F$840,IF($B$4="Todos","*",$B$4),Ordenes!$G$2:$G$840,IF($B$5="Todos","*",$B$5))</f>
        <v/>
      </c>
      <c r="F96" s="19">
        <f>SUMIFS(Ordenes!$Q$2:$Q$840,Ordenes!$C$2:$C$840,$A96,Ordenes!$T$2:$T$840,"Válida",Ordenes!$F$2:$F$840,IF($B$4="Todos","*",$B$4),Ordenes!$G$2:$G$840,IF($B$5="Todos","*",$B$5))</f>
        <v/>
      </c>
      <c r="G96" s="20">
        <f>IF(F96=0,NA(),E96/F96)</f>
        <v/>
      </c>
      <c r="H96" s="20">
        <f>IFERROR(SUMIFS(Ordenes!$V$2:$V$840,Ordenes!$C$2:$C$840,$A96,Ordenes!$T$2:$T$840,"Válida",Ordenes!$F$2:$F$840,IF($B$4="Todos","*",$B$4),Ordenes!$G$2:$G$840,IF($B$5="Todos","*",$B$5))/F96,NA())</f>
        <v/>
      </c>
      <c r="I96" s="21">
        <f>IFERROR((G96-H96)*100,"")</f>
        <v/>
      </c>
      <c r="J96" s="20">
        <f>IFERROR(ABS(G96-G95),"")</f>
        <v/>
      </c>
      <c r="K96" s="20">
        <f>$G$7</f>
        <v/>
      </c>
      <c r="L96" s="20">
        <f>$G$10</f>
        <v/>
      </c>
      <c r="M96" s="20">
        <f>$G$11</f>
        <v/>
      </c>
      <c r="N96" s="18">
        <f>IF(ISNA(G96),"Sin producción",IF(L96="","Sin límites",IF(G96&gt;L96,"▲ Sobre LCS",IF(G96&lt;M96,"▼ Bajo LCI","En control"))))</f>
        <v/>
      </c>
      <c r="O96" s="18">
        <f>COUNTIFS(Ordenes!$C$2:$C$840,$A96,Ordenes!$T$2:$T$840,"A corregir",Ordenes!$F$2:$F$840,IF($B$4="Todos","*",$B$4),Ordenes!$G$2:$G$840,IF($B$5="Todos","*",$B$5))</f>
        <v/>
      </c>
    </row>
    <row r="97">
      <c r="A97" s="22" t="n">
        <v>46132</v>
      </c>
      <c r="B97" s="18">
        <f>YEAR(A97)</f>
        <v/>
      </c>
      <c r="C97" s="18">
        <f>MONTH(A97)</f>
        <v/>
      </c>
      <c r="D97" s="18">
        <f>COUNTIFS(Ordenes!$C$2:$C$840,$A97,Ordenes!$T$2:$T$840,"Válida",Ordenes!$F$2:$F$840,IF($B$4="Todos","*",$B$4),Ordenes!$G$2:$G$840,IF($B$5="Todos","*",$B$5))</f>
        <v/>
      </c>
      <c r="E97" s="19">
        <f>SUMIFS(Ordenes!$P$2:$P$840,Ordenes!$C$2:$C$840,$A97,Ordenes!$T$2:$T$840,"Válida",Ordenes!$F$2:$F$840,IF($B$4="Todos","*",$B$4),Ordenes!$G$2:$G$840,IF($B$5="Todos","*",$B$5))</f>
        <v/>
      </c>
      <c r="F97" s="19">
        <f>SUMIFS(Ordenes!$Q$2:$Q$840,Ordenes!$C$2:$C$840,$A97,Ordenes!$T$2:$T$840,"Válida",Ordenes!$F$2:$F$840,IF($B$4="Todos","*",$B$4),Ordenes!$G$2:$G$840,IF($B$5="Todos","*",$B$5))</f>
        <v/>
      </c>
      <c r="G97" s="20">
        <f>IF(F97=0,NA(),E97/F97)</f>
        <v/>
      </c>
      <c r="H97" s="20">
        <f>IFERROR(SUMIFS(Ordenes!$V$2:$V$840,Ordenes!$C$2:$C$840,$A97,Ordenes!$T$2:$T$840,"Válida",Ordenes!$F$2:$F$840,IF($B$4="Todos","*",$B$4),Ordenes!$G$2:$G$840,IF($B$5="Todos","*",$B$5))/F97,NA())</f>
        <v/>
      </c>
      <c r="I97" s="21">
        <f>IFERROR((G97-H97)*100,"")</f>
        <v/>
      </c>
      <c r="J97" s="20">
        <f>IFERROR(ABS(G97-G96),"")</f>
        <v/>
      </c>
      <c r="K97" s="20">
        <f>$G$7</f>
        <v/>
      </c>
      <c r="L97" s="20">
        <f>$G$10</f>
        <v/>
      </c>
      <c r="M97" s="20">
        <f>$G$11</f>
        <v/>
      </c>
      <c r="N97" s="18">
        <f>IF(ISNA(G97),"Sin producción",IF(L97="","Sin límites",IF(G97&gt;L97,"▲ Sobre LCS",IF(G97&lt;M97,"▼ Bajo LCI","En control"))))</f>
        <v/>
      </c>
      <c r="O97" s="18">
        <f>COUNTIFS(Ordenes!$C$2:$C$840,$A97,Ordenes!$T$2:$T$840,"A corregir",Ordenes!$F$2:$F$840,IF($B$4="Todos","*",$B$4),Ordenes!$G$2:$G$840,IF($B$5="Todos","*",$B$5))</f>
        <v/>
      </c>
    </row>
    <row r="98">
      <c r="A98" s="22" t="n">
        <v>46133</v>
      </c>
      <c r="B98" s="18">
        <f>YEAR(A98)</f>
        <v/>
      </c>
      <c r="C98" s="18">
        <f>MONTH(A98)</f>
        <v/>
      </c>
      <c r="D98" s="18">
        <f>COUNTIFS(Ordenes!$C$2:$C$840,$A98,Ordenes!$T$2:$T$840,"Válida",Ordenes!$F$2:$F$840,IF($B$4="Todos","*",$B$4),Ordenes!$G$2:$G$840,IF($B$5="Todos","*",$B$5))</f>
        <v/>
      </c>
      <c r="E98" s="19">
        <f>SUMIFS(Ordenes!$P$2:$P$840,Ordenes!$C$2:$C$840,$A98,Ordenes!$T$2:$T$840,"Válida",Ordenes!$F$2:$F$840,IF($B$4="Todos","*",$B$4),Ordenes!$G$2:$G$840,IF($B$5="Todos","*",$B$5))</f>
        <v/>
      </c>
      <c r="F98" s="19">
        <f>SUMIFS(Ordenes!$Q$2:$Q$840,Ordenes!$C$2:$C$840,$A98,Ordenes!$T$2:$T$840,"Válida",Ordenes!$F$2:$F$840,IF($B$4="Todos","*",$B$4),Ordenes!$G$2:$G$840,IF($B$5="Todos","*",$B$5))</f>
        <v/>
      </c>
      <c r="G98" s="20">
        <f>IF(F98=0,NA(),E98/F98)</f>
        <v/>
      </c>
      <c r="H98" s="20">
        <f>IFERROR(SUMIFS(Ordenes!$V$2:$V$840,Ordenes!$C$2:$C$840,$A98,Ordenes!$T$2:$T$840,"Válida",Ordenes!$F$2:$F$840,IF($B$4="Todos","*",$B$4),Ordenes!$G$2:$G$840,IF($B$5="Todos","*",$B$5))/F98,NA())</f>
        <v/>
      </c>
      <c r="I98" s="21">
        <f>IFERROR((G98-H98)*100,"")</f>
        <v/>
      </c>
      <c r="J98" s="20">
        <f>IFERROR(ABS(G98-G97),"")</f>
        <v/>
      </c>
      <c r="K98" s="20">
        <f>$G$7</f>
        <v/>
      </c>
      <c r="L98" s="20">
        <f>$G$10</f>
        <v/>
      </c>
      <c r="M98" s="20">
        <f>$G$11</f>
        <v/>
      </c>
      <c r="N98" s="18">
        <f>IF(ISNA(G98),"Sin producción",IF(L98="","Sin límites",IF(G98&gt;L98,"▲ Sobre LCS",IF(G98&lt;M98,"▼ Bajo LCI","En control"))))</f>
        <v/>
      </c>
      <c r="O98" s="18">
        <f>COUNTIFS(Ordenes!$C$2:$C$840,$A98,Ordenes!$T$2:$T$840,"A corregir",Ordenes!$F$2:$F$840,IF($B$4="Todos","*",$B$4),Ordenes!$G$2:$G$840,IF($B$5="Todos","*",$B$5))</f>
        <v/>
      </c>
    </row>
    <row r="99">
      <c r="A99" s="22" t="n">
        <v>46134</v>
      </c>
      <c r="B99" s="18">
        <f>YEAR(A99)</f>
        <v/>
      </c>
      <c r="C99" s="18">
        <f>MONTH(A99)</f>
        <v/>
      </c>
      <c r="D99" s="18">
        <f>COUNTIFS(Ordenes!$C$2:$C$840,$A99,Ordenes!$T$2:$T$840,"Válida",Ordenes!$F$2:$F$840,IF($B$4="Todos","*",$B$4),Ordenes!$G$2:$G$840,IF($B$5="Todos","*",$B$5))</f>
        <v/>
      </c>
      <c r="E99" s="19">
        <f>SUMIFS(Ordenes!$P$2:$P$840,Ordenes!$C$2:$C$840,$A99,Ordenes!$T$2:$T$840,"Válida",Ordenes!$F$2:$F$840,IF($B$4="Todos","*",$B$4),Ordenes!$G$2:$G$840,IF($B$5="Todos","*",$B$5))</f>
        <v/>
      </c>
      <c r="F99" s="19">
        <f>SUMIFS(Ordenes!$Q$2:$Q$840,Ordenes!$C$2:$C$840,$A99,Ordenes!$T$2:$T$840,"Válida",Ordenes!$F$2:$F$840,IF($B$4="Todos","*",$B$4),Ordenes!$G$2:$G$840,IF($B$5="Todos","*",$B$5))</f>
        <v/>
      </c>
      <c r="G99" s="20">
        <f>IF(F99=0,NA(),E99/F99)</f>
        <v/>
      </c>
      <c r="H99" s="20">
        <f>IFERROR(SUMIFS(Ordenes!$V$2:$V$840,Ordenes!$C$2:$C$840,$A99,Ordenes!$T$2:$T$840,"Válida",Ordenes!$F$2:$F$840,IF($B$4="Todos","*",$B$4),Ordenes!$G$2:$G$840,IF($B$5="Todos","*",$B$5))/F99,NA())</f>
        <v/>
      </c>
      <c r="I99" s="21">
        <f>IFERROR((G99-H99)*100,"")</f>
        <v/>
      </c>
      <c r="J99" s="20">
        <f>IFERROR(ABS(G99-G98),"")</f>
        <v/>
      </c>
      <c r="K99" s="20">
        <f>$G$7</f>
        <v/>
      </c>
      <c r="L99" s="20">
        <f>$G$10</f>
        <v/>
      </c>
      <c r="M99" s="20">
        <f>$G$11</f>
        <v/>
      </c>
      <c r="N99" s="18">
        <f>IF(ISNA(G99),"Sin producción",IF(L99="","Sin límites",IF(G99&gt;L99,"▲ Sobre LCS",IF(G99&lt;M99,"▼ Bajo LCI","En control"))))</f>
        <v/>
      </c>
      <c r="O99" s="18">
        <f>COUNTIFS(Ordenes!$C$2:$C$840,$A99,Ordenes!$T$2:$T$840,"A corregir",Ordenes!$F$2:$F$840,IF($B$4="Todos","*",$B$4),Ordenes!$G$2:$G$840,IF($B$5="Todos","*",$B$5))</f>
        <v/>
      </c>
    </row>
    <row r="100">
      <c r="A100" s="22" t="n">
        <v>46135</v>
      </c>
      <c r="B100" s="18">
        <f>YEAR(A100)</f>
        <v/>
      </c>
      <c r="C100" s="18">
        <f>MONTH(A100)</f>
        <v/>
      </c>
      <c r="D100" s="18">
        <f>COUNTIFS(Ordenes!$C$2:$C$840,$A100,Ordenes!$T$2:$T$840,"Válida",Ordenes!$F$2:$F$840,IF($B$4="Todos","*",$B$4),Ordenes!$G$2:$G$840,IF($B$5="Todos","*",$B$5))</f>
        <v/>
      </c>
      <c r="E100" s="19">
        <f>SUMIFS(Ordenes!$P$2:$P$840,Ordenes!$C$2:$C$840,$A100,Ordenes!$T$2:$T$840,"Válida",Ordenes!$F$2:$F$840,IF($B$4="Todos","*",$B$4),Ordenes!$G$2:$G$840,IF($B$5="Todos","*",$B$5))</f>
        <v/>
      </c>
      <c r="F100" s="19">
        <f>SUMIFS(Ordenes!$Q$2:$Q$840,Ordenes!$C$2:$C$840,$A100,Ordenes!$T$2:$T$840,"Válida",Ordenes!$F$2:$F$840,IF($B$4="Todos","*",$B$4),Ordenes!$G$2:$G$840,IF($B$5="Todos","*",$B$5))</f>
        <v/>
      </c>
      <c r="G100" s="20">
        <f>IF(F100=0,NA(),E100/F100)</f>
        <v/>
      </c>
      <c r="H100" s="20">
        <f>IFERROR(SUMIFS(Ordenes!$V$2:$V$840,Ordenes!$C$2:$C$840,$A100,Ordenes!$T$2:$T$840,"Válida",Ordenes!$F$2:$F$840,IF($B$4="Todos","*",$B$4),Ordenes!$G$2:$G$840,IF($B$5="Todos","*",$B$5))/F100,NA())</f>
        <v/>
      </c>
      <c r="I100" s="21">
        <f>IFERROR((G100-H100)*100,"")</f>
        <v/>
      </c>
      <c r="J100" s="20">
        <f>IFERROR(ABS(G100-G99),"")</f>
        <v/>
      </c>
      <c r="K100" s="20">
        <f>$G$7</f>
        <v/>
      </c>
      <c r="L100" s="20">
        <f>$G$10</f>
        <v/>
      </c>
      <c r="M100" s="20">
        <f>$G$11</f>
        <v/>
      </c>
      <c r="N100" s="18">
        <f>IF(ISNA(G100),"Sin producción",IF(L100="","Sin límites",IF(G100&gt;L100,"▲ Sobre LCS",IF(G100&lt;M100,"▼ Bajo LCI","En control"))))</f>
        <v/>
      </c>
      <c r="O100" s="18">
        <f>COUNTIFS(Ordenes!$C$2:$C$840,$A100,Ordenes!$T$2:$T$840,"A corregir",Ordenes!$F$2:$F$840,IF($B$4="Todos","*",$B$4),Ordenes!$G$2:$G$840,IF($B$5="Todos","*",$B$5))</f>
        <v/>
      </c>
    </row>
    <row r="101">
      <c r="A101" s="22" t="n">
        <v>46136</v>
      </c>
      <c r="B101" s="18">
        <f>YEAR(A101)</f>
        <v/>
      </c>
      <c r="C101" s="18">
        <f>MONTH(A101)</f>
        <v/>
      </c>
      <c r="D101" s="18">
        <f>COUNTIFS(Ordenes!$C$2:$C$840,$A101,Ordenes!$T$2:$T$840,"Válida",Ordenes!$F$2:$F$840,IF($B$4="Todos","*",$B$4),Ordenes!$G$2:$G$840,IF($B$5="Todos","*",$B$5))</f>
        <v/>
      </c>
      <c r="E101" s="19">
        <f>SUMIFS(Ordenes!$P$2:$P$840,Ordenes!$C$2:$C$840,$A101,Ordenes!$T$2:$T$840,"Válida",Ordenes!$F$2:$F$840,IF($B$4="Todos","*",$B$4),Ordenes!$G$2:$G$840,IF($B$5="Todos","*",$B$5))</f>
        <v/>
      </c>
      <c r="F101" s="19">
        <f>SUMIFS(Ordenes!$Q$2:$Q$840,Ordenes!$C$2:$C$840,$A101,Ordenes!$T$2:$T$840,"Válida",Ordenes!$F$2:$F$840,IF($B$4="Todos","*",$B$4),Ordenes!$G$2:$G$840,IF($B$5="Todos","*",$B$5))</f>
        <v/>
      </c>
      <c r="G101" s="20">
        <f>IF(F101=0,NA(),E101/F101)</f>
        <v/>
      </c>
      <c r="H101" s="20">
        <f>IFERROR(SUMIFS(Ordenes!$V$2:$V$840,Ordenes!$C$2:$C$840,$A101,Ordenes!$T$2:$T$840,"Válida",Ordenes!$F$2:$F$840,IF($B$4="Todos","*",$B$4),Ordenes!$G$2:$G$840,IF($B$5="Todos","*",$B$5))/F101,NA())</f>
        <v/>
      </c>
      <c r="I101" s="21">
        <f>IFERROR((G101-H101)*100,"")</f>
        <v/>
      </c>
      <c r="J101" s="20">
        <f>IFERROR(ABS(G101-G100),"")</f>
        <v/>
      </c>
      <c r="K101" s="20">
        <f>$G$7</f>
        <v/>
      </c>
      <c r="L101" s="20">
        <f>$G$10</f>
        <v/>
      </c>
      <c r="M101" s="20">
        <f>$G$11</f>
        <v/>
      </c>
      <c r="N101" s="18">
        <f>IF(ISNA(G101),"Sin producción",IF(L101="","Sin límites",IF(G101&gt;L101,"▲ Sobre LCS",IF(G101&lt;M101,"▼ Bajo LCI","En control"))))</f>
        <v/>
      </c>
      <c r="O101" s="18">
        <f>COUNTIFS(Ordenes!$C$2:$C$840,$A101,Ordenes!$T$2:$T$840,"A corregir",Ordenes!$F$2:$F$840,IF($B$4="Todos","*",$B$4),Ordenes!$G$2:$G$840,IF($B$5="Todos","*",$B$5))</f>
        <v/>
      </c>
    </row>
    <row r="102">
      <c r="A102" s="22" t="n">
        <v>46137</v>
      </c>
      <c r="B102" s="18">
        <f>YEAR(A102)</f>
        <v/>
      </c>
      <c r="C102" s="18">
        <f>MONTH(A102)</f>
        <v/>
      </c>
      <c r="D102" s="18">
        <f>COUNTIFS(Ordenes!$C$2:$C$840,$A102,Ordenes!$T$2:$T$840,"Válida",Ordenes!$F$2:$F$840,IF($B$4="Todos","*",$B$4),Ordenes!$G$2:$G$840,IF($B$5="Todos","*",$B$5))</f>
        <v/>
      </c>
      <c r="E102" s="19">
        <f>SUMIFS(Ordenes!$P$2:$P$840,Ordenes!$C$2:$C$840,$A102,Ordenes!$T$2:$T$840,"Válida",Ordenes!$F$2:$F$840,IF($B$4="Todos","*",$B$4),Ordenes!$G$2:$G$840,IF($B$5="Todos","*",$B$5))</f>
        <v/>
      </c>
      <c r="F102" s="19">
        <f>SUMIFS(Ordenes!$Q$2:$Q$840,Ordenes!$C$2:$C$840,$A102,Ordenes!$T$2:$T$840,"Válida",Ordenes!$F$2:$F$840,IF($B$4="Todos","*",$B$4),Ordenes!$G$2:$G$840,IF($B$5="Todos","*",$B$5))</f>
        <v/>
      </c>
      <c r="G102" s="20">
        <f>IF(F102=0,NA(),E102/F102)</f>
        <v/>
      </c>
      <c r="H102" s="20">
        <f>IFERROR(SUMIFS(Ordenes!$V$2:$V$840,Ordenes!$C$2:$C$840,$A102,Ordenes!$T$2:$T$840,"Válida",Ordenes!$F$2:$F$840,IF($B$4="Todos","*",$B$4),Ordenes!$G$2:$G$840,IF($B$5="Todos","*",$B$5))/F102,NA())</f>
        <v/>
      </c>
      <c r="I102" s="21">
        <f>IFERROR((G102-H102)*100,"")</f>
        <v/>
      </c>
      <c r="J102" s="20">
        <f>IFERROR(ABS(G102-G101),"")</f>
        <v/>
      </c>
      <c r="K102" s="20">
        <f>$G$7</f>
        <v/>
      </c>
      <c r="L102" s="20">
        <f>$G$10</f>
        <v/>
      </c>
      <c r="M102" s="20">
        <f>$G$11</f>
        <v/>
      </c>
      <c r="N102" s="18">
        <f>IF(ISNA(G102),"Sin producción",IF(L102="","Sin límites",IF(G102&gt;L102,"▲ Sobre LCS",IF(G102&lt;M102,"▼ Bajo LCI","En control"))))</f>
        <v/>
      </c>
      <c r="O102" s="18">
        <f>COUNTIFS(Ordenes!$C$2:$C$840,$A102,Ordenes!$T$2:$T$840,"A corregir",Ordenes!$F$2:$F$840,IF($B$4="Todos","*",$B$4),Ordenes!$G$2:$G$840,IF($B$5="Todos","*",$B$5))</f>
        <v/>
      </c>
    </row>
    <row r="103">
      <c r="A103" s="22" t="n">
        <v>46138</v>
      </c>
      <c r="B103" s="18">
        <f>YEAR(A103)</f>
        <v/>
      </c>
      <c r="C103" s="18">
        <f>MONTH(A103)</f>
        <v/>
      </c>
      <c r="D103" s="18">
        <f>COUNTIFS(Ordenes!$C$2:$C$840,$A103,Ordenes!$T$2:$T$840,"Válida",Ordenes!$F$2:$F$840,IF($B$4="Todos","*",$B$4),Ordenes!$G$2:$G$840,IF($B$5="Todos","*",$B$5))</f>
        <v/>
      </c>
      <c r="E103" s="19">
        <f>SUMIFS(Ordenes!$P$2:$P$840,Ordenes!$C$2:$C$840,$A103,Ordenes!$T$2:$T$840,"Válida",Ordenes!$F$2:$F$840,IF($B$4="Todos","*",$B$4),Ordenes!$G$2:$G$840,IF($B$5="Todos","*",$B$5))</f>
        <v/>
      </c>
      <c r="F103" s="19">
        <f>SUMIFS(Ordenes!$Q$2:$Q$840,Ordenes!$C$2:$C$840,$A103,Ordenes!$T$2:$T$840,"Válida",Ordenes!$F$2:$F$840,IF($B$4="Todos","*",$B$4),Ordenes!$G$2:$G$840,IF($B$5="Todos","*",$B$5))</f>
        <v/>
      </c>
      <c r="G103" s="20">
        <f>IF(F103=0,NA(),E103/F103)</f>
        <v/>
      </c>
      <c r="H103" s="20">
        <f>IFERROR(SUMIFS(Ordenes!$V$2:$V$840,Ordenes!$C$2:$C$840,$A103,Ordenes!$T$2:$T$840,"Válida",Ordenes!$F$2:$F$840,IF($B$4="Todos","*",$B$4),Ordenes!$G$2:$G$840,IF($B$5="Todos","*",$B$5))/F103,NA())</f>
        <v/>
      </c>
      <c r="I103" s="21">
        <f>IFERROR((G103-H103)*100,"")</f>
        <v/>
      </c>
      <c r="J103" s="20">
        <f>IFERROR(ABS(G103-G102),"")</f>
        <v/>
      </c>
      <c r="K103" s="20">
        <f>$G$7</f>
        <v/>
      </c>
      <c r="L103" s="20">
        <f>$G$10</f>
        <v/>
      </c>
      <c r="M103" s="20">
        <f>$G$11</f>
        <v/>
      </c>
      <c r="N103" s="18">
        <f>IF(ISNA(G103),"Sin producción",IF(L103="","Sin límites",IF(G103&gt;L103,"▲ Sobre LCS",IF(G103&lt;M103,"▼ Bajo LCI","En control"))))</f>
        <v/>
      </c>
      <c r="O103" s="18">
        <f>COUNTIFS(Ordenes!$C$2:$C$840,$A103,Ordenes!$T$2:$T$840,"A corregir",Ordenes!$F$2:$F$840,IF($B$4="Todos","*",$B$4),Ordenes!$G$2:$G$840,IF($B$5="Todos","*",$B$5))</f>
        <v/>
      </c>
    </row>
    <row r="104">
      <c r="A104" s="22" t="n">
        <v>46139</v>
      </c>
      <c r="B104" s="18">
        <f>YEAR(A104)</f>
        <v/>
      </c>
      <c r="C104" s="18">
        <f>MONTH(A104)</f>
        <v/>
      </c>
      <c r="D104" s="18">
        <f>COUNTIFS(Ordenes!$C$2:$C$840,$A104,Ordenes!$T$2:$T$840,"Válida",Ordenes!$F$2:$F$840,IF($B$4="Todos","*",$B$4),Ordenes!$G$2:$G$840,IF($B$5="Todos","*",$B$5))</f>
        <v/>
      </c>
      <c r="E104" s="19">
        <f>SUMIFS(Ordenes!$P$2:$P$840,Ordenes!$C$2:$C$840,$A104,Ordenes!$T$2:$T$840,"Válida",Ordenes!$F$2:$F$840,IF($B$4="Todos","*",$B$4),Ordenes!$G$2:$G$840,IF($B$5="Todos","*",$B$5))</f>
        <v/>
      </c>
      <c r="F104" s="19">
        <f>SUMIFS(Ordenes!$Q$2:$Q$840,Ordenes!$C$2:$C$840,$A104,Ordenes!$T$2:$T$840,"Válida",Ordenes!$F$2:$F$840,IF($B$4="Todos","*",$B$4),Ordenes!$G$2:$G$840,IF($B$5="Todos","*",$B$5))</f>
        <v/>
      </c>
      <c r="G104" s="20">
        <f>IF(F104=0,NA(),E104/F104)</f>
        <v/>
      </c>
      <c r="H104" s="20">
        <f>IFERROR(SUMIFS(Ordenes!$V$2:$V$840,Ordenes!$C$2:$C$840,$A104,Ordenes!$T$2:$T$840,"Válida",Ordenes!$F$2:$F$840,IF($B$4="Todos","*",$B$4),Ordenes!$G$2:$G$840,IF($B$5="Todos","*",$B$5))/F104,NA())</f>
        <v/>
      </c>
      <c r="I104" s="21">
        <f>IFERROR((G104-H104)*100,"")</f>
        <v/>
      </c>
      <c r="J104" s="20">
        <f>IFERROR(ABS(G104-G103),"")</f>
        <v/>
      </c>
      <c r="K104" s="20">
        <f>$G$7</f>
        <v/>
      </c>
      <c r="L104" s="20">
        <f>$G$10</f>
        <v/>
      </c>
      <c r="M104" s="20">
        <f>$G$11</f>
        <v/>
      </c>
      <c r="N104" s="18">
        <f>IF(ISNA(G104),"Sin producción",IF(L104="","Sin límites",IF(G104&gt;L104,"▲ Sobre LCS",IF(G104&lt;M104,"▼ Bajo LCI","En control"))))</f>
        <v/>
      </c>
      <c r="O104" s="18">
        <f>COUNTIFS(Ordenes!$C$2:$C$840,$A104,Ordenes!$T$2:$T$840,"A corregir",Ordenes!$F$2:$F$840,IF($B$4="Todos","*",$B$4),Ordenes!$G$2:$G$840,IF($B$5="Todos","*",$B$5))</f>
        <v/>
      </c>
    </row>
    <row r="105">
      <c r="A105" s="22" t="n">
        <v>46140</v>
      </c>
      <c r="B105" s="18">
        <f>YEAR(A105)</f>
        <v/>
      </c>
      <c r="C105" s="18">
        <f>MONTH(A105)</f>
        <v/>
      </c>
      <c r="D105" s="18">
        <f>COUNTIFS(Ordenes!$C$2:$C$840,$A105,Ordenes!$T$2:$T$840,"Válida",Ordenes!$F$2:$F$840,IF($B$4="Todos","*",$B$4),Ordenes!$G$2:$G$840,IF($B$5="Todos","*",$B$5))</f>
        <v/>
      </c>
      <c r="E105" s="19">
        <f>SUMIFS(Ordenes!$P$2:$P$840,Ordenes!$C$2:$C$840,$A105,Ordenes!$T$2:$T$840,"Válida",Ordenes!$F$2:$F$840,IF($B$4="Todos","*",$B$4),Ordenes!$G$2:$G$840,IF($B$5="Todos","*",$B$5))</f>
        <v/>
      </c>
      <c r="F105" s="19">
        <f>SUMIFS(Ordenes!$Q$2:$Q$840,Ordenes!$C$2:$C$840,$A105,Ordenes!$T$2:$T$840,"Válida",Ordenes!$F$2:$F$840,IF($B$4="Todos","*",$B$4),Ordenes!$G$2:$G$840,IF($B$5="Todos","*",$B$5))</f>
        <v/>
      </c>
      <c r="G105" s="20">
        <f>IF(F105=0,NA(),E105/F105)</f>
        <v/>
      </c>
      <c r="H105" s="20">
        <f>IFERROR(SUMIFS(Ordenes!$V$2:$V$840,Ordenes!$C$2:$C$840,$A105,Ordenes!$T$2:$T$840,"Válida",Ordenes!$F$2:$F$840,IF($B$4="Todos","*",$B$4),Ordenes!$G$2:$G$840,IF($B$5="Todos","*",$B$5))/F105,NA())</f>
        <v/>
      </c>
      <c r="I105" s="21">
        <f>IFERROR((G105-H105)*100,"")</f>
        <v/>
      </c>
      <c r="J105" s="20">
        <f>IFERROR(ABS(G105-G104),"")</f>
        <v/>
      </c>
      <c r="K105" s="20">
        <f>$G$7</f>
        <v/>
      </c>
      <c r="L105" s="20">
        <f>$G$10</f>
        <v/>
      </c>
      <c r="M105" s="20">
        <f>$G$11</f>
        <v/>
      </c>
      <c r="N105" s="18">
        <f>IF(ISNA(G105),"Sin producción",IF(L105="","Sin límites",IF(G105&gt;L105,"▲ Sobre LCS",IF(G105&lt;M105,"▼ Bajo LCI","En control"))))</f>
        <v/>
      </c>
      <c r="O105" s="18">
        <f>COUNTIFS(Ordenes!$C$2:$C$840,$A105,Ordenes!$T$2:$T$840,"A corregir",Ordenes!$F$2:$F$840,IF($B$4="Todos","*",$B$4),Ordenes!$G$2:$G$840,IF($B$5="Todos","*",$B$5))</f>
        <v/>
      </c>
    </row>
    <row r="106">
      <c r="A106" s="22" t="n">
        <v>46141</v>
      </c>
      <c r="B106" s="18">
        <f>YEAR(A106)</f>
        <v/>
      </c>
      <c r="C106" s="18">
        <f>MONTH(A106)</f>
        <v/>
      </c>
      <c r="D106" s="18">
        <f>COUNTIFS(Ordenes!$C$2:$C$840,$A106,Ordenes!$T$2:$T$840,"Válida",Ordenes!$F$2:$F$840,IF($B$4="Todos","*",$B$4),Ordenes!$G$2:$G$840,IF($B$5="Todos","*",$B$5))</f>
        <v/>
      </c>
      <c r="E106" s="19">
        <f>SUMIFS(Ordenes!$P$2:$P$840,Ordenes!$C$2:$C$840,$A106,Ordenes!$T$2:$T$840,"Válida",Ordenes!$F$2:$F$840,IF($B$4="Todos","*",$B$4),Ordenes!$G$2:$G$840,IF($B$5="Todos","*",$B$5))</f>
        <v/>
      </c>
      <c r="F106" s="19">
        <f>SUMIFS(Ordenes!$Q$2:$Q$840,Ordenes!$C$2:$C$840,$A106,Ordenes!$T$2:$T$840,"Válida",Ordenes!$F$2:$F$840,IF($B$4="Todos","*",$B$4),Ordenes!$G$2:$G$840,IF($B$5="Todos","*",$B$5))</f>
        <v/>
      </c>
      <c r="G106" s="20">
        <f>IF(F106=0,NA(),E106/F106)</f>
        <v/>
      </c>
      <c r="H106" s="20">
        <f>IFERROR(SUMIFS(Ordenes!$V$2:$V$840,Ordenes!$C$2:$C$840,$A106,Ordenes!$T$2:$T$840,"Válida",Ordenes!$F$2:$F$840,IF($B$4="Todos","*",$B$4),Ordenes!$G$2:$G$840,IF($B$5="Todos","*",$B$5))/F106,NA())</f>
        <v/>
      </c>
      <c r="I106" s="21">
        <f>IFERROR((G106-H106)*100,"")</f>
        <v/>
      </c>
      <c r="J106" s="20">
        <f>IFERROR(ABS(G106-G105),"")</f>
        <v/>
      </c>
      <c r="K106" s="20">
        <f>$G$7</f>
        <v/>
      </c>
      <c r="L106" s="20">
        <f>$G$10</f>
        <v/>
      </c>
      <c r="M106" s="20">
        <f>$G$11</f>
        <v/>
      </c>
      <c r="N106" s="18">
        <f>IF(ISNA(G106),"Sin producción",IF(L106="","Sin límites",IF(G106&gt;L106,"▲ Sobre LCS",IF(G106&lt;M106,"▼ Bajo LCI","En control"))))</f>
        <v/>
      </c>
      <c r="O106" s="18">
        <f>COUNTIFS(Ordenes!$C$2:$C$840,$A106,Ordenes!$T$2:$T$840,"A corregir",Ordenes!$F$2:$F$840,IF($B$4="Todos","*",$B$4),Ordenes!$G$2:$G$840,IF($B$5="Todos","*",$B$5))</f>
        <v/>
      </c>
    </row>
    <row r="107">
      <c r="A107" s="22" t="n">
        <v>46142</v>
      </c>
      <c r="B107" s="18">
        <f>YEAR(A107)</f>
        <v/>
      </c>
      <c r="C107" s="18">
        <f>MONTH(A107)</f>
        <v/>
      </c>
      <c r="D107" s="18">
        <f>COUNTIFS(Ordenes!$C$2:$C$840,$A107,Ordenes!$T$2:$T$840,"Válida",Ordenes!$F$2:$F$840,IF($B$4="Todos","*",$B$4),Ordenes!$G$2:$G$840,IF($B$5="Todos","*",$B$5))</f>
        <v/>
      </c>
      <c r="E107" s="19">
        <f>SUMIFS(Ordenes!$P$2:$P$840,Ordenes!$C$2:$C$840,$A107,Ordenes!$T$2:$T$840,"Válida",Ordenes!$F$2:$F$840,IF($B$4="Todos","*",$B$4),Ordenes!$G$2:$G$840,IF($B$5="Todos","*",$B$5))</f>
        <v/>
      </c>
      <c r="F107" s="19">
        <f>SUMIFS(Ordenes!$Q$2:$Q$840,Ordenes!$C$2:$C$840,$A107,Ordenes!$T$2:$T$840,"Válida",Ordenes!$F$2:$F$840,IF($B$4="Todos","*",$B$4),Ordenes!$G$2:$G$840,IF($B$5="Todos","*",$B$5))</f>
        <v/>
      </c>
      <c r="G107" s="20">
        <f>IF(F107=0,NA(),E107/F107)</f>
        <v/>
      </c>
      <c r="H107" s="20">
        <f>IFERROR(SUMIFS(Ordenes!$V$2:$V$840,Ordenes!$C$2:$C$840,$A107,Ordenes!$T$2:$T$840,"Válida",Ordenes!$F$2:$F$840,IF($B$4="Todos","*",$B$4),Ordenes!$G$2:$G$840,IF($B$5="Todos","*",$B$5))/F107,NA())</f>
        <v/>
      </c>
      <c r="I107" s="21">
        <f>IFERROR((G107-H107)*100,"")</f>
        <v/>
      </c>
      <c r="J107" s="20">
        <f>IFERROR(ABS(G107-G106),"")</f>
        <v/>
      </c>
      <c r="K107" s="20">
        <f>$G$7</f>
        <v/>
      </c>
      <c r="L107" s="20">
        <f>$G$10</f>
        <v/>
      </c>
      <c r="M107" s="20">
        <f>$G$11</f>
        <v/>
      </c>
      <c r="N107" s="18">
        <f>IF(ISNA(G107),"Sin producción",IF(L107="","Sin límites",IF(G107&gt;L107,"▲ Sobre LCS",IF(G107&lt;M107,"▼ Bajo LCI","En control"))))</f>
        <v/>
      </c>
      <c r="O107" s="18">
        <f>COUNTIFS(Ordenes!$C$2:$C$840,$A107,Ordenes!$T$2:$T$840,"A corregir",Ordenes!$F$2:$F$840,IF($B$4="Todos","*",$B$4),Ordenes!$G$2:$G$840,IF($B$5="Todos","*",$B$5))</f>
        <v/>
      </c>
    </row>
    <row r="108">
      <c r="A108" s="22" t="n">
        <v>46144</v>
      </c>
      <c r="B108" s="18">
        <f>YEAR(A108)</f>
        <v/>
      </c>
      <c r="C108" s="18">
        <f>MONTH(A108)</f>
        <v/>
      </c>
      <c r="D108" s="18">
        <f>COUNTIFS(Ordenes!$C$2:$C$840,$A108,Ordenes!$T$2:$T$840,"Válida",Ordenes!$F$2:$F$840,IF($B$4="Todos","*",$B$4),Ordenes!$G$2:$G$840,IF($B$5="Todos","*",$B$5))</f>
        <v/>
      </c>
      <c r="E108" s="19">
        <f>SUMIFS(Ordenes!$P$2:$P$840,Ordenes!$C$2:$C$840,$A108,Ordenes!$T$2:$T$840,"Válida",Ordenes!$F$2:$F$840,IF($B$4="Todos","*",$B$4),Ordenes!$G$2:$G$840,IF($B$5="Todos","*",$B$5))</f>
        <v/>
      </c>
      <c r="F108" s="19">
        <f>SUMIFS(Ordenes!$Q$2:$Q$840,Ordenes!$C$2:$C$840,$A108,Ordenes!$T$2:$T$840,"Válida",Ordenes!$F$2:$F$840,IF($B$4="Todos","*",$B$4),Ordenes!$G$2:$G$840,IF($B$5="Todos","*",$B$5))</f>
        <v/>
      </c>
      <c r="G108" s="20">
        <f>IF(F108=0,NA(),E108/F108)</f>
        <v/>
      </c>
      <c r="H108" s="20">
        <f>IFERROR(SUMIFS(Ordenes!$V$2:$V$840,Ordenes!$C$2:$C$840,$A108,Ordenes!$T$2:$T$840,"Válida",Ordenes!$F$2:$F$840,IF($B$4="Todos","*",$B$4),Ordenes!$G$2:$G$840,IF($B$5="Todos","*",$B$5))/F108,NA())</f>
        <v/>
      </c>
      <c r="I108" s="21">
        <f>IFERROR((G108-H108)*100,"")</f>
        <v/>
      </c>
      <c r="J108" s="20">
        <f>IFERROR(ABS(G108-G107),"")</f>
        <v/>
      </c>
      <c r="K108" s="20">
        <f>$G$7</f>
        <v/>
      </c>
      <c r="L108" s="20">
        <f>$G$10</f>
        <v/>
      </c>
      <c r="M108" s="20">
        <f>$G$11</f>
        <v/>
      </c>
      <c r="N108" s="18">
        <f>IF(ISNA(G108),"Sin producción",IF(L108="","Sin límites",IF(G108&gt;L108,"▲ Sobre LCS",IF(G108&lt;M108,"▼ Bajo LCI","En control"))))</f>
        <v/>
      </c>
      <c r="O108" s="18">
        <f>COUNTIFS(Ordenes!$C$2:$C$840,$A108,Ordenes!$T$2:$T$840,"A corregir",Ordenes!$F$2:$F$840,IF($B$4="Todos","*",$B$4),Ordenes!$G$2:$G$840,IF($B$5="Todos","*",$B$5))</f>
        <v/>
      </c>
    </row>
    <row r="109">
      <c r="A109" s="22" t="n">
        <v>46146</v>
      </c>
      <c r="B109" s="18">
        <f>YEAR(A109)</f>
        <v/>
      </c>
      <c r="C109" s="18">
        <f>MONTH(A109)</f>
        <v/>
      </c>
      <c r="D109" s="18">
        <f>COUNTIFS(Ordenes!$C$2:$C$840,$A109,Ordenes!$T$2:$T$840,"Válida",Ordenes!$F$2:$F$840,IF($B$4="Todos","*",$B$4),Ordenes!$G$2:$G$840,IF($B$5="Todos","*",$B$5))</f>
        <v/>
      </c>
      <c r="E109" s="19">
        <f>SUMIFS(Ordenes!$P$2:$P$840,Ordenes!$C$2:$C$840,$A109,Ordenes!$T$2:$T$840,"Válida",Ordenes!$F$2:$F$840,IF($B$4="Todos","*",$B$4),Ordenes!$G$2:$G$840,IF($B$5="Todos","*",$B$5))</f>
        <v/>
      </c>
      <c r="F109" s="19">
        <f>SUMIFS(Ordenes!$Q$2:$Q$840,Ordenes!$C$2:$C$840,$A109,Ordenes!$T$2:$T$840,"Válida",Ordenes!$F$2:$F$840,IF($B$4="Todos","*",$B$4),Ordenes!$G$2:$G$840,IF($B$5="Todos","*",$B$5))</f>
        <v/>
      </c>
      <c r="G109" s="20">
        <f>IF(F109=0,NA(),E109/F109)</f>
        <v/>
      </c>
      <c r="H109" s="20">
        <f>IFERROR(SUMIFS(Ordenes!$V$2:$V$840,Ordenes!$C$2:$C$840,$A109,Ordenes!$T$2:$T$840,"Válida",Ordenes!$F$2:$F$840,IF($B$4="Todos","*",$B$4),Ordenes!$G$2:$G$840,IF($B$5="Todos","*",$B$5))/F109,NA())</f>
        <v/>
      </c>
      <c r="I109" s="21">
        <f>IFERROR((G109-H109)*100,"")</f>
        <v/>
      </c>
      <c r="J109" s="20">
        <f>IFERROR(ABS(G109-G108),"")</f>
        <v/>
      </c>
      <c r="K109" s="20">
        <f>$G$7</f>
        <v/>
      </c>
      <c r="L109" s="20">
        <f>$G$10</f>
        <v/>
      </c>
      <c r="M109" s="20">
        <f>$G$11</f>
        <v/>
      </c>
      <c r="N109" s="18">
        <f>IF(ISNA(G109),"Sin producción",IF(L109="","Sin límites",IF(G109&gt;L109,"▲ Sobre LCS",IF(G109&lt;M109,"▼ Bajo LCI","En control"))))</f>
        <v/>
      </c>
      <c r="O109" s="18">
        <f>COUNTIFS(Ordenes!$C$2:$C$840,$A109,Ordenes!$T$2:$T$840,"A corregir",Ordenes!$F$2:$F$840,IF($B$4="Todos","*",$B$4),Ordenes!$G$2:$G$840,IF($B$5="Todos","*",$B$5))</f>
        <v/>
      </c>
    </row>
    <row r="110">
      <c r="A110" s="22" t="n">
        <v>46147</v>
      </c>
      <c r="B110" s="18">
        <f>YEAR(A110)</f>
        <v/>
      </c>
      <c r="C110" s="18">
        <f>MONTH(A110)</f>
        <v/>
      </c>
      <c r="D110" s="18">
        <f>COUNTIFS(Ordenes!$C$2:$C$840,$A110,Ordenes!$T$2:$T$840,"Válida",Ordenes!$F$2:$F$840,IF($B$4="Todos","*",$B$4),Ordenes!$G$2:$G$840,IF($B$5="Todos","*",$B$5))</f>
        <v/>
      </c>
      <c r="E110" s="19">
        <f>SUMIFS(Ordenes!$P$2:$P$840,Ordenes!$C$2:$C$840,$A110,Ordenes!$T$2:$T$840,"Válida",Ordenes!$F$2:$F$840,IF($B$4="Todos","*",$B$4),Ordenes!$G$2:$G$840,IF($B$5="Todos","*",$B$5))</f>
        <v/>
      </c>
      <c r="F110" s="19">
        <f>SUMIFS(Ordenes!$Q$2:$Q$840,Ordenes!$C$2:$C$840,$A110,Ordenes!$T$2:$T$840,"Válida",Ordenes!$F$2:$F$840,IF($B$4="Todos","*",$B$4),Ordenes!$G$2:$G$840,IF($B$5="Todos","*",$B$5))</f>
        <v/>
      </c>
      <c r="G110" s="20">
        <f>IF(F110=0,NA(),E110/F110)</f>
        <v/>
      </c>
      <c r="H110" s="20">
        <f>IFERROR(SUMIFS(Ordenes!$V$2:$V$840,Ordenes!$C$2:$C$840,$A110,Ordenes!$T$2:$T$840,"Válida",Ordenes!$F$2:$F$840,IF($B$4="Todos","*",$B$4),Ordenes!$G$2:$G$840,IF($B$5="Todos","*",$B$5))/F110,NA())</f>
        <v/>
      </c>
      <c r="I110" s="21">
        <f>IFERROR((G110-H110)*100,"")</f>
        <v/>
      </c>
      <c r="J110" s="20">
        <f>IFERROR(ABS(G110-G109),"")</f>
        <v/>
      </c>
      <c r="K110" s="20">
        <f>$G$7</f>
        <v/>
      </c>
      <c r="L110" s="20">
        <f>$G$10</f>
        <v/>
      </c>
      <c r="M110" s="20">
        <f>$G$11</f>
        <v/>
      </c>
      <c r="N110" s="18">
        <f>IF(ISNA(G110),"Sin producción",IF(L110="","Sin límites",IF(G110&gt;L110,"▲ Sobre LCS",IF(G110&lt;M110,"▼ Bajo LCI","En control"))))</f>
        <v/>
      </c>
      <c r="O110" s="18">
        <f>COUNTIFS(Ordenes!$C$2:$C$840,$A110,Ordenes!$T$2:$T$840,"A corregir",Ordenes!$F$2:$F$840,IF($B$4="Todos","*",$B$4),Ordenes!$G$2:$G$840,IF($B$5="Todos","*",$B$5))</f>
        <v/>
      </c>
    </row>
    <row r="111">
      <c r="A111" s="22" t="n">
        <v>46148</v>
      </c>
      <c r="B111" s="18">
        <f>YEAR(A111)</f>
        <v/>
      </c>
      <c r="C111" s="18">
        <f>MONTH(A111)</f>
        <v/>
      </c>
      <c r="D111" s="18">
        <f>COUNTIFS(Ordenes!$C$2:$C$840,$A111,Ordenes!$T$2:$T$840,"Válida",Ordenes!$F$2:$F$840,IF($B$4="Todos","*",$B$4),Ordenes!$G$2:$G$840,IF($B$5="Todos","*",$B$5))</f>
        <v/>
      </c>
      <c r="E111" s="19">
        <f>SUMIFS(Ordenes!$P$2:$P$840,Ordenes!$C$2:$C$840,$A111,Ordenes!$T$2:$T$840,"Válida",Ordenes!$F$2:$F$840,IF($B$4="Todos","*",$B$4),Ordenes!$G$2:$G$840,IF($B$5="Todos","*",$B$5))</f>
        <v/>
      </c>
      <c r="F111" s="19">
        <f>SUMIFS(Ordenes!$Q$2:$Q$840,Ordenes!$C$2:$C$840,$A111,Ordenes!$T$2:$T$840,"Válida",Ordenes!$F$2:$F$840,IF($B$4="Todos","*",$B$4),Ordenes!$G$2:$G$840,IF($B$5="Todos","*",$B$5))</f>
        <v/>
      </c>
      <c r="G111" s="20">
        <f>IF(F111=0,NA(),E111/F111)</f>
        <v/>
      </c>
      <c r="H111" s="20">
        <f>IFERROR(SUMIFS(Ordenes!$V$2:$V$840,Ordenes!$C$2:$C$840,$A111,Ordenes!$T$2:$T$840,"Válida",Ordenes!$F$2:$F$840,IF($B$4="Todos","*",$B$4),Ordenes!$G$2:$G$840,IF($B$5="Todos","*",$B$5))/F111,NA())</f>
        <v/>
      </c>
      <c r="I111" s="21">
        <f>IFERROR((G111-H111)*100,"")</f>
        <v/>
      </c>
      <c r="J111" s="20">
        <f>IFERROR(ABS(G111-G110),"")</f>
        <v/>
      </c>
      <c r="K111" s="20">
        <f>$G$7</f>
        <v/>
      </c>
      <c r="L111" s="20">
        <f>$G$10</f>
        <v/>
      </c>
      <c r="M111" s="20">
        <f>$G$11</f>
        <v/>
      </c>
      <c r="N111" s="18">
        <f>IF(ISNA(G111),"Sin producción",IF(L111="","Sin límites",IF(G111&gt;L111,"▲ Sobre LCS",IF(G111&lt;M111,"▼ Bajo LCI","En control"))))</f>
        <v/>
      </c>
      <c r="O111" s="18">
        <f>COUNTIFS(Ordenes!$C$2:$C$840,$A111,Ordenes!$T$2:$T$840,"A corregir",Ordenes!$F$2:$F$840,IF($B$4="Todos","*",$B$4),Ordenes!$G$2:$G$840,IF($B$5="Todos","*",$B$5))</f>
        <v/>
      </c>
    </row>
    <row r="112">
      <c r="A112" s="22" t="n">
        <v>46149</v>
      </c>
      <c r="B112" s="18">
        <f>YEAR(A112)</f>
        <v/>
      </c>
      <c r="C112" s="18">
        <f>MONTH(A112)</f>
        <v/>
      </c>
      <c r="D112" s="18">
        <f>COUNTIFS(Ordenes!$C$2:$C$840,$A112,Ordenes!$T$2:$T$840,"Válida",Ordenes!$F$2:$F$840,IF($B$4="Todos","*",$B$4),Ordenes!$G$2:$G$840,IF($B$5="Todos","*",$B$5))</f>
        <v/>
      </c>
      <c r="E112" s="19">
        <f>SUMIFS(Ordenes!$P$2:$P$840,Ordenes!$C$2:$C$840,$A112,Ordenes!$T$2:$T$840,"Válida",Ordenes!$F$2:$F$840,IF($B$4="Todos","*",$B$4),Ordenes!$G$2:$G$840,IF($B$5="Todos","*",$B$5))</f>
        <v/>
      </c>
      <c r="F112" s="19">
        <f>SUMIFS(Ordenes!$Q$2:$Q$840,Ordenes!$C$2:$C$840,$A112,Ordenes!$T$2:$T$840,"Válida",Ordenes!$F$2:$F$840,IF($B$4="Todos","*",$B$4),Ordenes!$G$2:$G$840,IF($B$5="Todos","*",$B$5))</f>
        <v/>
      </c>
      <c r="G112" s="20">
        <f>IF(F112=0,NA(),E112/F112)</f>
        <v/>
      </c>
      <c r="H112" s="20">
        <f>IFERROR(SUMIFS(Ordenes!$V$2:$V$840,Ordenes!$C$2:$C$840,$A112,Ordenes!$T$2:$T$840,"Válida",Ordenes!$F$2:$F$840,IF($B$4="Todos","*",$B$4),Ordenes!$G$2:$G$840,IF($B$5="Todos","*",$B$5))/F112,NA())</f>
        <v/>
      </c>
      <c r="I112" s="21">
        <f>IFERROR((G112-H112)*100,"")</f>
        <v/>
      </c>
      <c r="J112" s="20">
        <f>IFERROR(ABS(G112-G111),"")</f>
        <v/>
      </c>
      <c r="K112" s="20">
        <f>$G$7</f>
        <v/>
      </c>
      <c r="L112" s="20">
        <f>$G$10</f>
        <v/>
      </c>
      <c r="M112" s="20">
        <f>$G$11</f>
        <v/>
      </c>
      <c r="N112" s="18">
        <f>IF(ISNA(G112),"Sin producción",IF(L112="","Sin límites",IF(G112&gt;L112,"▲ Sobre LCS",IF(G112&lt;M112,"▼ Bajo LCI","En control"))))</f>
        <v/>
      </c>
      <c r="O112" s="18">
        <f>COUNTIFS(Ordenes!$C$2:$C$840,$A112,Ordenes!$T$2:$T$840,"A corregir",Ordenes!$F$2:$F$840,IF($B$4="Todos","*",$B$4),Ordenes!$G$2:$G$840,IF($B$5="Todos","*",$B$5))</f>
        <v/>
      </c>
    </row>
    <row r="113">
      <c r="A113" s="22" t="n">
        <v>46150</v>
      </c>
      <c r="B113" s="18">
        <f>YEAR(A113)</f>
        <v/>
      </c>
      <c r="C113" s="18">
        <f>MONTH(A113)</f>
        <v/>
      </c>
      <c r="D113" s="18">
        <f>COUNTIFS(Ordenes!$C$2:$C$840,$A113,Ordenes!$T$2:$T$840,"Válida",Ordenes!$F$2:$F$840,IF($B$4="Todos","*",$B$4),Ordenes!$G$2:$G$840,IF($B$5="Todos","*",$B$5))</f>
        <v/>
      </c>
      <c r="E113" s="19">
        <f>SUMIFS(Ordenes!$P$2:$P$840,Ordenes!$C$2:$C$840,$A113,Ordenes!$T$2:$T$840,"Válida",Ordenes!$F$2:$F$840,IF($B$4="Todos","*",$B$4),Ordenes!$G$2:$G$840,IF($B$5="Todos","*",$B$5))</f>
        <v/>
      </c>
      <c r="F113" s="19">
        <f>SUMIFS(Ordenes!$Q$2:$Q$840,Ordenes!$C$2:$C$840,$A113,Ordenes!$T$2:$T$840,"Válida",Ordenes!$F$2:$F$840,IF($B$4="Todos","*",$B$4),Ordenes!$G$2:$G$840,IF($B$5="Todos","*",$B$5))</f>
        <v/>
      </c>
      <c r="G113" s="20">
        <f>IF(F113=0,NA(),E113/F113)</f>
        <v/>
      </c>
      <c r="H113" s="20">
        <f>IFERROR(SUMIFS(Ordenes!$V$2:$V$840,Ordenes!$C$2:$C$840,$A113,Ordenes!$T$2:$T$840,"Válida",Ordenes!$F$2:$F$840,IF($B$4="Todos","*",$B$4),Ordenes!$G$2:$G$840,IF($B$5="Todos","*",$B$5))/F113,NA())</f>
        <v/>
      </c>
      <c r="I113" s="21">
        <f>IFERROR((G113-H113)*100,"")</f>
        <v/>
      </c>
      <c r="J113" s="20">
        <f>IFERROR(ABS(G113-G112),"")</f>
        <v/>
      </c>
      <c r="K113" s="20">
        <f>$G$7</f>
        <v/>
      </c>
      <c r="L113" s="20">
        <f>$G$10</f>
        <v/>
      </c>
      <c r="M113" s="20">
        <f>$G$11</f>
        <v/>
      </c>
      <c r="N113" s="18">
        <f>IF(ISNA(G113),"Sin producción",IF(L113="","Sin límites",IF(G113&gt;L113,"▲ Sobre LCS",IF(G113&lt;M113,"▼ Bajo LCI","En control"))))</f>
        <v/>
      </c>
      <c r="O113" s="18">
        <f>COUNTIFS(Ordenes!$C$2:$C$840,$A113,Ordenes!$T$2:$T$840,"A corregir",Ordenes!$F$2:$F$840,IF($B$4="Todos","*",$B$4),Ordenes!$G$2:$G$840,IF($B$5="Todos","*",$B$5))</f>
        <v/>
      </c>
    </row>
    <row r="114">
      <c r="A114" s="22" t="n">
        <v>46151</v>
      </c>
      <c r="B114" s="18">
        <f>YEAR(A114)</f>
        <v/>
      </c>
      <c r="C114" s="18">
        <f>MONTH(A114)</f>
        <v/>
      </c>
      <c r="D114" s="18">
        <f>COUNTIFS(Ordenes!$C$2:$C$840,$A114,Ordenes!$T$2:$T$840,"Válida",Ordenes!$F$2:$F$840,IF($B$4="Todos","*",$B$4),Ordenes!$G$2:$G$840,IF($B$5="Todos","*",$B$5))</f>
        <v/>
      </c>
      <c r="E114" s="19">
        <f>SUMIFS(Ordenes!$P$2:$P$840,Ordenes!$C$2:$C$840,$A114,Ordenes!$T$2:$T$840,"Válida",Ordenes!$F$2:$F$840,IF($B$4="Todos","*",$B$4),Ordenes!$G$2:$G$840,IF($B$5="Todos","*",$B$5))</f>
        <v/>
      </c>
      <c r="F114" s="19">
        <f>SUMIFS(Ordenes!$Q$2:$Q$840,Ordenes!$C$2:$C$840,$A114,Ordenes!$T$2:$T$840,"Válida",Ordenes!$F$2:$F$840,IF($B$4="Todos","*",$B$4),Ordenes!$G$2:$G$840,IF($B$5="Todos","*",$B$5))</f>
        <v/>
      </c>
      <c r="G114" s="20">
        <f>IF(F114=0,NA(),E114/F114)</f>
        <v/>
      </c>
      <c r="H114" s="20">
        <f>IFERROR(SUMIFS(Ordenes!$V$2:$V$840,Ordenes!$C$2:$C$840,$A114,Ordenes!$T$2:$T$840,"Válida",Ordenes!$F$2:$F$840,IF($B$4="Todos","*",$B$4),Ordenes!$G$2:$G$840,IF($B$5="Todos","*",$B$5))/F114,NA())</f>
        <v/>
      </c>
      <c r="I114" s="21">
        <f>IFERROR((G114-H114)*100,"")</f>
        <v/>
      </c>
      <c r="J114" s="20">
        <f>IFERROR(ABS(G114-G113),"")</f>
        <v/>
      </c>
      <c r="K114" s="20">
        <f>$G$7</f>
        <v/>
      </c>
      <c r="L114" s="20">
        <f>$G$10</f>
        <v/>
      </c>
      <c r="M114" s="20">
        <f>$G$11</f>
        <v/>
      </c>
      <c r="N114" s="18">
        <f>IF(ISNA(G114),"Sin producción",IF(L114="","Sin límites",IF(G114&gt;L114,"▲ Sobre LCS",IF(G114&lt;M114,"▼ Bajo LCI","En control"))))</f>
        <v/>
      </c>
      <c r="O114" s="18">
        <f>COUNTIFS(Ordenes!$C$2:$C$840,$A114,Ordenes!$T$2:$T$840,"A corregir",Ordenes!$F$2:$F$840,IF($B$4="Todos","*",$B$4),Ordenes!$G$2:$G$840,IF($B$5="Todos","*",$B$5))</f>
        <v/>
      </c>
    </row>
    <row r="115">
      <c r="A115" s="22" t="n">
        <v>46152</v>
      </c>
      <c r="B115" s="18">
        <f>YEAR(A115)</f>
        <v/>
      </c>
      <c r="C115" s="18">
        <f>MONTH(A115)</f>
        <v/>
      </c>
      <c r="D115" s="18">
        <f>COUNTIFS(Ordenes!$C$2:$C$840,$A115,Ordenes!$T$2:$T$840,"Válida",Ordenes!$F$2:$F$840,IF($B$4="Todos","*",$B$4),Ordenes!$G$2:$G$840,IF($B$5="Todos","*",$B$5))</f>
        <v/>
      </c>
      <c r="E115" s="19">
        <f>SUMIFS(Ordenes!$P$2:$P$840,Ordenes!$C$2:$C$840,$A115,Ordenes!$T$2:$T$840,"Válida",Ordenes!$F$2:$F$840,IF($B$4="Todos","*",$B$4),Ordenes!$G$2:$G$840,IF($B$5="Todos","*",$B$5))</f>
        <v/>
      </c>
      <c r="F115" s="19">
        <f>SUMIFS(Ordenes!$Q$2:$Q$840,Ordenes!$C$2:$C$840,$A115,Ordenes!$T$2:$T$840,"Válida",Ordenes!$F$2:$F$840,IF($B$4="Todos","*",$B$4),Ordenes!$G$2:$G$840,IF($B$5="Todos","*",$B$5))</f>
        <v/>
      </c>
      <c r="G115" s="20">
        <f>IF(F115=0,NA(),E115/F115)</f>
        <v/>
      </c>
      <c r="H115" s="20">
        <f>IFERROR(SUMIFS(Ordenes!$V$2:$V$840,Ordenes!$C$2:$C$840,$A115,Ordenes!$T$2:$T$840,"Válida",Ordenes!$F$2:$F$840,IF($B$4="Todos","*",$B$4),Ordenes!$G$2:$G$840,IF($B$5="Todos","*",$B$5))/F115,NA())</f>
        <v/>
      </c>
      <c r="I115" s="21">
        <f>IFERROR((G115-H115)*100,"")</f>
        <v/>
      </c>
      <c r="J115" s="20">
        <f>IFERROR(ABS(G115-G114),"")</f>
        <v/>
      </c>
      <c r="K115" s="20">
        <f>$G$7</f>
        <v/>
      </c>
      <c r="L115" s="20">
        <f>$G$10</f>
        <v/>
      </c>
      <c r="M115" s="20">
        <f>$G$11</f>
        <v/>
      </c>
      <c r="N115" s="18">
        <f>IF(ISNA(G115),"Sin producción",IF(L115="","Sin límites",IF(G115&gt;L115,"▲ Sobre LCS",IF(G115&lt;M115,"▼ Bajo LCI","En control"))))</f>
        <v/>
      </c>
      <c r="O115" s="18">
        <f>COUNTIFS(Ordenes!$C$2:$C$840,$A115,Ordenes!$T$2:$T$840,"A corregir",Ordenes!$F$2:$F$840,IF($B$4="Todos","*",$B$4),Ordenes!$G$2:$G$840,IF($B$5="Todos","*",$B$5))</f>
        <v/>
      </c>
    </row>
    <row r="116">
      <c r="A116" s="22" t="n">
        <v>46153</v>
      </c>
      <c r="B116" s="18">
        <f>YEAR(A116)</f>
        <v/>
      </c>
      <c r="C116" s="18">
        <f>MONTH(A116)</f>
        <v/>
      </c>
      <c r="D116" s="18">
        <f>COUNTIFS(Ordenes!$C$2:$C$840,$A116,Ordenes!$T$2:$T$840,"Válida",Ordenes!$F$2:$F$840,IF($B$4="Todos","*",$B$4),Ordenes!$G$2:$G$840,IF($B$5="Todos","*",$B$5))</f>
        <v/>
      </c>
      <c r="E116" s="19">
        <f>SUMIFS(Ordenes!$P$2:$P$840,Ordenes!$C$2:$C$840,$A116,Ordenes!$T$2:$T$840,"Válida",Ordenes!$F$2:$F$840,IF($B$4="Todos","*",$B$4),Ordenes!$G$2:$G$840,IF($B$5="Todos","*",$B$5))</f>
        <v/>
      </c>
      <c r="F116" s="19">
        <f>SUMIFS(Ordenes!$Q$2:$Q$840,Ordenes!$C$2:$C$840,$A116,Ordenes!$T$2:$T$840,"Válida",Ordenes!$F$2:$F$840,IF($B$4="Todos","*",$B$4),Ordenes!$G$2:$G$840,IF($B$5="Todos","*",$B$5))</f>
        <v/>
      </c>
      <c r="G116" s="20">
        <f>IF(F116=0,NA(),E116/F116)</f>
        <v/>
      </c>
      <c r="H116" s="20">
        <f>IFERROR(SUMIFS(Ordenes!$V$2:$V$840,Ordenes!$C$2:$C$840,$A116,Ordenes!$T$2:$T$840,"Válida",Ordenes!$F$2:$F$840,IF($B$4="Todos","*",$B$4),Ordenes!$G$2:$G$840,IF($B$5="Todos","*",$B$5))/F116,NA())</f>
        <v/>
      </c>
      <c r="I116" s="21">
        <f>IFERROR((G116-H116)*100,"")</f>
        <v/>
      </c>
      <c r="J116" s="20">
        <f>IFERROR(ABS(G116-G115),"")</f>
        <v/>
      </c>
      <c r="K116" s="20">
        <f>$G$7</f>
        <v/>
      </c>
      <c r="L116" s="20">
        <f>$G$10</f>
        <v/>
      </c>
      <c r="M116" s="20">
        <f>$G$11</f>
        <v/>
      </c>
      <c r="N116" s="18">
        <f>IF(ISNA(G116),"Sin producción",IF(L116="","Sin límites",IF(G116&gt;L116,"▲ Sobre LCS",IF(G116&lt;M116,"▼ Bajo LCI","En control"))))</f>
        <v/>
      </c>
      <c r="O116" s="18">
        <f>COUNTIFS(Ordenes!$C$2:$C$840,$A116,Ordenes!$T$2:$T$840,"A corregir",Ordenes!$F$2:$F$840,IF($B$4="Todos","*",$B$4),Ordenes!$G$2:$G$840,IF($B$5="Todos","*",$B$5))</f>
        <v/>
      </c>
    </row>
    <row r="117">
      <c r="A117" s="22" t="n">
        <v>46154</v>
      </c>
      <c r="B117" s="18">
        <f>YEAR(A117)</f>
        <v/>
      </c>
      <c r="C117" s="18">
        <f>MONTH(A117)</f>
        <v/>
      </c>
      <c r="D117" s="18">
        <f>COUNTIFS(Ordenes!$C$2:$C$840,$A117,Ordenes!$T$2:$T$840,"Válida",Ordenes!$F$2:$F$840,IF($B$4="Todos","*",$B$4),Ordenes!$G$2:$G$840,IF($B$5="Todos","*",$B$5))</f>
        <v/>
      </c>
      <c r="E117" s="19">
        <f>SUMIFS(Ordenes!$P$2:$P$840,Ordenes!$C$2:$C$840,$A117,Ordenes!$T$2:$T$840,"Válida",Ordenes!$F$2:$F$840,IF($B$4="Todos","*",$B$4),Ordenes!$G$2:$G$840,IF($B$5="Todos","*",$B$5))</f>
        <v/>
      </c>
      <c r="F117" s="19">
        <f>SUMIFS(Ordenes!$Q$2:$Q$840,Ordenes!$C$2:$C$840,$A117,Ordenes!$T$2:$T$840,"Válida",Ordenes!$F$2:$F$840,IF($B$4="Todos","*",$B$4),Ordenes!$G$2:$G$840,IF($B$5="Todos","*",$B$5))</f>
        <v/>
      </c>
      <c r="G117" s="20">
        <f>IF(F117=0,NA(),E117/F117)</f>
        <v/>
      </c>
      <c r="H117" s="20">
        <f>IFERROR(SUMIFS(Ordenes!$V$2:$V$840,Ordenes!$C$2:$C$840,$A117,Ordenes!$T$2:$T$840,"Válida",Ordenes!$F$2:$F$840,IF($B$4="Todos","*",$B$4),Ordenes!$G$2:$G$840,IF($B$5="Todos","*",$B$5))/F117,NA())</f>
        <v/>
      </c>
      <c r="I117" s="21">
        <f>IFERROR((G117-H117)*100,"")</f>
        <v/>
      </c>
      <c r="J117" s="20">
        <f>IFERROR(ABS(G117-G116),"")</f>
        <v/>
      </c>
      <c r="K117" s="20">
        <f>$G$7</f>
        <v/>
      </c>
      <c r="L117" s="20">
        <f>$G$10</f>
        <v/>
      </c>
      <c r="M117" s="20">
        <f>$G$11</f>
        <v/>
      </c>
      <c r="N117" s="18">
        <f>IF(ISNA(G117),"Sin producción",IF(L117="","Sin límites",IF(G117&gt;L117,"▲ Sobre LCS",IF(G117&lt;M117,"▼ Bajo LCI","En control"))))</f>
        <v/>
      </c>
      <c r="O117" s="18">
        <f>COUNTIFS(Ordenes!$C$2:$C$840,$A117,Ordenes!$T$2:$T$840,"A corregir",Ordenes!$F$2:$F$840,IF($B$4="Todos","*",$B$4),Ordenes!$G$2:$G$840,IF($B$5="Todos","*",$B$5))</f>
        <v/>
      </c>
    </row>
    <row r="118">
      <c r="A118" s="22" t="n">
        <v>46155</v>
      </c>
      <c r="B118" s="18">
        <f>YEAR(A118)</f>
        <v/>
      </c>
      <c r="C118" s="18">
        <f>MONTH(A118)</f>
        <v/>
      </c>
      <c r="D118" s="18">
        <f>COUNTIFS(Ordenes!$C$2:$C$840,$A118,Ordenes!$T$2:$T$840,"Válida",Ordenes!$F$2:$F$840,IF($B$4="Todos","*",$B$4),Ordenes!$G$2:$G$840,IF($B$5="Todos","*",$B$5))</f>
        <v/>
      </c>
      <c r="E118" s="19">
        <f>SUMIFS(Ordenes!$P$2:$P$840,Ordenes!$C$2:$C$840,$A118,Ordenes!$T$2:$T$840,"Válida",Ordenes!$F$2:$F$840,IF($B$4="Todos","*",$B$4),Ordenes!$G$2:$G$840,IF($B$5="Todos","*",$B$5))</f>
        <v/>
      </c>
      <c r="F118" s="19">
        <f>SUMIFS(Ordenes!$Q$2:$Q$840,Ordenes!$C$2:$C$840,$A118,Ordenes!$T$2:$T$840,"Válida",Ordenes!$F$2:$F$840,IF($B$4="Todos","*",$B$4),Ordenes!$G$2:$G$840,IF($B$5="Todos","*",$B$5))</f>
        <v/>
      </c>
      <c r="G118" s="20">
        <f>IF(F118=0,NA(),E118/F118)</f>
        <v/>
      </c>
      <c r="H118" s="20">
        <f>IFERROR(SUMIFS(Ordenes!$V$2:$V$840,Ordenes!$C$2:$C$840,$A118,Ordenes!$T$2:$T$840,"Válida",Ordenes!$F$2:$F$840,IF($B$4="Todos","*",$B$4),Ordenes!$G$2:$G$840,IF($B$5="Todos","*",$B$5))/F118,NA())</f>
        <v/>
      </c>
      <c r="I118" s="21">
        <f>IFERROR((G118-H118)*100,"")</f>
        <v/>
      </c>
      <c r="J118" s="20">
        <f>IFERROR(ABS(G118-G117),"")</f>
        <v/>
      </c>
      <c r="K118" s="20">
        <f>$G$7</f>
        <v/>
      </c>
      <c r="L118" s="20">
        <f>$G$10</f>
        <v/>
      </c>
      <c r="M118" s="20">
        <f>$G$11</f>
        <v/>
      </c>
      <c r="N118" s="18">
        <f>IF(ISNA(G118),"Sin producción",IF(L118="","Sin límites",IF(G118&gt;L118,"▲ Sobre LCS",IF(G118&lt;M118,"▼ Bajo LCI","En control"))))</f>
        <v/>
      </c>
      <c r="O118" s="18">
        <f>COUNTIFS(Ordenes!$C$2:$C$840,$A118,Ordenes!$T$2:$T$840,"A corregir",Ordenes!$F$2:$F$840,IF($B$4="Todos","*",$B$4),Ordenes!$G$2:$G$840,IF($B$5="Todos","*",$B$5))</f>
        <v/>
      </c>
    </row>
    <row r="119">
      <c r="A119" s="22" t="n">
        <v>46156</v>
      </c>
      <c r="B119" s="18">
        <f>YEAR(A119)</f>
        <v/>
      </c>
      <c r="C119" s="18">
        <f>MONTH(A119)</f>
        <v/>
      </c>
      <c r="D119" s="18">
        <f>COUNTIFS(Ordenes!$C$2:$C$840,$A119,Ordenes!$T$2:$T$840,"Válida",Ordenes!$F$2:$F$840,IF($B$4="Todos","*",$B$4),Ordenes!$G$2:$G$840,IF($B$5="Todos","*",$B$5))</f>
        <v/>
      </c>
      <c r="E119" s="19">
        <f>SUMIFS(Ordenes!$P$2:$P$840,Ordenes!$C$2:$C$840,$A119,Ordenes!$T$2:$T$840,"Válida",Ordenes!$F$2:$F$840,IF($B$4="Todos","*",$B$4),Ordenes!$G$2:$G$840,IF($B$5="Todos","*",$B$5))</f>
        <v/>
      </c>
      <c r="F119" s="19">
        <f>SUMIFS(Ordenes!$Q$2:$Q$840,Ordenes!$C$2:$C$840,$A119,Ordenes!$T$2:$T$840,"Válida",Ordenes!$F$2:$F$840,IF($B$4="Todos","*",$B$4),Ordenes!$G$2:$G$840,IF($B$5="Todos","*",$B$5))</f>
        <v/>
      </c>
      <c r="G119" s="20">
        <f>IF(F119=0,NA(),E119/F119)</f>
        <v/>
      </c>
      <c r="H119" s="20">
        <f>IFERROR(SUMIFS(Ordenes!$V$2:$V$840,Ordenes!$C$2:$C$840,$A119,Ordenes!$T$2:$T$840,"Válida",Ordenes!$F$2:$F$840,IF($B$4="Todos","*",$B$4),Ordenes!$G$2:$G$840,IF($B$5="Todos","*",$B$5))/F119,NA())</f>
        <v/>
      </c>
      <c r="I119" s="21">
        <f>IFERROR((G119-H119)*100,"")</f>
        <v/>
      </c>
      <c r="J119" s="20">
        <f>IFERROR(ABS(G119-G118),"")</f>
        <v/>
      </c>
      <c r="K119" s="20">
        <f>$G$7</f>
        <v/>
      </c>
      <c r="L119" s="20">
        <f>$G$10</f>
        <v/>
      </c>
      <c r="M119" s="20">
        <f>$G$11</f>
        <v/>
      </c>
      <c r="N119" s="18">
        <f>IF(ISNA(G119),"Sin producción",IF(L119="","Sin límites",IF(G119&gt;L119,"▲ Sobre LCS",IF(G119&lt;M119,"▼ Bajo LCI","En control"))))</f>
        <v/>
      </c>
      <c r="O119" s="18">
        <f>COUNTIFS(Ordenes!$C$2:$C$840,$A119,Ordenes!$T$2:$T$840,"A corregir",Ordenes!$F$2:$F$840,IF($B$4="Todos","*",$B$4),Ordenes!$G$2:$G$840,IF($B$5="Todos","*",$B$5))</f>
        <v/>
      </c>
    </row>
    <row r="120">
      <c r="A120" s="22" t="n">
        <v>46157</v>
      </c>
      <c r="B120" s="18">
        <f>YEAR(A120)</f>
        <v/>
      </c>
      <c r="C120" s="18">
        <f>MONTH(A120)</f>
        <v/>
      </c>
      <c r="D120" s="18">
        <f>COUNTIFS(Ordenes!$C$2:$C$840,$A120,Ordenes!$T$2:$T$840,"Válida",Ordenes!$F$2:$F$840,IF($B$4="Todos","*",$B$4),Ordenes!$G$2:$G$840,IF($B$5="Todos","*",$B$5))</f>
        <v/>
      </c>
      <c r="E120" s="19">
        <f>SUMIFS(Ordenes!$P$2:$P$840,Ordenes!$C$2:$C$840,$A120,Ordenes!$T$2:$T$840,"Válida",Ordenes!$F$2:$F$840,IF($B$4="Todos","*",$B$4),Ordenes!$G$2:$G$840,IF($B$5="Todos","*",$B$5))</f>
        <v/>
      </c>
      <c r="F120" s="19">
        <f>SUMIFS(Ordenes!$Q$2:$Q$840,Ordenes!$C$2:$C$840,$A120,Ordenes!$T$2:$T$840,"Válida",Ordenes!$F$2:$F$840,IF($B$4="Todos","*",$B$4),Ordenes!$G$2:$G$840,IF($B$5="Todos","*",$B$5))</f>
        <v/>
      </c>
      <c r="G120" s="20">
        <f>IF(F120=0,NA(),E120/F120)</f>
        <v/>
      </c>
      <c r="H120" s="20">
        <f>IFERROR(SUMIFS(Ordenes!$V$2:$V$840,Ordenes!$C$2:$C$840,$A120,Ordenes!$T$2:$T$840,"Válida",Ordenes!$F$2:$F$840,IF($B$4="Todos","*",$B$4),Ordenes!$G$2:$G$840,IF($B$5="Todos","*",$B$5))/F120,NA())</f>
        <v/>
      </c>
      <c r="I120" s="21">
        <f>IFERROR((G120-H120)*100,"")</f>
        <v/>
      </c>
      <c r="J120" s="20">
        <f>IFERROR(ABS(G120-G119),"")</f>
        <v/>
      </c>
      <c r="K120" s="20">
        <f>$G$7</f>
        <v/>
      </c>
      <c r="L120" s="20">
        <f>$G$10</f>
        <v/>
      </c>
      <c r="M120" s="20">
        <f>$G$11</f>
        <v/>
      </c>
      <c r="N120" s="18">
        <f>IF(ISNA(G120),"Sin producción",IF(L120="","Sin límites",IF(G120&gt;L120,"▲ Sobre LCS",IF(G120&lt;M120,"▼ Bajo LCI","En control"))))</f>
        <v/>
      </c>
      <c r="O120" s="18">
        <f>COUNTIFS(Ordenes!$C$2:$C$840,$A120,Ordenes!$T$2:$T$840,"A corregir",Ordenes!$F$2:$F$840,IF($B$4="Todos","*",$B$4),Ordenes!$G$2:$G$840,IF($B$5="Todos","*",$B$5))</f>
        <v/>
      </c>
    </row>
    <row r="121">
      <c r="A121" s="22" t="n">
        <v>46158</v>
      </c>
      <c r="B121" s="18">
        <f>YEAR(A121)</f>
        <v/>
      </c>
      <c r="C121" s="18">
        <f>MONTH(A121)</f>
        <v/>
      </c>
      <c r="D121" s="18">
        <f>COUNTIFS(Ordenes!$C$2:$C$840,$A121,Ordenes!$T$2:$T$840,"Válida",Ordenes!$F$2:$F$840,IF($B$4="Todos","*",$B$4),Ordenes!$G$2:$G$840,IF($B$5="Todos","*",$B$5))</f>
        <v/>
      </c>
      <c r="E121" s="19">
        <f>SUMIFS(Ordenes!$P$2:$P$840,Ordenes!$C$2:$C$840,$A121,Ordenes!$T$2:$T$840,"Válida",Ordenes!$F$2:$F$840,IF($B$4="Todos","*",$B$4),Ordenes!$G$2:$G$840,IF($B$5="Todos","*",$B$5))</f>
        <v/>
      </c>
      <c r="F121" s="19">
        <f>SUMIFS(Ordenes!$Q$2:$Q$840,Ordenes!$C$2:$C$840,$A121,Ordenes!$T$2:$T$840,"Válida",Ordenes!$F$2:$F$840,IF($B$4="Todos","*",$B$4),Ordenes!$G$2:$G$840,IF($B$5="Todos","*",$B$5))</f>
        <v/>
      </c>
      <c r="G121" s="20">
        <f>IF(F121=0,NA(),E121/F121)</f>
        <v/>
      </c>
      <c r="H121" s="20">
        <f>IFERROR(SUMIFS(Ordenes!$V$2:$V$840,Ordenes!$C$2:$C$840,$A121,Ordenes!$T$2:$T$840,"Válida",Ordenes!$F$2:$F$840,IF($B$4="Todos","*",$B$4),Ordenes!$G$2:$G$840,IF($B$5="Todos","*",$B$5))/F121,NA())</f>
        <v/>
      </c>
      <c r="I121" s="21">
        <f>IFERROR((G121-H121)*100,"")</f>
        <v/>
      </c>
      <c r="J121" s="20">
        <f>IFERROR(ABS(G121-G120),"")</f>
        <v/>
      </c>
      <c r="K121" s="20">
        <f>$G$7</f>
        <v/>
      </c>
      <c r="L121" s="20">
        <f>$G$10</f>
        <v/>
      </c>
      <c r="M121" s="20">
        <f>$G$11</f>
        <v/>
      </c>
      <c r="N121" s="18">
        <f>IF(ISNA(G121),"Sin producción",IF(L121="","Sin límites",IF(G121&gt;L121,"▲ Sobre LCS",IF(G121&lt;M121,"▼ Bajo LCI","En control"))))</f>
        <v/>
      </c>
      <c r="O121" s="18">
        <f>COUNTIFS(Ordenes!$C$2:$C$840,$A121,Ordenes!$T$2:$T$840,"A corregir",Ordenes!$F$2:$F$840,IF($B$4="Todos","*",$B$4),Ordenes!$G$2:$G$840,IF($B$5="Todos","*",$B$5))</f>
        <v/>
      </c>
    </row>
    <row r="122">
      <c r="A122" s="22" t="n">
        <v>46160</v>
      </c>
      <c r="B122" s="18">
        <f>YEAR(A122)</f>
        <v/>
      </c>
      <c r="C122" s="18">
        <f>MONTH(A122)</f>
        <v/>
      </c>
      <c r="D122" s="18">
        <f>COUNTIFS(Ordenes!$C$2:$C$840,$A122,Ordenes!$T$2:$T$840,"Válida",Ordenes!$F$2:$F$840,IF($B$4="Todos","*",$B$4),Ordenes!$G$2:$G$840,IF($B$5="Todos","*",$B$5))</f>
        <v/>
      </c>
      <c r="E122" s="19">
        <f>SUMIFS(Ordenes!$P$2:$P$840,Ordenes!$C$2:$C$840,$A122,Ordenes!$T$2:$T$840,"Válida",Ordenes!$F$2:$F$840,IF($B$4="Todos","*",$B$4),Ordenes!$G$2:$G$840,IF($B$5="Todos","*",$B$5))</f>
        <v/>
      </c>
      <c r="F122" s="19">
        <f>SUMIFS(Ordenes!$Q$2:$Q$840,Ordenes!$C$2:$C$840,$A122,Ordenes!$T$2:$T$840,"Válida",Ordenes!$F$2:$F$840,IF($B$4="Todos","*",$B$4),Ordenes!$G$2:$G$840,IF($B$5="Todos","*",$B$5))</f>
        <v/>
      </c>
      <c r="G122" s="20">
        <f>IF(F122=0,NA(),E122/F122)</f>
        <v/>
      </c>
      <c r="H122" s="20">
        <f>IFERROR(SUMIFS(Ordenes!$V$2:$V$840,Ordenes!$C$2:$C$840,$A122,Ordenes!$T$2:$T$840,"Válida",Ordenes!$F$2:$F$840,IF($B$4="Todos","*",$B$4),Ordenes!$G$2:$G$840,IF($B$5="Todos","*",$B$5))/F122,NA())</f>
        <v/>
      </c>
      <c r="I122" s="21">
        <f>IFERROR((G122-H122)*100,"")</f>
        <v/>
      </c>
      <c r="J122" s="20">
        <f>IFERROR(ABS(G122-G121),"")</f>
        <v/>
      </c>
      <c r="K122" s="20">
        <f>$G$7</f>
        <v/>
      </c>
      <c r="L122" s="20">
        <f>$G$10</f>
        <v/>
      </c>
      <c r="M122" s="20">
        <f>$G$11</f>
        <v/>
      </c>
      <c r="N122" s="18">
        <f>IF(ISNA(G122),"Sin producción",IF(L122="","Sin límites",IF(G122&gt;L122,"▲ Sobre LCS",IF(G122&lt;M122,"▼ Bajo LCI","En control"))))</f>
        <v/>
      </c>
      <c r="O122" s="18">
        <f>COUNTIFS(Ordenes!$C$2:$C$840,$A122,Ordenes!$T$2:$T$840,"A corregir",Ordenes!$F$2:$F$840,IF($B$4="Todos","*",$B$4),Ordenes!$G$2:$G$840,IF($B$5="Todos","*",$B$5))</f>
        <v/>
      </c>
    </row>
    <row r="123">
      <c r="A123" s="22" t="n">
        <v>46161</v>
      </c>
      <c r="B123" s="18">
        <f>YEAR(A123)</f>
        <v/>
      </c>
      <c r="C123" s="18">
        <f>MONTH(A123)</f>
        <v/>
      </c>
      <c r="D123" s="18">
        <f>COUNTIFS(Ordenes!$C$2:$C$840,$A123,Ordenes!$T$2:$T$840,"Válida",Ordenes!$F$2:$F$840,IF($B$4="Todos","*",$B$4),Ordenes!$G$2:$G$840,IF($B$5="Todos","*",$B$5))</f>
        <v/>
      </c>
      <c r="E123" s="19">
        <f>SUMIFS(Ordenes!$P$2:$P$840,Ordenes!$C$2:$C$840,$A123,Ordenes!$T$2:$T$840,"Válida",Ordenes!$F$2:$F$840,IF($B$4="Todos","*",$B$4),Ordenes!$G$2:$G$840,IF($B$5="Todos","*",$B$5))</f>
        <v/>
      </c>
      <c r="F123" s="19">
        <f>SUMIFS(Ordenes!$Q$2:$Q$840,Ordenes!$C$2:$C$840,$A123,Ordenes!$T$2:$T$840,"Válida",Ordenes!$F$2:$F$840,IF($B$4="Todos","*",$B$4),Ordenes!$G$2:$G$840,IF($B$5="Todos","*",$B$5))</f>
        <v/>
      </c>
      <c r="G123" s="20">
        <f>IF(F123=0,NA(),E123/F123)</f>
        <v/>
      </c>
      <c r="H123" s="20">
        <f>IFERROR(SUMIFS(Ordenes!$V$2:$V$840,Ordenes!$C$2:$C$840,$A123,Ordenes!$T$2:$T$840,"Válida",Ordenes!$F$2:$F$840,IF($B$4="Todos","*",$B$4),Ordenes!$G$2:$G$840,IF($B$5="Todos","*",$B$5))/F123,NA())</f>
        <v/>
      </c>
      <c r="I123" s="21">
        <f>IFERROR((G123-H123)*100,"")</f>
        <v/>
      </c>
      <c r="J123" s="20">
        <f>IFERROR(ABS(G123-G122),"")</f>
        <v/>
      </c>
      <c r="K123" s="20">
        <f>$G$7</f>
        <v/>
      </c>
      <c r="L123" s="20">
        <f>$G$10</f>
        <v/>
      </c>
      <c r="M123" s="20">
        <f>$G$11</f>
        <v/>
      </c>
      <c r="N123" s="18">
        <f>IF(ISNA(G123),"Sin producción",IF(L123="","Sin límites",IF(G123&gt;L123,"▲ Sobre LCS",IF(G123&lt;M123,"▼ Bajo LCI","En control"))))</f>
        <v/>
      </c>
      <c r="O123" s="18">
        <f>COUNTIFS(Ordenes!$C$2:$C$840,$A123,Ordenes!$T$2:$T$840,"A corregir",Ordenes!$F$2:$F$840,IF($B$4="Todos","*",$B$4),Ordenes!$G$2:$G$840,IF($B$5="Todos","*",$B$5))</f>
        <v/>
      </c>
    </row>
    <row r="124">
      <c r="A124" s="22" t="n">
        <v>46162</v>
      </c>
      <c r="B124" s="18">
        <f>YEAR(A124)</f>
        <v/>
      </c>
      <c r="C124" s="18">
        <f>MONTH(A124)</f>
        <v/>
      </c>
      <c r="D124" s="18">
        <f>COUNTIFS(Ordenes!$C$2:$C$840,$A124,Ordenes!$T$2:$T$840,"Válida",Ordenes!$F$2:$F$840,IF($B$4="Todos","*",$B$4),Ordenes!$G$2:$G$840,IF($B$5="Todos","*",$B$5))</f>
        <v/>
      </c>
      <c r="E124" s="19">
        <f>SUMIFS(Ordenes!$P$2:$P$840,Ordenes!$C$2:$C$840,$A124,Ordenes!$T$2:$T$840,"Válida",Ordenes!$F$2:$F$840,IF($B$4="Todos","*",$B$4),Ordenes!$G$2:$G$840,IF($B$5="Todos","*",$B$5))</f>
        <v/>
      </c>
      <c r="F124" s="19">
        <f>SUMIFS(Ordenes!$Q$2:$Q$840,Ordenes!$C$2:$C$840,$A124,Ordenes!$T$2:$T$840,"Válida",Ordenes!$F$2:$F$840,IF($B$4="Todos","*",$B$4),Ordenes!$G$2:$G$840,IF($B$5="Todos","*",$B$5))</f>
        <v/>
      </c>
      <c r="G124" s="20">
        <f>IF(F124=0,NA(),E124/F124)</f>
        <v/>
      </c>
      <c r="H124" s="20">
        <f>IFERROR(SUMIFS(Ordenes!$V$2:$V$840,Ordenes!$C$2:$C$840,$A124,Ordenes!$T$2:$T$840,"Válida",Ordenes!$F$2:$F$840,IF($B$4="Todos","*",$B$4),Ordenes!$G$2:$G$840,IF($B$5="Todos","*",$B$5))/F124,NA())</f>
        <v/>
      </c>
      <c r="I124" s="21">
        <f>IFERROR((G124-H124)*100,"")</f>
        <v/>
      </c>
      <c r="J124" s="20">
        <f>IFERROR(ABS(G124-G123),"")</f>
        <v/>
      </c>
      <c r="K124" s="20">
        <f>$G$7</f>
        <v/>
      </c>
      <c r="L124" s="20">
        <f>$G$10</f>
        <v/>
      </c>
      <c r="M124" s="20">
        <f>$G$11</f>
        <v/>
      </c>
      <c r="N124" s="18">
        <f>IF(ISNA(G124),"Sin producción",IF(L124="","Sin límites",IF(G124&gt;L124,"▲ Sobre LCS",IF(G124&lt;M124,"▼ Bajo LCI","En control"))))</f>
        <v/>
      </c>
      <c r="O124" s="18">
        <f>COUNTIFS(Ordenes!$C$2:$C$840,$A124,Ordenes!$T$2:$T$840,"A corregir",Ordenes!$F$2:$F$840,IF($B$4="Todos","*",$B$4),Ordenes!$G$2:$G$840,IF($B$5="Todos","*",$B$5))</f>
        <v/>
      </c>
    </row>
    <row r="125">
      <c r="A125" s="22" t="n">
        <v>46163</v>
      </c>
      <c r="B125" s="18">
        <f>YEAR(A125)</f>
        <v/>
      </c>
      <c r="C125" s="18">
        <f>MONTH(A125)</f>
        <v/>
      </c>
      <c r="D125" s="18">
        <f>COUNTIFS(Ordenes!$C$2:$C$840,$A125,Ordenes!$T$2:$T$840,"Válida",Ordenes!$F$2:$F$840,IF($B$4="Todos","*",$B$4),Ordenes!$G$2:$G$840,IF($B$5="Todos","*",$B$5))</f>
        <v/>
      </c>
      <c r="E125" s="19">
        <f>SUMIFS(Ordenes!$P$2:$P$840,Ordenes!$C$2:$C$840,$A125,Ordenes!$T$2:$T$840,"Válida",Ordenes!$F$2:$F$840,IF($B$4="Todos","*",$B$4),Ordenes!$G$2:$G$840,IF($B$5="Todos","*",$B$5))</f>
        <v/>
      </c>
      <c r="F125" s="19">
        <f>SUMIFS(Ordenes!$Q$2:$Q$840,Ordenes!$C$2:$C$840,$A125,Ordenes!$T$2:$T$840,"Válida",Ordenes!$F$2:$F$840,IF($B$4="Todos","*",$B$4),Ordenes!$G$2:$G$840,IF($B$5="Todos","*",$B$5))</f>
        <v/>
      </c>
      <c r="G125" s="20">
        <f>IF(F125=0,NA(),E125/F125)</f>
        <v/>
      </c>
      <c r="H125" s="20">
        <f>IFERROR(SUMIFS(Ordenes!$V$2:$V$840,Ordenes!$C$2:$C$840,$A125,Ordenes!$T$2:$T$840,"Válida",Ordenes!$F$2:$F$840,IF($B$4="Todos","*",$B$4),Ordenes!$G$2:$G$840,IF($B$5="Todos","*",$B$5))/F125,NA())</f>
        <v/>
      </c>
      <c r="I125" s="21">
        <f>IFERROR((G125-H125)*100,"")</f>
        <v/>
      </c>
      <c r="J125" s="20">
        <f>IFERROR(ABS(G125-G124),"")</f>
        <v/>
      </c>
      <c r="K125" s="20">
        <f>$G$7</f>
        <v/>
      </c>
      <c r="L125" s="20">
        <f>$G$10</f>
        <v/>
      </c>
      <c r="M125" s="20">
        <f>$G$11</f>
        <v/>
      </c>
      <c r="N125" s="18">
        <f>IF(ISNA(G125),"Sin producción",IF(L125="","Sin límites",IF(G125&gt;L125,"▲ Sobre LCS",IF(G125&lt;M125,"▼ Bajo LCI","En control"))))</f>
        <v/>
      </c>
      <c r="O125" s="18">
        <f>COUNTIFS(Ordenes!$C$2:$C$840,$A125,Ordenes!$T$2:$T$840,"A corregir",Ordenes!$F$2:$F$840,IF($B$4="Todos","*",$B$4),Ordenes!$G$2:$G$840,IF($B$5="Todos","*",$B$5))</f>
        <v/>
      </c>
    </row>
    <row r="126">
      <c r="A126" s="22" t="n">
        <v>46164</v>
      </c>
      <c r="B126" s="18">
        <f>YEAR(A126)</f>
        <v/>
      </c>
      <c r="C126" s="18">
        <f>MONTH(A126)</f>
        <v/>
      </c>
      <c r="D126" s="18">
        <f>COUNTIFS(Ordenes!$C$2:$C$840,$A126,Ordenes!$T$2:$T$840,"Válida",Ordenes!$F$2:$F$840,IF($B$4="Todos","*",$B$4),Ordenes!$G$2:$G$840,IF($B$5="Todos","*",$B$5))</f>
        <v/>
      </c>
      <c r="E126" s="19">
        <f>SUMIFS(Ordenes!$P$2:$P$840,Ordenes!$C$2:$C$840,$A126,Ordenes!$T$2:$T$840,"Válida",Ordenes!$F$2:$F$840,IF($B$4="Todos","*",$B$4),Ordenes!$G$2:$G$840,IF($B$5="Todos","*",$B$5))</f>
        <v/>
      </c>
      <c r="F126" s="19">
        <f>SUMIFS(Ordenes!$Q$2:$Q$840,Ordenes!$C$2:$C$840,$A126,Ordenes!$T$2:$T$840,"Válida",Ordenes!$F$2:$F$840,IF($B$4="Todos","*",$B$4),Ordenes!$G$2:$G$840,IF($B$5="Todos","*",$B$5))</f>
        <v/>
      </c>
      <c r="G126" s="20">
        <f>IF(F126=0,NA(),E126/F126)</f>
        <v/>
      </c>
      <c r="H126" s="20">
        <f>IFERROR(SUMIFS(Ordenes!$V$2:$V$840,Ordenes!$C$2:$C$840,$A126,Ordenes!$T$2:$T$840,"Válida",Ordenes!$F$2:$F$840,IF($B$4="Todos","*",$B$4),Ordenes!$G$2:$G$840,IF($B$5="Todos","*",$B$5))/F126,NA())</f>
        <v/>
      </c>
      <c r="I126" s="21">
        <f>IFERROR((G126-H126)*100,"")</f>
        <v/>
      </c>
      <c r="J126" s="20">
        <f>IFERROR(ABS(G126-G125),"")</f>
        <v/>
      </c>
      <c r="K126" s="20">
        <f>$G$7</f>
        <v/>
      </c>
      <c r="L126" s="20">
        <f>$G$10</f>
        <v/>
      </c>
      <c r="M126" s="20">
        <f>$G$11</f>
        <v/>
      </c>
      <c r="N126" s="18">
        <f>IF(ISNA(G126),"Sin producción",IF(L126="","Sin límites",IF(G126&gt;L126,"▲ Sobre LCS",IF(G126&lt;M126,"▼ Bajo LCI","En control"))))</f>
        <v/>
      </c>
      <c r="O126" s="18">
        <f>COUNTIFS(Ordenes!$C$2:$C$840,$A126,Ordenes!$T$2:$T$840,"A corregir",Ordenes!$F$2:$F$840,IF($B$4="Todos","*",$B$4),Ordenes!$G$2:$G$840,IF($B$5="Todos","*",$B$5))</f>
        <v/>
      </c>
    </row>
    <row r="127">
      <c r="A127" s="22" t="n">
        <v>46165</v>
      </c>
      <c r="B127" s="18">
        <f>YEAR(A127)</f>
        <v/>
      </c>
      <c r="C127" s="18">
        <f>MONTH(A127)</f>
        <v/>
      </c>
      <c r="D127" s="18">
        <f>COUNTIFS(Ordenes!$C$2:$C$840,$A127,Ordenes!$T$2:$T$840,"Válida",Ordenes!$F$2:$F$840,IF($B$4="Todos","*",$B$4),Ordenes!$G$2:$G$840,IF($B$5="Todos","*",$B$5))</f>
        <v/>
      </c>
      <c r="E127" s="19">
        <f>SUMIFS(Ordenes!$P$2:$P$840,Ordenes!$C$2:$C$840,$A127,Ordenes!$T$2:$T$840,"Válida",Ordenes!$F$2:$F$840,IF($B$4="Todos","*",$B$4),Ordenes!$G$2:$G$840,IF($B$5="Todos","*",$B$5))</f>
        <v/>
      </c>
      <c r="F127" s="19">
        <f>SUMIFS(Ordenes!$Q$2:$Q$840,Ordenes!$C$2:$C$840,$A127,Ordenes!$T$2:$T$840,"Válida",Ordenes!$F$2:$F$840,IF($B$4="Todos","*",$B$4),Ordenes!$G$2:$G$840,IF($B$5="Todos","*",$B$5))</f>
        <v/>
      </c>
      <c r="G127" s="20">
        <f>IF(F127=0,NA(),E127/F127)</f>
        <v/>
      </c>
      <c r="H127" s="20">
        <f>IFERROR(SUMIFS(Ordenes!$V$2:$V$840,Ordenes!$C$2:$C$840,$A127,Ordenes!$T$2:$T$840,"Válida",Ordenes!$F$2:$F$840,IF($B$4="Todos","*",$B$4),Ordenes!$G$2:$G$840,IF($B$5="Todos","*",$B$5))/F127,NA())</f>
        <v/>
      </c>
      <c r="I127" s="21">
        <f>IFERROR((G127-H127)*100,"")</f>
        <v/>
      </c>
      <c r="J127" s="20">
        <f>IFERROR(ABS(G127-G126),"")</f>
        <v/>
      </c>
      <c r="K127" s="20">
        <f>$G$7</f>
        <v/>
      </c>
      <c r="L127" s="20">
        <f>$G$10</f>
        <v/>
      </c>
      <c r="M127" s="20">
        <f>$G$11</f>
        <v/>
      </c>
      <c r="N127" s="18">
        <f>IF(ISNA(G127),"Sin producción",IF(L127="","Sin límites",IF(G127&gt;L127,"▲ Sobre LCS",IF(G127&lt;M127,"▼ Bajo LCI","En control"))))</f>
        <v/>
      </c>
      <c r="O127" s="18">
        <f>COUNTIFS(Ordenes!$C$2:$C$840,$A127,Ordenes!$T$2:$T$840,"A corregir",Ordenes!$F$2:$F$840,IF($B$4="Todos","*",$B$4),Ordenes!$G$2:$G$840,IF($B$5="Todos","*",$B$5))</f>
        <v/>
      </c>
    </row>
    <row r="128">
      <c r="A128" s="22" t="n">
        <v>46166</v>
      </c>
      <c r="B128" s="18">
        <f>YEAR(A128)</f>
        <v/>
      </c>
      <c r="C128" s="18">
        <f>MONTH(A128)</f>
        <v/>
      </c>
      <c r="D128" s="18">
        <f>COUNTIFS(Ordenes!$C$2:$C$840,$A128,Ordenes!$T$2:$T$840,"Válida",Ordenes!$F$2:$F$840,IF($B$4="Todos","*",$B$4),Ordenes!$G$2:$G$840,IF($B$5="Todos","*",$B$5))</f>
        <v/>
      </c>
      <c r="E128" s="19">
        <f>SUMIFS(Ordenes!$P$2:$P$840,Ordenes!$C$2:$C$840,$A128,Ordenes!$T$2:$T$840,"Válida",Ordenes!$F$2:$F$840,IF($B$4="Todos","*",$B$4),Ordenes!$G$2:$G$840,IF($B$5="Todos","*",$B$5))</f>
        <v/>
      </c>
      <c r="F128" s="19">
        <f>SUMIFS(Ordenes!$Q$2:$Q$840,Ordenes!$C$2:$C$840,$A128,Ordenes!$T$2:$T$840,"Válida",Ordenes!$F$2:$F$840,IF($B$4="Todos","*",$B$4),Ordenes!$G$2:$G$840,IF($B$5="Todos","*",$B$5))</f>
        <v/>
      </c>
      <c r="G128" s="20">
        <f>IF(F128=0,NA(),E128/F128)</f>
        <v/>
      </c>
      <c r="H128" s="20">
        <f>IFERROR(SUMIFS(Ordenes!$V$2:$V$840,Ordenes!$C$2:$C$840,$A128,Ordenes!$T$2:$T$840,"Válida",Ordenes!$F$2:$F$840,IF($B$4="Todos","*",$B$4),Ordenes!$G$2:$G$840,IF($B$5="Todos","*",$B$5))/F128,NA())</f>
        <v/>
      </c>
      <c r="I128" s="21">
        <f>IFERROR((G128-H128)*100,"")</f>
        <v/>
      </c>
      <c r="J128" s="20">
        <f>IFERROR(ABS(G128-G127),"")</f>
        <v/>
      </c>
      <c r="K128" s="20">
        <f>$G$7</f>
        <v/>
      </c>
      <c r="L128" s="20">
        <f>$G$10</f>
        <v/>
      </c>
      <c r="M128" s="20">
        <f>$G$11</f>
        <v/>
      </c>
      <c r="N128" s="18">
        <f>IF(ISNA(G128),"Sin producción",IF(L128="","Sin límites",IF(G128&gt;L128,"▲ Sobre LCS",IF(G128&lt;M128,"▼ Bajo LCI","En control"))))</f>
        <v/>
      </c>
      <c r="O128" s="18">
        <f>COUNTIFS(Ordenes!$C$2:$C$840,$A128,Ordenes!$T$2:$T$840,"A corregir",Ordenes!$F$2:$F$840,IF($B$4="Todos","*",$B$4),Ordenes!$G$2:$G$840,IF($B$5="Todos","*",$B$5))</f>
        <v/>
      </c>
    </row>
    <row r="129">
      <c r="A129" s="22" t="n">
        <v>46167</v>
      </c>
      <c r="B129" s="18">
        <f>YEAR(A129)</f>
        <v/>
      </c>
      <c r="C129" s="18">
        <f>MONTH(A129)</f>
        <v/>
      </c>
      <c r="D129" s="18">
        <f>COUNTIFS(Ordenes!$C$2:$C$840,$A129,Ordenes!$T$2:$T$840,"Válida",Ordenes!$F$2:$F$840,IF($B$4="Todos","*",$B$4),Ordenes!$G$2:$G$840,IF($B$5="Todos","*",$B$5))</f>
        <v/>
      </c>
      <c r="E129" s="19">
        <f>SUMIFS(Ordenes!$P$2:$P$840,Ordenes!$C$2:$C$840,$A129,Ordenes!$T$2:$T$840,"Válida",Ordenes!$F$2:$F$840,IF($B$4="Todos","*",$B$4),Ordenes!$G$2:$G$840,IF($B$5="Todos","*",$B$5))</f>
        <v/>
      </c>
      <c r="F129" s="19">
        <f>SUMIFS(Ordenes!$Q$2:$Q$840,Ordenes!$C$2:$C$840,$A129,Ordenes!$T$2:$T$840,"Válida",Ordenes!$F$2:$F$840,IF($B$4="Todos","*",$B$4),Ordenes!$G$2:$G$840,IF($B$5="Todos","*",$B$5))</f>
        <v/>
      </c>
      <c r="G129" s="20">
        <f>IF(F129=0,NA(),E129/F129)</f>
        <v/>
      </c>
      <c r="H129" s="20">
        <f>IFERROR(SUMIFS(Ordenes!$V$2:$V$840,Ordenes!$C$2:$C$840,$A129,Ordenes!$T$2:$T$840,"Válida",Ordenes!$F$2:$F$840,IF($B$4="Todos","*",$B$4),Ordenes!$G$2:$G$840,IF($B$5="Todos","*",$B$5))/F129,NA())</f>
        <v/>
      </c>
      <c r="I129" s="21">
        <f>IFERROR((G129-H129)*100,"")</f>
        <v/>
      </c>
      <c r="J129" s="20">
        <f>IFERROR(ABS(G129-G128),"")</f>
        <v/>
      </c>
      <c r="K129" s="20">
        <f>$G$7</f>
        <v/>
      </c>
      <c r="L129" s="20">
        <f>$G$10</f>
        <v/>
      </c>
      <c r="M129" s="20">
        <f>$G$11</f>
        <v/>
      </c>
      <c r="N129" s="18">
        <f>IF(ISNA(G129),"Sin producción",IF(L129="","Sin límites",IF(G129&gt;L129,"▲ Sobre LCS",IF(G129&lt;M129,"▼ Bajo LCI","En control"))))</f>
        <v/>
      </c>
      <c r="O129" s="18">
        <f>COUNTIFS(Ordenes!$C$2:$C$840,$A129,Ordenes!$T$2:$T$840,"A corregir",Ordenes!$F$2:$F$840,IF($B$4="Todos","*",$B$4),Ordenes!$G$2:$G$840,IF($B$5="Todos","*",$B$5))</f>
        <v/>
      </c>
    </row>
    <row r="130">
      <c r="A130" s="22" t="n">
        <v>46168</v>
      </c>
      <c r="B130" s="18">
        <f>YEAR(A130)</f>
        <v/>
      </c>
      <c r="C130" s="18">
        <f>MONTH(A130)</f>
        <v/>
      </c>
      <c r="D130" s="18">
        <f>COUNTIFS(Ordenes!$C$2:$C$840,$A130,Ordenes!$T$2:$T$840,"Válida",Ordenes!$F$2:$F$840,IF($B$4="Todos","*",$B$4),Ordenes!$G$2:$G$840,IF($B$5="Todos","*",$B$5))</f>
        <v/>
      </c>
      <c r="E130" s="19">
        <f>SUMIFS(Ordenes!$P$2:$P$840,Ordenes!$C$2:$C$840,$A130,Ordenes!$T$2:$T$840,"Válida",Ordenes!$F$2:$F$840,IF($B$4="Todos","*",$B$4),Ordenes!$G$2:$G$840,IF($B$5="Todos","*",$B$5))</f>
        <v/>
      </c>
      <c r="F130" s="19">
        <f>SUMIFS(Ordenes!$Q$2:$Q$840,Ordenes!$C$2:$C$840,$A130,Ordenes!$T$2:$T$840,"Válida",Ordenes!$F$2:$F$840,IF($B$4="Todos","*",$B$4),Ordenes!$G$2:$G$840,IF($B$5="Todos","*",$B$5))</f>
        <v/>
      </c>
      <c r="G130" s="20">
        <f>IF(F130=0,NA(),E130/F130)</f>
        <v/>
      </c>
      <c r="H130" s="20">
        <f>IFERROR(SUMIFS(Ordenes!$V$2:$V$840,Ordenes!$C$2:$C$840,$A130,Ordenes!$T$2:$T$840,"Válida",Ordenes!$F$2:$F$840,IF($B$4="Todos","*",$B$4),Ordenes!$G$2:$G$840,IF($B$5="Todos","*",$B$5))/F130,NA())</f>
        <v/>
      </c>
      <c r="I130" s="21">
        <f>IFERROR((G130-H130)*100,"")</f>
        <v/>
      </c>
      <c r="J130" s="20">
        <f>IFERROR(ABS(G130-G129),"")</f>
        <v/>
      </c>
      <c r="K130" s="20">
        <f>$G$7</f>
        <v/>
      </c>
      <c r="L130" s="20">
        <f>$G$10</f>
        <v/>
      </c>
      <c r="M130" s="20">
        <f>$G$11</f>
        <v/>
      </c>
      <c r="N130" s="18">
        <f>IF(ISNA(G130),"Sin producción",IF(L130="","Sin límites",IF(G130&gt;L130,"▲ Sobre LCS",IF(G130&lt;M130,"▼ Bajo LCI","En control"))))</f>
        <v/>
      </c>
      <c r="O130" s="18">
        <f>COUNTIFS(Ordenes!$C$2:$C$840,$A130,Ordenes!$T$2:$T$840,"A corregir",Ordenes!$F$2:$F$840,IF($B$4="Todos","*",$B$4),Ordenes!$G$2:$G$840,IF($B$5="Todos","*",$B$5))</f>
        <v/>
      </c>
    </row>
    <row r="131">
      <c r="A131" s="22" t="n">
        <v>46169</v>
      </c>
      <c r="B131" s="18">
        <f>YEAR(A131)</f>
        <v/>
      </c>
      <c r="C131" s="18">
        <f>MONTH(A131)</f>
        <v/>
      </c>
      <c r="D131" s="18">
        <f>COUNTIFS(Ordenes!$C$2:$C$840,$A131,Ordenes!$T$2:$T$840,"Válida",Ordenes!$F$2:$F$840,IF($B$4="Todos","*",$B$4),Ordenes!$G$2:$G$840,IF($B$5="Todos","*",$B$5))</f>
        <v/>
      </c>
      <c r="E131" s="19">
        <f>SUMIFS(Ordenes!$P$2:$P$840,Ordenes!$C$2:$C$840,$A131,Ordenes!$T$2:$T$840,"Válida",Ordenes!$F$2:$F$840,IF($B$4="Todos","*",$B$4),Ordenes!$G$2:$G$840,IF($B$5="Todos","*",$B$5))</f>
        <v/>
      </c>
      <c r="F131" s="19">
        <f>SUMIFS(Ordenes!$Q$2:$Q$840,Ordenes!$C$2:$C$840,$A131,Ordenes!$T$2:$T$840,"Válida",Ordenes!$F$2:$F$840,IF($B$4="Todos","*",$B$4),Ordenes!$G$2:$G$840,IF($B$5="Todos","*",$B$5))</f>
        <v/>
      </c>
      <c r="G131" s="20">
        <f>IF(F131=0,NA(),E131/F131)</f>
        <v/>
      </c>
      <c r="H131" s="20">
        <f>IFERROR(SUMIFS(Ordenes!$V$2:$V$840,Ordenes!$C$2:$C$840,$A131,Ordenes!$T$2:$T$840,"Válida",Ordenes!$F$2:$F$840,IF($B$4="Todos","*",$B$4),Ordenes!$G$2:$G$840,IF($B$5="Todos","*",$B$5))/F131,NA())</f>
        <v/>
      </c>
      <c r="I131" s="21">
        <f>IFERROR((G131-H131)*100,"")</f>
        <v/>
      </c>
      <c r="J131" s="20">
        <f>IFERROR(ABS(G131-G130),"")</f>
        <v/>
      </c>
      <c r="K131" s="20">
        <f>$G$7</f>
        <v/>
      </c>
      <c r="L131" s="20">
        <f>$G$10</f>
        <v/>
      </c>
      <c r="M131" s="20">
        <f>$G$11</f>
        <v/>
      </c>
      <c r="N131" s="18">
        <f>IF(ISNA(G131),"Sin producción",IF(L131="","Sin límites",IF(G131&gt;L131,"▲ Sobre LCS",IF(G131&lt;M131,"▼ Bajo LCI","En control"))))</f>
        <v/>
      </c>
      <c r="O131" s="18">
        <f>COUNTIFS(Ordenes!$C$2:$C$840,$A131,Ordenes!$T$2:$T$840,"A corregir",Ordenes!$F$2:$F$840,IF($B$4="Todos","*",$B$4),Ordenes!$G$2:$G$840,IF($B$5="Todos","*",$B$5))</f>
        <v/>
      </c>
    </row>
    <row r="132">
      <c r="A132" s="22" t="n">
        <v>46170</v>
      </c>
      <c r="B132" s="18">
        <f>YEAR(A132)</f>
        <v/>
      </c>
      <c r="C132" s="18">
        <f>MONTH(A132)</f>
        <v/>
      </c>
      <c r="D132" s="18">
        <f>COUNTIFS(Ordenes!$C$2:$C$840,$A132,Ordenes!$T$2:$T$840,"Válida",Ordenes!$F$2:$F$840,IF($B$4="Todos","*",$B$4),Ordenes!$G$2:$G$840,IF($B$5="Todos","*",$B$5))</f>
        <v/>
      </c>
      <c r="E132" s="19">
        <f>SUMIFS(Ordenes!$P$2:$P$840,Ordenes!$C$2:$C$840,$A132,Ordenes!$T$2:$T$840,"Válida",Ordenes!$F$2:$F$840,IF($B$4="Todos","*",$B$4),Ordenes!$G$2:$G$840,IF($B$5="Todos","*",$B$5))</f>
        <v/>
      </c>
      <c r="F132" s="19">
        <f>SUMIFS(Ordenes!$Q$2:$Q$840,Ordenes!$C$2:$C$840,$A132,Ordenes!$T$2:$T$840,"Válida",Ordenes!$F$2:$F$840,IF($B$4="Todos","*",$B$4),Ordenes!$G$2:$G$840,IF($B$5="Todos","*",$B$5))</f>
        <v/>
      </c>
      <c r="G132" s="20">
        <f>IF(F132=0,NA(),E132/F132)</f>
        <v/>
      </c>
      <c r="H132" s="20">
        <f>IFERROR(SUMIFS(Ordenes!$V$2:$V$840,Ordenes!$C$2:$C$840,$A132,Ordenes!$T$2:$T$840,"Válida",Ordenes!$F$2:$F$840,IF($B$4="Todos","*",$B$4),Ordenes!$G$2:$G$840,IF($B$5="Todos","*",$B$5))/F132,NA())</f>
        <v/>
      </c>
      <c r="I132" s="21">
        <f>IFERROR((G132-H132)*100,"")</f>
        <v/>
      </c>
      <c r="J132" s="20">
        <f>IFERROR(ABS(G132-G131),"")</f>
        <v/>
      </c>
      <c r="K132" s="20">
        <f>$G$7</f>
        <v/>
      </c>
      <c r="L132" s="20">
        <f>$G$10</f>
        <v/>
      </c>
      <c r="M132" s="20">
        <f>$G$11</f>
        <v/>
      </c>
      <c r="N132" s="18">
        <f>IF(ISNA(G132),"Sin producción",IF(L132="","Sin límites",IF(G132&gt;L132,"▲ Sobre LCS",IF(G132&lt;M132,"▼ Bajo LCI","En control"))))</f>
        <v/>
      </c>
      <c r="O132" s="18">
        <f>COUNTIFS(Ordenes!$C$2:$C$840,$A132,Ordenes!$T$2:$T$840,"A corregir",Ordenes!$F$2:$F$840,IF($B$4="Todos","*",$B$4),Ordenes!$G$2:$G$840,IF($B$5="Todos","*",$B$5))</f>
        <v/>
      </c>
    </row>
    <row r="133">
      <c r="A133" s="22" t="n">
        <v>46171</v>
      </c>
      <c r="B133" s="18">
        <f>YEAR(A133)</f>
        <v/>
      </c>
      <c r="C133" s="18">
        <f>MONTH(A133)</f>
        <v/>
      </c>
      <c r="D133" s="18">
        <f>COUNTIFS(Ordenes!$C$2:$C$840,$A133,Ordenes!$T$2:$T$840,"Válida",Ordenes!$F$2:$F$840,IF($B$4="Todos","*",$B$4),Ordenes!$G$2:$G$840,IF($B$5="Todos","*",$B$5))</f>
        <v/>
      </c>
      <c r="E133" s="19">
        <f>SUMIFS(Ordenes!$P$2:$P$840,Ordenes!$C$2:$C$840,$A133,Ordenes!$T$2:$T$840,"Válida",Ordenes!$F$2:$F$840,IF($B$4="Todos","*",$B$4),Ordenes!$G$2:$G$840,IF($B$5="Todos","*",$B$5))</f>
        <v/>
      </c>
      <c r="F133" s="19">
        <f>SUMIFS(Ordenes!$Q$2:$Q$840,Ordenes!$C$2:$C$840,$A133,Ordenes!$T$2:$T$840,"Válida",Ordenes!$F$2:$F$840,IF($B$4="Todos","*",$B$4),Ordenes!$G$2:$G$840,IF($B$5="Todos","*",$B$5))</f>
        <v/>
      </c>
      <c r="G133" s="20">
        <f>IF(F133=0,NA(),E133/F133)</f>
        <v/>
      </c>
      <c r="H133" s="20">
        <f>IFERROR(SUMIFS(Ordenes!$V$2:$V$840,Ordenes!$C$2:$C$840,$A133,Ordenes!$T$2:$T$840,"Válida",Ordenes!$F$2:$F$840,IF($B$4="Todos","*",$B$4),Ordenes!$G$2:$G$840,IF($B$5="Todos","*",$B$5))/F133,NA())</f>
        <v/>
      </c>
      <c r="I133" s="21">
        <f>IFERROR((G133-H133)*100,"")</f>
        <v/>
      </c>
      <c r="J133" s="20">
        <f>IFERROR(ABS(G133-G132),"")</f>
        <v/>
      </c>
      <c r="K133" s="20">
        <f>$G$7</f>
        <v/>
      </c>
      <c r="L133" s="20">
        <f>$G$10</f>
        <v/>
      </c>
      <c r="M133" s="20">
        <f>$G$11</f>
        <v/>
      </c>
      <c r="N133" s="18">
        <f>IF(ISNA(G133),"Sin producción",IF(L133="","Sin límites",IF(G133&gt;L133,"▲ Sobre LCS",IF(G133&lt;M133,"▼ Bajo LCI","En control"))))</f>
        <v/>
      </c>
      <c r="O133" s="18">
        <f>COUNTIFS(Ordenes!$C$2:$C$840,$A133,Ordenes!$T$2:$T$840,"A corregir",Ordenes!$F$2:$F$840,IF($B$4="Todos","*",$B$4),Ordenes!$G$2:$G$840,IF($B$5="Todos","*",$B$5))</f>
        <v/>
      </c>
    </row>
    <row r="134">
      <c r="A134" s="22" t="n">
        <v>46172</v>
      </c>
      <c r="B134" s="18">
        <f>YEAR(A134)</f>
        <v/>
      </c>
      <c r="C134" s="18">
        <f>MONTH(A134)</f>
        <v/>
      </c>
      <c r="D134" s="18">
        <f>COUNTIFS(Ordenes!$C$2:$C$840,$A134,Ordenes!$T$2:$T$840,"Válida",Ordenes!$F$2:$F$840,IF($B$4="Todos","*",$B$4),Ordenes!$G$2:$G$840,IF($B$5="Todos","*",$B$5))</f>
        <v/>
      </c>
      <c r="E134" s="19">
        <f>SUMIFS(Ordenes!$P$2:$P$840,Ordenes!$C$2:$C$840,$A134,Ordenes!$T$2:$T$840,"Válida",Ordenes!$F$2:$F$840,IF($B$4="Todos","*",$B$4),Ordenes!$G$2:$G$840,IF($B$5="Todos","*",$B$5))</f>
        <v/>
      </c>
      <c r="F134" s="19">
        <f>SUMIFS(Ordenes!$Q$2:$Q$840,Ordenes!$C$2:$C$840,$A134,Ordenes!$T$2:$T$840,"Válida",Ordenes!$F$2:$F$840,IF($B$4="Todos","*",$B$4),Ordenes!$G$2:$G$840,IF($B$5="Todos","*",$B$5))</f>
        <v/>
      </c>
      <c r="G134" s="20">
        <f>IF(F134=0,NA(),E134/F134)</f>
        <v/>
      </c>
      <c r="H134" s="20">
        <f>IFERROR(SUMIFS(Ordenes!$V$2:$V$840,Ordenes!$C$2:$C$840,$A134,Ordenes!$T$2:$T$840,"Válida",Ordenes!$F$2:$F$840,IF($B$4="Todos","*",$B$4),Ordenes!$G$2:$G$840,IF($B$5="Todos","*",$B$5))/F134,NA())</f>
        <v/>
      </c>
      <c r="I134" s="21">
        <f>IFERROR((G134-H134)*100,"")</f>
        <v/>
      </c>
      <c r="J134" s="20">
        <f>IFERROR(ABS(G134-G133),"")</f>
        <v/>
      </c>
      <c r="K134" s="20">
        <f>$G$7</f>
        <v/>
      </c>
      <c r="L134" s="20">
        <f>$G$10</f>
        <v/>
      </c>
      <c r="M134" s="20">
        <f>$G$11</f>
        <v/>
      </c>
      <c r="N134" s="18">
        <f>IF(ISNA(G134),"Sin producción",IF(L134="","Sin límites",IF(G134&gt;L134,"▲ Sobre LCS",IF(G134&lt;M134,"▼ Bajo LCI","En control"))))</f>
        <v/>
      </c>
      <c r="O134" s="18">
        <f>COUNTIFS(Ordenes!$C$2:$C$840,$A134,Ordenes!$T$2:$T$840,"A corregir",Ordenes!$F$2:$F$840,IF($B$4="Todos","*",$B$4),Ordenes!$G$2:$G$840,IF($B$5="Todos","*",$B$5))</f>
        <v/>
      </c>
    </row>
    <row r="135">
      <c r="A135" s="22" t="n">
        <v>46173</v>
      </c>
      <c r="B135" s="18">
        <f>YEAR(A135)</f>
        <v/>
      </c>
      <c r="C135" s="18">
        <f>MONTH(A135)</f>
        <v/>
      </c>
      <c r="D135" s="18">
        <f>COUNTIFS(Ordenes!$C$2:$C$840,$A135,Ordenes!$T$2:$T$840,"Válida",Ordenes!$F$2:$F$840,IF($B$4="Todos","*",$B$4),Ordenes!$G$2:$G$840,IF($B$5="Todos","*",$B$5))</f>
        <v/>
      </c>
      <c r="E135" s="19">
        <f>SUMIFS(Ordenes!$P$2:$P$840,Ordenes!$C$2:$C$840,$A135,Ordenes!$T$2:$T$840,"Válida",Ordenes!$F$2:$F$840,IF($B$4="Todos","*",$B$4),Ordenes!$G$2:$G$840,IF($B$5="Todos","*",$B$5))</f>
        <v/>
      </c>
      <c r="F135" s="19">
        <f>SUMIFS(Ordenes!$Q$2:$Q$840,Ordenes!$C$2:$C$840,$A135,Ordenes!$T$2:$T$840,"Válida",Ordenes!$F$2:$F$840,IF($B$4="Todos","*",$B$4),Ordenes!$G$2:$G$840,IF($B$5="Todos","*",$B$5))</f>
        <v/>
      </c>
      <c r="G135" s="20">
        <f>IF(F135=0,NA(),E135/F135)</f>
        <v/>
      </c>
      <c r="H135" s="20">
        <f>IFERROR(SUMIFS(Ordenes!$V$2:$V$840,Ordenes!$C$2:$C$840,$A135,Ordenes!$T$2:$T$840,"Válida",Ordenes!$F$2:$F$840,IF($B$4="Todos","*",$B$4),Ordenes!$G$2:$G$840,IF($B$5="Todos","*",$B$5))/F135,NA())</f>
        <v/>
      </c>
      <c r="I135" s="21">
        <f>IFERROR((G135-H135)*100,"")</f>
        <v/>
      </c>
      <c r="J135" s="20">
        <f>IFERROR(ABS(G135-G134),"")</f>
        <v/>
      </c>
      <c r="K135" s="20">
        <f>$G$7</f>
        <v/>
      </c>
      <c r="L135" s="20">
        <f>$G$10</f>
        <v/>
      </c>
      <c r="M135" s="20">
        <f>$G$11</f>
        <v/>
      </c>
      <c r="N135" s="18">
        <f>IF(ISNA(G135),"Sin producción",IF(L135="","Sin límites",IF(G135&gt;L135,"▲ Sobre LCS",IF(G135&lt;M135,"▼ Bajo LCI","En control"))))</f>
        <v/>
      </c>
      <c r="O135" s="18">
        <f>COUNTIFS(Ordenes!$C$2:$C$840,$A135,Ordenes!$T$2:$T$840,"A corregir",Ordenes!$F$2:$F$840,IF($B$4="Todos","*",$B$4),Ordenes!$G$2:$G$840,IF($B$5="Todos","*",$B$5))</f>
        <v/>
      </c>
    </row>
    <row r="136">
      <c r="A136" s="22" t="n">
        <v>46174</v>
      </c>
      <c r="B136" s="18">
        <f>YEAR(A136)</f>
        <v/>
      </c>
      <c r="C136" s="18">
        <f>MONTH(A136)</f>
        <v/>
      </c>
      <c r="D136" s="18">
        <f>COUNTIFS(Ordenes!$C$2:$C$840,$A136,Ordenes!$T$2:$T$840,"Válida",Ordenes!$F$2:$F$840,IF($B$4="Todos","*",$B$4),Ordenes!$G$2:$G$840,IF($B$5="Todos","*",$B$5))</f>
        <v/>
      </c>
      <c r="E136" s="19">
        <f>SUMIFS(Ordenes!$P$2:$P$840,Ordenes!$C$2:$C$840,$A136,Ordenes!$T$2:$T$840,"Válida",Ordenes!$F$2:$F$840,IF($B$4="Todos","*",$B$4),Ordenes!$G$2:$G$840,IF($B$5="Todos","*",$B$5))</f>
        <v/>
      </c>
      <c r="F136" s="19">
        <f>SUMIFS(Ordenes!$Q$2:$Q$840,Ordenes!$C$2:$C$840,$A136,Ordenes!$T$2:$T$840,"Válida",Ordenes!$F$2:$F$840,IF($B$4="Todos","*",$B$4),Ordenes!$G$2:$G$840,IF($B$5="Todos","*",$B$5))</f>
        <v/>
      </c>
      <c r="G136" s="20">
        <f>IF(F136=0,NA(),E136/F136)</f>
        <v/>
      </c>
      <c r="H136" s="20">
        <f>IFERROR(SUMIFS(Ordenes!$V$2:$V$840,Ordenes!$C$2:$C$840,$A136,Ordenes!$T$2:$T$840,"Válida",Ordenes!$F$2:$F$840,IF($B$4="Todos","*",$B$4),Ordenes!$G$2:$G$840,IF($B$5="Todos","*",$B$5))/F136,NA())</f>
        <v/>
      </c>
      <c r="I136" s="21">
        <f>IFERROR((G136-H136)*100,"")</f>
        <v/>
      </c>
      <c r="J136" s="20">
        <f>IFERROR(ABS(G136-G135),"")</f>
        <v/>
      </c>
      <c r="K136" s="20">
        <f>$G$7</f>
        <v/>
      </c>
      <c r="L136" s="20">
        <f>$G$10</f>
        <v/>
      </c>
      <c r="M136" s="20">
        <f>$G$11</f>
        <v/>
      </c>
      <c r="N136" s="18">
        <f>IF(ISNA(G136),"Sin producción",IF(L136="","Sin límites",IF(G136&gt;L136,"▲ Sobre LCS",IF(G136&lt;M136,"▼ Bajo LCI","En control"))))</f>
        <v/>
      </c>
      <c r="O136" s="18">
        <f>COUNTIFS(Ordenes!$C$2:$C$840,$A136,Ordenes!$T$2:$T$840,"A corregir",Ordenes!$F$2:$F$840,IF($B$4="Todos","*",$B$4),Ordenes!$G$2:$G$840,IF($B$5="Todos","*",$B$5))</f>
        <v/>
      </c>
    </row>
    <row r="137">
      <c r="A137" s="22" t="n">
        <v>46175</v>
      </c>
      <c r="B137" s="18">
        <f>YEAR(A137)</f>
        <v/>
      </c>
      <c r="C137" s="18">
        <f>MONTH(A137)</f>
        <v/>
      </c>
      <c r="D137" s="18">
        <f>COUNTIFS(Ordenes!$C$2:$C$840,$A137,Ordenes!$T$2:$T$840,"Válida",Ordenes!$F$2:$F$840,IF($B$4="Todos","*",$B$4),Ordenes!$G$2:$G$840,IF($B$5="Todos","*",$B$5))</f>
        <v/>
      </c>
      <c r="E137" s="19">
        <f>SUMIFS(Ordenes!$P$2:$P$840,Ordenes!$C$2:$C$840,$A137,Ordenes!$T$2:$T$840,"Válida",Ordenes!$F$2:$F$840,IF($B$4="Todos","*",$B$4),Ordenes!$G$2:$G$840,IF($B$5="Todos","*",$B$5))</f>
        <v/>
      </c>
      <c r="F137" s="19">
        <f>SUMIFS(Ordenes!$Q$2:$Q$840,Ordenes!$C$2:$C$840,$A137,Ordenes!$T$2:$T$840,"Válida",Ordenes!$F$2:$F$840,IF($B$4="Todos","*",$B$4),Ordenes!$G$2:$G$840,IF($B$5="Todos","*",$B$5))</f>
        <v/>
      </c>
      <c r="G137" s="20">
        <f>IF(F137=0,NA(),E137/F137)</f>
        <v/>
      </c>
      <c r="H137" s="20">
        <f>IFERROR(SUMIFS(Ordenes!$V$2:$V$840,Ordenes!$C$2:$C$840,$A137,Ordenes!$T$2:$T$840,"Válida",Ordenes!$F$2:$F$840,IF($B$4="Todos","*",$B$4),Ordenes!$G$2:$G$840,IF($B$5="Todos","*",$B$5))/F137,NA())</f>
        <v/>
      </c>
      <c r="I137" s="21">
        <f>IFERROR((G137-H137)*100,"")</f>
        <v/>
      </c>
      <c r="J137" s="20">
        <f>IFERROR(ABS(G137-G136),"")</f>
        <v/>
      </c>
      <c r="K137" s="20">
        <f>$G$7</f>
        <v/>
      </c>
      <c r="L137" s="20">
        <f>$G$10</f>
        <v/>
      </c>
      <c r="M137" s="20">
        <f>$G$11</f>
        <v/>
      </c>
      <c r="N137" s="18">
        <f>IF(ISNA(G137),"Sin producción",IF(L137="","Sin límites",IF(G137&gt;L137,"▲ Sobre LCS",IF(G137&lt;M137,"▼ Bajo LCI","En control"))))</f>
        <v/>
      </c>
      <c r="O137" s="18">
        <f>COUNTIFS(Ordenes!$C$2:$C$840,$A137,Ordenes!$T$2:$T$840,"A corregir",Ordenes!$F$2:$F$840,IF($B$4="Todos","*",$B$4),Ordenes!$G$2:$G$840,IF($B$5="Todos","*",$B$5))</f>
        <v/>
      </c>
    </row>
    <row r="138">
      <c r="A138" s="22" t="n">
        <v>46176</v>
      </c>
      <c r="B138" s="18">
        <f>YEAR(A138)</f>
        <v/>
      </c>
      <c r="C138" s="18">
        <f>MONTH(A138)</f>
        <v/>
      </c>
      <c r="D138" s="18">
        <f>COUNTIFS(Ordenes!$C$2:$C$840,$A138,Ordenes!$T$2:$T$840,"Válida",Ordenes!$F$2:$F$840,IF($B$4="Todos","*",$B$4),Ordenes!$G$2:$G$840,IF($B$5="Todos","*",$B$5))</f>
        <v/>
      </c>
      <c r="E138" s="19">
        <f>SUMIFS(Ordenes!$P$2:$P$840,Ordenes!$C$2:$C$840,$A138,Ordenes!$T$2:$T$840,"Válida",Ordenes!$F$2:$F$840,IF($B$4="Todos","*",$B$4),Ordenes!$G$2:$G$840,IF($B$5="Todos","*",$B$5))</f>
        <v/>
      </c>
      <c r="F138" s="19">
        <f>SUMIFS(Ordenes!$Q$2:$Q$840,Ordenes!$C$2:$C$840,$A138,Ordenes!$T$2:$T$840,"Válida",Ordenes!$F$2:$F$840,IF($B$4="Todos","*",$B$4),Ordenes!$G$2:$G$840,IF($B$5="Todos","*",$B$5))</f>
        <v/>
      </c>
      <c r="G138" s="20">
        <f>IF(F138=0,NA(),E138/F138)</f>
        <v/>
      </c>
      <c r="H138" s="20">
        <f>IFERROR(SUMIFS(Ordenes!$V$2:$V$840,Ordenes!$C$2:$C$840,$A138,Ordenes!$T$2:$T$840,"Válida",Ordenes!$F$2:$F$840,IF($B$4="Todos","*",$B$4),Ordenes!$G$2:$G$840,IF($B$5="Todos","*",$B$5))/F138,NA())</f>
        <v/>
      </c>
      <c r="I138" s="21">
        <f>IFERROR((G138-H138)*100,"")</f>
        <v/>
      </c>
      <c r="J138" s="20">
        <f>IFERROR(ABS(G138-G137),"")</f>
        <v/>
      </c>
      <c r="K138" s="20">
        <f>$G$7</f>
        <v/>
      </c>
      <c r="L138" s="20">
        <f>$G$10</f>
        <v/>
      </c>
      <c r="M138" s="20">
        <f>$G$11</f>
        <v/>
      </c>
      <c r="N138" s="18">
        <f>IF(ISNA(G138),"Sin producción",IF(L138="","Sin límites",IF(G138&gt;L138,"▲ Sobre LCS",IF(G138&lt;M138,"▼ Bajo LCI","En control"))))</f>
        <v/>
      </c>
      <c r="O138" s="18">
        <f>COUNTIFS(Ordenes!$C$2:$C$840,$A138,Ordenes!$T$2:$T$840,"A corregir",Ordenes!$F$2:$F$840,IF($B$4="Todos","*",$B$4),Ordenes!$G$2:$G$840,IF($B$5="Todos","*",$B$5))</f>
        <v/>
      </c>
    </row>
    <row r="139">
      <c r="A139" s="22" t="n">
        <v>46177</v>
      </c>
      <c r="B139" s="18">
        <f>YEAR(A139)</f>
        <v/>
      </c>
      <c r="C139" s="18">
        <f>MONTH(A139)</f>
        <v/>
      </c>
      <c r="D139" s="18">
        <f>COUNTIFS(Ordenes!$C$2:$C$840,$A139,Ordenes!$T$2:$T$840,"Válida",Ordenes!$F$2:$F$840,IF($B$4="Todos","*",$B$4),Ordenes!$G$2:$G$840,IF($B$5="Todos","*",$B$5))</f>
        <v/>
      </c>
      <c r="E139" s="19">
        <f>SUMIFS(Ordenes!$P$2:$P$840,Ordenes!$C$2:$C$840,$A139,Ordenes!$T$2:$T$840,"Válida",Ordenes!$F$2:$F$840,IF($B$4="Todos","*",$B$4),Ordenes!$G$2:$G$840,IF($B$5="Todos","*",$B$5))</f>
        <v/>
      </c>
      <c r="F139" s="19">
        <f>SUMIFS(Ordenes!$Q$2:$Q$840,Ordenes!$C$2:$C$840,$A139,Ordenes!$T$2:$T$840,"Válida",Ordenes!$F$2:$F$840,IF($B$4="Todos","*",$B$4),Ordenes!$G$2:$G$840,IF($B$5="Todos","*",$B$5))</f>
        <v/>
      </c>
      <c r="G139" s="20">
        <f>IF(F139=0,NA(),E139/F139)</f>
        <v/>
      </c>
      <c r="H139" s="20">
        <f>IFERROR(SUMIFS(Ordenes!$V$2:$V$840,Ordenes!$C$2:$C$840,$A139,Ordenes!$T$2:$T$840,"Válida",Ordenes!$F$2:$F$840,IF($B$4="Todos","*",$B$4),Ordenes!$G$2:$G$840,IF($B$5="Todos","*",$B$5))/F139,NA())</f>
        <v/>
      </c>
      <c r="I139" s="21">
        <f>IFERROR((G139-H139)*100,"")</f>
        <v/>
      </c>
      <c r="J139" s="20">
        <f>IFERROR(ABS(G139-G138),"")</f>
        <v/>
      </c>
      <c r="K139" s="20">
        <f>$G$7</f>
        <v/>
      </c>
      <c r="L139" s="20">
        <f>$G$10</f>
        <v/>
      </c>
      <c r="M139" s="20">
        <f>$G$11</f>
        <v/>
      </c>
      <c r="N139" s="18">
        <f>IF(ISNA(G139),"Sin producción",IF(L139="","Sin límites",IF(G139&gt;L139,"▲ Sobre LCS",IF(G139&lt;M139,"▼ Bajo LCI","En control"))))</f>
        <v/>
      </c>
      <c r="O139" s="18">
        <f>COUNTIFS(Ordenes!$C$2:$C$840,$A139,Ordenes!$T$2:$T$840,"A corregir",Ordenes!$F$2:$F$840,IF($B$4="Todos","*",$B$4),Ordenes!$G$2:$G$840,IF($B$5="Todos","*",$B$5))</f>
        <v/>
      </c>
    </row>
    <row r="140">
      <c r="A140" s="22" t="n">
        <v>46178</v>
      </c>
      <c r="B140" s="18">
        <f>YEAR(A140)</f>
        <v/>
      </c>
      <c r="C140" s="18">
        <f>MONTH(A140)</f>
        <v/>
      </c>
      <c r="D140" s="18">
        <f>COUNTIFS(Ordenes!$C$2:$C$840,$A140,Ordenes!$T$2:$T$840,"Válida",Ordenes!$F$2:$F$840,IF($B$4="Todos","*",$B$4),Ordenes!$G$2:$G$840,IF($B$5="Todos","*",$B$5))</f>
        <v/>
      </c>
      <c r="E140" s="19">
        <f>SUMIFS(Ordenes!$P$2:$P$840,Ordenes!$C$2:$C$840,$A140,Ordenes!$T$2:$T$840,"Válida",Ordenes!$F$2:$F$840,IF($B$4="Todos","*",$B$4),Ordenes!$G$2:$G$840,IF($B$5="Todos","*",$B$5))</f>
        <v/>
      </c>
      <c r="F140" s="19">
        <f>SUMIFS(Ordenes!$Q$2:$Q$840,Ordenes!$C$2:$C$840,$A140,Ordenes!$T$2:$T$840,"Válida",Ordenes!$F$2:$F$840,IF($B$4="Todos","*",$B$4),Ordenes!$G$2:$G$840,IF($B$5="Todos","*",$B$5))</f>
        <v/>
      </c>
      <c r="G140" s="20">
        <f>IF(F140=0,NA(),E140/F140)</f>
        <v/>
      </c>
      <c r="H140" s="20">
        <f>IFERROR(SUMIFS(Ordenes!$V$2:$V$840,Ordenes!$C$2:$C$840,$A140,Ordenes!$T$2:$T$840,"Válida",Ordenes!$F$2:$F$840,IF($B$4="Todos","*",$B$4),Ordenes!$G$2:$G$840,IF($B$5="Todos","*",$B$5))/F140,NA())</f>
        <v/>
      </c>
      <c r="I140" s="21">
        <f>IFERROR((G140-H140)*100,"")</f>
        <v/>
      </c>
      <c r="J140" s="20">
        <f>IFERROR(ABS(G140-G139),"")</f>
        <v/>
      </c>
      <c r="K140" s="20">
        <f>$G$7</f>
        <v/>
      </c>
      <c r="L140" s="20">
        <f>$G$10</f>
        <v/>
      </c>
      <c r="M140" s="20">
        <f>$G$11</f>
        <v/>
      </c>
      <c r="N140" s="18">
        <f>IF(ISNA(G140),"Sin producción",IF(L140="","Sin límites",IF(G140&gt;L140,"▲ Sobre LCS",IF(G140&lt;M140,"▼ Bajo LCI","En control"))))</f>
        <v/>
      </c>
      <c r="O140" s="18">
        <f>COUNTIFS(Ordenes!$C$2:$C$840,$A140,Ordenes!$T$2:$T$840,"A corregir",Ordenes!$F$2:$F$840,IF($B$4="Todos","*",$B$4),Ordenes!$G$2:$G$840,IF($B$5="Todos","*",$B$5))</f>
        <v/>
      </c>
    </row>
    <row r="141">
      <c r="A141" s="22" t="n">
        <v>46179</v>
      </c>
      <c r="B141" s="18">
        <f>YEAR(A141)</f>
        <v/>
      </c>
      <c r="C141" s="18">
        <f>MONTH(A141)</f>
        <v/>
      </c>
      <c r="D141" s="18">
        <f>COUNTIFS(Ordenes!$C$2:$C$840,$A141,Ordenes!$T$2:$T$840,"Válida",Ordenes!$F$2:$F$840,IF($B$4="Todos","*",$B$4),Ordenes!$G$2:$G$840,IF($B$5="Todos","*",$B$5))</f>
        <v/>
      </c>
      <c r="E141" s="19">
        <f>SUMIFS(Ordenes!$P$2:$P$840,Ordenes!$C$2:$C$840,$A141,Ordenes!$T$2:$T$840,"Válida",Ordenes!$F$2:$F$840,IF($B$4="Todos","*",$B$4),Ordenes!$G$2:$G$840,IF($B$5="Todos","*",$B$5))</f>
        <v/>
      </c>
      <c r="F141" s="19">
        <f>SUMIFS(Ordenes!$Q$2:$Q$840,Ordenes!$C$2:$C$840,$A141,Ordenes!$T$2:$T$840,"Válida",Ordenes!$F$2:$F$840,IF($B$4="Todos","*",$B$4),Ordenes!$G$2:$G$840,IF($B$5="Todos","*",$B$5))</f>
        <v/>
      </c>
      <c r="G141" s="20">
        <f>IF(F141=0,NA(),E141/F141)</f>
        <v/>
      </c>
      <c r="H141" s="20">
        <f>IFERROR(SUMIFS(Ordenes!$V$2:$V$840,Ordenes!$C$2:$C$840,$A141,Ordenes!$T$2:$T$840,"Válida",Ordenes!$F$2:$F$840,IF($B$4="Todos","*",$B$4),Ordenes!$G$2:$G$840,IF($B$5="Todos","*",$B$5))/F141,NA())</f>
        <v/>
      </c>
      <c r="I141" s="21">
        <f>IFERROR((G141-H141)*100,"")</f>
        <v/>
      </c>
      <c r="J141" s="20">
        <f>IFERROR(ABS(G141-G140),"")</f>
        <v/>
      </c>
      <c r="K141" s="20">
        <f>$G$7</f>
        <v/>
      </c>
      <c r="L141" s="20">
        <f>$G$10</f>
        <v/>
      </c>
      <c r="M141" s="20">
        <f>$G$11</f>
        <v/>
      </c>
      <c r="N141" s="18">
        <f>IF(ISNA(G141),"Sin producción",IF(L141="","Sin límites",IF(G141&gt;L141,"▲ Sobre LCS",IF(G141&lt;M141,"▼ Bajo LCI","En control"))))</f>
        <v/>
      </c>
      <c r="O141" s="18">
        <f>COUNTIFS(Ordenes!$C$2:$C$840,$A141,Ordenes!$T$2:$T$840,"A corregir",Ordenes!$F$2:$F$840,IF($B$4="Todos","*",$B$4),Ordenes!$G$2:$G$840,IF($B$5="Todos","*",$B$5))</f>
        <v/>
      </c>
    </row>
    <row r="142">
      <c r="A142" s="22" t="n">
        <v>46180</v>
      </c>
      <c r="B142" s="18">
        <f>YEAR(A142)</f>
        <v/>
      </c>
      <c r="C142" s="18">
        <f>MONTH(A142)</f>
        <v/>
      </c>
      <c r="D142" s="18">
        <f>COUNTIFS(Ordenes!$C$2:$C$840,$A142,Ordenes!$T$2:$T$840,"Válida",Ordenes!$F$2:$F$840,IF($B$4="Todos","*",$B$4),Ordenes!$G$2:$G$840,IF($B$5="Todos","*",$B$5))</f>
        <v/>
      </c>
      <c r="E142" s="19">
        <f>SUMIFS(Ordenes!$P$2:$P$840,Ordenes!$C$2:$C$840,$A142,Ordenes!$T$2:$T$840,"Válida",Ordenes!$F$2:$F$840,IF($B$4="Todos","*",$B$4),Ordenes!$G$2:$G$840,IF($B$5="Todos","*",$B$5))</f>
        <v/>
      </c>
      <c r="F142" s="19">
        <f>SUMIFS(Ordenes!$Q$2:$Q$840,Ordenes!$C$2:$C$840,$A142,Ordenes!$T$2:$T$840,"Válida",Ordenes!$F$2:$F$840,IF($B$4="Todos","*",$B$4),Ordenes!$G$2:$G$840,IF($B$5="Todos","*",$B$5))</f>
        <v/>
      </c>
      <c r="G142" s="20">
        <f>IF(F142=0,NA(),E142/F142)</f>
        <v/>
      </c>
      <c r="H142" s="20">
        <f>IFERROR(SUMIFS(Ordenes!$V$2:$V$840,Ordenes!$C$2:$C$840,$A142,Ordenes!$T$2:$T$840,"Válida",Ordenes!$F$2:$F$840,IF($B$4="Todos","*",$B$4),Ordenes!$G$2:$G$840,IF($B$5="Todos","*",$B$5))/F142,NA())</f>
        <v/>
      </c>
      <c r="I142" s="21">
        <f>IFERROR((G142-H142)*100,"")</f>
        <v/>
      </c>
      <c r="J142" s="20">
        <f>IFERROR(ABS(G142-G141),"")</f>
        <v/>
      </c>
      <c r="K142" s="20">
        <f>$G$7</f>
        <v/>
      </c>
      <c r="L142" s="20">
        <f>$G$10</f>
        <v/>
      </c>
      <c r="M142" s="20">
        <f>$G$11</f>
        <v/>
      </c>
      <c r="N142" s="18">
        <f>IF(ISNA(G142),"Sin producción",IF(L142="","Sin límites",IF(G142&gt;L142,"▲ Sobre LCS",IF(G142&lt;M142,"▼ Bajo LCI","En control"))))</f>
        <v/>
      </c>
      <c r="O142" s="18">
        <f>COUNTIFS(Ordenes!$C$2:$C$840,$A142,Ordenes!$T$2:$T$840,"A corregir",Ordenes!$F$2:$F$840,IF($B$4="Todos","*",$B$4),Ordenes!$G$2:$G$840,IF($B$5="Todos","*",$B$5))</f>
        <v/>
      </c>
    </row>
    <row r="143">
      <c r="A143" s="22" t="n">
        <v>46181</v>
      </c>
      <c r="B143" s="18">
        <f>YEAR(A143)</f>
        <v/>
      </c>
      <c r="C143" s="18">
        <f>MONTH(A143)</f>
        <v/>
      </c>
      <c r="D143" s="18">
        <f>COUNTIFS(Ordenes!$C$2:$C$840,$A143,Ordenes!$T$2:$T$840,"Válida",Ordenes!$F$2:$F$840,IF($B$4="Todos","*",$B$4),Ordenes!$G$2:$G$840,IF($B$5="Todos","*",$B$5))</f>
        <v/>
      </c>
      <c r="E143" s="19">
        <f>SUMIFS(Ordenes!$P$2:$P$840,Ordenes!$C$2:$C$840,$A143,Ordenes!$T$2:$T$840,"Válida",Ordenes!$F$2:$F$840,IF($B$4="Todos","*",$B$4),Ordenes!$G$2:$G$840,IF($B$5="Todos","*",$B$5))</f>
        <v/>
      </c>
      <c r="F143" s="19">
        <f>SUMIFS(Ordenes!$Q$2:$Q$840,Ordenes!$C$2:$C$840,$A143,Ordenes!$T$2:$T$840,"Válida",Ordenes!$F$2:$F$840,IF($B$4="Todos","*",$B$4),Ordenes!$G$2:$G$840,IF($B$5="Todos","*",$B$5))</f>
        <v/>
      </c>
      <c r="G143" s="20">
        <f>IF(F143=0,NA(),E143/F143)</f>
        <v/>
      </c>
      <c r="H143" s="20">
        <f>IFERROR(SUMIFS(Ordenes!$V$2:$V$840,Ordenes!$C$2:$C$840,$A143,Ordenes!$T$2:$T$840,"Válida",Ordenes!$F$2:$F$840,IF($B$4="Todos","*",$B$4),Ordenes!$G$2:$G$840,IF($B$5="Todos","*",$B$5))/F143,NA())</f>
        <v/>
      </c>
      <c r="I143" s="21">
        <f>IFERROR((G143-H143)*100,"")</f>
        <v/>
      </c>
      <c r="J143" s="20">
        <f>IFERROR(ABS(G143-G142),"")</f>
        <v/>
      </c>
      <c r="K143" s="20">
        <f>$G$7</f>
        <v/>
      </c>
      <c r="L143" s="20">
        <f>$G$10</f>
        <v/>
      </c>
      <c r="M143" s="20">
        <f>$G$11</f>
        <v/>
      </c>
      <c r="N143" s="18">
        <f>IF(ISNA(G143),"Sin producción",IF(L143="","Sin límites",IF(G143&gt;L143,"▲ Sobre LCS",IF(G143&lt;M143,"▼ Bajo LCI","En control"))))</f>
        <v/>
      </c>
      <c r="O143" s="18">
        <f>COUNTIFS(Ordenes!$C$2:$C$840,$A143,Ordenes!$T$2:$T$840,"A corregir",Ordenes!$F$2:$F$840,IF($B$4="Todos","*",$B$4),Ordenes!$G$2:$G$840,IF($B$5="Todos","*",$B$5))</f>
        <v/>
      </c>
    </row>
    <row r="144">
      <c r="A144" s="22" t="n">
        <v>46182</v>
      </c>
      <c r="B144" s="18">
        <f>YEAR(A144)</f>
        <v/>
      </c>
      <c r="C144" s="18">
        <f>MONTH(A144)</f>
        <v/>
      </c>
      <c r="D144" s="18">
        <f>COUNTIFS(Ordenes!$C$2:$C$840,$A144,Ordenes!$T$2:$T$840,"Válida",Ordenes!$F$2:$F$840,IF($B$4="Todos","*",$B$4),Ordenes!$G$2:$G$840,IF($B$5="Todos","*",$B$5))</f>
        <v/>
      </c>
      <c r="E144" s="19">
        <f>SUMIFS(Ordenes!$P$2:$P$840,Ordenes!$C$2:$C$840,$A144,Ordenes!$T$2:$T$840,"Válida",Ordenes!$F$2:$F$840,IF($B$4="Todos","*",$B$4),Ordenes!$G$2:$G$840,IF($B$5="Todos","*",$B$5))</f>
        <v/>
      </c>
      <c r="F144" s="19">
        <f>SUMIFS(Ordenes!$Q$2:$Q$840,Ordenes!$C$2:$C$840,$A144,Ordenes!$T$2:$T$840,"Válida",Ordenes!$F$2:$F$840,IF($B$4="Todos","*",$B$4),Ordenes!$G$2:$G$840,IF($B$5="Todos","*",$B$5))</f>
        <v/>
      </c>
      <c r="G144" s="20">
        <f>IF(F144=0,NA(),E144/F144)</f>
        <v/>
      </c>
      <c r="H144" s="20">
        <f>IFERROR(SUMIFS(Ordenes!$V$2:$V$840,Ordenes!$C$2:$C$840,$A144,Ordenes!$T$2:$T$840,"Válida",Ordenes!$F$2:$F$840,IF($B$4="Todos","*",$B$4),Ordenes!$G$2:$G$840,IF($B$5="Todos","*",$B$5))/F144,NA())</f>
        <v/>
      </c>
      <c r="I144" s="21">
        <f>IFERROR((G144-H144)*100,"")</f>
        <v/>
      </c>
      <c r="J144" s="20">
        <f>IFERROR(ABS(G144-G143),"")</f>
        <v/>
      </c>
      <c r="K144" s="20">
        <f>$G$7</f>
        <v/>
      </c>
      <c r="L144" s="20">
        <f>$G$10</f>
        <v/>
      </c>
      <c r="M144" s="20">
        <f>$G$11</f>
        <v/>
      </c>
      <c r="N144" s="18">
        <f>IF(ISNA(G144),"Sin producción",IF(L144="","Sin límites",IF(G144&gt;L144,"▲ Sobre LCS",IF(G144&lt;M144,"▼ Bajo LCI","En control"))))</f>
        <v/>
      </c>
      <c r="O144" s="18">
        <f>COUNTIFS(Ordenes!$C$2:$C$840,$A144,Ordenes!$T$2:$T$840,"A corregir",Ordenes!$F$2:$F$840,IF($B$4="Todos","*",$B$4),Ordenes!$G$2:$G$840,IF($B$5="Todos","*",$B$5))</f>
        <v/>
      </c>
    </row>
    <row r="145">
      <c r="A145" s="22" t="n">
        <v>46183</v>
      </c>
      <c r="B145" s="18">
        <f>YEAR(A145)</f>
        <v/>
      </c>
      <c r="C145" s="18">
        <f>MONTH(A145)</f>
        <v/>
      </c>
      <c r="D145" s="18">
        <f>COUNTIFS(Ordenes!$C$2:$C$840,$A145,Ordenes!$T$2:$T$840,"Válida",Ordenes!$F$2:$F$840,IF($B$4="Todos","*",$B$4),Ordenes!$G$2:$G$840,IF($B$5="Todos","*",$B$5))</f>
        <v/>
      </c>
      <c r="E145" s="19">
        <f>SUMIFS(Ordenes!$P$2:$P$840,Ordenes!$C$2:$C$840,$A145,Ordenes!$T$2:$T$840,"Válida",Ordenes!$F$2:$F$840,IF($B$4="Todos","*",$B$4),Ordenes!$G$2:$G$840,IF($B$5="Todos","*",$B$5))</f>
        <v/>
      </c>
      <c r="F145" s="19">
        <f>SUMIFS(Ordenes!$Q$2:$Q$840,Ordenes!$C$2:$C$840,$A145,Ordenes!$T$2:$T$840,"Válida",Ordenes!$F$2:$F$840,IF($B$4="Todos","*",$B$4),Ordenes!$G$2:$G$840,IF($B$5="Todos","*",$B$5))</f>
        <v/>
      </c>
      <c r="G145" s="20">
        <f>IF(F145=0,NA(),E145/F145)</f>
        <v/>
      </c>
      <c r="H145" s="20">
        <f>IFERROR(SUMIFS(Ordenes!$V$2:$V$840,Ordenes!$C$2:$C$840,$A145,Ordenes!$T$2:$T$840,"Válida",Ordenes!$F$2:$F$840,IF($B$4="Todos","*",$B$4),Ordenes!$G$2:$G$840,IF($B$5="Todos","*",$B$5))/F145,NA())</f>
        <v/>
      </c>
      <c r="I145" s="21">
        <f>IFERROR((G145-H145)*100,"")</f>
        <v/>
      </c>
      <c r="J145" s="20">
        <f>IFERROR(ABS(G145-G144),"")</f>
        <v/>
      </c>
      <c r="K145" s="20">
        <f>$G$7</f>
        <v/>
      </c>
      <c r="L145" s="20">
        <f>$G$10</f>
        <v/>
      </c>
      <c r="M145" s="20">
        <f>$G$11</f>
        <v/>
      </c>
      <c r="N145" s="18">
        <f>IF(ISNA(G145),"Sin producción",IF(L145="","Sin límites",IF(G145&gt;L145,"▲ Sobre LCS",IF(G145&lt;M145,"▼ Bajo LCI","En control"))))</f>
        <v/>
      </c>
      <c r="O145" s="18">
        <f>COUNTIFS(Ordenes!$C$2:$C$840,$A145,Ordenes!$T$2:$T$840,"A corregir",Ordenes!$F$2:$F$840,IF($B$4="Todos","*",$B$4),Ordenes!$G$2:$G$840,IF($B$5="Todos","*",$B$5))</f>
        <v/>
      </c>
    </row>
    <row r="146">
      <c r="A146" s="22" t="n">
        <v>46184</v>
      </c>
      <c r="B146" s="18">
        <f>YEAR(A146)</f>
        <v/>
      </c>
      <c r="C146" s="18">
        <f>MONTH(A146)</f>
        <v/>
      </c>
      <c r="D146" s="18">
        <f>COUNTIFS(Ordenes!$C$2:$C$840,$A146,Ordenes!$T$2:$T$840,"Válida",Ordenes!$F$2:$F$840,IF($B$4="Todos","*",$B$4),Ordenes!$G$2:$G$840,IF($B$5="Todos","*",$B$5))</f>
        <v/>
      </c>
      <c r="E146" s="19">
        <f>SUMIFS(Ordenes!$P$2:$P$840,Ordenes!$C$2:$C$840,$A146,Ordenes!$T$2:$T$840,"Válida",Ordenes!$F$2:$F$840,IF($B$4="Todos","*",$B$4),Ordenes!$G$2:$G$840,IF($B$5="Todos","*",$B$5))</f>
        <v/>
      </c>
      <c r="F146" s="19">
        <f>SUMIFS(Ordenes!$Q$2:$Q$840,Ordenes!$C$2:$C$840,$A146,Ordenes!$T$2:$T$840,"Válida",Ordenes!$F$2:$F$840,IF($B$4="Todos","*",$B$4),Ordenes!$G$2:$G$840,IF($B$5="Todos","*",$B$5))</f>
        <v/>
      </c>
      <c r="G146" s="20">
        <f>IF(F146=0,NA(),E146/F146)</f>
        <v/>
      </c>
      <c r="H146" s="20">
        <f>IFERROR(SUMIFS(Ordenes!$V$2:$V$840,Ordenes!$C$2:$C$840,$A146,Ordenes!$T$2:$T$840,"Válida",Ordenes!$F$2:$F$840,IF($B$4="Todos","*",$B$4),Ordenes!$G$2:$G$840,IF($B$5="Todos","*",$B$5))/F146,NA())</f>
        <v/>
      </c>
      <c r="I146" s="21">
        <f>IFERROR((G146-H146)*100,"")</f>
        <v/>
      </c>
      <c r="J146" s="20">
        <f>IFERROR(ABS(G146-G145),"")</f>
        <v/>
      </c>
      <c r="K146" s="20">
        <f>$G$7</f>
        <v/>
      </c>
      <c r="L146" s="20">
        <f>$G$10</f>
        <v/>
      </c>
      <c r="M146" s="20">
        <f>$G$11</f>
        <v/>
      </c>
      <c r="N146" s="18">
        <f>IF(ISNA(G146),"Sin producción",IF(L146="","Sin límites",IF(G146&gt;L146,"▲ Sobre LCS",IF(G146&lt;M146,"▼ Bajo LCI","En control"))))</f>
        <v/>
      </c>
      <c r="O146" s="18">
        <f>COUNTIFS(Ordenes!$C$2:$C$840,$A146,Ordenes!$T$2:$T$840,"A corregir",Ordenes!$F$2:$F$840,IF($B$4="Todos","*",$B$4),Ordenes!$G$2:$G$840,IF($B$5="Todos","*",$B$5))</f>
        <v/>
      </c>
    </row>
    <row r="147">
      <c r="A147" s="22" t="n">
        <v>46185</v>
      </c>
      <c r="B147" s="18">
        <f>YEAR(A147)</f>
        <v/>
      </c>
      <c r="C147" s="18">
        <f>MONTH(A147)</f>
        <v/>
      </c>
      <c r="D147" s="18">
        <f>COUNTIFS(Ordenes!$C$2:$C$840,$A147,Ordenes!$T$2:$T$840,"Válida",Ordenes!$F$2:$F$840,IF($B$4="Todos","*",$B$4),Ordenes!$G$2:$G$840,IF($B$5="Todos","*",$B$5))</f>
        <v/>
      </c>
      <c r="E147" s="19">
        <f>SUMIFS(Ordenes!$P$2:$P$840,Ordenes!$C$2:$C$840,$A147,Ordenes!$T$2:$T$840,"Válida",Ordenes!$F$2:$F$840,IF($B$4="Todos","*",$B$4),Ordenes!$G$2:$G$840,IF($B$5="Todos","*",$B$5))</f>
        <v/>
      </c>
      <c r="F147" s="19">
        <f>SUMIFS(Ordenes!$Q$2:$Q$840,Ordenes!$C$2:$C$840,$A147,Ordenes!$T$2:$T$840,"Válida",Ordenes!$F$2:$F$840,IF($B$4="Todos","*",$B$4),Ordenes!$G$2:$G$840,IF($B$5="Todos","*",$B$5))</f>
        <v/>
      </c>
      <c r="G147" s="20">
        <f>IF(F147=0,NA(),E147/F147)</f>
        <v/>
      </c>
      <c r="H147" s="20">
        <f>IFERROR(SUMIFS(Ordenes!$V$2:$V$840,Ordenes!$C$2:$C$840,$A147,Ordenes!$T$2:$T$840,"Válida",Ordenes!$F$2:$F$840,IF($B$4="Todos","*",$B$4),Ordenes!$G$2:$G$840,IF($B$5="Todos","*",$B$5))/F147,NA())</f>
        <v/>
      </c>
      <c r="I147" s="21">
        <f>IFERROR((G147-H147)*100,"")</f>
        <v/>
      </c>
      <c r="J147" s="20">
        <f>IFERROR(ABS(G147-G146),"")</f>
        <v/>
      </c>
      <c r="K147" s="20">
        <f>$G$7</f>
        <v/>
      </c>
      <c r="L147" s="20">
        <f>$G$10</f>
        <v/>
      </c>
      <c r="M147" s="20">
        <f>$G$11</f>
        <v/>
      </c>
      <c r="N147" s="18">
        <f>IF(ISNA(G147),"Sin producción",IF(L147="","Sin límites",IF(G147&gt;L147,"▲ Sobre LCS",IF(G147&lt;M147,"▼ Bajo LCI","En control"))))</f>
        <v/>
      </c>
      <c r="O147" s="18">
        <f>COUNTIFS(Ordenes!$C$2:$C$840,$A147,Ordenes!$T$2:$T$840,"A corregir",Ordenes!$F$2:$F$840,IF($B$4="Todos","*",$B$4),Ordenes!$G$2:$G$840,IF($B$5="Todos","*",$B$5))</f>
        <v/>
      </c>
    </row>
    <row r="148">
      <c r="A148" s="22" t="n">
        <v>46186</v>
      </c>
      <c r="B148" s="18">
        <f>YEAR(A148)</f>
        <v/>
      </c>
      <c r="C148" s="18">
        <f>MONTH(A148)</f>
        <v/>
      </c>
      <c r="D148" s="18">
        <f>COUNTIFS(Ordenes!$C$2:$C$840,$A148,Ordenes!$T$2:$T$840,"Válida",Ordenes!$F$2:$F$840,IF($B$4="Todos","*",$B$4),Ordenes!$G$2:$G$840,IF($B$5="Todos","*",$B$5))</f>
        <v/>
      </c>
      <c r="E148" s="19">
        <f>SUMIFS(Ordenes!$P$2:$P$840,Ordenes!$C$2:$C$840,$A148,Ordenes!$T$2:$T$840,"Válida",Ordenes!$F$2:$F$840,IF($B$4="Todos","*",$B$4),Ordenes!$G$2:$G$840,IF($B$5="Todos","*",$B$5))</f>
        <v/>
      </c>
      <c r="F148" s="19">
        <f>SUMIFS(Ordenes!$Q$2:$Q$840,Ordenes!$C$2:$C$840,$A148,Ordenes!$T$2:$T$840,"Válida",Ordenes!$F$2:$F$840,IF($B$4="Todos","*",$B$4),Ordenes!$G$2:$G$840,IF($B$5="Todos","*",$B$5))</f>
        <v/>
      </c>
      <c r="G148" s="20">
        <f>IF(F148=0,NA(),E148/F148)</f>
        <v/>
      </c>
      <c r="H148" s="20">
        <f>IFERROR(SUMIFS(Ordenes!$V$2:$V$840,Ordenes!$C$2:$C$840,$A148,Ordenes!$T$2:$T$840,"Válida",Ordenes!$F$2:$F$840,IF($B$4="Todos","*",$B$4),Ordenes!$G$2:$G$840,IF($B$5="Todos","*",$B$5))/F148,NA())</f>
        <v/>
      </c>
      <c r="I148" s="21">
        <f>IFERROR((G148-H148)*100,"")</f>
        <v/>
      </c>
      <c r="J148" s="20">
        <f>IFERROR(ABS(G148-G147),"")</f>
        <v/>
      </c>
      <c r="K148" s="20">
        <f>$G$7</f>
        <v/>
      </c>
      <c r="L148" s="20">
        <f>$G$10</f>
        <v/>
      </c>
      <c r="M148" s="20">
        <f>$G$11</f>
        <v/>
      </c>
      <c r="N148" s="18">
        <f>IF(ISNA(G148),"Sin producción",IF(L148="","Sin límites",IF(G148&gt;L148,"▲ Sobre LCS",IF(G148&lt;M148,"▼ Bajo LCI","En control"))))</f>
        <v/>
      </c>
      <c r="O148" s="18">
        <f>COUNTIFS(Ordenes!$C$2:$C$840,$A148,Ordenes!$T$2:$T$840,"A corregir",Ordenes!$F$2:$F$840,IF($B$4="Todos","*",$B$4),Ordenes!$G$2:$G$840,IF($B$5="Todos","*",$B$5))</f>
        <v/>
      </c>
    </row>
    <row r="149">
      <c r="A149" s="22" t="n">
        <v>46187</v>
      </c>
      <c r="B149" s="18">
        <f>YEAR(A149)</f>
        <v/>
      </c>
      <c r="C149" s="18">
        <f>MONTH(A149)</f>
        <v/>
      </c>
      <c r="D149" s="18">
        <f>COUNTIFS(Ordenes!$C$2:$C$840,$A149,Ordenes!$T$2:$T$840,"Válida",Ordenes!$F$2:$F$840,IF($B$4="Todos","*",$B$4),Ordenes!$G$2:$G$840,IF($B$5="Todos","*",$B$5))</f>
        <v/>
      </c>
      <c r="E149" s="19">
        <f>SUMIFS(Ordenes!$P$2:$P$840,Ordenes!$C$2:$C$840,$A149,Ordenes!$T$2:$T$840,"Válida",Ordenes!$F$2:$F$840,IF($B$4="Todos","*",$B$4),Ordenes!$G$2:$G$840,IF($B$5="Todos","*",$B$5))</f>
        <v/>
      </c>
      <c r="F149" s="19">
        <f>SUMIFS(Ordenes!$Q$2:$Q$840,Ordenes!$C$2:$C$840,$A149,Ordenes!$T$2:$T$840,"Válida",Ordenes!$F$2:$F$840,IF($B$4="Todos","*",$B$4),Ordenes!$G$2:$G$840,IF($B$5="Todos","*",$B$5))</f>
        <v/>
      </c>
      <c r="G149" s="20">
        <f>IF(F149=0,NA(),E149/F149)</f>
        <v/>
      </c>
      <c r="H149" s="20">
        <f>IFERROR(SUMIFS(Ordenes!$V$2:$V$840,Ordenes!$C$2:$C$840,$A149,Ordenes!$T$2:$T$840,"Válida",Ordenes!$F$2:$F$840,IF($B$4="Todos","*",$B$4),Ordenes!$G$2:$G$840,IF($B$5="Todos","*",$B$5))/F149,NA())</f>
        <v/>
      </c>
      <c r="I149" s="21">
        <f>IFERROR((G149-H149)*100,"")</f>
        <v/>
      </c>
      <c r="J149" s="20">
        <f>IFERROR(ABS(G149-G148),"")</f>
        <v/>
      </c>
      <c r="K149" s="20">
        <f>$G$7</f>
        <v/>
      </c>
      <c r="L149" s="20">
        <f>$G$10</f>
        <v/>
      </c>
      <c r="M149" s="20">
        <f>$G$11</f>
        <v/>
      </c>
      <c r="N149" s="18">
        <f>IF(ISNA(G149),"Sin producción",IF(L149="","Sin límites",IF(G149&gt;L149,"▲ Sobre LCS",IF(G149&lt;M149,"▼ Bajo LCI","En control"))))</f>
        <v/>
      </c>
      <c r="O149" s="18">
        <f>COUNTIFS(Ordenes!$C$2:$C$840,$A149,Ordenes!$T$2:$T$840,"A corregir",Ordenes!$F$2:$F$840,IF($B$4="Todos","*",$B$4),Ordenes!$G$2:$G$840,IF($B$5="Todos","*",$B$5))</f>
        <v/>
      </c>
    </row>
    <row r="150">
      <c r="A150" s="22" t="n">
        <v>46188</v>
      </c>
      <c r="B150" s="18">
        <f>YEAR(A150)</f>
        <v/>
      </c>
      <c r="C150" s="18">
        <f>MONTH(A150)</f>
        <v/>
      </c>
      <c r="D150" s="18">
        <f>COUNTIFS(Ordenes!$C$2:$C$840,$A150,Ordenes!$T$2:$T$840,"Válida",Ordenes!$F$2:$F$840,IF($B$4="Todos","*",$B$4),Ordenes!$G$2:$G$840,IF($B$5="Todos","*",$B$5))</f>
        <v/>
      </c>
      <c r="E150" s="19">
        <f>SUMIFS(Ordenes!$P$2:$P$840,Ordenes!$C$2:$C$840,$A150,Ordenes!$T$2:$T$840,"Válida",Ordenes!$F$2:$F$840,IF($B$4="Todos","*",$B$4),Ordenes!$G$2:$G$840,IF($B$5="Todos","*",$B$5))</f>
        <v/>
      </c>
      <c r="F150" s="19">
        <f>SUMIFS(Ordenes!$Q$2:$Q$840,Ordenes!$C$2:$C$840,$A150,Ordenes!$T$2:$T$840,"Válida",Ordenes!$F$2:$F$840,IF($B$4="Todos","*",$B$4),Ordenes!$G$2:$G$840,IF($B$5="Todos","*",$B$5))</f>
        <v/>
      </c>
      <c r="G150" s="20">
        <f>IF(F150=0,NA(),E150/F150)</f>
        <v/>
      </c>
      <c r="H150" s="20">
        <f>IFERROR(SUMIFS(Ordenes!$V$2:$V$840,Ordenes!$C$2:$C$840,$A150,Ordenes!$T$2:$T$840,"Válida",Ordenes!$F$2:$F$840,IF($B$4="Todos","*",$B$4),Ordenes!$G$2:$G$840,IF($B$5="Todos","*",$B$5))/F150,NA())</f>
        <v/>
      </c>
      <c r="I150" s="21">
        <f>IFERROR((G150-H150)*100,"")</f>
        <v/>
      </c>
      <c r="J150" s="20">
        <f>IFERROR(ABS(G150-G149),"")</f>
        <v/>
      </c>
      <c r="K150" s="20">
        <f>$G$7</f>
        <v/>
      </c>
      <c r="L150" s="20">
        <f>$G$10</f>
        <v/>
      </c>
      <c r="M150" s="20">
        <f>$G$11</f>
        <v/>
      </c>
      <c r="N150" s="18">
        <f>IF(ISNA(G150),"Sin producción",IF(L150="","Sin límites",IF(G150&gt;L150,"▲ Sobre LCS",IF(G150&lt;M150,"▼ Bajo LCI","En control"))))</f>
        <v/>
      </c>
      <c r="O150" s="18">
        <f>COUNTIFS(Ordenes!$C$2:$C$840,$A150,Ordenes!$T$2:$T$840,"A corregir",Ordenes!$F$2:$F$840,IF($B$4="Todos","*",$B$4),Ordenes!$G$2:$G$840,IF($B$5="Todos","*",$B$5))</f>
        <v/>
      </c>
    </row>
    <row r="151">
      <c r="A151" s="22" t="n">
        <v>46189</v>
      </c>
      <c r="B151" s="18">
        <f>YEAR(A151)</f>
        <v/>
      </c>
      <c r="C151" s="18">
        <f>MONTH(A151)</f>
        <v/>
      </c>
      <c r="D151" s="18">
        <f>COUNTIFS(Ordenes!$C$2:$C$840,$A151,Ordenes!$T$2:$T$840,"Válida",Ordenes!$F$2:$F$840,IF($B$4="Todos","*",$B$4),Ordenes!$G$2:$G$840,IF($B$5="Todos","*",$B$5))</f>
        <v/>
      </c>
      <c r="E151" s="19">
        <f>SUMIFS(Ordenes!$P$2:$P$840,Ordenes!$C$2:$C$840,$A151,Ordenes!$T$2:$T$840,"Válida",Ordenes!$F$2:$F$840,IF($B$4="Todos","*",$B$4),Ordenes!$G$2:$G$840,IF($B$5="Todos","*",$B$5))</f>
        <v/>
      </c>
      <c r="F151" s="19">
        <f>SUMIFS(Ordenes!$Q$2:$Q$840,Ordenes!$C$2:$C$840,$A151,Ordenes!$T$2:$T$840,"Válida",Ordenes!$F$2:$F$840,IF($B$4="Todos","*",$B$4),Ordenes!$G$2:$G$840,IF($B$5="Todos","*",$B$5))</f>
        <v/>
      </c>
      <c r="G151" s="20">
        <f>IF(F151=0,NA(),E151/F151)</f>
        <v/>
      </c>
      <c r="H151" s="20">
        <f>IFERROR(SUMIFS(Ordenes!$V$2:$V$840,Ordenes!$C$2:$C$840,$A151,Ordenes!$T$2:$T$840,"Válida",Ordenes!$F$2:$F$840,IF($B$4="Todos","*",$B$4),Ordenes!$G$2:$G$840,IF($B$5="Todos","*",$B$5))/F151,NA())</f>
        <v/>
      </c>
      <c r="I151" s="21">
        <f>IFERROR((G151-H151)*100,"")</f>
        <v/>
      </c>
      <c r="J151" s="20">
        <f>IFERROR(ABS(G151-G150),"")</f>
        <v/>
      </c>
      <c r="K151" s="20">
        <f>$G$7</f>
        <v/>
      </c>
      <c r="L151" s="20">
        <f>$G$10</f>
        <v/>
      </c>
      <c r="M151" s="20">
        <f>$G$11</f>
        <v/>
      </c>
      <c r="N151" s="18">
        <f>IF(ISNA(G151),"Sin producción",IF(L151="","Sin límites",IF(G151&gt;L151,"▲ Sobre LCS",IF(G151&lt;M151,"▼ Bajo LCI","En control"))))</f>
        <v/>
      </c>
      <c r="O151" s="18">
        <f>COUNTIFS(Ordenes!$C$2:$C$840,$A151,Ordenes!$T$2:$T$840,"A corregir",Ordenes!$F$2:$F$840,IF($B$4="Todos","*",$B$4),Ordenes!$G$2:$G$840,IF($B$5="Todos","*",$B$5))</f>
        <v/>
      </c>
    </row>
    <row r="152">
      <c r="A152" s="22" t="n">
        <v>46190</v>
      </c>
      <c r="B152" s="18">
        <f>YEAR(A152)</f>
        <v/>
      </c>
      <c r="C152" s="18">
        <f>MONTH(A152)</f>
        <v/>
      </c>
      <c r="D152" s="18">
        <f>COUNTIFS(Ordenes!$C$2:$C$840,$A152,Ordenes!$T$2:$T$840,"Válida",Ordenes!$F$2:$F$840,IF($B$4="Todos","*",$B$4),Ordenes!$G$2:$G$840,IF($B$5="Todos","*",$B$5))</f>
        <v/>
      </c>
      <c r="E152" s="19">
        <f>SUMIFS(Ordenes!$P$2:$P$840,Ordenes!$C$2:$C$840,$A152,Ordenes!$T$2:$T$840,"Válida",Ordenes!$F$2:$F$840,IF($B$4="Todos","*",$B$4),Ordenes!$G$2:$G$840,IF($B$5="Todos","*",$B$5))</f>
        <v/>
      </c>
      <c r="F152" s="19">
        <f>SUMIFS(Ordenes!$Q$2:$Q$840,Ordenes!$C$2:$C$840,$A152,Ordenes!$T$2:$T$840,"Válida",Ordenes!$F$2:$F$840,IF($B$4="Todos","*",$B$4),Ordenes!$G$2:$G$840,IF($B$5="Todos","*",$B$5))</f>
        <v/>
      </c>
      <c r="G152" s="20">
        <f>IF(F152=0,NA(),E152/F152)</f>
        <v/>
      </c>
      <c r="H152" s="20">
        <f>IFERROR(SUMIFS(Ordenes!$V$2:$V$840,Ordenes!$C$2:$C$840,$A152,Ordenes!$T$2:$T$840,"Válida",Ordenes!$F$2:$F$840,IF($B$4="Todos","*",$B$4),Ordenes!$G$2:$G$840,IF($B$5="Todos","*",$B$5))/F152,NA())</f>
        <v/>
      </c>
      <c r="I152" s="21">
        <f>IFERROR((G152-H152)*100,"")</f>
        <v/>
      </c>
      <c r="J152" s="20">
        <f>IFERROR(ABS(G152-G151),"")</f>
        <v/>
      </c>
      <c r="K152" s="20">
        <f>$G$7</f>
        <v/>
      </c>
      <c r="L152" s="20">
        <f>$G$10</f>
        <v/>
      </c>
      <c r="M152" s="20">
        <f>$G$11</f>
        <v/>
      </c>
      <c r="N152" s="18">
        <f>IF(ISNA(G152),"Sin producción",IF(L152="","Sin límites",IF(G152&gt;L152,"▲ Sobre LCS",IF(G152&lt;M152,"▼ Bajo LCI","En control"))))</f>
        <v/>
      </c>
      <c r="O152" s="18">
        <f>COUNTIFS(Ordenes!$C$2:$C$840,$A152,Ordenes!$T$2:$T$840,"A corregir",Ordenes!$F$2:$F$840,IF($B$4="Todos","*",$B$4),Ordenes!$G$2:$G$840,IF($B$5="Todos","*",$B$5))</f>
        <v/>
      </c>
    </row>
    <row r="153">
      <c r="A153" s="22" t="n">
        <v>46191</v>
      </c>
      <c r="B153" s="18">
        <f>YEAR(A153)</f>
        <v/>
      </c>
      <c r="C153" s="18">
        <f>MONTH(A153)</f>
        <v/>
      </c>
      <c r="D153" s="18">
        <f>COUNTIFS(Ordenes!$C$2:$C$840,$A153,Ordenes!$T$2:$T$840,"Válida",Ordenes!$F$2:$F$840,IF($B$4="Todos","*",$B$4),Ordenes!$G$2:$G$840,IF($B$5="Todos","*",$B$5))</f>
        <v/>
      </c>
      <c r="E153" s="19">
        <f>SUMIFS(Ordenes!$P$2:$P$840,Ordenes!$C$2:$C$840,$A153,Ordenes!$T$2:$T$840,"Válida",Ordenes!$F$2:$F$840,IF($B$4="Todos","*",$B$4),Ordenes!$G$2:$G$840,IF($B$5="Todos","*",$B$5))</f>
        <v/>
      </c>
      <c r="F153" s="19">
        <f>SUMIFS(Ordenes!$Q$2:$Q$840,Ordenes!$C$2:$C$840,$A153,Ordenes!$T$2:$T$840,"Válida",Ordenes!$F$2:$F$840,IF($B$4="Todos","*",$B$4),Ordenes!$G$2:$G$840,IF($B$5="Todos","*",$B$5))</f>
        <v/>
      </c>
      <c r="G153" s="20">
        <f>IF(F153=0,NA(),E153/F153)</f>
        <v/>
      </c>
      <c r="H153" s="20">
        <f>IFERROR(SUMIFS(Ordenes!$V$2:$V$840,Ordenes!$C$2:$C$840,$A153,Ordenes!$T$2:$T$840,"Válida",Ordenes!$F$2:$F$840,IF($B$4="Todos","*",$B$4),Ordenes!$G$2:$G$840,IF($B$5="Todos","*",$B$5))/F153,NA())</f>
        <v/>
      </c>
      <c r="I153" s="21">
        <f>IFERROR((G153-H153)*100,"")</f>
        <v/>
      </c>
      <c r="J153" s="20">
        <f>IFERROR(ABS(G153-G152),"")</f>
        <v/>
      </c>
      <c r="K153" s="20">
        <f>$G$7</f>
        <v/>
      </c>
      <c r="L153" s="20">
        <f>$G$10</f>
        <v/>
      </c>
      <c r="M153" s="20">
        <f>$G$11</f>
        <v/>
      </c>
      <c r="N153" s="18">
        <f>IF(ISNA(G153),"Sin producción",IF(L153="","Sin límites",IF(G153&gt;L153,"▲ Sobre LCS",IF(G153&lt;M153,"▼ Bajo LCI","En control"))))</f>
        <v/>
      </c>
      <c r="O153" s="18">
        <f>COUNTIFS(Ordenes!$C$2:$C$840,$A153,Ordenes!$T$2:$T$840,"A corregir",Ordenes!$F$2:$F$840,IF($B$4="Todos","*",$B$4),Ordenes!$G$2:$G$840,IF($B$5="Todos","*",$B$5))</f>
        <v/>
      </c>
    </row>
    <row r="154">
      <c r="A154" s="22" t="n">
        <v>46192</v>
      </c>
      <c r="B154" s="18">
        <f>YEAR(A154)</f>
        <v/>
      </c>
      <c r="C154" s="18">
        <f>MONTH(A154)</f>
        <v/>
      </c>
      <c r="D154" s="18">
        <f>COUNTIFS(Ordenes!$C$2:$C$840,$A154,Ordenes!$T$2:$T$840,"Válida",Ordenes!$F$2:$F$840,IF($B$4="Todos","*",$B$4),Ordenes!$G$2:$G$840,IF($B$5="Todos","*",$B$5))</f>
        <v/>
      </c>
      <c r="E154" s="19">
        <f>SUMIFS(Ordenes!$P$2:$P$840,Ordenes!$C$2:$C$840,$A154,Ordenes!$T$2:$T$840,"Válida",Ordenes!$F$2:$F$840,IF($B$4="Todos","*",$B$4),Ordenes!$G$2:$G$840,IF($B$5="Todos","*",$B$5))</f>
        <v/>
      </c>
      <c r="F154" s="19">
        <f>SUMIFS(Ordenes!$Q$2:$Q$840,Ordenes!$C$2:$C$840,$A154,Ordenes!$T$2:$T$840,"Válida",Ordenes!$F$2:$F$840,IF($B$4="Todos","*",$B$4),Ordenes!$G$2:$G$840,IF($B$5="Todos","*",$B$5))</f>
        <v/>
      </c>
      <c r="G154" s="20">
        <f>IF(F154=0,NA(),E154/F154)</f>
        <v/>
      </c>
      <c r="H154" s="20">
        <f>IFERROR(SUMIFS(Ordenes!$V$2:$V$840,Ordenes!$C$2:$C$840,$A154,Ordenes!$T$2:$T$840,"Válida",Ordenes!$F$2:$F$840,IF($B$4="Todos","*",$B$4),Ordenes!$G$2:$G$840,IF($B$5="Todos","*",$B$5))/F154,NA())</f>
        <v/>
      </c>
      <c r="I154" s="21">
        <f>IFERROR((G154-H154)*100,"")</f>
        <v/>
      </c>
      <c r="J154" s="20">
        <f>IFERROR(ABS(G154-G153),"")</f>
        <v/>
      </c>
      <c r="K154" s="20">
        <f>$G$7</f>
        <v/>
      </c>
      <c r="L154" s="20">
        <f>$G$10</f>
        <v/>
      </c>
      <c r="M154" s="20">
        <f>$G$11</f>
        <v/>
      </c>
      <c r="N154" s="18">
        <f>IF(ISNA(G154),"Sin producción",IF(L154="","Sin límites",IF(G154&gt;L154,"▲ Sobre LCS",IF(G154&lt;M154,"▼ Bajo LCI","En control"))))</f>
        <v/>
      </c>
      <c r="O154" s="18">
        <f>COUNTIFS(Ordenes!$C$2:$C$840,$A154,Ordenes!$T$2:$T$840,"A corregir",Ordenes!$F$2:$F$840,IF($B$4="Todos","*",$B$4),Ordenes!$G$2:$G$840,IF($B$5="Todos","*",$B$5))</f>
        <v/>
      </c>
    </row>
    <row r="155">
      <c r="A155" s="22" t="n">
        <v>46194</v>
      </c>
      <c r="B155" s="18">
        <f>YEAR(A155)</f>
        <v/>
      </c>
      <c r="C155" s="18">
        <f>MONTH(A155)</f>
        <v/>
      </c>
      <c r="D155" s="18">
        <f>COUNTIFS(Ordenes!$C$2:$C$840,$A155,Ordenes!$T$2:$T$840,"Válida",Ordenes!$F$2:$F$840,IF($B$4="Todos","*",$B$4),Ordenes!$G$2:$G$840,IF($B$5="Todos","*",$B$5))</f>
        <v/>
      </c>
      <c r="E155" s="19">
        <f>SUMIFS(Ordenes!$P$2:$P$840,Ordenes!$C$2:$C$840,$A155,Ordenes!$T$2:$T$840,"Válida",Ordenes!$F$2:$F$840,IF($B$4="Todos","*",$B$4),Ordenes!$G$2:$G$840,IF($B$5="Todos","*",$B$5))</f>
        <v/>
      </c>
      <c r="F155" s="19">
        <f>SUMIFS(Ordenes!$Q$2:$Q$840,Ordenes!$C$2:$C$840,$A155,Ordenes!$T$2:$T$840,"Válida",Ordenes!$F$2:$F$840,IF($B$4="Todos","*",$B$4),Ordenes!$G$2:$G$840,IF($B$5="Todos","*",$B$5))</f>
        <v/>
      </c>
      <c r="G155" s="20">
        <f>IF(F155=0,NA(),E155/F155)</f>
        <v/>
      </c>
      <c r="H155" s="20">
        <f>IFERROR(SUMIFS(Ordenes!$V$2:$V$840,Ordenes!$C$2:$C$840,$A155,Ordenes!$T$2:$T$840,"Válida",Ordenes!$F$2:$F$840,IF($B$4="Todos","*",$B$4),Ordenes!$G$2:$G$840,IF($B$5="Todos","*",$B$5))/F155,NA())</f>
        <v/>
      </c>
      <c r="I155" s="21">
        <f>IFERROR((G155-H155)*100,"")</f>
        <v/>
      </c>
      <c r="J155" s="20">
        <f>IFERROR(ABS(G155-G154),"")</f>
        <v/>
      </c>
      <c r="K155" s="20">
        <f>$G$7</f>
        <v/>
      </c>
      <c r="L155" s="20">
        <f>$G$10</f>
        <v/>
      </c>
      <c r="M155" s="20">
        <f>$G$11</f>
        <v/>
      </c>
      <c r="N155" s="18">
        <f>IF(ISNA(G155),"Sin producción",IF(L155="","Sin límites",IF(G155&gt;L155,"▲ Sobre LCS",IF(G155&lt;M155,"▼ Bajo LCI","En control"))))</f>
        <v/>
      </c>
      <c r="O155" s="18">
        <f>COUNTIFS(Ordenes!$C$2:$C$840,$A155,Ordenes!$T$2:$T$840,"A corregir",Ordenes!$F$2:$F$840,IF($B$4="Todos","*",$B$4),Ordenes!$G$2:$G$840,IF($B$5="Todos","*",$B$5))</f>
        <v/>
      </c>
    </row>
    <row r="156">
      <c r="A156" s="22" t="n">
        <v>46195</v>
      </c>
      <c r="B156" s="18">
        <f>YEAR(A156)</f>
        <v/>
      </c>
      <c r="C156" s="18">
        <f>MONTH(A156)</f>
        <v/>
      </c>
      <c r="D156" s="18">
        <f>COUNTIFS(Ordenes!$C$2:$C$840,$A156,Ordenes!$T$2:$T$840,"Válida",Ordenes!$F$2:$F$840,IF($B$4="Todos","*",$B$4),Ordenes!$G$2:$G$840,IF($B$5="Todos","*",$B$5))</f>
        <v/>
      </c>
      <c r="E156" s="19">
        <f>SUMIFS(Ordenes!$P$2:$P$840,Ordenes!$C$2:$C$840,$A156,Ordenes!$T$2:$T$840,"Válida",Ordenes!$F$2:$F$840,IF($B$4="Todos","*",$B$4),Ordenes!$G$2:$G$840,IF($B$5="Todos","*",$B$5))</f>
        <v/>
      </c>
      <c r="F156" s="19">
        <f>SUMIFS(Ordenes!$Q$2:$Q$840,Ordenes!$C$2:$C$840,$A156,Ordenes!$T$2:$T$840,"Válida",Ordenes!$F$2:$F$840,IF($B$4="Todos","*",$B$4),Ordenes!$G$2:$G$840,IF($B$5="Todos","*",$B$5))</f>
        <v/>
      </c>
      <c r="G156" s="20">
        <f>IF(F156=0,NA(),E156/F156)</f>
        <v/>
      </c>
      <c r="H156" s="20">
        <f>IFERROR(SUMIFS(Ordenes!$V$2:$V$840,Ordenes!$C$2:$C$840,$A156,Ordenes!$T$2:$T$840,"Válida",Ordenes!$F$2:$F$840,IF($B$4="Todos","*",$B$4),Ordenes!$G$2:$G$840,IF($B$5="Todos","*",$B$5))/F156,NA())</f>
        <v/>
      </c>
      <c r="I156" s="21">
        <f>IFERROR((G156-H156)*100,"")</f>
        <v/>
      </c>
      <c r="J156" s="20">
        <f>IFERROR(ABS(G156-G155),"")</f>
        <v/>
      </c>
      <c r="K156" s="20">
        <f>$G$7</f>
        <v/>
      </c>
      <c r="L156" s="20">
        <f>$G$10</f>
        <v/>
      </c>
      <c r="M156" s="20">
        <f>$G$11</f>
        <v/>
      </c>
      <c r="N156" s="18">
        <f>IF(ISNA(G156),"Sin producción",IF(L156="","Sin límites",IF(G156&gt;L156,"▲ Sobre LCS",IF(G156&lt;M156,"▼ Bajo LCI","En control"))))</f>
        <v/>
      </c>
      <c r="O156" s="18">
        <f>COUNTIFS(Ordenes!$C$2:$C$840,$A156,Ordenes!$T$2:$T$840,"A corregir",Ordenes!$F$2:$F$840,IF($B$4="Todos","*",$B$4),Ordenes!$G$2:$G$840,IF($B$5="Todos","*",$B$5))</f>
        <v/>
      </c>
    </row>
    <row r="157">
      <c r="A157" s="22" t="n">
        <v>46196</v>
      </c>
      <c r="B157" s="18">
        <f>YEAR(A157)</f>
        <v/>
      </c>
      <c r="C157" s="18">
        <f>MONTH(A157)</f>
        <v/>
      </c>
      <c r="D157" s="18">
        <f>COUNTIFS(Ordenes!$C$2:$C$840,$A157,Ordenes!$T$2:$T$840,"Válida",Ordenes!$F$2:$F$840,IF($B$4="Todos","*",$B$4),Ordenes!$G$2:$G$840,IF($B$5="Todos","*",$B$5))</f>
        <v/>
      </c>
      <c r="E157" s="19">
        <f>SUMIFS(Ordenes!$P$2:$P$840,Ordenes!$C$2:$C$840,$A157,Ordenes!$T$2:$T$840,"Válida",Ordenes!$F$2:$F$840,IF($B$4="Todos","*",$B$4),Ordenes!$G$2:$G$840,IF($B$5="Todos","*",$B$5))</f>
        <v/>
      </c>
      <c r="F157" s="19">
        <f>SUMIFS(Ordenes!$Q$2:$Q$840,Ordenes!$C$2:$C$840,$A157,Ordenes!$T$2:$T$840,"Válida",Ordenes!$F$2:$F$840,IF($B$4="Todos","*",$B$4),Ordenes!$G$2:$G$840,IF($B$5="Todos","*",$B$5))</f>
        <v/>
      </c>
      <c r="G157" s="20">
        <f>IF(F157=0,NA(),E157/F157)</f>
        <v/>
      </c>
      <c r="H157" s="20">
        <f>IFERROR(SUMIFS(Ordenes!$V$2:$V$840,Ordenes!$C$2:$C$840,$A157,Ordenes!$T$2:$T$840,"Válida",Ordenes!$F$2:$F$840,IF($B$4="Todos","*",$B$4),Ordenes!$G$2:$G$840,IF($B$5="Todos","*",$B$5))/F157,NA())</f>
        <v/>
      </c>
      <c r="I157" s="21">
        <f>IFERROR((G157-H157)*100,"")</f>
        <v/>
      </c>
      <c r="J157" s="20">
        <f>IFERROR(ABS(G157-G156),"")</f>
        <v/>
      </c>
      <c r="K157" s="20">
        <f>$G$7</f>
        <v/>
      </c>
      <c r="L157" s="20">
        <f>$G$10</f>
        <v/>
      </c>
      <c r="M157" s="20">
        <f>$G$11</f>
        <v/>
      </c>
      <c r="N157" s="18">
        <f>IF(ISNA(G157),"Sin producción",IF(L157="","Sin límites",IF(G157&gt;L157,"▲ Sobre LCS",IF(G157&lt;M157,"▼ Bajo LCI","En control"))))</f>
        <v/>
      </c>
      <c r="O157" s="18">
        <f>COUNTIFS(Ordenes!$C$2:$C$840,$A157,Ordenes!$T$2:$T$840,"A corregir",Ordenes!$F$2:$F$840,IF($B$4="Todos","*",$B$4),Ordenes!$G$2:$G$840,IF($B$5="Todos","*",$B$5))</f>
        <v/>
      </c>
    </row>
    <row r="158">
      <c r="A158" s="22" t="n">
        <v>46197</v>
      </c>
      <c r="B158" s="18">
        <f>YEAR(A158)</f>
        <v/>
      </c>
      <c r="C158" s="18">
        <f>MONTH(A158)</f>
        <v/>
      </c>
      <c r="D158" s="18">
        <f>COUNTIFS(Ordenes!$C$2:$C$840,$A158,Ordenes!$T$2:$T$840,"Válida",Ordenes!$F$2:$F$840,IF($B$4="Todos","*",$B$4),Ordenes!$G$2:$G$840,IF($B$5="Todos","*",$B$5))</f>
        <v/>
      </c>
      <c r="E158" s="19">
        <f>SUMIFS(Ordenes!$P$2:$P$840,Ordenes!$C$2:$C$840,$A158,Ordenes!$T$2:$T$840,"Válida",Ordenes!$F$2:$F$840,IF($B$4="Todos","*",$B$4),Ordenes!$G$2:$G$840,IF($B$5="Todos","*",$B$5))</f>
        <v/>
      </c>
      <c r="F158" s="19">
        <f>SUMIFS(Ordenes!$Q$2:$Q$840,Ordenes!$C$2:$C$840,$A158,Ordenes!$T$2:$T$840,"Válida",Ordenes!$F$2:$F$840,IF($B$4="Todos","*",$B$4),Ordenes!$G$2:$G$840,IF($B$5="Todos","*",$B$5))</f>
        <v/>
      </c>
      <c r="G158" s="20">
        <f>IF(F158=0,NA(),E158/F158)</f>
        <v/>
      </c>
      <c r="H158" s="20">
        <f>IFERROR(SUMIFS(Ordenes!$V$2:$V$840,Ordenes!$C$2:$C$840,$A158,Ordenes!$T$2:$T$840,"Válida",Ordenes!$F$2:$F$840,IF($B$4="Todos","*",$B$4),Ordenes!$G$2:$G$840,IF($B$5="Todos","*",$B$5))/F158,NA())</f>
        <v/>
      </c>
      <c r="I158" s="21">
        <f>IFERROR((G158-H158)*100,"")</f>
        <v/>
      </c>
      <c r="J158" s="20">
        <f>IFERROR(ABS(G158-G157),"")</f>
        <v/>
      </c>
      <c r="K158" s="20">
        <f>$G$7</f>
        <v/>
      </c>
      <c r="L158" s="20">
        <f>$G$10</f>
        <v/>
      </c>
      <c r="M158" s="20">
        <f>$G$11</f>
        <v/>
      </c>
      <c r="N158" s="18">
        <f>IF(ISNA(G158),"Sin producción",IF(L158="","Sin límites",IF(G158&gt;L158,"▲ Sobre LCS",IF(G158&lt;M158,"▼ Bajo LCI","En control"))))</f>
        <v/>
      </c>
      <c r="O158" s="18">
        <f>COUNTIFS(Ordenes!$C$2:$C$840,$A158,Ordenes!$T$2:$T$840,"A corregir",Ordenes!$F$2:$F$840,IF($B$4="Todos","*",$B$4),Ordenes!$G$2:$G$840,IF($B$5="Todos","*",$B$5))</f>
        <v/>
      </c>
    </row>
    <row r="159">
      <c r="A159" s="22" t="n">
        <v>46198</v>
      </c>
      <c r="B159" s="18">
        <f>YEAR(A159)</f>
        <v/>
      </c>
      <c r="C159" s="18">
        <f>MONTH(A159)</f>
        <v/>
      </c>
      <c r="D159" s="18">
        <f>COUNTIFS(Ordenes!$C$2:$C$840,$A159,Ordenes!$T$2:$T$840,"Válida",Ordenes!$F$2:$F$840,IF($B$4="Todos","*",$B$4),Ordenes!$G$2:$G$840,IF($B$5="Todos","*",$B$5))</f>
        <v/>
      </c>
      <c r="E159" s="19">
        <f>SUMIFS(Ordenes!$P$2:$P$840,Ordenes!$C$2:$C$840,$A159,Ordenes!$T$2:$T$840,"Válida",Ordenes!$F$2:$F$840,IF($B$4="Todos","*",$B$4),Ordenes!$G$2:$G$840,IF($B$5="Todos","*",$B$5))</f>
        <v/>
      </c>
      <c r="F159" s="19">
        <f>SUMIFS(Ordenes!$Q$2:$Q$840,Ordenes!$C$2:$C$840,$A159,Ordenes!$T$2:$T$840,"Válida",Ordenes!$F$2:$F$840,IF($B$4="Todos","*",$B$4),Ordenes!$G$2:$G$840,IF($B$5="Todos","*",$B$5))</f>
        <v/>
      </c>
      <c r="G159" s="20">
        <f>IF(F159=0,NA(),E159/F159)</f>
        <v/>
      </c>
      <c r="H159" s="20">
        <f>IFERROR(SUMIFS(Ordenes!$V$2:$V$840,Ordenes!$C$2:$C$840,$A159,Ordenes!$T$2:$T$840,"Válida",Ordenes!$F$2:$F$840,IF($B$4="Todos","*",$B$4),Ordenes!$G$2:$G$840,IF($B$5="Todos","*",$B$5))/F159,NA())</f>
        <v/>
      </c>
      <c r="I159" s="21">
        <f>IFERROR((G159-H159)*100,"")</f>
        <v/>
      </c>
      <c r="J159" s="20">
        <f>IFERROR(ABS(G159-G158),"")</f>
        <v/>
      </c>
      <c r="K159" s="20">
        <f>$G$7</f>
        <v/>
      </c>
      <c r="L159" s="20">
        <f>$G$10</f>
        <v/>
      </c>
      <c r="M159" s="20">
        <f>$G$11</f>
        <v/>
      </c>
      <c r="N159" s="18">
        <f>IF(ISNA(G159),"Sin producción",IF(L159="","Sin límites",IF(G159&gt;L159,"▲ Sobre LCS",IF(G159&lt;M159,"▼ Bajo LCI","En control"))))</f>
        <v/>
      </c>
      <c r="O159" s="18">
        <f>COUNTIFS(Ordenes!$C$2:$C$840,$A159,Ordenes!$T$2:$T$840,"A corregir",Ordenes!$F$2:$F$840,IF($B$4="Todos","*",$B$4),Ordenes!$G$2:$G$840,IF($B$5="Todos","*",$B$5))</f>
        <v/>
      </c>
    </row>
    <row r="160">
      <c r="A160" s="22" t="n">
        <v>46199</v>
      </c>
      <c r="B160" s="18">
        <f>YEAR(A160)</f>
        <v/>
      </c>
      <c r="C160" s="18">
        <f>MONTH(A160)</f>
        <v/>
      </c>
      <c r="D160" s="18">
        <f>COUNTIFS(Ordenes!$C$2:$C$840,$A160,Ordenes!$T$2:$T$840,"Válida",Ordenes!$F$2:$F$840,IF($B$4="Todos","*",$B$4),Ordenes!$G$2:$G$840,IF($B$5="Todos","*",$B$5))</f>
        <v/>
      </c>
      <c r="E160" s="19">
        <f>SUMIFS(Ordenes!$P$2:$P$840,Ordenes!$C$2:$C$840,$A160,Ordenes!$T$2:$T$840,"Válida",Ordenes!$F$2:$F$840,IF($B$4="Todos","*",$B$4),Ordenes!$G$2:$G$840,IF($B$5="Todos","*",$B$5))</f>
        <v/>
      </c>
      <c r="F160" s="19">
        <f>SUMIFS(Ordenes!$Q$2:$Q$840,Ordenes!$C$2:$C$840,$A160,Ordenes!$T$2:$T$840,"Válida",Ordenes!$F$2:$F$840,IF($B$4="Todos","*",$B$4),Ordenes!$G$2:$G$840,IF($B$5="Todos","*",$B$5))</f>
        <v/>
      </c>
      <c r="G160" s="20">
        <f>IF(F160=0,NA(),E160/F160)</f>
        <v/>
      </c>
      <c r="H160" s="20">
        <f>IFERROR(SUMIFS(Ordenes!$V$2:$V$840,Ordenes!$C$2:$C$840,$A160,Ordenes!$T$2:$T$840,"Válida",Ordenes!$F$2:$F$840,IF($B$4="Todos","*",$B$4),Ordenes!$G$2:$G$840,IF($B$5="Todos","*",$B$5))/F160,NA())</f>
        <v/>
      </c>
      <c r="I160" s="21">
        <f>IFERROR((G160-H160)*100,"")</f>
        <v/>
      </c>
      <c r="J160" s="20">
        <f>IFERROR(ABS(G160-G159),"")</f>
        <v/>
      </c>
      <c r="K160" s="20">
        <f>$G$7</f>
        <v/>
      </c>
      <c r="L160" s="20">
        <f>$G$10</f>
        <v/>
      </c>
      <c r="M160" s="20">
        <f>$G$11</f>
        <v/>
      </c>
      <c r="N160" s="18">
        <f>IF(ISNA(G160),"Sin producción",IF(L160="","Sin límites",IF(G160&gt;L160,"▲ Sobre LCS",IF(G160&lt;M160,"▼ Bajo LCI","En control"))))</f>
        <v/>
      </c>
      <c r="O160" s="18">
        <f>COUNTIFS(Ordenes!$C$2:$C$840,$A160,Ordenes!$T$2:$T$840,"A corregir",Ordenes!$F$2:$F$840,IF($B$4="Todos","*",$B$4),Ordenes!$G$2:$G$840,IF($B$5="Todos","*",$B$5))</f>
        <v/>
      </c>
    </row>
    <row r="161">
      <c r="A161" s="22" t="n">
        <v>46200</v>
      </c>
      <c r="B161" s="18">
        <f>YEAR(A161)</f>
        <v/>
      </c>
      <c r="C161" s="18">
        <f>MONTH(A161)</f>
        <v/>
      </c>
      <c r="D161" s="18">
        <f>COUNTIFS(Ordenes!$C$2:$C$840,$A161,Ordenes!$T$2:$T$840,"Válida",Ordenes!$F$2:$F$840,IF($B$4="Todos","*",$B$4),Ordenes!$G$2:$G$840,IF($B$5="Todos","*",$B$5))</f>
        <v/>
      </c>
      <c r="E161" s="19">
        <f>SUMIFS(Ordenes!$P$2:$P$840,Ordenes!$C$2:$C$840,$A161,Ordenes!$T$2:$T$840,"Válida",Ordenes!$F$2:$F$840,IF($B$4="Todos","*",$B$4),Ordenes!$G$2:$G$840,IF($B$5="Todos","*",$B$5))</f>
        <v/>
      </c>
      <c r="F161" s="19">
        <f>SUMIFS(Ordenes!$Q$2:$Q$840,Ordenes!$C$2:$C$840,$A161,Ordenes!$T$2:$T$840,"Válida",Ordenes!$F$2:$F$840,IF($B$4="Todos","*",$B$4),Ordenes!$G$2:$G$840,IF($B$5="Todos","*",$B$5))</f>
        <v/>
      </c>
      <c r="G161" s="20">
        <f>IF(F161=0,NA(),E161/F161)</f>
        <v/>
      </c>
      <c r="H161" s="20">
        <f>IFERROR(SUMIFS(Ordenes!$V$2:$V$840,Ordenes!$C$2:$C$840,$A161,Ordenes!$T$2:$T$840,"Válida",Ordenes!$F$2:$F$840,IF($B$4="Todos","*",$B$4),Ordenes!$G$2:$G$840,IF($B$5="Todos","*",$B$5))/F161,NA())</f>
        <v/>
      </c>
      <c r="I161" s="21">
        <f>IFERROR((G161-H161)*100,"")</f>
        <v/>
      </c>
      <c r="J161" s="20">
        <f>IFERROR(ABS(G161-G160),"")</f>
        <v/>
      </c>
      <c r="K161" s="20">
        <f>$G$7</f>
        <v/>
      </c>
      <c r="L161" s="20">
        <f>$G$10</f>
        <v/>
      </c>
      <c r="M161" s="20">
        <f>$G$11</f>
        <v/>
      </c>
      <c r="N161" s="18">
        <f>IF(ISNA(G161),"Sin producción",IF(L161="","Sin límites",IF(G161&gt;L161,"▲ Sobre LCS",IF(G161&lt;M161,"▼ Bajo LCI","En control"))))</f>
        <v/>
      </c>
      <c r="O161" s="18">
        <f>COUNTIFS(Ordenes!$C$2:$C$840,$A161,Ordenes!$T$2:$T$840,"A corregir",Ordenes!$F$2:$F$840,IF($B$4="Todos","*",$B$4),Ordenes!$G$2:$G$840,IF($B$5="Todos","*",$B$5))</f>
        <v/>
      </c>
    </row>
    <row r="162">
      <c r="A162" s="22" t="n">
        <v>46201</v>
      </c>
      <c r="B162" s="18">
        <f>YEAR(A162)</f>
        <v/>
      </c>
      <c r="C162" s="18">
        <f>MONTH(A162)</f>
        <v/>
      </c>
      <c r="D162" s="18">
        <f>COUNTIFS(Ordenes!$C$2:$C$840,$A162,Ordenes!$T$2:$T$840,"Válida",Ordenes!$F$2:$F$840,IF($B$4="Todos","*",$B$4),Ordenes!$G$2:$G$840,IF($B$5="Todos","*",$B$5))</f>
        <v/>
      </c>
      <c r="E162" s="19">
        <f>SUMIFS(Ordenes!$P$2:$P$840,Ordenes!$C$2:$C$840,$A162,Ordenes!$T$2:$T$840,"Válida",Ordenes!$F$2:$F$840,IF($B$4="Todos","*",$B$4),Ordenes!$G$2:$G$840,IF($B$5="Todos","*",$B$5))</f>
        <v/>
      </c>
      <c r="F162" s="19">
        <f>SUMIFS(Ordenes!$Q$2:$Q$840,Ordenes!$C$2:$C$840,$A162,Ordenes!$T$2:$T$840,"Válida",Ordenes!$F$2:$F$840,IF($B$4="Todos","*",$B$4),Ordenes!$G$2:$G$840,IF($B$5="Todos","*",$B$5))</f>
        <v/>
      </c>
      <c r="G162" s="20">
        <f>IF(F162=0,NA(),E162/F162)</f>
        <v/>
      </c>
      <c r="H162" s="20">
        <f>IFERROR(SUMIFS(Ordenes!$V$2:$V$840,Ordenes!$C$2:$C$840,$A162,Ordenes!$T$2:$T$840,"Válida",Ordenes!$F$2:$F$840,IF($B$4="Todos","*",$B$4),Ordenes!$G$2:$G$840,IF($B$5="Todos","*",$B$5))/F162,NA())</f>
        <v/>
      </c>
      <c r="I162" s="21">
        <f>IFERROR((G162-H162)*100,"")</f>
        <v/>
      </c>
      <c r="J162" s="20">
        <f>IFERROR(ABS(G162-G161),"")</f>
        <v/>
      </c>
      <c r="K162" s="20">
        <f>$G$7</f>
        <v/>
      </c>
      <c r="L162" s="20">
        <f>$G$10</f>
        <v/>
      </c>
      <c r="M162" s="20">
        <f>$G$11</f>
        <v/>
      </c>
      <c r="N162" s="18">
        <f>IF(ISNA(G162),"Sin producción",IF(L162="","Sin límites",IF(G162&gt;L162,"▲ Sobre LCS",IF(G162&lt;M162,"▼ Bajo LCI","En control"))))</f>
        <v/>
      </c>
      <c r="O162" s="18">
        <f>COUNTIFS(Ordenes!$C$2:$C$840,$A162,Ordenes!$T$2:$T$840,"A corregir",Ordenes!$F$2:$F$840,IF($B$4="Todos","*",$B$4),Ordenes!$G$2:$G$840,IF($B$5="Todos","*",$B$5))</f>
        <v/>
      </c>
    </row>
    <row r="163">
      <c r="A163" s="22" t="n">
        <v>46202</v>
      </c>
      <c r="B163" s="18">
        <f>YEAR(A163)</f>
        <v/>
      </c>
      <c r="C163" s="18">
        <f>MONTH(A163)</f>
        <v/>
      </c>
      <c r="D163" s="18">
        <f>COUNTIFS(Ordenes!$C$2:$C$840,$A163,Ordenes!$T$2:$T$840,"Válida",Ordenes!$F$2:$F$840,IF($B$4="Todos","*",$B$4),Ordenes!$G$2:$G$840,IF($B$5="Todos","*",$B$5))</f>
        <v/>
      </c>
      <c r="E163" s="19">
        <f>SUMIFS(Ordenes!$P$2:$P$840,Ordenes!$C$2:$C$840,$A163,Ordenes!$T$2:$T$840,"Válida",Ordenes!$F$2:$F$840,IF($B$4="Todos","*",$B$4),Ordenes!$G$2:$G$840,IF($B$5="Todos","*",$B$5))</f>
        <v/>
      </c>
      <c r="F163" s="19">
        <f>SUMIFS(Ordenes!$Q$2:$Q$840,Ordenes!$C$2:$C$840,$A163,Ordenes!$T$2:$T$840,"Válida",Ordenes!$F$2:$F$840,IF($B$4="Todos","*",$B$4),Ordenes!$G$2:$G$840,IF($B$5="Todos","*",$B$5))</f>
        <v/>
      </c>
      <c r="G163" s="20">
        <f>IF(F163=0,NA(),E163/F163)</f>
        <v/>
      </c>
      <c r="H163" s="20">
        <f>IFERROR(SUMIFS(Ordenes!$V$2:$V$840,Ordenes!$C$2:$C$840,$A163,Ordenes!$T$2:$T$840,"Válida",Ordenes!$F$2:$F$840,IF($B$4="Todos","*",$B$4),Ordenes!$G$2:$G$840,IF($B$5="Todos","*",$B$5))/F163,NA())</f>
        <v/>
      </c>
      <c r="I163" s="21">
        <f>IFERROR((G163-H163)*100,"")</f>
        <v/>
      </c>
      <c r="J163" s="20">
        <f>IFERROR(ABS(G163-G162),"")</f>
        <v/>
      </c>
      <c r="K163" s="20">
        <f>$G$7</f>
        <v/>
      </c>
      <c r="L163" s="20">
        <f>$G$10</f>
        <v/>
      </c>
      <c r="M163" s="20">
        <f>$G$11</f>
        <v/>
      </c>
      <c r="N163" s="18">
        <f>IF(ISNA(G163),"Sin producción",IF(L163="","Sin límites",IF(G163&gt;L163,"▲ Sobre LCS",IF(G163&lt;M163,"▼ Bajo LCI","En control"))))</f>
        <v/>
      </c>
      <c r="O163" s="18">
        <f>COUNTIFS(Ordenes!$C$2:$C$840,$A163,Ordenes!$T$2:$T$840,"A corregir",Ordenes!$F$2:$F$840,IF($B$4="Todos","*",$B$4),Ordenes!$G$2:$G$840,IF($B$5="Todos","*",$B$5))</f>
        <v/>
      </c>
    </row>
    <row r="164">
      <c r="A164" s="22" t="n">
        <v>46203</v>
      </c>
      <c r="B164" s="18">
        <f>YEAR(A164)</f>
        <v/>
      </c>
      <c r="C164" s="18">
        <f>MONTH(A164)</f>
        <v/>
      </c>
      <c r="D164" s="18">
        <f>COUNTIFS(Ordenes!$C$2:$C$840,$A164,Ordenes!$T$2:$T$840,"Válida",Ordenes!$F$2:$F$840,IF($B$4="Todos","*",$B$4),Ordenes!$G$2:$G$840,IF($B$5="Todos","*",$B$5))</f>
        <v/>
      </c>
      <c r="E164" s="19">
        <f>SUMIFS(Ordenes!$P$2:$P$840,Ordenes!$C$2:$C$840,$A164,Ordenes!$T$2:$T$840,"Válida",Ordenes!$F$2:$F$840,IF($B$4="Todos","*",$B$4),Ordenes!$G$2:$G$840,IF($B$5="Todos","*",$B$5))</f>
        <v/>
      </c>
      <c r="F164" s="19">
        <f>SUMIFS(Ordenes!$Q$2:$Q$840,Ordenes!$C$2:$C$840,$A164,Ordenes!$T$2:$T$840,"Válida",Ordenes!$F$2:$F$840,IF($B$4="Todos","*",$B$4),Ordenes!$G$2:$G$840,IF($B$5="Todos","*",$B$5))</f>
        <v/>
      </c>
      <c r="G164" s="20">
        <f>IF(F164=0,NA(),E164/F164)</f>
        <v/>
      </c>
      <c r="H164" s="20">
        <f>IFERROR(SUMIFS(Ordenes!$V$2:$V$840,Ordenes!$C$2:$C$840,$A164,Ordenes!$T$2:$T$840,"Válida",Ordenes!$F$2:$F$840,IF($B$4="Todos","*",$B$4),Ordenes!$G$2:$G$840,IF($B$5="Todos","*",$B$5))/F164,NA())</f>
        <v/>
      </c>
      <c r="I164" s="21">
        <f>IFERROR((G164-H164)*100,"")</f>
        <v/>
      </c>
      <c r="J164" s="20">
        <f>IFERROR(ABS(G164-G163),"")</f>
        <v/>
      </c>
      <c r="K164" s="20">
        <f>$G$7</f>
        <v/>
      </c>
      <c r="L164" s="20">
        <f>$G$10</f>
        <v/>
      </c>
      <c r="M164" s="20">
        <f>$G$11</f>
        <v/>
      </c>
      <c r="N164" s="18">
        <f>IF(ISNA(G164),"Sin producción",IF(L164="","Sin límites",IF(G164&gt;L164,"▲ Sobre LCS",IF(G164&lt;M164,"▼ Bajo LCI","En control"))))</f>
        <v/>
      </c>
      <c r="O164" s="18">
        <f>COUNTIFS(Ordenes!$C$2:$C$840,$A164,Ordenes!$T$2:$T$840,"A corregir",Ordenes!$F$2:$F$840,IF($B$4="Todos","*",$B$4),Ordenes!$G$2:$G$840,IF($B$5="Todos","*",$B$5))</f>
        <v/>
      </c>
    </row>
    <row r="165">
      <c r="A165" s="22" t="n">
        <v>46204</v>
      </c>
      <c r="B165" s="18">
        <f>YEAR(A165)</f>
        <v/>
      </c>
      <c r="C165" s="18">
        <f>MONTH(A165)</f>
        <v/>
      </c>
      <c r="D165" s="18">
        <f>COUNTIFS(Ordenes!$C$2:$C$840,$A165,Ordenes!$T$2:$T$840,"Válida",Ordenes!$F$2:$F$840,IF($B$4="Todos","*",$B$4),Ordenes!$G$2:$G$840,IF($B$5="Todos","*",$B$5))</f>
        <v/>
      </c>
      <c r="E165" s="19">
        <f>SUMIFS(Ordenes!$P$2:$P$840,Ordenes!$C$2:$C$840,$A165,Ordenes!$T$2:$T$840,"Válida",Ordenes!$F$2:$F$840,IF($B$4="Todos","*",$B$4),Ordenes!$G$2:$G$840,IF($B$5="Todos","*",$B$5))</f>
        <v/>
      </c>
      <c r="F165" s="19">
        <f>SUMIFS(Ordenes!$Q$2:$Q$840,Ordenes!$C$2:$C$840,$A165,Ordenes!$T$2:$T$840,"Válida",Ordenes!$F$2:$F$840,IF($B$4="Todos","*",$B$4),Ordenes!$G$2:$G$840,IF($B$5="Todos","*",$B$5))</f>
        <v/>
      </c>
      <c r="G165" s="20">
        <f>IF(F165=0,NA(),E165/F165)</f>
        <v/>
      </c>
      <c r="H165" s="20">
        <f>IFERROR(SUMIFS(Ordenes!$V$2:$V$840,Ordenes!$C$2:$C$840,$A165,Ordenes!$T$2:$T$840,"Válida",Ordenes!$F$2:$F$840,IF($B$4="Todos","*",$B$4),Ordenes!$G$2:$G$840,IF($B$5="Todos","*",$B$5))/F165,NA())</f>
        <v/>
      </c>
      <c r="I165" s="21">
        <f>IFERROR((G165-H165)*100,"")</f>
        <v/>
      </c>
      <c r="J165" s="20">
        <f>IFERROR(ABS(G165-G164),"")</f>
        <v/>
      </c>
      <c r="K165" s="20">
        <f>$G$7</f>
        <v/>
      </c>
      <c r="L165" s="20">
        <f>$G$10</f>
        <v/>
      </c>
      <c r="M165" s="20">
        <f>$G$11</f>
        <v/>
      </c>
      <c r="N165" s="18">
        <f>IF(ISNA(G165),"Sin producción",IF(L165="","Sin límites",IF(G165&gt;L165,"▲ Sobre LCS",IF(G165&lt;M165,"▼ Bajo LCI","En control"))))</f>
        <v/>
      </c>
      <c r="O165" s="18">
        <f>COUNTIFS(Ordenes!$C$2:$C$840,$A165,Ordenes!$T$2:$T$840,"A corregir",Ordenes!$F$2:$F$840,IF($B$4="Todos","*",$B$4),Ordenes!$G$2:$G$840,IF($B$5="Todos","*",$B$5))</f>
        <v/>
      </c>
    </row>
    <row r="166">
      <c r="A166" s="22" t="n">
        <v>46205</v>
      </c>
      <c r="B166" s="18">
        <f>YEAR(A166)</f>
        <v/>
      </c>
      <c r="C166" s="18">
        <f>MONTH(A166)</f>
        <v/>
      </c>
      <c r="D166" s="18">
        <f>COUNTIFS(Ordenes!$C$2:$C$840,$A166,Ordenes!$T$2:$T$840,"Válida",Ordenes!$F$2:$F$840,IF($B$4="Todos","*",$B$4),Ordenes!$G$2:$G$840,IF($B$5="Todos","*",$B$5))</f>
        <v/>
      </c>
      <c r="E166" s="19">
        <f>SUMIFS(Ordenes!$P$2:$P$840,Ordenes!$C$2:$C$840,$A166,Ordenes!$T$2:$T$840,"Válida",Ordenes!$F$2:$F$840,IF($B$4="Todos","*",$B$4),Ordenes!$G$2:$G$840,IF($B$5="Todos","*",$B$5))</f>
        <v/>
      </c>
      <c r="F166" s="19">
        <f>SUMIFS(Ordenes!$Q$2:$Q$840,Ordenes!$C$2:$C$840,$A166,Ordenes!$T$2:$T$840,"Válida",Ordenes!$F$2:$F$840,IF($B$4="Todos","*",$B$4),Ordenes!$G$2:$G$840,IF($B$5="Todos","*",$B$5))</f>
        <v/>
      </c>
      <c r="G166" s="20">
        <f>IF(F166=0,NA(),E166/F166)</f>
        <v/>
      </c>
      <c r="H166" s="20">
        <f>IFERROR(SUMIFS(Ordenes!$V$2:$V$840,Ordenes!$C$2:$C$840,$A166,Ordenes!$T$2:$T$840,"Válida",Ordenes!$F$2:$F$840,IF($B$4="Todos","*",$B$4),Ordenes!$G$2:$G$840,IF($B$5="Todos","*",$B$5))/F166,NA())</f>
        <v/>
      </c>
      <c r="I166" s="21">
        <f>IFERROR((G166-H166)*100,"")</f>
        <v/>
      </c>
      <c r="J166" s="20">
        <f>IFERROR(ABS(G166-G165),"")</f>
        <v/>
      </c>
      <c r="K166" s="20">
        <f>$G$7</f>
        <v/>
      </c>
      <c r="L166" s="20">
        <f>$G$10</f>
        <v/>
      </c>
      <c r="M166" s="20">
        <f>$G$11</f>
        <v/>
      </c>
      <c r="N166" s="18">
        <f>IF(ISNA(G166),"Sin producción",IF(L166="","Sin límites",IF(G166&gt;L166,"▲ Sobre LCS",IF(G166&lt;M166,"▼ Bajo LCI","En control"))))</f>
        <v/>
      </c>
      <c r="O166" s="18">
        <f>COUNTIFS(Ordenes!$C$2:$C$840,$A166,Ordenes!$T$2:$T$840,"A corregir",Ordenes!$F$2:$F$840,IF($B$4="Todos","*",$B$4),Ordenes!$G$2:$G$840,IF($B$5="Todos","*",$B$5))</f>
        <v/>
      </c>
    </row>
    <row r="167">
      <c r="A167" s="22" t="n">
        <v>46206</v>
      </c>
      <c r="B167" s="18">
        <f>YEAR(A167)</f>
        <v/>
      </c>
      <c r="C167" s="18">
        <f>MONTH(A167)</f>
        <v/>
      </c>
      <c r="D167" s="18">
        <f>COUNTIFS(Ordenes!$C$2:$C$840,$A167,Ordenes!$T$2:$T$840,"Válida",Ordenes!$F$2:$F$840,IF($B$4="Todos","*",$B$4),Ordenes!$G$2:$G$840,IF($B$5="Todos","*",$B$5))</f>
        <v/>
      </c>
      <c r="E167" s="19">
        <f>SUMIFS(Ordenes!$P$2:$P$840,Ordenes!$C$2:$C$840,$A167,Ordenes!$T$2:$T$840,"Válida",Ordenes!$F$2:$F$840,IF($B$4="Todos","*",$B$4),Ordenes!$G$2:$G$840,IF($B$5="Todos","*",$B$5))</f>
        <v/>
      </c>
      <c r="F167" s="19">
        <f>SUMIFS(Ordenes!$Q$2:$Q$840,Ordenes!$C$2:$C$840,$A167,Ordenes!$T$2:$T$840,"Válida",Ordenes!$F$2:$F$840,IF($B$4="Todos","*",$B$4),Ordenes!$G$2:$G$840,IF($B$5="Todos","*",$B$5))</f>
        <v/>
      </c>
      <c r="G167" s="20">
        <f>IF(F167=0,NA(),E167/F167)</f>
        <v/>
      </c>
      <c r="H167" s="20">
        <f>IFERROR(SUMIFS(Ordenes!$V$2:$V$840,Ordenes!$C$2:$C$840,$A167,Ordenes!$T$2:$T$840,"Válida",Ordenes!$F$2:$F$840,IF($B$4="Todos","*",$B$4),Ordenes!$G$2:$G$840,IF($B$5="Todos","*",$B$5))/F167,NA())</f>
        <v/>
      </c>
      <c r="I167" s="21">
        <f>IFERROR((G167-H167)*100,"")</f>
        <v/>
      </c>
      <c r="J167" s="20">
        <f>IFERROR(ABS(G167-G166),"")</f>
        <v/>
      </c>
      <c r="K167" s="20">
        <f>$G$7</f>
        <v/>
      </c>
      <c r="L167" s="20">
        <f>$G$10</f>
        <v/>
      </c>
      <c r="M167" s="20">
        <f>$G$11</f>
        <v/>
      </c>
      <c r="N167" s="18">
        <f>IF(ISNA(G167),"Sin producción",IF(L167="","Sin límites",IF(G167&gt;L167,"▲ Sobre LCS",IF(G167&lt;M167,"▼ Bajo LCI","En control"))))</f>
        <v/>
      </c>
      <c r="O167" s="18">
        <f>COUNTIFS(Ordenes!$C$2:$C$840,$A167,Ordenes!$T$2:$T$840,"A corregir",Ordenes!$F$2:$F$840,IF($B$4="Todos","*",$B$4),Ordenes!$G$2:$G$840,IF($B$5="Todos","*",$B$5))</f>
        <v/>
      </c>
    </row>
    <row r="168">
      <c r="A168" s="22" t="n">
        <v>46207</v>
      </c>
      <c r="B168" s="18">
        <f>YEAR(A168)</f>
        <v/>
      </c>
      <c r="C168" s="18">
        <f>MONTH(A168)</f>
        <v/>
      </c>
      <c r="D168" s="18">
        <f>COUNTIFS(Ordenes!$C$2:$C$840,$A168,Ordenes!$T$2:$T$840,"Válida",Ordenes!$F$2:$F$840,IF($B$4="Todos","*",$B$4),Ordenes!$G$2:$G$840,IF($B$5="Todos","*",$B$5))</f>
        <v/>
      </c>
      <c r="E168" s="19">
        <f>SUMIFS(Ordenes!$P$2:$P$840,Ordenes!$C$2:$C$840,$A168,Ordenes!$T$2:$T$840,"Válida",Ordenes!$F$2:$F$840,IF($B$4="Todos","*",$B$4),Ordenes!$G$2:$G$840,IF($B$5="Todos","*",$B$5))</f>
        <v/>
      </c>
      <c r="F168" s="19">
        <f>SUMIFS(Ordenes!$Q$2:$Q$840,Ordenes!$C$2:$C$840,$A168,Ordenes!$T$2:$T$840,"Válida",Ordenes!$F$2:$F$840,IF($B$4="Todos","*",$B$4),Ordenes!$G$2:$G$840,IF($B$5="Todos","*",$B$5))</f>
        <v/>
      </c>
      <c r="G168" s="20">
        <f>IF(F168=0,NA(),E168/F168)</f>
        <v/>
      </c>
      <c r="H168" s="20">
        <f>IFERROR(SUMIFS(Ordenes!$V$2:$V$840,Ordenes!$C$2:$C$840,$A168,Ordenes!$T$2:$T$840,"Válida",Ordenes!$F$2:$F$840,IF($B$4="Todos","*",$B$4),Ordenes!$G$2:$G$840,IF($B$5="Todos","*",$B$5))/F168,NA())</f>
        <v/>
      </c>
      <c r="I168" s="21">
        <f>IFERROR((G168-H168)*100,"")</f>
        <v/>
      </c>
      <c r="J168" s="20">
        <f>IFERROR(ABS(G168-G167),"")</f>
        <v/>
      </c>
      <c r="K168" s="20">
        <f>$G$7</f>
        <v/>
      </c>
      <c r="L168" s="20">
        <f>$G$10</f>
        <v/>
      </c>
      <c r="M168" s="20">
        <f>$G$11</f>
        <v/>
      </c>
      <c r="N168" s="18">
        <f>IF(ISNA(G168),"Sin producción",IF(L168="","Sin límites",IF(G168&gt;L168,"▲ Sobre LCS",IF(G168&lt;M168,"▼ Bajo LCI","En control"))))</f>
        <v/>
      </c>
      <c r="O168" s="18">
        <f>COUNTIFS(Ordenes!$C$2:$C$840,$A168,Ordenes!$T$2:$T$840,"A corregir",Ordenes!$F$2:$F$840,IF($B$4="Todos","*",$B$4),Ordenes!$G$2:$G$840,IF($B$5="Todos","*",$B$5))</f>
        <v/>
      </c>
    </row>
    <row r="169">
      <c r="A169" s="22" t="n">
        <v>46208</v>
      </c>
      <c r="B169" s="18">
        <f>YEAR(A169)</f>
        <v/>
      </c>
      <c r="C169" s="18">
        <f>MONTH(A169)</f>
        <v/>
      </c>
      <c r="D169" s="18">
        <f>COUNTIFS(Ordenes!$C$2:$C$840,$A169,Ordenes!$T$2:$T$840,"Válida",Ordenes!$F$2:$F$840,IF($B$4="Todos","*",$B$4),Ordenes!$G$2:$G$840,IF($B$5="Todos","*",$B$5))</f>
        <v/>
      </c>
      <c r="E169" s="19">
        <f>SUMIFS(Ordenes!$P$2:$P$840,Ordenes!$C$2:$C$840,$A169,Ordenes!$T$2:$T$840,"Válida",Ordenes!$F$2:$F$840,IF($B$4="Todos","*",$B$4),Ordenes!$G$2:$G$840,IF($B$5="Todos","*",$B$5))</f>
        <v/>
      </c>
      <c r="F169" s="19">
        <f>SUMIFS(Ordenes!$Q$2:$Q$840,Ordenes!$C$2:$C$840,$A169,Ordenes!$T$2:$T$840,"Válida",Ordenes!$F$2:$F$840,IF($B$4="Todos","*",$B$4),Ordenes!$G$2:$G$840,IF($B$5="Todos","*",$B$5))</f>
        <v/>
      </c>
      <c r="G169" s="20">
        <f>IF(F169=0,NA(),E169/F169)</f>
        <v/>
      </c>
      <c r="H169" s="20">
        <f>IFERROR(SUMIFS(Ordenes!$V$2:$V$840,Ordenes!$C$2:$C$840,$A169,Ordenes!$T$2:$T$840,"Válida",Ordenes!$F$2:$F$840,IF($B$4="Todos","*",$B$4),Ordenes!$G$2:$G$840,IF($B$5="Todos","*",$B$5))/F169,NA())</f>
        <v/>
      </c>
      <c r="I169" s="21">
        <f>IFERROR((G169-H169)*100,"")</f>
        <v/>
      </c>
      <c r="J169" s="20">
        <f>IFERROR(ABS(G169-G168),"")</f>
        <v/>
      </c>
      <c r="K169" s="20">
        <f>$G$7</f>
        <v/>
      </c>
      <c r="L169" s="20">
        <f>$G$10</f>
        <v/>
      </c>
      <c r="M169" s="20">
        <f>$G$11</f>
        <v/>
      </c>
      <c r="N169" s="18">
        <f>IF(ISNA(G169),"Sin producción",IF(L169="","Sin límites",IF(G169&gt;L169,"▲ Sobre LCS",IF(G169&lt;M169,"▼ Bajo LCI","En control"))))</f>
        <v/>
      </c>
      <c r="O169" s="18">
        <f>COUNTIFS(Ordenes!$C$2:$C$840,$A169,Ordenes!$T$2:$T$840,"A corregir",Ordenes!$F$2:$F$840,IF($B$4="Todos","*",$B$4),Ordenes!$G$2:$G$840,IF($B$5="Todos","*",$B$5))</f>
        <v/>
      </c>
    </row>
    <row r="170">
      <c r="A170" s="22" t="n">
        <v>46209</v>
      </c>
      <c r="B170" s="18">
        <f>YEAR(A170)</f>
        <v/>
      </c>
      <c r="C170" s="18">
        <f>MONTH(A170)</f>
        <v/>
      </c>
      <c r="D170" s="18">
        <f>COUNTIFS(Ordenes!$C$2:$C$840,$A170,Ordenes!$T$2:$T$840,"Válida",Ordenes!$F$2:$F$840,IF($B$4="Todos","*",$B$4),Ordenes!$G$2:$G$840,IF($B$5="Todos","*",$B$5))</f>
        <v/>
      </c>
      <c r="E170" s="19">
        <f>SUMIFS(Ordenes!$P$2:$P$840,Ordenes!$C$2:$C$840,$A170,Ordenes!$T$2:$T$840,"Válida",Ordenes!$F$2:$F$840,IF($B$4="Todos","*",$B$4),Ordenes!$G$2:$G$840,IF($B$5="Todos","*",$B$5))</f>
        <v/>
      </c>
      <c r="F170" s="19">
        <f>SUMIFS(Ordenes!$Q$2:$Q$840,Ordenes!$C$2:$C$840,$A170,Ordenes!$T$2:$T$840,"Válida",Ordenes!$F$2:$F$840,IF($B$4="Todos","*",$B$4),Ordenes!$G$2:$G$840,IF($B$5="Todos","*",$B$5))</f>
        <v/>
      </c>
      <c r="G170" s="20">
        <f>IF(F170=0,NA(),E170/F170)</f>
        <v/>
      </c>
      <c r="H170" s="20">
        <f>IFERROR(SUMIFS(Ordenes!$V$2:$V$840,Ordenes!$C$2:$C$840,$A170,Ordenes!$T$2:$T$840,"Válida",Ordenes!$F$2:$F$840,IF($B$4="Todos","*",$B$4),Ordenes!$G$2:$G$840,IF($B$5="Todos","*",$B$5))/F170,NA())</f>
        <v/>
      </c>
      <c r="I170" s="21">
        <f>IFERROR((G170-H170)*100,"")</f>
        <v/>
      </c>
      <c r="J170" s="20">
        <f>IFERROR(ABS(G170-G169),"")</f>
        <v/>
      </c>
      <c r="K170" s="20">
        <f>$G$7</f>
        <v/>
      </c>
      <c r="L170" s="20">
        <f>$G$10</f>
        <v/>
      </c>
      <c r="M170" s="20">
        <f>$G$11</f>
        <v/>
      </c>
      <c r="N170" s="18">
        <f>IF(ISNA(G170),"Sin producción",IF(L170="","Sin límites",IF(G170&gt;L170,"▲ Sobre LCS",IF(G170&lt;M170,"▼ Bajo LCI","En control"))))</f>
        <v/>
      </c>
      <c r="O170" s="18">
        <f>COUNTIFS(Ordenes!$C$2:$C$840,$A170,Ordenes!$T$2:$T$840,"A corregir",Ordenes!$F$2:$F$840,IF($B$4="Todos","*",$B$4),Ordenes!$G$2:$G$840,IF($B$5="Todos","*",$B$5))</f>
        <v/>
      </c>
    </row>
    <row r="171">
      <c r="A171" s="22" t="n">
        <v>46210</v>
      </c>
      <c r="B171" s="18">
        <f>YEAR(A171)</f>
        <v/>
      </c>
      <c r="C171" s="18">
        <f>MONTH(A171)</f>
        <v/>
      </c>
      <c r="D171" s="18">
        <f>COUNTIFS(Ordenes!$C$2:$C$840,$A171,Ordenes!$T$2:$T$840,"Válida",Ordenes!$F$2:$F$840,IF($B$4="Todos","*",$B$4),Ordenes!$G$2:$G$840,IF($B$5="Todos","*",$B$5))</f>
        <v/>
      </c>
      <c r="E171" s="19">
        <f>SUMIFS(Ordenes!$P$2:$P$840,Ordenes!$C$2:$C$840,$A171,Ordenes!$T$2:$T$840,"Válida",Ordenes!$F$2:$F$840,IF($B$4="Todos","*",$B$4),Ordenes!$G$2:$G$840,IF($B$5="Todos","*",$B$5))</f>
        <v/>
      </c>
      <c r="F171" s="19">
        <f>SUMIFS(Ordenes!$Q$2:$Q$840,Ordenes!$C$2:$C$840,$A171,Ordenes!$T$2:$T$840,"Válida",Ordenes!$F$2:$F$840,IF($B$4="Todos","*",$B$4),Ordenes!$G$2:$G$840,IF($B$5="Todos","*",$B$5))</f>
        <v/>
      </c>
      <c r="G171" s="20">
        <f>IF(F171=0,NA(),E171/F171)</f>
        <v/>
      </c>
      <c r="H171" s="20">
        <f>IFERROR(SUMIFS(Ordenes!$V$2:$V$840,Ordenes!$C$2:$C$840,$A171,Ordenes!$T$2:$T$840,"Válida",Ordenes!$F$2:$F$840,IF($B$4="Todos","*",$B$4),Ordenes!$G$2:$G$840,IF($B$5="Todos","*",$B$5))/F171,NA())</f>
        <v/>
      </c>
      <c r="I171" s="21">
        <f>IFERROR((G171-H171)*100,"")</f>
        <v/>
      </c>
      <c r="J171" s="20">
        <f>IFERROR(ABS(G171-G170),"")</f>
        <v/>
      </c>
      <c r="K171" s="20">
        <f>$G$7</f>
        <v/>
      </c>
      <c r="L171" s="20">
        <f>$G$10</f>
        <v/>
      </c>
      <c r="M171" s="20">
        <f>$G$11</f>
        <v/>
      </c>
      <c r="N171" s="18">
        <f>IF(ISNA(G171),"Sin producción",IF(L171="","Sin límites",IF(G171&gt;L171,"▲ Sobre LCS",IF(G171&lt;M171,"▼ Bajo LCI","En control"))))</f>
        <v/>
      </c>
      <c r="O171" s="18">
        <f>COUNTIFS(Ordenes!$C$2:$C$840,$A171,Ordenes!$T$2:$T$840,"A corregir",Ordenes!$F$2:$F$840,IF($B$4="Todos","*",$B$4),Ordenes!$G$2:$G$840,IF($B$5="Todos","*",$B$5))</f>
        <v/>
      </c>
    </row>
    <row r="172">
      <c r="A172" s="22" t="n">
        <v>46211</v>
      </c>
      <c r="B172" s="18">
        <f>YEAR(A172)</f>
        <v/>
      </c>
      <c r="C172" s="18">
        <f>MONTH(A172)</f>
        <v/>
      </c>
      <c r="D172" s="18">
        <f>COUNTIFS(Ordenes!$C$2:$C$840,$A172,Ordenes!$T$2:$T$840,"Válida",Ordenes!$F$2:$F$840,IF($B$4="Todos","*",$B$4),Ordenes!$G$2:$G$840,IF($B$5="Todos","*",$B$5))</f>
        <v/>
      </c>
      <c r="E172" s="19">
        <f>SUMIFS(Ordenes!$P$2:$P$840,Ordenes!$C$2:$C$840,$A172,Ordenes!$T$2:$T$840,"Válida",Ordenes!$F$2:$F$840,IF($B$4="Todos","*",$B$4),Ordenes!$G$2:$G$840,IF($B$5="Todos","*",$B$5))</f>
        <v/>
      </c>
      <c r="F172" s="19">
        <f>SUMIFS(Ordenes!$Q$2:$Q$840,Ordenes!$C$2:$C$840,$A172,Ordenes!$T$2:$T$840,"Válida",Ordenes!$F$2:$F$840,IF($B$4="Todos","*",$B$4),Ordenes!$G$2:$G$840,IF($B$5="Todos","*",$B$5))</f>
        <v/>
      </c>
      <c r="G172" s="20">
        <f>IF(F172=0,NA(),E172/F172)</f>
        <v/>
      </c>
      <c r="H172" s="20">
        <f>IFERROR(SUMIFS(Ordenes!$V$2:$V$840,Ordenes!$C$2:$C$840,$A172,Ordenes!$T$2:$T$840,"Válida",Ordenes!$F$2:$F$840,IF($B$4="Todos","*",$B$4),Ordenes!$G$2:$G$840,IF($B$5="Todos","*",$B$5))/F172,NA())</f>
        <v/>
      </c>
      <c r="I172" s="21">
        <f>IFERROR((G172-H172)*100,"")</f>
        <v/>
      </c>
      <c r="J172" s="20">
        <f>IFERROR(ABS(G172-G171),"")</f>
        <v/>
      </c>
      <c r="K172" s="20">
        <f>$G$7</f>
        <v/>
      </c>
      <c r="L172" s="20">
        <f>$G$10</f>
        <v/>
      </c>
      <c r="M172" s="20">
        <f>$G$11</f>
        <v/>
      </c>
      <c r="N172" s="18">
        <f>IF(ISNA(G172),"Sin producción",IF(L172="","Sin límites",IF(G172&gt;L172,"▲ Sobre LCS",IF(G172&lt;M172,"▼ Bajo LCI","En control"))))</f>
        <v/>
      </c>
      <c r="O172" s="18">
        <f>COUNTIFS(Ordenes!$C$2:$C$840,$A172,Ordenes!$T$2:$T$840,"A corregir",Ordenes!$F$2:$F$840,IF($B$4="Todos","*",$B$4),Ordenes!$G$2:$G$840,IF($B$5="Todos","*",$B$5))</f>
        <v/>
      </c>
    </row>
    <row r="173">
      <c r="A173" s="22" t="n">
        <v>46212</v>
      </c>
      <c r="B173" s="18">
        <f>YEAR(A173)</f>
        <v/>
      </c>
      <c r="C173" s="18">
        <f>MONTH(A173)</f>
        <v/>
      </c>
      <c r="D173" s="18">
        <f>COUNTIFS(Ordenes!$C$2:$C$840,$A173,Ordenes!$T$2:$T$840,"Válida",Ordenes!$F$2:$F$840,IF($B$4="Todos","*",$B$4),Ordenes!$G$2:$G$840,IF($B$5="Todos","*",$B$5))</f>
        <v/>
      </c>
      <c r="E173" s="19">
        <f>SUMIFS(Ordenes!$P$2:$P$840,Ordenes!$C$2:$C$840,$A173,Ordenes!$T$2:$T$840,"Válida",Ordenes!$F$2:$F$840,IF($B$4="Todos","*",$B$4),Ordenes!$G$2:$G$840,IF($B$5="Todos","*",$B$5))</f>
        <v/>
      </c>
      <c r="F173" s="19">
        <f>SUMIFS(Ordenes!$Q$2:$Q$840,Ordenes!$C$2:$C$840,$A173,Ordenes!$T$2:$T$840,"Válida",Ordenes!$F$2:$F$840,IF($B$4="Todos","*",$B$4),Ordenes!$G$2:$G$840,IF($B$5="Todos","*",$B$5))</f>
        <v/>
      </c>
      <c r="G173" s="20">
        <f>IF(F173=0,NA(),E173/F173)</f>
        <v/>
      </c>
      <c r="H173" s="20">
        <f>IFERROR(SUMIFS(Ordenes!$V$2:$V$840,Ordenes!$C$2:$C$840,$A173,Ordenes!$T$2:$T$840,"Válida",Ordenes!$F$2:$F$840,IF($B$4="Todos","*",$B$4),Ordenes!$G$2:$G$840,IF($B$5="Todos","*",$B$5))/F173,NA())</f>
        <v/>
      </c>
      <c r="I173" s="21">
        <f>IFERROR((G173-H173)*100,"")</f>
        <v/>
      </c>
      <c r="J173" s="20">
        <f>IFERROR(ABS(G173-G172),"")</f>
        <v/>
      </c>
      <c r="K173" s="20">
        <f>$G$7</f>
        <v/>
      </c>
      <c r="L173" s="20">
        <f>$G$10</f>
        <v/>
      </c>
      <c r="M173" s="20">
        <f>$G$11</f>
        <v/>
      </c>
      <c r="N173" s="18">
        <f>IF(ISNA(G173),"Sin producción",IF(L173="","Sin límites",IF(G173&gt;L173,"▲ Sobre LCS",IF(G173&lt;M173,"▼ Bajo LCI","En control"))))</f>
        <v/>
      </c>
      <c r="O173" s="18">
        <f>COUNTIFS(Ordenes!$C$2:$C$840,$A173,Ordenes!$T$2:$T$840,"A corregir",Ordenes!$F$2:$F$840,IF($B$4="Todos","*",$B$4),Ordenes!$G$2:$G$840,IF($B$5="Todos","*",$B$5))</f>
        <v/>
      </c>
    </row>
    <row r="174">
      <c r="A174" s="22" t="n">
        <v>46213</v>
      </c>
      <c r="B174" s="18">
        <f>YEAR(A174)</f>
        <v/>
      </c>
      <c r="C174" s="18">
        <f>MONTH(A174)</f>
        <v/>
      </c>
      <c r="D174" s="18">
        <f>COUNTIFS(Ordenes!$C$2:$C$840,$A174,Ordenes!$T$2:$T$840,"Válida",Ordenes!$F$2:$F$840,IF($B$4="Todos","*",$B$4),Ordenes!$G$2:$G$840,IF($B$5="Todos","*",$B$5))</f>
        <v/>
      </c>
      <c r="E174" s="19">
        <f>SUMIFS(Ordenes!$P$2:$P$840,Ordenes!$C$2:$C$840,$A174,Ordenes!$T$2:$T$840,"Válida",Ordenes!$F$2:$F$840,IF($B$4="Todos","*",$B$4),Ordenes!$G$2:$G$840,IF($B$5="Todos","*",$B$5))</f>
        <v/>
      </c>
      <c r="F174" s="19">
        <f>SUMIFS(Ordenes!$Q$2:$Q$840,Ordenes!$C$2:$C$840,$A174,Ordenes!$T$2:$T$840,"Válida",Ordenes!$F$2:$F$840,IF($B$4="Todos","*",$B$4),Ordenes!$G$2:$G$840,IF($B$5="Todos","*",$B$5))</f>
        <v/>
      </c>
      <c r="G174" s="20">
        <f>IF(F174=0,NA(),E174/F174)</f>
        <v/>
      </c>
      <c r="H174" s="20">
        <f>IFERROR(SUMIFS(Ordenes!$V$2:$V$840,Ordenes!$C$2:$C$840,$A174,Ordenes!$T$2:$T$840,"Válida",Ordenes!$F$2:$F$840,IF($B$4="Todos","*",$B$4),Ordenes!$G$2:$G$840,IF($B$5="Todos","*",$B$5))/F174,NA())</f>
        <v/>
      </c>
      <c r="I174" s="21">
        <f>IFERROR((G174-H174)*100,"")</f>
        <v/>
      </c>
      <c r="J174" s="20">
        <f>IFERROR(ABS(G174-G173),"")</f>
        <v/>
      </c>
      <c r="K174" s="20">
        <f>$G$7</f>
        <v/>
      </c>
      <c r="L174" s="20">
        <f>$G$10</f>
        <v/>
      </c>
      <c r="M174" s="20">
        <f>$G$11</f>
        <v/>
      </c>
      <c r="N174" s="18">
        <f>IF(ISNA(G174),"Sin producción",IF(L174="","Sin límites",IF(G174&gt;L174,"▲ Sobre LCS",IF(G174&lt;M174,"▼ Bajo LCI","En control"))))</f>
        <v/>
      </c>
      <c r="O174" s="18">
        <f>COUNTIFS(Ordenes!$C$2:$C$840,$A174,Ordenes!$T$2:$T$840,"A corregir",Ordenes!$F$2:$F$840,IF($B$4="Todos","*",$B$4),Ordenes!$G$2:$G$840,IF($B$5="Todos","*",$B$5))</f>
        <v/>
      </c>
    </row>
    <row r="175">
      <c r="A175" s="22" t="n">
        <v>46214</v>
      </c>
      <c r="B175" s="18">
        <f>YEAR(A175)</f>
        <v/>
      </c>
      <c r="C175" s="18">
        <f>MONTH(A175)</f>
        <v/>
      </c>
      <c r="D175" s="18">
        <f>COUNTIFS(Ordenes!$C$2:$C$840,$A175,Ordenes!$T$2:$T$840,"Válida",Ordenes!$F$2:$F$840,IF($B$4="Todos","*",$B$4),Ordenes!$G$2:$G$840,IF($B$5="Todos","*",$B$5))</f>
        <v/>
      </c>
      <c r="E175" s="19">
        <f>SUMIFS(Ordenes!$P$2:$P$840,Ordenes!$C$2:$C$840,$A175,Ordenes!$T$2:$T$840,"Válida",Ordenes!$F$2:$F$840,IF($B$4="Todos","*",$B$4),Ordenes!$G$2:$G$840,IF($B$5="Todos","*",$B$5))</f>
        <v/>
      </c>
      <c r="F175" s="19">
        <f>SUMIFS(Ordenes!$Q$2:$Q$840,Ordenes!$C$2:$C$840,$A175,Ordenes!$T$2:$T$840,"Válida",Ordenes!$F$2:$F$840,IF($B$4="Todos","*",$B$4),Ordenes!$G$2:$G$840,IF($B$5="Todos","*",$B$5))</f>
        <v/>
      </c>
      <c r="G175" s="20">
        <f>IF(F175=0,NA(),E175/F175)</f>
        <v/>
      </c>
      <c r="H175" s="20">
        <f>IFERROR(SUMIFS(Ordenes!$V$2:$V$840,Ordenes!$C$2:$C$840,$A175,Ordenes!$T$2:$T$840,"Válida",Ordenes!$F$2:$F$840,IF($B$4="Todos","*",$B$4),Ordenes!$G$2:$G$840,IF($B$5="Todos","*",$B$5))/F175,NA())</f>
        <v/>
      </c>
      <c r="I175" s="21">
        <f>IFERROR((G175-H175)*100,"")</f>
        <v/>
      </c>
      <c r="J175" s="20">
        <f>IFERROR(ABS(G175-G174),"")</f>
        <v/>
      </c>
      <c r="K175" s="20">
        <f>$G$7</f>
        <v/>
      </c>
      <c r="L175" s="20">
        <f>$G$10</f>
        <v/>
      </c>
      <c r="M175" s="20">
        <f>$G$11</f>
        <v/>
      </c>
      <c r="N175" s="18">
        <f>IF(ISNA(G175),"Sin producción",IF(L175="","Sin límites",IF(G175&gt;L175,"▲ Sobre LCS",IF(G175&lt;M175,"▼ Bajo LCI","En control"))))</f>
        <v/>
      </c>
      <c r="O175" s="18">
        <f>COUNTIFS(Ordenes!$C$2:$C$840,$A175,Ordenes!$T$2:$T$840,"A corregir",Ordenes!$F$2:$F$840,IF($B$4="Todos","*",$B$4),Ordenes!$G$2:$G$840,IF($B$5="Todos","*",$B$5))</f>
        <v/>
      </c>
    </row>
    <row r="176">
      <c r="A176" s="22" t="n">
        <v>46215</v>
      </c>
      <c r="B176" s="18">
        <f>YEAR(A176)</f>
        <v/>
      </c>
      <c r="C176" s="18">
        <f>MONTH(A176)</f>
        <v/>
      </c>
      <c r="D176" s="18">
        <f>COUNTIFS(Ordenes!$C$2:$C$840,$A176,Ordenes!$T$2:$T$840,"Válida",Ordenes!$F$2:$F$840,IF($B$4="Todos","*",$B$4),Ordenes!$G$2:$G$840,IF($B$5="Todos","*",$B$5))</f>
        <v/>
      </c>
      <c r="E176" s="19">
        <f>SUMIFS(Ordenes!$P$2:$P$840,Ordenes!$C$2:$C$840,$A176,Ordenes!$T$2:$T$840,"Válida",Ordenes!$F$2:$F$840,IF($B$4="Todos","*",$B$4),Ordenes!$G$2:$G$840,IF($B$5="Todos","*",$B$5))</f>
        <v/>
      </c>
      <c r="F176" s="19">
        <f>SUMIFS(Ordenes!$Q$2:$Q$840,Ordenes!$C$2:$C$840,$A176,Ordenes!$T$2:$T$840,"Válida",Ordenes!$F$2:$F$840,IF($B$4="Todos","*",$B$4),Ordenes!$G$2:$G$840,IF($B$5="Todos","*",$B$5))</f>
        <v/>
      </c>
      <c r="G176" s="20">
        <f>IF(F176=0,NA(),E176/F176)</f>
        <v/>
      </c>
      <c r="H176" s="20">
        <f>IFERROR(SUMIFS(Ordenes!$V$2:$V$840,Ordenes!$C$2:$C$840,$A176,Ordenes!$T$2:$T$840,"Válida",Ordenes!$F$2:$F$840,IF($B$4="Todos","*",$B$4),Ordenes!$G$2:$G$840,IF($B$5="Todos","*",$B$5))/F176,NA())</f>
        <v/>
      </c>
      <c r="I176" s="21">
        <f>IFERROR((G176-H176)*100,"")</f>
        <v/>
      </c>
      <c r="J176" s="20">
        <f>IFERROR(ABS(G176-G175),"")</f>
        <v/>
      </c>
      <c r="K176" s="20">
        <f>$G$7</f>
        <v/>
      </c>
      <c r="L176" s="20">
        <f>$G$10</f>
        <v/>
      </c>
      <c r="M176" s="20">
        <f>$G$11</f>
        <v/>
      </c>
      <c r="N176" s="18">
        <f>IF(ISNA(G176),"Sin producción",IF(L176="","Sin límites",IF(G176&gt;L176,"▲ Sobre LCS",IF(G176&lt;M176,"▼ Bajo LCI","En control"))))</f>
        <v/>
      </c>
      <c r="O176" s="18">
        <f>COUNTIFS(Ordenes!$C$2:$C$840,$A176,Ordenes!$T$2:$T$840,"A corregir",Ordenes!$F$2:$F$840,IF($B$4="Todos","*",$B$4),Ordenes!$G$2:$G$840,IF($B$5="Todos","*",$B$5))</f>
        <v/>
      </c>
    </row>
    <row r="177">
      <c r="A177" s="22" t="n">
        <v>46216</v>
      </c>
      <c r="B177" s="18">
        <f>YEAR(A177)</f>
        <v/>
      </c>
      <c r="C177" s="18">
        <f>MONTH(A177)</f>
        <v/>
      </c>
      <c r="D177" s="18">
        <f>COUNTIFS(Ordenes!$C$2:$C$840,$A177,Ordenes!$T$2:$T$840,"Válida",Ordenes!$F$2:$F$840,IF($B$4="Todos","*",$B$4),Ordenes!$G$2:$G$840,IF($B$5="Todos","*",$B$5))</f>
        <v/>
      </c>
      <c r="E177" s="19">
        <f>SUMIFS(Ordenes!$P$2:$P$840,Ordenes!$C$2:$C$840,$A177,Ordenes!$T$2:$T$840,"Válida",Ordenes!$F$2:$F$840,IF($B$4="Todos","*",$B$4),Ordenes!$G$2:$G$840,IF($B$5="Todos","*",$B$5))</f>
        <v/>
      </c>
      <c r="F177" s="19">
        <f>SUMIFS(Ordenes!$Q$2:$Q$840,Ordenes!$C$2:$C$840,$A177,Ordenes!$T$2:$T$840,"Válida",Ordenes!$F$2:$F$840,IF($B$4="Todos","*",$B$4),Ordenes!$G$2:$G$840,IF($B$5="Todos","*",$B$5))</f>
        <v/>
      </c>
      <c r="G177" s="20">
        <f>IF(F177=0,NA(),E177/F177)</f>
        <v/>
      </c>
      <c r="H177" s="20">
        <f>IFERROR(SUMIFS(Ordenes!$V$2:$V$840,Ordenes!$C$2:$C$840,$A177,Ordenes!$T$2:$T$840,"Válida",Ordenes!$F$2:$F$840,IF($B$4="Todos","*",$B$4),Ordenes!$G$2:$G$840,IF($B$5="Todos","*",$B$5))/F177,NA())</f>
        <v/>
      </c>
      <c r="I177" s="21">
        <f>IFERROR((G177-H177)*100,"")</f>
        <v/>
      </c>
      <c r="J177" s="20">
        <f>IFERROR(ABS(G177-G176),"")</f>
        <v/>
      </c>
      <c r="K177" s="20">
        <f>$G$7</f>
        <v/>
      </c>
      <c r="L177" s="20">
        <f>$G$10</f>
        <v/>
      </c>
      <c r="M177" s="20">
        <f>$G$11</f>
        <v/>
      </c>
      <c r="N177" s="18">
        <f>IF(ISNA(G177),"Sin producción",IF(L177="","Sin límites",IF(G177&gt;L177,"▲ Sobre LCS",IF(G177&lt;M177,"▼ Bajo LCI","En control"))))</f>
        <v/>
      </c>
      <c r="O177" s="18">
        <f>COUNTIFS(Ordenes!$C$2:$C$840,$A177,Ordenes!$T$2:$T$840,"A corregir",Ordenes!$F$2:$F$840,IF($B$4="Todos","*",$B$4),Ordenes!$G$2:$G$840,IF($B$5="Todos","*",$B$5))</f>
        <v/>
      </c>
    </row>
    <row r="178">
      <c r="A178" s="22" t="n">
        <v>46217</v>
      </c>
      <c r="B178" s="18">
        <f>YEAR(A178)</f>
        <v/>
      </c>
      <c r="C178" s="18">
        <f>MONTH(A178)</f>
        <v/>
      </c>
      <c r="D178" s="18">
        <f>COUNTIFS(Ordenes!$C$2:$C$840,$A178,Ordenes!$T$2:$T$840,"Válida",Ordenes!$F$2:$F$840,IF($B$4="Todos","*",$B$4),Ordenes!$G$2:$G$840,IF($B$5="Todos","*",$B$5))</f>
        <v/>
      </c>
      <c r="E178" s="19">
        <f>SUMIFS(Ordenes!$P$2:$P$840,Ordenes!$C$2:$C$840,$A178,Ordenes!$T$2:$T$840,"Válida",Ordenes!$F$2:$F$840,IF($B$4="Todos","*",$B$4),Ordenes!$G$2:$G$840,IF($B$5="Todos","*",$B$5))</f>
        <v/>
      </c>
      <c r="F178" s="19">
        <f>SUMIFS(Ordenes!$Q$2:$Q$840,Ordenes!$C$2:$C$840,$A178,Ordenes!$T$2:$T$840,"Válida",Ordenes!$F$2:$F$840,IF($B$4="Todos","*",$B$4),Ordenes!$G$2:$G$840,IF($B$5="Todos","*",$B$5))</f>
        <v/>
      </c>
      <c r="G178" s="20">
        <f>IF(F178=0,NA(),E178/F178)</f>
        <v/>
      </c>
      <c r="H178" s="20">
        <f>IFERROR(SUMIFS(Ordenes!$V$2:$V$840,Ordenes!$C$2:$C$840,$A178,Ordenes!$T$2:$T$840,"Válida",Ordenes!$F$2:$F$840,IF($B$4="Todos","*",$B$4),Ordenes!$G$2:$G$840,IF($B$5="Todos","*",$B$5))/F178,NA())</f>
        <v/>
      </c>
      <c r="I178" s="21">
        <f>IFERROR((G178-H178)*100,"")</f>
        <v/>
      </c>
      <c r="J178" s="20">
        <f>IFERROR(ABS(G178-G177),"")</f>
        <v/>
      </c>
      <c r="K178" s="20">
        <f>$G$7</f>
        <v/>
      </c>
      <c r="L178" s="20">
        <f>$G$10</f>
        <v/>
      </c>
      <c r="M178" s="20">
        <f>$G$11</f>
        <v/>
      </c>
      <c r="N178" s="18">
        <f>IF(ISNA(G178),"Sin producción",IF(L178="","Sin límites",IF(G178&gt;L178,"▲ Sobre LCS",IF(G178&lt;M178,"▼ Bajo LCI","En control"))))</f>
        <v/>
      </c>
      <c r="O178" s="18">
        <f>COUNTIFS(Ordenes!$C$2:$C$840,$A178,Ordenes!$T$2:$T$840,"A corregir",Ordenes!$F$2:$F$840,IF($B$4="Todos","*",$B$4),Ordenes!$G$2:$G$840,IF($B$5="Todos","*",$B$5))</f>
        <v/>
      </c>
    </row>
    <row r="179">
      <c r="A179" s="22" t="n">
        <v>46218</v>
      </c>
      <c r="B179" s="18">
        <f>YEAR(A179)</f>
        <v/>
      </c>
      <c r="C179" s="18">
        <f>MONTH(A179)</f>
        <v/>
      </c>
      <c r="D179" s="18">
        <f>COUNTIFS(Ordenes!$C$2:$C$840,$A179,Ordenes!$T$2:$T$840,"Válida",Ordenes!$F$2:$F$840,IF($B$4="Todos","*",$B$4),Ordenes!$G$2:$G$840,IF($B$5="Todos","*",$B$5))</f>
        <v/>
      </c>
      <c r="E179" s="19">
        <f>SUMIFS(Ordenes!$P$2:$P$840,Ordenes!$C$2:$C$840,$A179,Ordenes!$T$2:$T$840,"Válida",Ordenes!$F$2:$F$840,IF($B$4="Todos","*",$B$4),Ordenes!$G$2:$G$840,IF($B$5="Todos","*",$B$5))</f>
        <v/>
      </c>
      <c r="F179" s="19">
        <f>SUMIFS(Ordenes!$Q$2:$Q$840,Ordenes!$C$2:$C$840,$A179,Ordenes!$T$2:$T$840,"Válida",Ordenes!$F$2:$F$840,IF($B$4="Todos","*",$B$4),Ordenes!$G$2:$G$840,IF($B$5="Todos","*",$B$5))</f>
        <v/>
      </c>
      <c r="G179" s="20">
        <f>IF(F179=0,NA(),E179/F179)</f>
        <v/>
      </c>
      <c r="H179" s="20">
        <f>IFERROR(SUMIFS(Ordenes!$V$2:$V$840,Ordenes!$C$2:$C$840,$A179,Ordenes!$T$2:$T$840,"Válida",Ordenes!$F$2:$F$840,IF($B$4="Todos","*",$B$4),Ordenes!$G$2:$G$840,IF($B$5="Todos","*",$B$5))/F179,NA())</f>
        <v/>
      </c>
      <c r="I179" s="21">
        <f>IFERROR((G179-H179)*100,"")</f>
        <v/>
      </c>
      <c r="J179" s="20">
        <f>IFERROR(ABS(G179-G178),"")</f>
        <v/>
      </c>
      <c r="K179" s="20">
        <f>$G$7</f>
        <v/>
      </c>
      <c r="L179" s="20">
        <f>$G$10</f>
        <v/>
      </c>
      <c r="M179" s="20">
        <f>$G$11</f>
        <v/>
      </c>
      <c r="N179" s="18">
        <f>IF(ISNA(G179),"Sin producción",IF(L179="","Sin límites",IF(G179&gt;L179,"▲ Sobre LCS",IF(G179&lt;M179,"▼ Bajo LCI","En control"))))</f>
        <v/>
      </c>
      <c r="O179" s="18">
        <f>COUNTIFS(Ordenes!$C$2:$C$840,$A179,Ordenes!$T$2:$T$840,"A corregir",Ordenes!$F$2:$F$840,IF($B$4="Todos","*",$B$4),Ordenes!$G$2:$G$840,IF($B$5="Todos","*",$B$5))</f>
        <v/>
      </c>
    </row>
    <row r="180">
      <c r="A180" s="22" t="n">
        <v>46219</v>
      </c>
      <c r="B180" s="18">
        <f>YEAR(A180)</f>
        <v/>
      </c>
      <c r="C180" s="18">
        <f>MONTH(A180)</f>
        <v/>
      </c>
      <c r="D180" s="18">
        <f>COUNTIFS(Ordenes!$C$2:$C$840,$A180,Ordenes!$T$2:$T$840,"Válida",Ordenes!$F$2:$F$840,IF($B$4="Todos","*",$B$4),Ordenes!$G$2:$G$840,IF($B$5="Todos","*",$B$5))</f>
        <v/>
      </c>
      <c r="E180" s="19">
        <f>SUMIFS(Ordenes!$P$2:$P$840,Ordenes!$C$2:$C$840,$A180,Ordenes!$T$2:$T$840,"Válida",Ordenes!$F$2:$F$840,IF($B$4="Todos","*",$B$4),Ordenes!$G$2:$G$840,IF($B$5="Todos","*",$B$5))</f>
        <v/>
      </c>
      <c r="F180" s="19">
        <f>SUMIFS(Ordenes!$Q$2:$Q$840,Ordenes!$C$2:$C$840,$A180,Ordenes!$T$2:$T$840,"Válida",Ordenes!$F$2:$F$840,IF($B$4="Todos","*",$B$4),Ordenes!$G$2:$G$840,IF($B$5="Todos","*",$B$5))</f>
        <v/>
      </c>
      <c r="G180" s="20">
        <f>IF(F180=0,NA(),E180/F180)</f>
        <v/>
      </c>
      <c r="H180" s="20">
        <f>IFERROR(SUMIFS(Ordenes!$V$2:$V$840,Ordenes!$C$2:$C$840,$A180,Ordenes!$T$2:$T$840,"Válida",Ordenes!$F$2:$F$840,IF($B$4="Todos","*",$B$4),Ordenes!$G$2:$G$840,IF($B$5="Todos","*",$B$5))/F180,NA())</f>
        <v/>
      </c>
      <c r="I180" s="21">
        <f>IFERROR((G180-H180)*100,"")</f>
        <v/>
      </c>
      <c r="J180" s="20">
        <f>IFERROR(ABS(G180-G179),"")</f>
        <v/>
      </c>
      <c r="K180" s="20">
        <f>$G$7</f>
        <v/>
      </c>
      <c r="L180" s="20">
        <f>$G$10</f>
        <v/>
      </c>
      <c r="M180" s="20">
        <f>$G$11</f>
        <v/>
      </c>
      <c r="N180" s="18">
        <f>IF(ISNA(G180),"Sin producción",IF(L180="","Sin límites",IF(G180&gt;L180,"▲ Sobre LCS",IF(G180&lt;M180,"▼ Bajo LCI","En control"))))</f>
        <v/>
      </c>
      <c r="O180" s="18">
        <f>COUNTIFS(Ordenes!$C$2:$C$840,$A180,Ordenes!$T$2:$T$840,"A corregir",Ordenes!$F$2:$F$840,IF($B$4="Todos","*",$B$4),Ordenes!$G$2:$G$840,IF($B$5="Todos","*",$B$5))</f>
        <v/>
      </c>
    </row>
    <row r="181">
      <c r="A181" s="22" t="n">
        <v>46220</v>
      </c>
      <c r="B181" s="18">
        <f>YEAR(A181)</f>
        <v/>
      </c>
      <c r="C181" s="18">
        <f>MONTH(A181)</f>
        <v/>
      </c>
      <c r="D181" s="18">
        <f>COUNTIFS(Ordenes!$C$2:$C$840,$A181,Ordenes!$T$2:$T$840,"Válida",Ordenes!$F$2:$F$840,IF($B$4="Todos","*",$B$4),Ordenes!$G$2:$G$840,IF($B$5="Todos","*",$B$5))</f>
        <v/>
      </c>
      <c r="E181" s="19">
        <f>SUMIFS(Ordenes!$P$2:$P$840,Ordenes!$C$2:$C$840,$A181,Ordenes!$T$2:$T$840,"Válida",Ordenes!$F$2:$F$840,IF($B$4="Todos","*",$B$4),Ordenes!$G$2:$G$840,IF($B$5="Todos","*",$B$5))</f>
        <v/>
      </c>
      <c r="F181" s="19">
        <f>SUMIFS(Ordenes!$Q$2:$Q$840,Ordenes!$C$2:$C$840,$A181,Ordenes!$T$2:$T$840,"Válida",Ordenes!$F$2:$F$840,IF($B$4="Todos","*",$B$4),Ordenes!$G$2:$G$840,IF($B$5="Todos","*",$B$5))</f>
        <v/>
      </c>
      <c r="G181" s="20">
        <f>IF(F181=0,NA(),E181/F181)</f>
        <v/>
      </c>
      <c r="H181" s="20">
        <f>IFERROR(SUMIFS(Ordenes!$V$2:$V$840,Ordenes!$C$2:$C$840,$A181,Ordenes!$T$2:$T$840,"Válida",Ordenes!$F$2:$F$840,IF($B$4="Todos","*",$B$4),Ordenes!$G$2:$G$840,IF($B$5="Todos","*",$B$5))/F181,NA())</f>
        <v/>
      </c>
      <c r="I181" s="21">
        <f>IFERROR((G181-H181)*100,"")</f>
        <v/>
      </c>
      <c r="J181" s="20">
        <f>IFERROR(ABS(G181-G180),"")</f>
        <v/>
      </c>
      <c r="K181" s="20">
        <f>$G$7</f>
        <v/>
      </c>
      <c r="L181" s="20">
        <f>$G$10</f>
        <v/>
      </c>
      <c r="M181" s="20">
        <f>$G$11</f>
        <v/>
      </c>
      <c r="N181" s="18">
        <f>IF(ISNA(G181),"Sin producción",IF(L181="","Sin límites",IF(G181&gt;L181,"▲ Sobre LCS",IF(G181&lt;M181,"▼ Bajo LCI","En control"))))</f>
        <v/>
      </c>
      <c r="O181" s="18">
        <f>COUNTIFS(Ordenes!$C$2:$C$840,$A181,Ordenes!$T$2:$T$840,"A corregir",Ordenes!$F$2:$F$840,IF($B$4="Todos","*",$B$4),Ordenes!$G$2:$G$840,IF($B$5="Todos","*",$B$5))</f>
        <v/>
      </c>
    </row>
    <row r="182">
      <c r="A182" s="22" t="n">
        <v>46221</v>
      </c>
      <c r="B182" s="18">
        <f>YEAR(A182)</f>
        <v/>
      </c>
      <c r="C182" s="18">
        <f>MONTH(A182)</f>
        <v/>
      </c>
      <c r="D182" s="18">
        <f>COUNTIFS(Ordenes!$C$2:$C$840,$A182,Ordenes!$T$2:$T$840,"Válida",Ordenes!$F$2:$F$840,IF($B$4="Todos","*",$B$4),Ordenes!$G$2:$G$840,IF($B$5="Todos","*",$B$5))</f>
        <v/>
      </c>
      <c r="E182" s="19">
        <f>SUMIFS(Ordenes!$P$2:$P$840,Ordenes!$C$2:$C$840,$A182,Ordenes!$T$2:$T$840,"Válida",Ordenes!$F$2:$F$840,IF($B$4="Todos","*",$B$4),Ordenes!$G$2:$G$840,IF($B$5="Todos","*",$B$5))</f>
        <v/>
      </c>
      <c r="F182" s="19">
        <f>SUMIFS(Ordenes!$Q$2:$Q$840,Ordenes!$C$2:$C$840,$A182,Ordenes!$T$2:$T$840,"Válida",Ordenes!$F$2:$F$840,IF($B$4="Todos","*",$B$4),Ordenes!$G$2:$G$840,IF($B$5="Todos","*",$B$5))</f>
        <v/>
      </c>
      <c r="G182" s="20">
        <f>IF(F182=0,NA(),E182/F182)</f>
        <v/>
      </c>
      <c r="H182" s="20">
        <f>IFERROR(SUMIFS(Ordenes!$V$2:$V$840,Ordenes!$C$2:$C$840,$A182,Ordenes!$T$2:$T$840,"Válida",Ordenes!$F$2:$F$840,IF($B$4="Todos","*",$B$4),Ordenes!$G$2:$G$840,IF($B$5="Todos","*",$B$5))/F182,NA())</f>
        <v/>
      </c>
      <c r="I182" s="21">
        <f>IFERROR((G182-H182)*100,"")</f>
        <v/>
      </c>
      <c r="J182" s="20">
        <f>IFERROR(ABS(G182-G181),"")</f>
        <v/>
      </c>
      <c r="K182" s="20">
        <f>$G$7</f>
        <v/>
      </c>
      <c r="L182" s="20">
        <f>$G$10</f>
        <v/>
      </c>
      <c r="M182" s="20">
        <f>$G$11</f>
        <v/>
      </c>
      <c r="N182" s="18">
        <f>IF(ISNA(G182),"Sin producción",IF(L182="","Sin límites",IF(G182&gt;L182,"▲ Sobre LCS",IF(G182&lt;M182,"▼ Bajo LCI","En control"))))</f>
        <v/>
      </c>
      <c r="O182" s="18">
        <f>COUNTIFS(Ordenes!$C$2:$C$840,$A182,Ordenes!$T$2:$T$840,"A corregir",Ordenes!$F$2:$F$840,IF($B$4="Todos","*",$B$4),Ordenes!$G$2:$G$840,IF($B$5="Todos","*",$B$5))</f>
        <v/>
      </c>
    </row>
    <row r="183">
      <c r="A183" s="22" t="n">
        <v>46222</v>
      </c>
      <c r="B183" s="18">
        <f>YEAR(A183)</f>
        <v/>
      </c>
      <c r="C183" s="18">
        <f>MONTH(A183)</f>
        <v/>
      </c>
      <c r="D183" s="18">
        <f>COUNTIFS(Ordenes!$C$2:$C$840,$A183,Ordenes!$T$2:$T$840,"Válida",Ordenes!$F$2:$F$840,IF($B$4="Todos","*",$B$4),Ordenes!$G$2:$G$840,IF($B$5="Todos","*",$B$5))</f>
        <v/>
      </c>
      <c r="E183" s="19">
        <f>SUMIFS(Ordenes!$P$2:$P$840,Ordenes!$C$2:$C$840,$A183,Ordenes!$T$2:$T$840,"Válida",Ordenes!$F$2:$F$840,IF($B$4="Todos","*",$B$4),Ordenes!$G$2:$G$840,IF($B$5="Todos","*",$B$5))</f>
        <v/>
      </c>
      <c r="F183" s="19">
        <f>SUMIFS(Ordenes!$Q$2:$Q$840,Ordenes!$C$2:$C$840,$A183,Ordenes!$T$2:$T$840,"Válida",Ordenes!$F$2:$F$840,IF($B$4="Todos","*",$B$4),Ordenes!$G$2:$G$840,IF($B$5="Todos","*",$B$5))</f>
        <v/>
      </c>
      <c r="G183" s="20">
        <f>IF(F183=0,NA(),E183/F183)</f>
        <v/>
      </c>
      <c r="H183" s="20">
        <f>IFERROR(SUMIFS(Ordenes!$V$2:$V$840,Ordenes!$C$2:$C$840,$A183,Ordenes!$T$2:$T$840,"Válida",Ordenes!$F$2:$F$840,IF($B$4="Todos","*",$B$4),Ordenes!$G$2:$G$840,IF($B$5="Todos","*",$B$5))/F183,NA())</f>
        <v/>
      </c>
      <c r="I183" s="21">
        <f>IFERROR((G183-H183)*100,"")</f>
        <v/>
      </c>
      <c r="J183" s="20">
        <f>IFERROR(ABS(G183-G182),"")</f>
        <v/>
      </c>
      <c r="K183" s="20">
        <f>$G$7</f>
        <v/>
      </c>
      <c r="L183" s="20">
        <f>$G$10</f>
        <v/>
      </c>
      <c r="M183" s="20">
        <f>$G$11</f>
        <v/>
      </c>
      <c r="N183" s="18">
        <f>IF(ISNA(G183),"Sin producción",IF(L183="","Sin límites",IF(G183&gt;L183,"▲ Sobre LCS",IF(G183&lt;M183,"▼ Bajo LCI","En control"))))</f>
        <v/>
      </c>
      <c r="O183" s="18">
        <f>COUNTIFS(Ordenes!$C$2:$C$840,$A183,Ordenes!$T$2:$T$840,"A corregir",Ordenes!$F$2:$F$840,IF($B$4="Todos","*",$B$4),Ordenes!$G$2:$G$840,IF($B$5="Todos","*",$B$5))</f>
        <v/>
      </c>
    </row>
    <row r="184">
      <c r="A184" s="22" t="n">
        <v>46223</v>
      </c>
      <c r="B184" s="18">
        <f>YEAR(A184)</f>
        <v/>
      </c>
      <c r="C184" s="18">
        <f>MONTH(A184)</f>
        <v/>
      </c>
      <c r="D184" s="18">
        <f>COUNTIFS(Ordenes!$C$2:$C$840,$A184,Ordenes!$T$2:$T$840,"Válida",Ordenes!$F$2:$F$840,IF($B$4="Todos","*",$B$4),Ordenes!$G$2:$G$840,IF($B$5="Todos","*",$B$5))</f>
        <v/>
      </c>
      <c r="E184" s="19">
        <f>SUMIFS(Ordenes!$P$2:$P$840,Ordenes!$C$2:$C$840,$A184,Ordenes!$T$2:$T$840,"Válida",Ordenes!$F$2:$F$840,IF($B$4="Todos","*",$B$4),Ordenes!$G$2:$G$840,IF($B$5="Todos","*",$B$5))</f>
        <v/>
      </c>
      <c r="F184" s="19">
        <f>SUMIFS(Ordenes!$Q$2:$Q$840,Ordenes!$C$2:$C$840,$A184,Ordenes!$T$2:$T$840,"Válida",Ordenes!$F$2:$F$840,IF($B$4="Todos","*",$B$4),Ordenes!$G$2:$G$840,IF($B$5="Todos","*",$B$5))</f>
        <v/>
      </c>
      <c r="G184" s="20">
        <f>IF(F184=0,NA(),E184/F184)</f>
        <v/>
      </c>
      <c r="H184" s="20">
        <f>IFERROR(SUMIFS(Ordenes!$V$2:$V$840,Ordenes!$C$2:$C$840,$A184,Ordenes!$T$2:$T$840,"Válida",Ordenes!$F$2:$F$840,IF($B$4="Todos","*",$B$4),Ordenes!$G$2:$G$840,IF($B$5="Todos","*",$B$5))/F184,NA())</f>
        <v/>
      </c>
      <c r="I184" s="21">
        <f>IFERROR((G184-H184)*100,"")</f>
        <v/>
      </c>
      <c r="J184" s="20">
        <f>IFERROR(ABS(G184-G183),"")</f>
        <v/>
      </c>
      <c r="K184" s="20">
        <f>$G$7</f>
        <v/>
      </c>
      <c r="L184" s="20">
        <f>$G$10</f>
        <v/>
      </c>
      <c r="M184" s="20">
        <f>$G$11</f>
        <v/>
      </c>
      <c r="N184" s="18">
        <f>IF(ISNA(G184),"Sin producción",IF(L184="","Sin límites",IF(G184&gt;L184,"▲ Sobre LCS",IF(G184&lt;M184,"▼ Bajo LCI","En control"))))</f>
        <v/>
      </c>
      <c r="O184" s="18">
        <f>COUNTIFS(Ordenes!$C$2:$C$840,$A184,Ordenes!$T$2:$T$840,"A corregir",Ordenes!$F$2:$F$840,IF($B$4="Todos","*",$B$4),Ordenes!$G$2:$G$840,IF($B$5="Todos","*",$B$5))</f>
        <v/>
      </c>
    </row>
    <row r="185">
      <c r="A185" s="22" t="n">
        <v>46224</v>
      </c>
      <c r="B185" s="18">
        <f>YEAR(A185)</f>
        <v/>
      </c>
      <c r="C185" s="18">
        <f>MONTH(A185)</f>
        <v/>
      </c>
      <c r="D185" s="18">
        <f>COUNTIFS(Ordenes!$C$2:$C$840,$A185,Ordenes!$T$2:$T$840,"Válida",Ordenes!$F$2:$F$840,IF($B$4="Todos","*",$B$4),Ordenes!$G$2:$G$840,IF($B$5="Todos","*",$B$5))</f>
        <v/>
      </c>
      <c r="E185" s="19">
        <f>SUMIFS(Ordenes!$P$2:$P$840,Ordenes!$C$2:$C$840,$A185,Ordenes!$T$2:$T$840,"Válida",Ordenes!$F$2:$F$840,IF($B$4="Todos","*",$B$4),Ordenes!$G$2:$G$840,IF($B$5="Todos","*",$B$5))</f>
        <v/>
      </c>
      <c r="F185" s="19">
        <f>SUMIFS(Ordenes!$Q$2:$Q$840,Ordenes!$C$2:$C$840,$A185,Ordenes!$T$2:$T$840,"Válida",Ordenes!$F$2:$F$840,IF($B$4="Todos","*",$B$4),Ordenes!$G$2:$G$840,IF($B$5="Todos","*",$B$5))</f>
        <v/>
      </c>
      <c r="G185" s="20">
        <f>IF(F185=0,NA(),E185/F185)</f>
        <v/>
      </c>
      <c r="H185" s="20">
        <f>IFERROR(SUMIFS(Ordenes!$V$2:$V$840,Ordenes!$C$2:$C$840,$A185,Ordenes!$T$2:$T$840,"Válida",Ordenes!$F$2:$F$840,IF($B$4="Todos","*",$B$4),Ordenes!$G$2:$G$840,IF($B$5="Todos","*",$B$5))/F185,NA())</f>
        <v/>
      </c>
      <c r="I185" s="21">
        <f>IFERROR((G185-H185)*100,"")</f>
        <v/>
      </c>
      <c r="J185" s="20">
        <f>IFERROR(ABS(G185-G184),"")</f>
        <v/>
      </c>
      <c r="K185" s="20">
        <f>$G$7</f>
        <v/>
      </c>
      <c r="L185" s="20">
        <f>$G$10</f>
        <v/>
      </c>
      <c r="M185" s="20">
        <f>$G$11</f>
        <v/>
      </c>
      <c r="N185" s="18">
        <f>IF(ISNA(G185),"Sin producción",IF(L185="","Sin límites",IF(G185&gt;L185,"▲ Sobre LCS",IF(G185&lt;M185,"▼ Bajo LCI","En control"))))</f>
        <v/>
      </c>
      <c r="O185" s="18">
        <f>COUNTIFS(Ordenes!$C$2:$C$840,$A185,Ordenes!$T$2:$T$840,"A corregir",Ordenes!$F$2:$F$840,IF($B$4="Todos","*",$B$4),Ordenes!$G$2:$G$840,IF($B$5="Todos","*",$B$5))</f>
        <v/>
      </c>
    </row>
    <row r="186">
      <c r="A186" s="22" t="n">
        <v>46226</v>
      </c>
      <c r="B186" s="18">
        <f>YEAR(A186)</f>
        <v/>
      </c>
      <c r="C186" s="18">
        <f>MONTH(A186)</f>
        <v/>
      </c>
      <c r="D186" s="18">
        <f>COUNTIFS(Ordenes!$C$2:$C$840,$A186,Ordenes!$T$2:$T$840,"Válida",Ordenes!$F$2:$F$840,IF($B$4="Todos","*",$B$4),Ordenes!$G$2:$G$840,IF($B$5="Todos","*",$B$5))</f>
        <v/>
      </c>
      <c r="E186" s="19">
        <f>SUMIFS(Ordenes!$P$2:$P$840,Ordenes!$C$2:$C$840,$A186,Ordenes!$T$2:$T$840,"Válida",Ordenes!$F$2:$F$840,IF($B$4="Todos","*",$B$4),Ordenes!$G$2:$G$840,IF($B$5="Todos","*",$B$5))</f>
        <v/>
      </c>
      <c r="F186" s="19">
        <f>SUMIFS(Ordenes!$Q$2:$Q$840,Ordenes!$C$2:$C$840,$A186,Ordenes!$T$2:$T$840,"Válida",Ordenes!$F$2:$F$840,IF($B$4="Todos","*",$B$4),Ordenes!$G$2:$G$840,IF($B$5="Todos","*",$B$5))</f>
        <v/>
      </c>
      <c r="G186" s="20">
        <f>IF(F186=0,NA(),E186/F186)</f>
        <v/>
      </c>
      <c r="H186" s="20">
        <f>IFERROR(SUMIFS(Ordenes!$V$2:$V$840,Ordenes!$C$2:$C$840,$A186,Ordenes!$T$2:$T$840,"Válida",Ordenes!$F$2:$F$840,IF($B$4="Todos","*",$B$4),Ordenes!$G$2:$G$840,IF($B$5="Todos","*",$B$5))/F186,NA())</f>
        <v/>
      </c>
      <c r="I186" s="21">
        <f>IFERROR((G186-H186)*100,"")</f>
        <v/>
      </c>
      <c r="J186" s="20">
        <f>IFERROR(ABS(G186-G185),"")</f>
        <v/>
      </c>
      <c r="K186" s="20">
        <f>$G$7</f>
        <v/>
      </c>
      <c r="L186" s="20">
        <f>$G$10</f>
        <v/>
      </c>
      <c r="M186" s="20">
        <f>$G$11</f>
        <v/>
      </c>
      <c r="N186" s="18">
        <f>IF(ISNA(G186),"Sin producción",IF(L186="","Sin límites",IF(G186&gt;L186,"▲ Sobre LCS",IF(G186&lt;M186,"▼ Bajo LCI","En control"))))</f>
        <v/>
      </c>
      <c r="O186" s="18">
        <f>COUNTIFS(Ordenes!$C$2:$C$840,$A186,Ordenes!$T$2:$T$840,"A corregir",Ordenes!$F$2:$F$840,IF($B$4="Todos","*",$B$4),Ordenes!$G$2:$G$840,IF($B$5="Todos","*",$B$5))</f>
        <v/>
      </c>
    </row>
    <row r="187">
      <c r="A187" s="22" t="n">
        <v>46228</v>
      </c>
      <c r="B187" s="18">
        <f>YEAR(A187)</f>
        <v/>
      </c>
      <c r="C187" s="18">
        <f>MONTH(A187)</f>
        <v/>
      </c>
      <c r="D187" s="18">
        <f>COUNTIFS(Ordenes!$C$2:$C$840,$A187,Ordenes!$T$2:$T$840,"Válida",Ordenes!$F$2:$F$840,IF($B$4="Todos","*",$B$4),Ordenes!$G$2:$G$840,IF($B$5="Todos","*",$B$5))</f>
        <v/>
      </c>
      <c r="E187" s="19">
        <f>SUMIFS(Ordenes!$P$2:$P$840,Ordenes!$C$2:$C$840,$A187,Ordenes!$T$2:$T$840,"Válida",Ordenes!$F$2:$F$840,IF($B$4="Todos","*",$B$4),Ordenes!$G$2:$G$840,IF($B$5="Todos","*",$B$5))</f>
        <v/>
      </c>
      <c r="F187" s="19">
        <f>SUMIFS(Ordenes!$Q$2:$Q$840,Ordenes!$C$2:$C$840,$A187,Ordenes!$T$2:$T$840,"Válida",Ordenes!$F$2:$F$840,IF($B$4="Todos","*",$B$4),Ordenes!$G$2:$G$840,IF($B$5="Todos","*",$B$5))</f>
        <v/>
      </c>
      <c r="G187" s="20">
        <f>IF(F187=0,NA(),E187/F187)</f>
        <v/>
      </c>
      <c r="H187" s="20">
        <f>IFERROR(SUMIFS(Ordenes!$V$2:$V$840,Ordenes!$C$2:$C$840,$A187,Ordenes!$T$2:$T$840,"Válida",Ordenes!$F$2:$F$840,IF($B$4="Todos","*",$B$4),Ordenes!$G$2:$G$840,IF($B$5="Todos","*",$B$5))/F187,NA())</f>
        <v/>
      </c>
      <c r="I187" s="21">
        <f>IFERROR((G187-H187)*100,"")</f>
        <v/>
      </c>
      <c r="J187" s="20">
        <f>IFERROR(ABS(G187-G186),"")</f>
        <v/>
      </c>
      <c r="K187" s="20">
        <f>$G$7</f>
        <v/>
      </c>
      <c r="L187" s="20">
        <f>$G$10</f>
        <v/>
      </c>
      <c r="M187" s="20">
        <f>$G$11</f>
        <v/>
      </c>
      <c r="N187" s="18">
        <f>IF(ISNA(G187),"Sin producción",IF(L187="","Sin límites",IF(G187&gt;L187,"▲ Sobre LCS",IF(G187&lt;M187,"▼ Bajo LCI","En control"))))</f>
        <v/>
      </c>
      <c r="O187" s="18">
        <f>COUNTIFS(Ordenes!$C$2:$C$840,$A187,Ordenes!$T$2:$T$840,"A corregir",Ordenes!$F$2:$F$840,IF($B$4="Todos","*",$B$4),Ordenes!$G$2:$G$840,IF($B$5="Todos","*",$B$5))</f>
        <v/>
      </c>
    </row>
    <row r="188">
      <c r="A188" s="22" t="n">
        <v>46229</v>
      </c>
      <c r="B188" s="18">
        <f>YEAR(A188)</f>
        <v/>
      </c>
      <c r="C188" s="18">
        <f>MONTH(A188)</f>
        <v/>
      </c>
      <c r="D188" s="18">
        <f>COUNTIFS(Ordenes!$C$2:$C$840,$A188,Ordenes!$T$2:$T$840,"Válida",Ordenes!$F$2:$F$840,IF($B$4="Todos","*",$B$4),Ordenes!$G$2:$G$840,IF($B$5="Todos","*",$B$5))</f>
        <v/>
      </c>
      <c r="E188" s="19">
        <f>SUMIFS(Ordenes!$P$2:$P$840,Ordenes!$C$2:$C$840,$A188,Ordenes!$T$2:$T$840,"Válida",Ordenes!$F$2:$F$840,IF($B$4="Todos","*",$B$4),Ordenes!$G$2:$G$840,IF($B$5="Todos","*",$B$5))</f>
        <v/>
      </c>
      <c r="F188" s="19">
        <f>SUMIFS(Ordenes!$Q$2:$Q$840,Ordenes!$C$2:$C$840,$A188,Ordenes!$T$2:$T$840,"Válida",Ordenes!$F$2:$F$840,IF($B$4="Todos","*",$B$4),Ordenes!$G$2:$G$840,IF($B$5="Todos","*",$B$5))</f>
        <v/>
      </c>
      <c r="G188" s="20">
        <f>IF(F188=0,NA(),E188/F188)</f>
        <v/>
      </c>
      <c r="H188" s="20">
        <f>IFERROR(SUMIFS(Ordenes!$V$2:$V$840,Ordenes!$C$2:$C$840,$A188,Ordenes!$T$2:$T$840,"Válida",Ordenes!$F$2:$F$840,IF($B$4="Todos","*",$B$4),Ordenes!$G$2:$G$840,IF($B$5="Todos","*",$B$5))/F188,NA())</f>
        <v/>
      </c>
      <c r="I188" s="21">
        <f>IFERROR((G188-H188)*100,"")</f>
        <v/>
      </c>
      <c r="J188" s="20">
        <f>IFERROR(ABS(G188-G187),"")</f>
        <v/>
      </c>
      <c r="K188" s="20">
        <f>$G$7</f>
        <v/>
      </c>
      <c r="L188" s="20">
        <f>$G$10</f>
        <v/>
      </c>
      <c r="M188" s="20">
        <f>$G$11</f>
        <v/>
      </c>
      <c r="N188" s="18">
        <f>IF(ISNA(G188),"Sin producción",IF(L188="","Sin límites",IF(G188&gt;L188,"▲ Sobre LCS",IF(G188&lt;M188,"▼ Bajo LCI","En control"))))</f>
        <v/>
      </c>
      <c r="O188" s="18">
        <f>COUNTIFS(Ordenes!$C$2:$C$840,$A188,Ordenes!$T$2:$T$840,"A corregir",Ordenes!$F$2:$F$840,IF($B$4="Todos","*",$B$4),Ordenes!$G$2:$G$840,IF($B$5="Todos","*",$B$5))</f>
        <v/>
      </c>
    </row>
    <row r="189">
      <c r="A189" s="22" t="n">
        <v>46230</v>
      </c>
      <c r="B189" s="18">
        <f>YEAR(A189)</f>
        <v/>
      </c>
      <c r="C189" s="18">
        <f>MONTH(A189)</f>
        <v/>
      </c>
      <c r="D189" s="18">
        <f>COUNTIFS(Ordenes!$C$2:$C$840,$A189,Ordenes!$T$2:$T$840,"Válida",Ordenes!$F$2:$F$840,IF($B$4="Todos","*",$B$4),Ordenes!$G$2:$G$840,IF($B$5="Todos","*",$B$5))</f>
        <v/>
      </c>
      <c r="E189" s="19">
        <f>SUMIFS(Ordenes!$P$2:$P$840,Ordenes!$C$2:$C$840,$A189,Ordenes!$T$2:$T$840,"Válida",Ordenes!$F$2:$F$840,IF($B$4="Todos","*",$B$4),Ordenes!$G$2:$G$840,IF($B$5="Todos","*",$B$5))</f>
        <v/>
      </c>
      <c r="F189" s="19">
        <f>SUMIFS(Ordenes!$Q$2:$Q$840,Ordenes!$C$2:$C$840,$A189,Ordenes!$T$2:$T$840,"Válida",Ordenes!$F$2:$F$840,IF($B$4="Todos","*",$B$4),Ordenes!$G$2:$G$840,IF($B$5="Todos","*",$B$5))</f>
        <v/>
      </c>
      <c r="G189" s="20">
        <f>IF(F189=0,NA(),E189/F189)</f>
        <v/>
      </c>
      <c r="H189" s="20">
        <f>IFERROR(SUMIFS(Ordenes!$V$2:$V$840,Ordenes!$C$2:$C$840,$A189,Ordenes!$T$2:$T$840,"Válida",Ordenes!$F$2:$F$840,IF($B$4="Todos","*",$B$4),Ordenes!$G$2:$G$840,IF($B$5="Todos","*",$B$5))/F189,NA())</f>
        <v/>
      </c>
      <c r="I189" s="21">
        <f>IFERROR((G189-H189)*100,"")</f>
        <v/>
      </c>
      <c r="J189" s="20">
        <f>IFERROR(ABS(G189-G188),"")</f>
        <v/>
      </c>
      <c r="K189" s="20">
        <f>$G$7</f>
        <v/>
      </c>
      <c r="L189" s="20">
        <f>$G$10</f>
        <v/>
      </c>
      <c r="M189" s="20">
        <f>$G$11</f>
        <v/>
      </c>
      <c r="N189" s="18">
        <f>IF(ISNA(G189),"Sin producción",IF(L189="","Sin límites",IF(G189&gt;L189,"▲ Sobre LCS",IF(G189&lt;M189,"▼ Bajo LCI","En control"))))</f>
        <v/>
      </c>
      <c r="O189" s="18">
        <f>COUNTIFS(Ordenes!$C$2:$C$840,$A189,Ordenes!$T$2:$T$840,"A corregir",Ordenes!$F$2:$F$840,IF($B$4="Todos","*",$B$4),Ordenes!$G$2:$G$840,IF($B$5="Todos","*",$B$5))</f>
        <v/>
      </c>
    </row>
    <row r="190">
      <c r="A190" s="22" t="n">
        <v>46231</v>
      </c>
      <c r="B190" s="18">
        <f>YEAR(A190)</f>
        <v/>
      </c>
      <c r="C190" s="18">
        <f>MONTH(A190)</f>
        <v/>
      </c>
      <c r="D190" s="18">
        <f>COUNTIFS(Ordenes!$C$2:$C$840,$A190,Ordenes!$T$2:$T$840,"Válida",Ordenes!$F$2:$F$840,IF($B$4="Todos","*",$B$4),Ordenes!$G$2:$G$840,IF($B$5="Todos","*",$B$5))</f>
        <v/>
      </c>
      <c r="E190" s="19">
        <f>SUMIFS(Ordenes!$P$2:$P$840,Ordenes!$C$2:$C$840,$A190,Ordenes!$T$2:$T$840,"Válida",Ordenes!$F$2:$F$840,IF($B$4="Todos","*",$B$4),Ordenes!$G$2:$G$840,IF($B$5="Todos","*",$B$5))</f>
        <v/>
      </c>
      <c r="F190" s="19">
        <f>SUMIFS(Ordenes!$Q$2:$Q$840,Ordenes!$C$2:$C$840,$A190,Ordenes!$T$2:$T$840,"Válida",Ordenes!$F$2:$F$840,IF($B$4="Todos","*",$B$4),Ordenes!$G$2:$G$840,IF($B$5="Todos","*",$B$5))</f>
        <v/>
      </c>
      <c r="G190" s="20">
        <f>IF(F190=0,NA(),E190/F190)</f>
        <v/>
      </c>
      <c r="H190" s="20">
        <f>IFERROR(SUMIFS(Ordenes!$V$2:$V$840,Ordenes!$C$2:$C$840,$A190,Ordenes!$T$2:$T$840,"Válida",Ordenes!$F$2:$F$840,IF($B$4="Todos","*",$B$4),Ordenes!$G$2:$G$840,IF($B$5="Todos","*",$B$5))/F190,NA())</f>
        <v/>
      </c>
      <c r="I190" s="21">
        <f>IFERROR((G190-H190)*100,"")</f>
        <v/>
      </c>
      <c r="J190" s="20">
        <f>IFERROR(ABS(G190-G189),"")</f>
        <v/>
      </c>
      <c r="K190" s="20">
        <f>$G$7</f>
        <v/>
      </c>
      <c r="L190" s="20">
        <f>$G$10</f>
        <v/>
      </c>
      <c r="M190" s="20">
        <f>$G$11</f>
        <v/>
      </c>
      <c r="N190" s="18">
        <f>IF(ISNA(G190),"Sin producción",IF(L190="","Sin límites",IF(G190&gt;L190,"▲ Sobre LCS",IF(G190&lt;M190,"▼ Bajo LCI","En control"))))</f>
        <v/>
      </c>
      <c r="O190" s="18">
        <f>COUNTIFS(Ordenes!$C$2:$C$840,$A190,Ordenes!$T$2:$T$840,"A corregir",Ordenes!$F$2:$F$840,IF($B$4="Todos","*",$B$4),Ordenes!$G$2:$G$840,IF($B$5="Todos","*",$B$5))</f>
        <v/>
      </c>
    </row>
    <row r="191">
      <c r="A191" s="22" t="n">
        <v>46233</v>
      </c>
      <c r="B191" s="18">
        <f>YEAR(A191)</f>
        <v/>
      </c>
      <c r="C191" s="18">
        <f>MONTH(A191)</f>
        <v/>
      </c>
      <c r="D191" s="18">
        <f>COUNTIFS(Ordenes!$C$2:$C$840,$A191,Ordenes!$T$2:$T$840,"Válida",Ordenes!$F$2:$F$840,IF($B$4="Todos","*",$B$4),Ordenes!$G$2:$G$840,IF($B$5="Todos","*",$B$5))</f>
        <v/>
      </c>
      <c r="E191" s="19">
        <f>SUMIFS(Ordenes!$P$2:$P$840,Ordenes!$C$2:$C$840,$A191,Ordenes!$T$2:$T$840,"Válida",Ordenes!$F$2:$F$840,IF($B$4="Todos","*",$B$4),Ordenes!$G$2:$G$840,IF($B$5="Todos","*",$B$5))</f>
        <v/>
      </c>
      <c r="F191" s="19">
        <f>SUMIFS(Ordenes!$Q$2:$Q$840,Ordenes!$C$2:$C$840,$A191,Ordenes!$T$2:$T$840,"Válida",Ordenes!$F$2:$F$840,IF($B$4="Todos","*",$B$4),Ordenes!$G$2:$G$840,IF($B$5="Todos","*",$B$5))</f>
        <v/>
      </c>
      <c r="G191" s="20">
        <f>IF(F191=0,NA(),E191/F191)</f>
        <v/>
      </c>
      <c r="H191" s="20">
        <f>IFERROR(SUMIFS(Ordenes!$V$2:$V$840,Ordenes!$C$2:$C$840,$A191,Ordenes!$T$2:$T$840,"Válida",Ordenes!$F$2:$F$840,IF($B$4="Todos","*",$B$4),Ordenes!$G$2:$G$840,IF($B$5="Todos","*",$B$5))/F191,NA())</f>
        <v/>
      </c>
      <c r="I191" s="21">
        <f>IFERROR((G191-H191)*100,"")</f>
        <v/>
      </c>
      <c r="J191" s="20">
        <f>IFERROR(ABS(G191-G190),"")</f>
        <v/>
      </c>
      <c r="K191" s="20">
        <f>$G$7</f>
        <v/>
      </c>
      <c r="L191" s="20">
        <f>$G$10</f>
        <v/>
      </c>
      <c r="M191" s="20">
        <f>$G$11</f>
        <v/>
      </c>
      <c r="N191" s="18">
        <f>IF(ISNA(G191),"Sin producción",IF(L191="","Sin límites",IF(G191&gt;L191,"▲ Sobre LCS",IF(G191&lt;M191,"▼ Bajo LCI","En control"))))</f>
        <v/>
      </c>
      <c r="O191" s="18">
        <f>COUNTIFS(Ordenes!$C$2:$C$840,$A191,Ordenes!$T$2:$T$840,"A corregir",Ordenes!$F$2:$F$840,IF($B$4="Todos","*",$B$4),Ordenes!$G$2:$G$840,IF($B$5="Todos","*",$B$5))</f>
        <v/>
      </c>
    </row>
    <row r="192">
      <c r="A192" s="22" t="n">
        <v>46234</v>
      </c>
      <c r="B192" s="18">
        <f>YEAR(A192)</f>
        <v/>
      </c>
      <c r="C192" s="18">
        <f>MONTH(A192)</f>
        <v/>
      </c>
      <c r="D192" s="18">
        <f>COUNTIFS(Ordenes!$C$2:$C$840,$A192,Ordenes!$T$2:$T$840,"Válida",Ordenes!$F$2:$F$840,IF($B$4="Todos","*",$B$4),Ordenes!$G$2:$G$840,IF($B$5="Todos","*",$B$5))</f>
        <v/>
      </c>
      <c r="E192" s="19">
        <f>SUMIFS(Ordenes!$P$2:$P$840,Ordenes!$C$2:$C$840,$A192,Ordenes!$T$2:$T$840,"Válida",Ordenes!$F$2:$F$840,IF($B$4="Todos","*",$B$4),Ordenes!$G$2:$G$840,IF($B$5="Todos","*",$B$5))</f>
        <v/>
      </c>
      <c r="F192" s="19">
        <f>SUMIFS(Ordenes!$Q$2:$Q$840,Ordenes!$C$2:$C$840,$A192,Ordenes!$T$2:$T$840,"Válida",Ordenes!$F$2:$F$840,IF($B$4="Todos","*",$B$4),Ordenes!$G$2:$G$840,IF($B$5="Todos","*",$B$5))</f>
        <v/>
      </c>
      <c r="G192" s="20">
        <f>IF(F192=0,NA(),E192/F192)</f>
        <v/>
      </c>
      <c r="H192" s="20">
        <f>IFERROR(SUMIFS(Ordenes!$V$2:$V$840,Ordenes!$C$2:$C$840,$A192,Ordenes!$T$2:$T$840,"Válida",Ordenes!$F$2:$F$840,IF($B$4="Todos","*",$B$4),Ordenes!$G$2:$G$840,IF($B$5="Todos","*",$B$5))/F192,NA())</f>
        <v/>
      </c>
      <c r="I192" s="21">
        <f>IFERROR((G192-H192)*100,"")</f>
        <v/>
      </c>
      <c r="J192" s="20">
        <f>IFERROR(ABS(G192-G191),"")</f>
        <v/>
      </c>
      <c r="K192" s="20">
        <f>$G$7</f>
        <v/>
      </c>
      <c r="L192" s="20">
        <f>$G$10</f>
        <v/>
      </c>
      <c r="M192" s="20">
        <f>$G$11</f>
        <v/>
      </c>
      <c r="N192" s="18">
        <f>IF(ISNA(G192),"Sin producción",IF(L192="","Sin límites",IF(G192&gt;L192,"▲ Sobre LCS",IF(G192&lt;M192,"▼ Bajo LCI","En control"))))</f>
        <v/>
      </c>
      <c r="O192" s="18">
        <f>COUNTIFS(Ordenes!$C$2:$C$840,$A192,Ordenes!$T$2:$T$840,"A corregir",Ordenes!$F$2:$F$840,IF($B$4="Todos","*",$B$4),Ordenes!$G$2:$G$840,IF($B$5="Todos","*",$B$5))</f>
        <v/>
      </c>
    </row>
    <row r="193">
      <c r="A193" s="22" t="n">
        <v>46235</v>
      </c>
      <c r="B193" s="18">
        <f>YEAR(A193)</f>
        <v/>
      </c>
      <c r="C193" s="18">
        <f>MONTH(A193)</f>
        <v/>
      </c>
      <c r="D193" s="18">
        <f>COUNTIFS(Ordenes!$C$2:$C$840,$A193,Ordenes!$T$2:$T$840,"Válida",Ordenes!$F$2:$F$840,IF($B$4="Todos","*",$B$4),Ordenes!$G$2:$G$840,IF($B$5="Todos","*",$B$5))</f>
        <v/>
      </c>
      <c r="E193" s="19">
        <f>SUMIFS(Ordenes!$P$2:$P$840,Ordenes!$C$2:$C$840,$A193,Ordenes!$T$2:$T$840,"Válida",Ordenes!$F$2:$F$840,IF($B$4="Todos","*",$B$4),Ordenes!$G$2:$G$840,IF($B$5="Todos","*",$B$5))</f>
        <v/>
      </c>
      <c r="F193" s="19">
        <f>SUMIFS(Ordenes!$Q$2:$Q$840,Ordenes!$C$2:$C$840,$A193,Ordenes!$T$2:$T$840,"Válida",Ordenes!$F$2:$F$840,IF($B$4="Todos","*",$B$4),Ordenes!$G$2:$G$840,IF($B$5="Todos","*",$B$5))</f>
        <v/>
      </c>
      <c r="G193" s="20">
        <f>IF(F193=0,NA(),E193/F193)</f>
        <v/>
      </c>
      <c r="H193" s="20">
        <f>IFERROR(SUMIFS(Ordenes!$V$2:$V$840,Ordenes!$C$2:$C$840,$A193,Ordenes!$T$2:$T$840,"Válida",Ordenes!$F$2:$F$840,IF($B$4="Todos","*",$B$4),Ordenes!$G$2:$G$840,IF($B$5="Todos","*",$B$5))/F193,NA())</f>
        <v/>
      </c>
      <c r="I193" s="21">
        <f>IFERROR((G193-H193)*100,"")</f>
        <v/>
      </c>
      <c r="J193" s="20">
        <f>IFERROR(ABS(G193-G192),"")</f>
        <v/>
      </c>
      <c r="K193" s="20">
        <f>$G$7</f>
        <v/>
      </c>
      <c r="L193" s="20">
        <f>$G$10</f>
        <v/>
      </c>
      <c r="M193" s="20">
        <f>$G$11</f>
        <v/>
      </c>
      <c r="N193" s="18">
        <f>IF(ISNA(G193),"Sin producción",IF(L193="","Sin límites",IF(G193&gt;L193,"▲ Sobre LCS",IF(G193&lt;M193,"▼ Bajo LCI","En control"))))</f>
        <v/>
      </c>
      <c r="O193" s="18">
        <f>COUNTIFS(Ordenes!$C$2:$C$840,$A193,Ordenes!$T$2:$T$840,"A corregir",Ordenes!$F$2:$F$840,IF($B$4="Todos","*",$B$4),Ordenes!$G$2:$G$840,IF($B$5="Todos","*",$B$5))</f>
        <v/>
      </c>
    </row>
    <row r="194">
      <c r="A194" s="22" t="n">
        <v>46237</v>
      </c>
      <c r="B194" s="18">
        <f>YEAR(A194)</f>
        <v/>
      </c>
      <c r="C194" s="18">
        <f>MONTH(A194)</f>
        <v/>
      </c>
      <c r="D194" s="18">
        <f>COUNTIFS(Ordenes!$C$2:$C$840,$A194,Ordenes!$T$2:$T$840,"Válida",Ordenes!$F$2:$F$840,IF($B$4="Todos","*",$B$4),Ordenes!$G$2:$G$840,IF($B$5="Todos","*",$B$5))</f>
        <v/>
      </c>
      <c r="E194" s="19">
        <f>SUMIFS(Ordenes!$P$2:$P$840,Ordenes!$C$2:$C$840,$A194,Ordenes!$T$2:$T$840,"Válida",Ordenes!$F$2:$F$840,IF($B$4="Todos","*",$B$4),Ordenes!$G$2:$G$840,IF($B$5="Todos","*",$B$5))</f>
        <v/>
      </c>
      <c r="F194" s="19">
        <f>SUMIFS(Ordenes!$Q$2:$Q$840,Ordenes!$C$2:$C$840,$A194,Ordenes!$T$2:$T$840,"Válida",Ordenes!$F$2:$F$840,IF($B$4="Todos","*",$B$4),Ordenes!$G$2:$G$840,IF($B$5="Todos","*",$B$5))</f>
        <v/>
      </c>
      <c r="G194" s="20">
        <f>IF(F194=0,NA(),E194/F194)</f>
        <v/>
      </c>
      <c r="H194" s="20">
        <f>IFERROR(SUMIFS(Ordenes!$V$2:$V$840,Ordenes!$C$2:$C$840,$A194,Ordenes!$T$2:$T$840,"Válida",Ordenes!$F$2:$F$840,IF($B$4="Todos","*",$B$4),Ordenes!$G$2:$G$840,IF($B$5="Todos","*",$B$5))/F194,NA())</f>
        <v/>
      </c>
      <c r="I194" s="21">
        <f>IFERROR((G194-H194)*100,"")</f>
        <v/>
      </c>
      <c r="J194" s="20">
        <f>IFERROR(ABS(G194-G193),"")</f>
        <v/>
      </c>
      <c r="K194" s="20">
        <f>$G$7</f>
        <v/>
      </c>
      <c r="L194" s="20">
        <f>$G$10</f>
        <v/>
      </c>
      <c r="M194" s="20">
        <f>$G$11</f>
        <v/>
      </c>
      <c r="N194" s="18">
        <f>IF(ISNA(G194),"Sin producción",IF(L194="","Sin límites",IF(G194&gt;L194,"▲ Sobre LCS",IF(G194&lt;M194,"▼ Bajo LCI","En control"))))</f>
        <v/>
      </c>
      <c r="O194" s="18">
        <f>COUNTIFS(Ordenes!$C$2:$C$840,$A194,Ordenes!$T$2:$T$840,"A corregir",Ordenes!$F$2:$F$840,IF($B$4="Todos","*",$B$4),Ordenes!$G$2:$G$840,IF($B$5="Todos","*",$B$5))</f>
        <v/>
      </c>
    </row>
    <row r="195">
      <c r="A195" s="22" t="n">
        <v>46238</v>
      </c>
      <c r="B195" s="18">
        <f>YEAR(A195)</f>
        <v/>
      </c>
      <c r="C195" s="18">
        <f>MONTH(A195)</f>
        <v/>
      </c>
      <c r="D195" s="18">
        <f>COUNTIFS(Ordenes!$C$2:$C$840,$A195,Ordenes!$T$2:$T$840,"Válida",Ordenes!$F$2:$F$840,IF($B$4="Todos","*",$B$4),Ordenes!$G$2:$G$840,IF($B$5="Todos","*",$B$5))</f>
        <v/>
      </c>
      <c r="E195" s="19">
        <f>SUMIFS(Ordenes!$P$2:$P$840,Ordenes!$C$2:$C$840,$A195,Ordenes!$T$2:$T$840,"Válida",Ordenes!$F$2:$F$840,IF($B$4="Todos","*",$B$4),Ordenes!$G$2:$G$840,IF($B$5="Todos","*",$B$5))</f>
        <v/>
      </c>
      <c r="F195" s="19">
        <f>SUMIFS(Ordenes!$Q$2:$Q$840,Ordenes!$C$2:$C$840,$A195,Ordenes!$T$2:$T$840,"Válida",Ordenes!$F$2:$F$840,IF($B$4="Todos","*",$B$4),Ordenes!$G$2:$G$840,IF($B$5="Todos","*",$B$5))</f>
        <v/>
      </c>
      <c r="G195" s="20">
        <f>IF(F195=0,NA(),E195/F195)</f>
        <v/>
      </c>
      <c r="H195" s="20">
        <f>IFERROR(SUMIFS(Ordenes!$V$2:$V$840,Ordenes!$C$2:$C$840,$A195,Ordenes!$T$2:$T$840,"Válida",Ordenes!$F$2:$F$840,IF($B$4="Todos","*",$B$4),Ordenes!$G$2:$G$840,IF($B$5="Todos","*",$B$5))/F195,NA())</f>
        <v/>
      </c>
      <c r="I195" s="21">
        <f>IFERROR((G195-H195)*100,"")</f>
        <v/>
      </c>
      <c r="J195" s="20">
        <f>IFERROR(ABS(G195-G194),"")</f>
        <v/>
      </c>
      <c r="K195" s="20">
        <f>$G$7</f>
        <v/>
      </c>
      <c r="L195" s="20">
        <f>$G$10</f>
        <v/>
      </c>
      <c r="M195" s="20">
        <f>$G$11</f>
        <v/>
      </c>
      <c r="N195" s="18">
        <f>IF(ISNA(G195),"Sin producción",IF(L195="","Sin límites",IF(G195&gt;L195,"▲ Sobre LCS",IF(G195&lt;M195,"▼ Bajo LCI","En control"))))</f>
        <v/>
      </c>
      <c r="O195" s="18">
        <f>COUNTIFS(Ordenes!$C$2:$C$840,$A195,Ordenes!$T$2:$T$840,"A corregir",Ordenes!$F$2:$F$840,IF($B$4="Todos","*",$B$4),Ordenes!$G$2:$G$840,IF($B$5="Todos","*",$B$5))</f>
        <v/>
      </c>
    </row>
    <row r="196">
      <c r="A196" s="22" t="n">
        <v>46239</v>
      </c>
      <c r="B196" s="18">
        <f>YEAR(A196)</f>
        <v/>
      </c>
      <c r="C196" s="18">
        <f>MONTH(A196)</f>
        <v/>
      </c>
      <c r="D196" s="18">
        <f>COUNTIFS(Ordenes!$C$2:$C$840,$A196,Ordenes!$T$2:$T$840,"Válida",Ordenes!$F$2:$F$840,IF($B$4="Todos","*",$B$4),Ordenes!$G$2:$G$840,IF($B$5="Todos","*",$B$5))</f>
        <v/>
      </c>
      <c r="E196" s="19">
        <f>SUMIFS(Ordenes!$P$2:$P$840,Ordenes!$C$2:$C$840,$A196,Ordenes!$T$2:$T$840,"Válida",Ordenes!$F$2:$F$840,IF($B$4="Todos","*",$B$4),Ordenes!$G$2:$G$840,IF($B$5="Todos","*",$B$5))</f>
        <v/>
      </c>
      <c r="F196" s="19">
        <f>SUMIFS(Ordenes!$Q$2:$Q$840,Ordenes!$C$2:$C$840,$A196,Ordenes!$T$2:$T$840,"Válida",Ordenes!$F$2:$F$840,IF($B$4="Todos","*",$B$4),Ordenes!$G$2:$G$840,IF($B$5="Todos","*",$B$5))</f>
        <v/>
      </c>
      <c r="G196" s="20">
        <f>IF(F196=0,NA(),E196/F196)</f>
        <v/>
      </c>
      <c r="H196" s="20">
        <f>IFERROR(SUMIFS(Ordenes!$V$2:$V$840,Ordenes!$C$2:$C$840,$A196,Ordenes!$T$2:$T$840,"Válida",Ordenes!$F$2:$F$840,IF($B$4="Todos","*",$B$4),Ordenes!$G$2:$G$840,IF($B$5="Todos","*",$B$5))/F196,NA())</f>
        <v/>
      </c>
      <c r="I196" s="21">
        <f>IFERROR((G196-H196)*100,"")</f>
        <v/>
      </c>
      <c r="J196" s="20">
        <f>IFERROR(ABS(G196-G195),"")</f>
        <v/>
      </c>
      <c r="K196" s="20">
        <f>$G$7</f>
        <v/>
      </c>
      <c r="L196" s="20">
        <f>$G$10</f>
        <v/>
      </c>
      <c r="M196" s="20">
        <f>$G$11</f>
        <v/>
      </c>
      <c r="N196" s="18">
        <f>IF(ISNA(G196),"Sin producción",IF(L196="","Sin límites",IF(G196&gt;L196,"▲ Sobre LCS",IF(G196&lt;M196,"▼ Bajo LCI","En control"))))</f>
        <v/>
      </c>
      <c r="O196" s="18">
        <f>COUNTIFS(Ordenes!$C$2:$C$840,$A196,Ordenes!$T$2:$T$840,"A corregir",Ordenes!$F$2:$F$840,IF($B$4="Todos","*",$B$4),Ordenes!$G$2:$G$840,IF($B$5="Todos","*",$B$5))</f>
        <v/>
      </c>
    </row>
    <row r="197">
      <c r="A197" s="22" t="n">
        <v>46240</v>
      </c>
      <c r="B197" s="18">
        <f>YEAR(A197)</f>
        <v/>
      </c>
      <c r="C197" s="18">
        <f>MONTH(A197)</f>
        <v/>
      </c>
      <c r="D197" s="18">
        <f>COUNTIFS(Ordenes!$C$2:$C$840,$A197,Ordenes!$T$2:$T$840,"Válida",Ordenes!$F$2:$F$840,IF($B$4="Todos","*",$B$4),Ordenes!$G$2:$G$840,IF($B$5="Todos","*",$B$5))</f>
        <v/>
      </c>
      <c r="E197" s="19">
        <f>SUMIFS(Ordenes!$P$2:$P$840,Ordenes!$C$2:$C$840,$A197,Ordenes!$T$2:$T$840,"Válida",Ordenes!$F$2:$F$840,IF($B$4="Todos","*",$B$4),Ordenes!$G$2:$G$840,IF($B$5="Todos","*",$B$5))</f>
        <v/>
      </c>
      <c r="F197" s="19">
        <f>SUMIFS(Ordenes!$Q$2:$Q$840,Ordenes!$C$2:$C$840,$A197,Ordenes!$T$2:$T$840,"Válida",Ordenes!$F$2:$F$840,IF($B$4="Todos","*",$B$4),Ordenes!$G$2:$G$840,IF($B$5="Todos","*",$B$5))</f>
        <v/>
      </c>
      <c r="G197" s="20">
        <f>IF(F197=0,NA(),E197/F197)</f>
        <v/>
      </c>
      <c r="H197" s="20">
        <f>IFERROR(SUMIFS(Ordenes!$V$2:$V$840,Ordenes!$C$2:$C$840,$A197,Ordenes!$T$2:$T$840,"Válida",Ordenes!$F$2:$F$840,IF($B$4="Todos","*",$B$4),Ordenes!$G$2:$G$840,IF($B$5="Todos","*",$B$5))/F197,NA())</f>
        <v/>
      </c>
      <c r="I197" s="21">
        <f>IFERROR((G197-H197)*100,"")</f>
        <v/>
      </c>
      <c r="J197" s="20">
        <f>IFERROR(ABS(G197-G196),"")</f>
        <v/>
      </c>
      <c r="K197" s="20">
        <f>$G$7</f>
        <v/>
      </c>
      <c r="L197" s="20">
        <f>$G$10</f>
        <v/>
      </c>
      <c r="M197" s="20">
        <f>$G$11</f>
        <v/>
      </c>
      <c r="N197" s="18">
        <f>IF(ISNA(G197),"Sin producción",IF(L197="","Sin límites",IF(G197&gt;L197,"▲ Sobre LCS",IF(G197&lt;M197,"▼ Bajo LCI","En control"))))</f>
        <v/>
      </c>
      <c r="O197" s="18">
        <f>COUNTIFS(Ordenes!$C$2:$C$840,$A197,Ordenes!$T$2:$T$840,"A corregir",Ordenes!$F$2:$F$840,IF($B$4="Todos","*",$B$4),Ordenes!$G$2:$G$840,IF($B$5="Todos","*",$B$5))</f>
        <v/>
      </c>
    </row>
    <row r="198">
      <c r="A198" s="22" t="n">
        <v>46241</v>
      </c>
      <c r="B198" s="18">
        <f>YEAR(A198)</f>
        <v/>
      </c>
      <c r="C198" s="18">
        <f>MONTH(A198)</f>
        <v/>
      </c>
      <c r="D198" s="18">
        <f>COUNTIFS(Ordenes!$C$2:$C$840,$A198,Ordenes!$T$2:$T$840,"Válida",Ordenes!$F$2:$F$840,IF($B$4="Todos","*",$B$4),Ordenes!$G$2:$G$840,IF($B$5="Todos","*",$B$5))</f>
        <v/>
      </c>
      <c r="E198" s="19">
        <f>SUMIFS(Ordenes!$P$2:$P$840,Ordenes!$C$2:$C$840,$A198,Ordenes!$T$2:$T$840,"Válida",Ordenes!$F$2:$F$840,IF($B$4="Todos","*",$B$4),Ordenes!$G$2:$G$840,IF($B$5="Todos","*",$B$5))</f>
        <v/>
      </c>
      <c r="F198" s="19">
        <f>SUMIFS(Ordenes!$Q$2:$Q$840,Ordenes!$C$2:$C$840,$A198,Ordenes!$T$2:$T$840,"Válida",Ordenes!$F$2:$F$840,IF($B$4="Todos","*",$B$4),Ordenes!$G$2:$G$840,IF($B$5="Todos","*",$B$5))</f>
        <v/>
      </c>
      <c r="G198" s="20">
        <f>IF(F198=0,NA(),E198/F198)</f>
        <v/>
      </c>
      <c r="H198" s="20">
        <f>IFERROR(SUMIFS(Ordenes!$V$2:$V$840,Ordenes!$C$2:$C$840,$A198,Ordenes!$T$2:$T$840,"Válida",Ordenes!$F$2:$F$840,IF($B$4="Todos","*",$B$4),Ordenes!$G$2:$G$840,IF($B$5="Todos","*",$B$5))/F198,NA())</f>
        <v/>
      </c>
      <c r="I198" s="21">
        <f>IFERROR((G198-H198)*100,"")</f>
        <v/>
      </c>
      <c r="J198" s="20">
        <f>IFERROR(ABS(G198-G197),"")</f>
        <v/>
      </c>
      <c r="K198" s="20">
        <f>$G$7</f>
        <v/>
      </c>
      <c r="L198" s="20">
        <f>$G$10</f>
        <v/>
      </c>
      <c r="M198" s="20">
        <f>$G$11</f>
        <v/>
      </c>
      <c r="N198" s="18">
        <f>IF(ISNA(G198),"Sin producción",IF(L198="","Sin límites",IF(G198&gt;L198,"▲ Sobre LCS",IF(G198&lt;M198,"▼ Bajo LCI","En control"))))</f>
        <v/>
      </c>
      <c r="O198" s="18">
        <f>COUNTIFS(Ordenes!$C$2:$C$840,$A198,Ordenes!$T$2:$T$840,"A corregir",Ordenes!$F$2:$F$840,IF($B$4="Todos","*",$B$4),Ordenes!$G$2:$G$840,IF($B$5="Todos","*",$B$5))</f>
        <v/>
      </c>
    </row>
    <row r="199">
      <c r="A199" s="22" t="n">
        <v>46242</v>
      </c>
      <c r="B199" s="18">
        <f>YEAR(A199)</f>
        <v/>
      </c>
      <c r="C199" s="18">
        <f>MONTH(A199)</f>
        <v/>
      </c>
      <c r="D199" s="18">
        <f>COUNTIFS(Ordenes!$C$2:$C$840,$A199,Ordenes!$T$2:$T$840,"Válida",Ordenes!$F$2:$F$840,IF($B$4="Todos","*",$B$4),Ordenes!$G$2:$G$840,IF($B$5="Todos","*",$B$5))</f>
        <v/>
      </c>
      <c r="E199" s="19">
        <f>SUMIFS(Ordenes!$P$2:$P$840,Ordenes!$C$2:$C$840,$A199,Ordenes!$T$2:$T$840,"Válida",Ordenes!$F$2:$F$840,IF($B$4="Todos","*",$B$4),Ordenes!$G$2:$G$840,IF($B$5="Todos","*",$B$5))</f>
        <v/>
      </c>
      <c r="F199" s="19">
        <f>SUMIFS(Ordenes!$Q$2:$Q$840,Ordenes!$C$2:$C$840,$A199,Ordenes!$T$2:$T$840,"Válida",Ordenes!$F$2:$F$840,IF($B$4="Todos","*",$B$4),Ordenes!$G$2:$G$840,IF($B$5="Todos","*",$B$5))</f>
        <v/>
      </c>
      <c r="G199" s="20">
        <f>IF(F199=0,NA(),E199/F199)</f>
        <v/>
      </c>
      <c r="H199" s="20">
        <f>IFERROR(SUMIFS(Ordenes!$V$2:$V$840,Ordenes!$C$2:$C$840,$A199,Ordenes!$T$2:$T$840,"Válida",Ordenes!$F$2:$F$840,IF($B$4="Todos","*",$B$4),Ordenes!$G$2:$G$840,IF($B$5="Todos","*",$B$5))/F199,NA())</f>
        <v/>
      </c>
      <c r="I199" s="21">
        <f>IFERROR((G199-H199)*100,"")</f>
        <v/>
      </c>
      <c r="J199" s="20">
        <f>IFERROR(ABS(G199-G198),"")</f>
        <v/>
      </c>
      <c r="K199" s="20">
        <f>$G$7</f>
        <v/>
      </c>
      <c r="L199" s="20">
        <f>$G$10</f>
        <v/>
      </c>
      <c r="M199" s="20">
        <f>$G$11</f>
        <v/>
      </c>
      <c r="N199" s="18">
        <f>IF(ISNA(G199),"Sin producción",IF(L199="","Sin límites",IF(G199&gt;L199,"▲ Sobre LCS",IF(G199&lt;M199,"▼ Bajo LCI","En control"))))</f>
        <v/>
      </c>
      <c r="O199" s="18">
        <f>COUNTIFS(Ordenes!$C$2:$C$840,$A199,Ordenes!$T$2:$T$840,"A corregir",Ordenes!$F$2:$F$840,IF($B$4="Todos","*",$B$4),Ordenes!$G$2:$G$840,IF($B$5="Todos","*",$B$5))</f>
        <v/>
      </c>
    </row>
    <row r="200">
      <c r="A200" s="22" t="n">
        <v>46244</v>
      </c>
      <c r="B200" s="18">
        <f>YEAR(A200)</f>
        <v/>
      </c>
      <c r="C200" s="18">
        <f>MONTH(A200)</f>
        <v/>
      </c>
      <c r="D200" s="18">
        <f>COUNTIFS(Ordenes!$C$2:$C$840,$A200,Ordenes!$T$2:$T$840,"Válida",Ordenes!$F$2:$F$840,IF($B$4="Todos","*",$B$4),Ordenes!$G$2:$G$840,IF($B$5="Todos","*",$B$5))</f>
        <v/>
      </c>
      <c r="E200" s="19">
        <f>SUMIFS(Ordenes!$P$2:$P$840,Ordenes!$C$2:$C$840,$A200,Ordenes!$T$2:$T$840,"Válida",Ordenes!$F$2:$F$840,IF($B$4="Todos","*",$B$4),Ordenes!$G$2:$G$840,IF($B$5="Todos","*",$B$5))</f>
        <v/>
      </c>
      <c r="F200" s="19">
        <f>SUMIFS(Ordenes!$Q$2:$Q$840,Ordenes!$C$2:$C$840,$A200,Ordenes!$T$2:$T$840,"Válida",Ordenes!$F$2:$F$840,IF($B$4="Todos","*",$B$4),Ordenes!$G$2:$G$840,IF($B$5="Todos","*",$B$5))</f>
        <v/>
      </c>
      <c r="G200" s="20">
        <f>IF(F200=0,NA(),E200/F200)</f>
        <v/>
      </c>
      <c r="H200" s="20">
        <f>IFERROR(SUMIFS(Ordenes!$V$2:$V$840,Ordenes!$C$2:$C$840,$A200,Ordenes!$T$2:$T$840,"Válida",Ordenes!$F$2:$F$840,IF($B$4="Todos","*",$B$4),Ordenes!$G$2:$G$840,IF($B$5="Todos","*",$B$5))/F200,NA())</f>
        <v/>
      </c>
      <c r="I200" s="21">
        <f>IFERROR((G200-H200)*100,"")</f>
        <v/>
      </c>
      <c r="J200" s="20">
        <f>IFERROR(ABS(G200-G199),"")</f>
        <v/>
      </c>
      <c r="K200" s="20">
        <f>$G$7</f>
        <v/>
      </c>
      <c r="L200" s="20">
        <f>$G$10</f>
        <v/>
      </c>
      <c r="M200" s="20">
        <f>$G$11</f>
        <v/>
      </c>
      <c r="N200" s="18">
        <f>IF(ISNA(G200),"Sin producción",IF(L200="","Sin límites",IF(G200&gt;L200,"▲ Sobre LCS",IF(G200&lt;M200,"▼ Bajo LCI","En control"))))</f>
        <v/>
      </c>
      <c r="O200" s="18">
        <f>COUNTIFS(Ordenes!$C$2:$C$840,$A200,Ordenes!$T$2:$T$840,"A corregir",Ordenes!$F$2:$F$840,IF($B$4="Todos","*",$B$4),Ordenes!$G$2:$G$840,IF($B$5="Todos","*",$B$5))</f>
        <v/>
      </c>
    </row>
    <row r="201">
      <c r="A201" s="22" t="n">
        <v>46245</v>
      </c>
      <c r="B201" s="18">
        <f>YEAR(A201)</f>
        <v/>
      </c>
      <c r="C201" s="18">
        <f>MONTH(A201)</f>
        <v/>
      </c>
      <c r="D201" s="18">
        <f>COUNTIFS(Ordenes!$C$2:$C$840,$A201,Ordenes!$T$2:$T$840,"Válida",Ordenes!$F$2:$F$840,IF($B$4="Todos","*",$B$4),Ordenes!$G$2:$G$840,IF($B$5="Todos","*",$B$5))</f>
        <v/>
      </c>
      <c r="E201" s="19">
        <f>SUMIFS(Ordenes!$P$2:$P$840,Ordenes!$C$2:$C$840,$A201,Ordenes!$T$2:$T$840,"Válida",Ordenes!$F$2:$F$840,IF($B$4="Todos","*",$B$4),Ordenes!$G$2:$G$840,IF($B$5="Todos","*",$B$5))</f>
        <v/>
      </c>
      <c r="F201" s="19">
        <f>SUMIFS(Ordenes!$Q$2:$Q$840,Ordenes!$C$2:$C$840,$A201,Ordenes!$T$2:$T$840,"Válida",Ordenes!$F$2:$F$840,IF($B$4="Todos","*",$B$4),Ordenes!$G$2:$G$840,IF($B$5="Todos","*",$B$5))</f>
        <v/>
      </c>
      <c r="G201" s="20">
        <f>IF(F201=0,NA(),E201/F201)</f>
        <v/>
      </c>
      <c r="H201" s="20">
        <f>IFERROR(SUMIFS(Ordenes!$V$2:$V$840,Ordenes!$C$2:$C$840,$A201,Ordenes!$T$2:$T$840,"Válida",Ordenes!$F$2:$F$840,IF($B$4="Todos","*",$B$4),Ordenes!$G$2:$G$840,IF($B$5="Todos","*",$B$5))/F201,NA())</f>
        <v/>
      </c>
      <c r="I201" s="21">
        <f>IFERROR((G201-H201)*100,"")</f>
        <v/>
      </c>
      <c r="J201" s="20">
        <f>IFERROR(ABS(G201-G200),"")</f>
        <v/>
      </c>
      <c r="K201" s="20">
        <f>$G$7</f>
        <v/>
      </c>
      <c r="L201" s="20">
        <f>$G$10</f>
        <v/>
      </c>
      <c r="M201" s="20">
        <f>$G$11</f>
        <v/>
      </c>
      <c r="N201" s="18">
        <f>IF(ISNA(G201),"Sin producción",IF(L201="","Sin límites",IF(G201&gt;L201,"▲ Sobre LCS",IF(G201&lt;M201,"▼ Bajo LCI","En control"))))</f>
        <v/>
      </c>
      <c r="O201" s="18">
        <f>COUNTIFS(Ordenes!$C$2:$C$840,$A201,Ordenes!$T$2:$T$840,"A corregir",Ordenes!$F$2:$F$840,IF($B$4="Todos","*",$B$4),Ordenes!$G$2:$G$840,IF($B$5="Todos","*",$B$5))</f>
        <v/>
      </c>
    </row>
    <row r="202">
      <c r="A202" s="22" t="n">
        <v>46246</v>
      </c>
      <c r="B202" s="18">
        <f>YEAR(A202)</f>
        <v/>
      </c>
      <c r="C202" s="18">
        <f>MONTH(A202)</f>
        <v/>
      </c>
      <c r="D202" s="18">
        <f>COUNTIFS(Ordenes!$C$2:$C$840,$A202,Ordenes!$T$2:$T$840,"Válida",Ordenes!$F$2:$F$840,IF($B$4="Todos","*",$B$4),Ordenes!$G$2:$G$840,IF($B$5="Todos","*",$B$5))</f>
        <v/>
      </c>
      <c r="E202" s="19">
        <f>SUMIFS(Ordenes!$P$2:$P$840,Ordenes!$C$2:$C$840,$A202,Ordenes!$T$2:$T$840,"Válida",Ordenes!$F$2:$F$840,IF($B$4="Todos","*",$B$4),Ordenes!$G$2:$G$840,IF($B$5="Todos","*",$B$5))</f>
        <v/>
      </c>
      <c r="F202" s="19">
        <f>SUMIFS(Ordenes!$Q$2:$Q$840,Ordenes!$C$2:$C$840,$A202,Ordenes!$T$2:$T$840,"Válida",Ordenes!$F$2:$F$840,IF($B$4="Todos","*",$B$4),Ordenes!$G$2:$G$840,IF($B$5="Todos","*",$B$5))</f>
        <v/>
      </c>
      <c r="G202" s="20">
        <f>IF(F202=0,NA(),E202/F202)</f>
        <v/>
      </c>
      <c r="H202" s="20">
        <f>IFERROR(SUMIFS(Ordenes!$V$2:$V$840,Ordenes!$C$2:$C$840,$A202,Ordenes!$T$2:$T$840,"Válida",Ordenes!$F$2:$F$840,IF($B$4="Todos","*",$B$4),Ordenes!$G$2:$G$840,IF($B$5="Todos","*",$B$5))/F202,NA())</f>
        <v/>
      </c>
      <c r="I202" s="21">
        <f>IFERROR((G202-H202)*100,"")</f>
        <v/>
      </c>
      <c r="J202" s="20">
        <f>IFERROR(ABS(G202-G201),"")</f>
        <v/>
      </c>
      <c r="K202" s="20">
        <f>$G$7</f>
        <v/>
      </c>
      <c r="L202" s="20">
        <f>$G$10</f>
        <v/>
      </c>
      <c r="M202" s="20">
        <f>$G$11</f>
        <v/>
      </c>
      <c r="N202" s="18">
        <f>IF(ISNA(G202),"Sin producción",IF(L202="","Sin límites",IF(G202&gt;L202,"▲ Sobre LCS",IF(G202&lt;M202,"▼ Bajo LCI","En control"))))</f>
        <v/>
      </c>
      <c r="O202" s="18">
        <f>COUNTIFS(Ordenes!$C$2:$C$840,$A202,Ordenes!$T$2:$T$840,"A corregir",Ordenes!$F$2:$F$840,IF($B$4="Todos","*",$B$4),Ordenes!$G$2:$G$840,IF($B$5="Todos","*",$B$5))</f>
        <v/>
      </c>
    </row>
    <row r="203">
      <c r="A203" s="22" t="n">
        <v>46247</v>
      </c>
      <c r="B203" s="18">
        <f>YEAR(A203)</f>
        <v/>
      </c>
      <c r="C203" s="18">
        <f>MONTH(A203)</f>
        <v/>
      </c>
      <c r="D203" s="18">
        <f>COUNTIFS(Ordenes!$C$2:$C$840,$A203,Ordenes!$T$2:$T$840,"Válida",Ordenes!$F$2:$F$840,IF($B$4="Todos","*",$B$4),Ordenes!$G$2:$G$840,IF($B$5="Todos","*",$B$5))</f>
        <v/>
      </c>
      <c r="E203" s="19">
        <f>SUMIFS(Ordenes!$P$2:$P$840,Ordenes!$C$2:$C$840,$A203,Ordenes!$T$2:$T$840,"Válida",Ordenes!$F$2:$F$840,IF($B$4="Todos","*",$B$4),Ordenes!$G$2:$G$840,IF($B$5="Todos","*",$B$5))</f>
        <v/>
      </c>
      <c r="F203" s="19">
        <f>SUMIFS(Ordenes!$Q$2:$Q$840,Ordenes!$C$2:$C$840,$A203,Ordenes!$T$2:$T$840,"Válida",Ordenes!$F$2:$F$840,IF($B$4="Todos","*",$B$4),Ordenes!$G$2:$G$840,IF($B$5="Todos","*",$B$5))</f>
        <v/>
      </c>
      <c r="G203" s="20">
        <f>IF(F203=0,NA(),E203/F203)</f>
        <v/>
      </c>
      <c r="H203" s="20">
        <f>IFERROR(SUMIFS(Ordenes!$V$2:$V$840,Ordenes!$C$2:$C$840,$A203,Ordenes!$T$2:$T$840,"Válida",Ordenes!$F$2:$F$840,IF($B$4="Todos","*",$B$4),Ordenes!$G$2:$G$840,IF($B$5="Todos","*",$B$5))/F203,NA())</f>
        <v/>
      </c>
      <c r="I203" s="21">
        <f>IFERROR((G203-H203)*100,"")</f>
        <v/>
      </c>
      <c r="J203" s="20">
        <f>IFERROR(ABS(G203-G202),"")</f>
        <v/>
      </c>
      <c r="K203" s="20">
        <f>$G$7</f>
        <v/>
      </c>
      <c r="L203" s="20">
        <f>$G$10</f>
        <v/>
      </c>
      <c r="M203" s="20">
        <f>$G$11</f>
        <v/>
      </c>
      <c r="N203" s="18">
        <f>IF(ISNA(G203),"Sin producción",IF(L203="","Sin límites",IF(G203&gt;L203,"▲ Sobre LCS",IF(G203&lt;M203,"▼ Bajo LCI","En control"))))</f>
        <v/>
      </c>
      <c r="O203" s="18">
        <f>COUNTIFS(Ordenes!$C$2:$C$840,$A203,Ordenes!$T$2:$T$840,"A corregir",Ordenes!$F$2:$F$840,IF($B$4="Todos","*",$B$4),Ordenes!$G$2:$G$840,IF($B$5="Todos","*",$B$5))</f>
        <v/>
      </c>
    </row>
    <row r="204">
      <c r="A204" s="22" t="n">
        <v>46248</v>
      </c>
      <c r="B204" s="18">
        <f>YEAR(A204)</f>
        <v/>
      </c>
      <c r="C204" s="18">
        <f>MONTH(A204)</f>
        <v/>
      </c>
      <c r="D204" s="18">
        <f>COUNTIFS(Ordenes!$C$2:$C$840,$A204,Ordenes!$T$2:$T$840,"Válida",Ordenes!$F$2:$F$840,IF($B$4="Todos","*",$B$4),Ordenes!$G$2:$G$840,IF($B$5="Todos","*",$B$5))</f>
        <v/>
      </c>
      <c r="E204" s="19">
        <f>SUMIFS(Ordenes!$P$2:$P$840,Ordenes!$C$2:$C$840,$A204,Ordenes!$T$2:$T$840,"Válida",Ordenes!$F$2:$F$840,IF($B$4="Todos","*",$B$4),Ordenes!$G$2:$G$840,IF($B$5="Todos","*",$B$5))</f>
        <v/>
      </c>
      <c r="F204" s="19">
        <f>SUMIFS(Ordenes!$Q$2:$Q$840,Ordenes!$C$2:$C$840,$A204,Ordenes!$T$2:$T$840,"Válida",Ordenes!$F$2:$F$840,IF($B$4="Todos","*",$B$4),Ordenes!$G$2:$G$840,IF($B$5="Todos","*",$B$5))</f>
        <v/>
      </c>
      <c r="G204" s="20">
        <f>IF(F204=0,NA(),E204/F204)</f>
        <v/>
      </c>
      <c r="H204" s="20">
        <f>IFERROR(SUMIFS(Ordenes!$V$2:$V$840,Ordenes!$C$2:$C$840,$A204,Ordenes!$T$2:$T$840,"Válida",Ordenes!$F$2:$F$840,IF($B$4="Todos","*",$B$4),Ordenes!$G$2:$G$840,IF($B$5="Todos","*",$B$5))/F204,NA())</f>
        <v/>
      </c>
      <c r="I204" s="21">
        <f>IFERROR((G204-H204)*100,"")</f>
        <v/>
      </c>
      <c r="J204" s="20">
        <f>IFERROR(ABS(G204-G203),"")</f>
        <v/>
      </c>
      <c r="K204" s="20">
        <f>$G$7</f>
        <v/>
      </c>
      <c r="L204" s="20">
        <f>$G$10</f>
        <v/>
      </c>
      <c r="M204" s="20">
        <f>$G$11</f>
        <v/>
      </c>
      <c r="N204" s="18">
        <f>IF(ISNA(G204),"Sin producción",IF(L204="","Sin límites",IF(G204&gt;L204,"▲ Sobre LCS",IF(G204&lt;M204,"▼ Bajo LCI","En control"))))</f>
        <v/>
      </c>
      <c r="O204" s="18">
        <f>COUNTIFS(Ordenes!$C$2:$C$840,$A204,Ordenes!$T$2:$T$840,"A corregir",Ordenes!$F$2:$F$840,IF($B$4="Todos","*",$B$4),Ordenes!$G$2:$G$840,IF($B$5="Todos","*",$B$5))</f>
        <v/>
      </c>
    </row>
    <row r="205">
      <c r="A205" s="22" t="n">
        <v>46249</v>
      </c>
      <c r="B205" s="18">
        <f>YEAR(A205)</f>
        <v/>
      </c>
      <c r="C205" s="18">
        <f>MONTH(A205)</f>
        <v/>
      </c>
      <c r="D205" s="18">
        <f>COUNTIFS(Ordenes!$C$2:$C$840,$A205,Ordenes!$T$2:$T$840,"Válida",Ordenes!$F$2:$F$840,IF($B$4="Todos","*",$B$4),Ordenes!$G$2:$G$840,IF($B$5="Todos","*",$B$5))</f>
        <v/>
      </c>
      <c r="E205" s="19">
        <f>SUMIFS(Ordenes!$P$2:$P$840,Ordenes!$C$2:$C$840,$A205,Ordenes!$T$2:$T$840,"Válida",Ordenes!$F$2:$F$840,IF($B$4="Todos","*",$B$4),Ordenes!$G$2:$G$840,IF($B$5="Todos","*",$B$5))</f>
        <v/>
      </c>
      <c r="F205" s="19">
        <f>SUMIFS(Ordenes!$Q$2:$Q$840,Ordenes!$C$2:$C$840,$A205,Ordenes!$T$2:$T$840,"Válida",Ordenes!$F$2:$F$840,IF($B$4="Todos","*",$B$4),Ordenes!$G$2:$G$840,IF($B$5="Todos","*",$B$5))</f>
        <v/>
      </c>
      <c r="G205" s="20">
        <f>IF(F205=0,NA(),E205/F205)</f>
        <v/>
      </c>
      <c r="H205" s="20">
        <f>IFERROR(SUMIFS(Ordenes!$V$2:$V$840,Ordenes!$C$2:$C$840,$A205,Ordenes!$T$2:$T$840,"Válida",Ordenes!$F$2:$F$840,IF($B$4="Todos","*",$B$4),Ordenes!$G$2:$G$840,IF($B$5="Todos","*",$B$5))/F205,NA())</f>
        <v/>
      </c>
      <c r="I205" s="21">
        <f>IFERROR((G205-H205)*100,"")</f>
        <v/>
      </c>
      <c r="J205" s="20">
        <f>IFERROR(ABS(G205-G204),"")</f>
        <v/>
      </c>
      <c r="K205" s="20">
        <f>$G$7</f>
        <v/>
      </c>
      <c r="L205" s="20">
        <f>$G$10</f>
        <v/>
      </c>
      <c r="M205" s="20">
        <f>$G$11</f>
        <v/>
      </c>
      <c r="N205" s="18">
        <f>IF(ISNA(G205),"Sin producción",IF(L205="","Sin límites",IF(G205&gt;L205,"▲ Sobre LCS",IF(G205&lt;M205,"▼ Bajo LCI","En control"))))</f>
        <v/>
      </c>
      <c r="O205" s="18">
        <f>COUNTIFS(Ordenes!$C$2:$C$840,$A205,Ordenes!$T$2:$T$840,"A corregir",Ordenes!$F$2:$F$840,IF($B$4="Todos","*",$B$4),Ordenes!$G$2:$G$840,IF($B$5="Todos","*",$B$5))</f>
        <v/>
      </c>
    </row>
    <row r="206">
      <c r="A206" s="22" t="n">
        <v>46251</v>
      </c>
      <c r="B206" s="18">
        <f>YEAR(A206)</f>
        <v/>
      </c>
      <c r="C206" s="18">
        <f>MONTH(A206)</f>
        <v/>
      </c>
      <c r="D206" s="18">
        <f>COUNTIFS(Ordenes!$C$2:$C$840,$A206,Ordenes!$T$2:$T$840,"Válida",Ordenes!$F$2:$F$840,IF($B$4="Todos","*",$B$4),Ordenes!$G$2:$G$840,IF($B$5="Todos","*",$B$5))</f>
        <v/>
      </c>
      <c r="E206" s="19">
        <f>SUMIFS(Ordenes!$P$2:$P$840,Ordenes!$C$2:$C$840,$A206,Ordenes!$T$2:$T$840,"Válida",Ordenes!$F$2:$F$840,IF($B$4="Todos","*",$B$4),Ordenes!$G$2:$G$840,IF($B$5="Todos","*",$B$5))</f>
        <v/>
      </c>
      <c r="F206" s="19">
        <f>SUMIFS(Ordenes!$Q$2:$Q$840,Ordenes!$C$2:$C$840,$A206,Ordenes!$T$2:$T$840,"Válida",Ordenes!$F$2:$F$840,IF($B$4="Todos","*",$B$4),Ordenes!$G$2:$G$840,IF($B$5="Todos","*",$B$5))</f>
        <v/>
      </c>
      <c r="G206" s="20">
        <f>IF(F206=0,NA(),E206/F206)</f>
        <v/>
      </c>
      <c r="H206" s="20">
        <f>IFERROR(SUMIFS(Ordenes!$V$2:$V$840,Ordenes!$C$2:$C$840,$A206,Ordenes!$T$2:$T$840,"Válida",Ordenes!$F$2:$F$840,IF($B$4="Todos","*",$B$4),Ordenes!$G$2:$G$840,IF($B$5="Todos","*",$B$5))/F206,NA())</f>
        <v/>
      </c>
      <c r="I206" s="21">
        <f>IFERROR((G206-H206)*100,"")</f>
        <v/>
      </c>
      <c r="J206" s="20">
        <f>IFERROR(ABS(G206-G205),"")</f>
        <v/>
      </c>
      <c r="K206" s="20">
        <f>$G$7</f>
        <v/>
      </c>
      <c r="L206" s="20">
        <f>$G$10</f>
        <v/>
      </c>
      <c r="M206" s="20">
        <f>$G$11</f>
        <v/>
      </c>
      <c r="N206" s="18">
        <f>IF(ISNA(G206),"Sin producción",IF(L206="","Sin límites",IF(G206&gt;L206,"▲ Sobre LCS",IF(G206&lt;M206,"▼ Bajo LCI","En control"))))</f>
        <v/>
      </c>
      <c r="O206" s="18">
        <f>COUNTIFS(Ordenes!$C$2:$C$840,$A206,Ordenes!$T$2:$T$840,"A corregir",Ordenes!$F$2:$F$840,IF($B$4="Todos","*",$B$4),Ordenes!$G$2:$G$840,IF($B$5="Todos","*",$B$5))</f>
        <v/>
      </c>
    </row>
    <row r="207">
      <c r="A207" s="22" t="n">
        <v>46252</v>
      </c>
      <c r="B207" s="18">
        <f>YEAR(A207)</f>
        <v/>
      </c>
      <c r="C207" s="18">
        <f>MONTH(A207)</f>
        <v/>
      </c>
      <c r="D207" s="18">
        <f>COUNTIFS(Ordenes!$C$2:$C$840,$A207,Ordenes!$T$2:$T$840,"Válida",Ordenes!$F$2:$F$840,IF($B$4="Todos","*",$B$4),Ordenes!$G$2:$G$840,IF($B$5="Todos","*",$B$5))</f>
        <v/>
      </c>
      <c r="E207" s="19">
        <f>SUMIFS(Ordenes!$P$2:$P$840,Ordenes!$C$2:$C$840,$A207,Ordenes!$T$2:$T$840,"Válida",Ordenes!$F$2:$F$840,IF($B$4="Todos","*",$B$4),Ordenes!$G$2:$G$840,IF($B$5="Todos","*",$B$5))</f>
        <v/>
      </c>
      <c r="F207" s="19">
        <f>SUMIFS(Ordenes!$Q$2:$Q$840,Ordenes!$C$2:$C$840,$A207,Ordenes!$T$2:$T$840,"Válida",Ordenes!$F$2:$F$840,IF($B$4="Todos","*",$B$4),Ordenes!$G$2:$G$840,IF($B$5="Todos","*",$B$5))</f>
        <v/>
      </c>
      <c r="G207" s="20">
        <f>IF(F207=0,NA(),E207/F207)</f>
        <v/>
      </c>
      <c r="H207" s="20">
        <f>IFERROR(SUMIFS(Ordenes!$V$2:$V$840,Ordenes!$C$2:$C$840,$A207,Ordenes!$T$2:$T$840,"Válida",Ordenes!$F$2:$F$840,IF($B$4="Todos","*",$B$4),Ordenes!$G$2:$G$840,IF($B$5="Todos","*",$B$5))/F207,NA())</f>
        <v/>
      </c>
      <c r="I207" s="21">
        <f>IFERROR((G207-H207)*100,"")</f>
        <v/>
      </c>
      <c r="J207" s="20">
        <f>IFERROR(ABS(G207-G206),"")</f>
        <v/>
      </c>
      <c r="K207" s="20">
        <f>$G$7</f>
        <v/>
      </c>
      <c r="L207" s="20">
        <f>$G$10</f>
        <v/>
      </c>
      <c r="M207" s="20">
        <f>$G$11</f>
        <v/>
      </c>
      <c r="N207" s="18">
        <f>IF(ISNA(G207),"Sin producción",IF(L207="","Sin límites",IF(G207&gt;L207,"▲ Sobre LCS",IF(G207&lt;M207,"▼ Bajo LCI","En control"))))</f>
        <v/>
      </c>
      <c r="O207" s="18">
        <f>COUNTIFS(Ordenes!$C$2:$C$840,$A207,Ordenes!$T$2:$T$840,"A corregir",Ordenes!$F$2:$F$840,IF($B$4="Todos","*",$B$4),Ordenes!$G$2:$G$840,IF($B$5="Todos","*",$B$5))</f>
        <v/>
      </c>
    </row>
    <row r="208">
      <c r="A208" s="22" t="n">
        <v>46253</v>
      </c>
      <c r="B208" s="18">
        <f>YEAR(A208)</f>
        <v/>
      </c>
      <c r="C208" s="18">
        <f>MONTH(A208)</f>
        <v/>
      </c>
      <c r="D208" s="18">
        <f>COUNTIFS(Ordenes!$C$2:$C$840,$A208,Ordenes!$T$2:$T$840,"Válida",Ordenes!$F$2:$F$840,IF($B$4="Todos","*",$B$4),Ordenes!$G$2:$G$840,IF($B$5="Todos","*",$B$5))</f>
        <v/>
      </c>
      <c r="E208" s="19">
        <f>SUMIFS(Ordenes!$P$2:$P$840,Ordenes!$C$2:$C$840,$A208,Ordenes!$T$2:$T$840,"Válida",Ordenes!$F$2:$F$840,IF($B$4="Todos","*",$B$4),Ordenes!$G$2:$G$840,IF($B$5="Todos","*",$B$5))</f>
        <v/>
      </c>
      <c r="F208" s="19">
        <f>SUMIFS(Ordenes!$Q$2:$Q$840,Ordenes!$C$2:$C$840,$A208,Ordenes!$T$2:$T$840,"Válida",Ordenes!$F$2:$F$840,IF($B$4="Todos","*",$B$4),Ordenes!$G$2:$G$840,IF($B$5="Todos","*",$B$5))</f>
        <v/>
      </c>
      <c r="G208" s="20">
        <f>IF(F208=0,NA(),E208/F208)</f>
        <v/>
      </c>
      <c r="H208" s="20">
        <f>IFERROR(SUMIFS(Ordenes!$V$2:$V$840,Ordenes!$C$2:$C$840,$A208,Ordenes!$T$2:$T$840,"Válida",Ordenes!$F$2:$F$840,IF($B$4="Todos","*",$B$4),Ordenes!$G$2:$G$840,IF($B$5="Todos","*",$B$5))/F208,NA())</f>
        <v/>
      </c>
      <c r="I208" s="21">
        <f>IFERROR((G208-H208)*100,"")</f>
        <v/>
      </c>
      <c r="J208" s="20">
        <f>IFERROR(ABS(G208-G207),"")</f>
        <v/>
      </c>
      <c r="K208" s="20">
        <f>$G$7</f>
        <v/>
      </c>
      <c r="L208" s="20">
        <f>$G$10</f>
        <v/>
      </c>
      <c r="M208" s="20">
        <f>$G$11</f>
        <v/>
      </c>
      <c r="N208" s="18">
        <f>IF(ISNA(G208),"Sin producción",IF(L208="","Sin límites",IF(G208&gt;L208,"▲ Sobre LCS",IF(G208&lt;M208,"▼ Bajo LCI","En control"))))</f>
        <v/>
      </c>
      <c r="O208" s="18">
        <f>COUNTIFS(Ordenes!$C$2:$C$840,$A208,Ordenes!$T$2:$T$840,"A corregir",Ordenes!$F$2:$F$840,IF($B$4="Todos","*",$B$4),Ordenes!$G$2:$G$840,IF($B$5="Todos","*",$B$5))</f>
        <v/>
      </c>
    </row>
    <row r="209">
      <c r="A209" s="22" t="n">
        <v>46254</v>
      </c>
      <c r="B209" s="18">
        <f>YEAR(A209)</f>
        <v/>
      </c>
      <c r="C209" s="18">
        <f>MONTH(A209)</f>
        <v/>
      </c>
      <c r="D209" s="18">
        <f>COUNTIFS(Ordenes!$C$2:$C$840,$A209,Ordenes!$T$2:$T$840,"Válida",Ordenes!$F$2:$F$840,IF($B$4="Todos","*",$B$4),Ordenes!$G$2:$G$840,IF($B$5="Todos","*",$B$5))</f>
        <v/>
      </c>
      <c r="E209" s="19">
        <f>SUMIFS(Ordenes!$P$2:$P$840,Ordenes!$C$2:$C$840,$A209,Ordenes!$T$2:$T$840,"Válida",Ordenes!$F$2:$F$840,IF($B$4="Todos","*",$B$4),Ordenes!$G$2:$G$840,IF($B$5="Todos","*",$B$5))</f>
        <v/>
      </c>
      <c r="F209" s="19">
        <f>SUMIFS(Ordenes!$Q$2:$Q$840,Ordenes!$C$2:$C$840,$A209,Ordenes!$T$2:$T$840,"Válida",Ordenes!$F$2:$F$840,IF($B$4="Todos","*",$B$4),Ordenes!$G$2:$G$840,IF($B$5="Todos","*",$B$5))</f>
        <v/>
      </c>
      <c r="G209" s="20">
        <f>IF(F209=0,NA(),E209/F209)</f>
        <v/>
      </c>
      <c r="H209" s="20">
        <f>IFERROR(SUMIFS(Ordenes!$V$2:$V$840,Ordenes!$C$2:$C$840,$A209,Ordenes!$T$2:$T$840,"Válida",Ordenes!$F$2:$F$840,IF($B$4="Todos","*",$B$4),Ordenes!$G$2:$G$840,IF($B$5="Todos","*",$B$5))/F209,NA())</f>
        <v/>
      </c>
      <c r="I209" s="21">
        <f>IFERROR((G209-H209)*100,"")</f>
        <v/>
      </c>
      <c r="J209" s="20">
        <f>IFERROR(ABS(G209-G208),"")</f>
        <v/>
      </c>
      <c r="K209" s="20">
        <f>$G$7</f>
        <v/>
      </c>
      <c r="L209" s="20">
        <f>$G$10</f>
        <v/>
      </c>
      <c r="M209" s="20">
        <f>$G$11</f>
        <v/>
      </c>
      <c r="N209" s="18">
        <f>IF(ISNA(G209),"Sin producción",IF(L209="","Sin límites",IF(G209&gt;L209,"▲ Sobre LCS",IF(G209&lt;M209,"▼ Bajo LCI","En control"))))</f>
        <v/>
      </c>
      <c r="O209" s="18">
        <f>COUNTIFS(Ordenes!$C$2:$C$840,$A209,Ordenes!$T$2:$T$840,"A corregir",Ordenes!$F$2:$F$840,IF($B$4="Todos","*",$B$4),Ordenes!$G$2:$G$840,IF($B$5="Todos","*",$B$5))</f>
        <v/>
      </c>
    </row>
    <row r="210">
      <c r="A210" s="22" t="n">
        <v>46255</v>
      </c>
      <c r="B210" s="18">
        <f>YEAR(A210)</f>
        <v/>
      </c>
      <c r="C210" s="18">
        <f>MONTH(A210)</f>
        <v/>
      </c>
      <c r="D210" s="18">
        <f>COUNTIFS(Ordenes!$C$2:$C$840,$A210,Ordenes!$T$2:$T$840,"Válida",Ordenes!$F$2:$F$840,IF($B$4="Todos","*",$B$4),Ordenes!$G$2:$G$840,IF($B$5="Todos","*",$B$5))</f>
        <v/>
      </c>
      <c r="E210" s="19">
        <f>SUMIFS(Ordenes!$P$2:$P$840,Ordenes!$C$2:$C$840,$A210,Ordenes!$T$2:$T$840,"Válida",Ordenes!$F$2:$F$840,IF($B$4="Todos","*",$B$4),Ordenes!$G$2:$G$840,IF($B$5="Todos","*",$B$5))</f>
        <v/>
      </c>
      <c r="F210" s="19">
        <f>SUMIFS(Ordenes!$Q$2:$Q$840,Ordenes!$C$2:$C$840,$A210,Ordenes!$T$2:$T$840,"Válida",Ordenes!$F$2:$F$840,IF($B$4="Todos","*",$B$4),Ordenes!$G$2:$G$840,IF($B$5="Todos","*",$B$5))</f>
        <v/>
      </c>
      <c r="G210" s="20">
        <f>IF(F210=0,NA(),E210/F210)</f>
        <v/>
      </c>
      <c r="H210" s="20">
        <f>IFERROR(SUMIFS(Ordenes!$V$2:$V$840,Ordenes!$C$2:$C$840,$A210,Ordenes!$T$2:$T$840,"Válida",Ordenes!$F$2:$F$840,IF($B$4="Todos","*",$B$4),Ordenes!$G$2:$G$840,IF($B$5="Todos","*",$B$5))/F210,NA())</f>
        <v/>
      </c>
      <c r="I210" s="21">
        <f>IFERROR((G210-H210)*100,"")</f>
        <v/>
      </c>
      <c r="J210" s="20">
        <f>IFERROR(ABS(G210-G209),"")</f>
        <v/>
      </c>
      <c r="K210" s="20">
        <f>$G$7</f>
        <v/>
      </c>
      <c r="L210" s="20">
        <f>$G$10</f>
        <v/>
      </c>
      <c r="M210" s="20">
        <f>$G$11</f>
        <v/>
      </c>
      <c r="N210" s="18">
        <f>IF(ISNA(G210),"Sin producción",IF(L210="","Sin límites",IF(G210&gt;L210,"▲ Sobre LCS",IF(G210&lt;M210,"▼ Bajo LCI","En control"))))</f>
        <v/>
      </c>
      <c r="O210" s="18">
        <f>COUNTIFS(Ordenes!$C$2:$C$840,$A210,Ordenes!$T$2:$T$840,"A corregir",Ordenes!$F$2:$F$840,IF($B$4="Todos","*",$B$4),Ordenes!$G$2:$G$840,IF($B$5="Todos","*",$B$5))</f>
        <v/>
      </c>
    </row>
    <row r="211">
      <c r="A211" s="22" t="n">
        <v>46256</v>
      </c>
      <c r="B211" s="18">
        <f>YEAR(A211)</f>
        <v/>
      </c>
      <c r="C211" s="18">
        <f>MONTH(A211)</f>
        <v/>
      </c>
      <c r="D211" s="18">
        <f>COUNTIFS(Ordenes!$C$2:$C$840,$A211,Ordenes!$T$2:$T$840,"Válida",Ordenes!$F$2:$F$840,IF($B$4="Todos","*",$B$4),Ordenes!$G$2:$G$840,IF($B$5="Todos","*",$B$5))</f>
        <v/>
      </c>
      <c r="E211" s="19">
        <f>SUMIFS(Ordenes!$P$2:$P$840,Ordenes!$C$2:$C$840,$A211,Ordenes!$T$2:$T$840,"Válida",Ordenes!$F$2:$F$840,IF($B$4="Todos","*",$B$4),Ordenes!$G$2:$G$840,IF($B$5="Todos","*",$B$5))</f>
        <v/>
      </c>
      <c r="F211" s="19">
        <f>SUMIFS(Ordenes!$Q$2:$Q$840,Ordenes!$C$2:$C$840,$A211,Ordenes!$T$2:$T$840,"Válida",Ordenes!$F$2:$F$840,IF($B$4="Todos","*",$B$4),Ordenes!$G$2:$G$840,IF($B$5="Todos","*",$B$5))</f>
        <v/>
      </c>
      <c r="G211" s="20">
        <f>IF(F211=0,NA(),E211/F211)</f>
        <v/>
      </c>
      <c r="H211" s="20">
        <f>IFERROR(SUMIFS(Ordenes!$V$2:$V$840,Ordenes!$C$2:$C$840,$A211,Ordenes!$T$2:$T$840,"Válida",Ordenes!$F$2:$F$840,IF($B$4="Todos","*",$B$4),Ordenes!$G$2:$G$840,IF($B$5="Todos","*",$B$5))/F211,NA())</f>
        <v/>
      </c>
      <c r="I211" s="21">
        <f>IFERROR((G211-H211)*100,"")</f>
        <v/>
      </c>
      <c r="J211" s="20">
        <f>IFERROR(ABS(G211-G210),"")</f>
        <v/>
      </c>
      <c r="K211" s="20">
        <f>$G$7</f>
        <v/>
      </c>
      <c r="L211" s="20">
        <f>$G$10</f>
        <v/>
      </c>
      <c r="M211" s="20">
        <f>$G$11</f>
        <v/>
      </c>
      <c r="N211" s="18">
        <f>IF(ISNA(G211),"Sin producción",IF(L211="","Sin límites",IF(G211&gt;L211,"▲ Sobre LCS",IF(G211&lt;M211,"▼ Bajo LCI","En control"))))</f>
        <v/>
      </c>
      <c r="O211" s="18">
        <f>COUNTIFS(Ordenes!$C$2:$C$840,$A211,Ordenes!$T$2:$T$840,"A corregir",Ordenes!$F$2:$F$840,IF($B$4="Todos","*",$B$4),Ordenes!$G$2:$G$840,IF($B$5="Todos","*",$B$5))</f>
        <v/>
      </c>
    </row>
    <row r="212">
      <c r="A212" s="22" t="n">
        <v>46258</v>
      </c>
      <c r="B212" s="18">
        <f>YEAR(A212)</f>
        <v/>
      </c>
      <c r="C212" s="18">
        <f>MONTH(A212)</f>
        <v/>
      </c>
      <c r="D212" s="18">
        <f>COUNTIFS(Ordenes!$C$2:$C$840,$A212,Ordenes!$T$2:$T$840,"Válida",Ordenes!$F$2:$F$840,IF($B$4="Todos","*",$B$4),Ordenes!$G$2:$G$840,IF($B$5="Todos","*",$B$5))</f>
        <v/>
      </c>
      <c r="E212" s="19">
        <f>SUMIFS(Ordenes!$P$2:$P$840,Ordenes!$C$2:$C$840,$A212,Ordenes!$T$2:$T$840,"Válida",Ordenes!$F$2:$F$840,IF($B$4="Todos","*",$B$4),Ordenes!$G$2:$G$840,IF($B$5="Todos","*",$B$5))</f>
        <v/>
      </c>
      <c r="F212" s="19">
        <f>SUMIFS(Ordenes!$Q$2:$Q$840,Ordenes!$C$2:$C$840,$A212,Ordenes!$T$2:$T$840,"Válida",Ordenes!$F$2:$F$840,IF($B$4="Todos","*",$B$4),Ordenes!$G$2:$G$840,IF($B$5="Todos","*",$B$5))</f>
        <v/>
      </c>
      <c r="G212" s="20">
        <f>IF(F212=0,NA(),E212/F212)</f>
        <v/>
      </c>
      <c r="H212" s="20">
        <f>IFERROR(SUMIFS(Ordenes!$V$2:$V$840,Ordenes!$C$2:$C$840,$A212,Ordenes!$T$2:$T$840,"Válida",Ordenes!$F$2:$F$840,IF($B$4="Todos","*",$B$4),Ordenes!$G$2:$G$840,IF($B$5="Todos","*",$B$5))/F212,NA())</f>
        <v/>
      </c>
      <c r="I212" s="21">
        <f>IFERROR((G212-H212)*100,"")</f>
        <v/>
      </c>
      <c r="J212" s="20">
        <f>IFERROR(ABS(G212-G211),"")</f>
        <v/>
      </c>
      <c r="K212" s="20">
        <f>$G$7</f>
        <v/>
      </c>
      <c r="L212" s="20">
        <f>$G$10</f>
        <v/>
      </c>
      <c r="M212" s="20">
        <f>$G$11</f>
        <v/>
      </c>
      <c r="N212" s="18">
        <f>IF(ISNA(G212),"Sin producción",IF(L212="","Sin límites",IF(G212&gt;L212,"▲ Sobre LCS",IF(G212&lt;M212,"▼ Bajo LCI","En control"))))</f>
        <v/>
      </c>
      <c r="O212" s="18">
        <f>COUNTIFS(Ordenes!$C$2:$C$840,$A212,Ordenes!$T$2:$T$840,"A corregir",Ordenes!$F$2:$F$840,IF($B$4="Todos","*",$B$4),Ordenes!$G$2:$G$840,IF($B$5="Todos","*",$B$5))</f>
        <v/>
      </c>
    </row>
    <row r="213">
      <c r="A213" s="22" t="n">
        <v>46259</v>
      </c>
      <c r="B213" s="18">
        <f>YEAR(A213)</f>
        <v/>
      </c>
      <c r="C213" s="18">
        <f>MONTH(A213)</f>
        <v/>
      </c>
      <c r="D213" s="18">
        <f>COUNTIFS(Ordenes!$C$2:$C$840,$A213,Ordenes!$T$2:$T$840,"Válida",Ordenes!$F$2:$F$840,IF($B$4="Todos","*",$B$4),Ordenes!$G$2:$G$840,IF($B$5="Todos","*",$B$5))</f>
        <v/>
      </c>
      <c r="E213" s="19">
        <f>SUMIFS(Ordenes!$P$2:$P$840,Ordenes!$C$2:$C$840,$A213,Ordenes!$T$2:$T$840,"Válida",Ordenes!$F$2:$F$840,IF($B$4="Todos","*",$B$4),Ordenes!$G$2:$G$840,IF($B$5="Todos","*",$B$5))</f>
        <v/>
      </c>
      <c r="F213" s="19">
        <f>SUMIFS(Ordenes!$Q$2:$Q$840,Ordenes!$C$2:$C$840,$A213,Ordenes!$T$2:$T$840,"Válida",Ordenes!$F$2:$F$840,IF($B$4="Todos","*",$B$4),Ordenes!$G$2:$G$840,IF($B$5="Todos","*",$B$5))</f>
        <v/>
      </c>
      <c r="G213" s="20">
        <f>IF(F213=0,NA(),E213/F213)</f>
        <v/>
      </c>
      <c r="H213" s="20">
        <f>IFERROR(SUMIFS(Ordenes!$V$2:$V$840,Ordenes!$C$2:$C$840,$A213,Ordenes!$T$2:$T$840,"Válida",Ordenes!$F$2:$F$840,IF($B$4="Todos","*",$B$4),Ordenes!$G$2:$G$840,IF($B$5="Todos","*",$B$5))/F213,NA())</f>
        <v/>
      </c>
      <c r="I213" s="21">
        <f>IFERROR((G213-H213)*100,"")</f>
        <v/>
      </c>
      <c r="J213" s="20">
        <f>IFERROR(ABS(G213-G212),"")</f>
        <v/>
      </c>
      <c r="K213" s="20">
        <f>$G$7</f>
        <v/>
      </c>
      <c r="L213" s="20">
        <f>$G$10</f>
        <v/>
      </c>
      <c r="M213" s="20">
        <f>$G$11</f>
        <v/>
      </c>
      <c r="N213" s="18">
        <f>IF(ISNA(G213),"Sin producción",IF(L213="","Sin límites",IF(G213&gt;L213,"▲ Sobre LCS",IF(G213&lt;M213,"▼ Bajo LCI","En control"))))</f>
        <v/>
      </c>
      <c r="O213" s="18">
        <f>COUNTIFS(Ordenes!$C$2:$C$840,$A213,Ordenes!$T$2:$T$840,"A corregir",Ordenes!$F$2:$F$840,IF($B$4="Todos","*",$B$4),Ordenes!$G$2:$G$840,IF($B$5="Todos","*",$B$5))</f>
        <v/>
      </c>
    </row>
    <row r="214">
      <c r="A214" s="22" t="n">
        <v>46260</v>
      </c>
      <c r="B214" s="18">
        <f>YEAR(A214)</f>
        <v/>
      </c>
      <c r="C214" s="18">
        <f>MONTH(A214)</f>
        <v/>
      </c>
      <c r="D214" s="18">
        <f>COUNTIFS(Ordenes!$C$2:$C$840,$A214,Ordenes!$T$2:$T$840,"Válida",Ordenes!$F$2:$F$840,IF($B$4="Todos","*",$B$4),Ordenes!$G$2:$G$840,IF($B$5="Todos","*",$B$5))</f>
        <v/>
      </c>
      <c r="E214" s="19">
        <f>SUMIFS(Ordenes!$P$2:$P$840,Ordenes!$C$2:$C$840,$A214,Ordenes!$T$2:$T$840,"Válida",Ordenes!$F$2:$F$840,IF($B$4="Todos","*",$B$4),Ordenes!$G$2:$G$840,IF($B$5="Todos","*",$B$5))</f>
        <v/>
      </c>
      <c r="F214" s="19">
        <f>SUMIFS(Ordenes!$Q$2:$Q$840,Ordenes!$C$2:$C$840,$A214,Ordenes!$T$2:$T$840,"Válida",Ordenes!$F$2:$F$840,IF($B$4="Todos","*",$B$4),Ordenes!$G$2:$G$840,IF($B$5="Todos","*",$B$5))</f>
        <v/>
      </c>
      <c r="G214" s="20">
        <f>IF(F214=0,NA(),E214/F214)</f>
        <v/>
      </c>
      <c r="H214" s="20">
        <f>IFERROR(SUMIFS(Ordenes!$V$2:$V$840,Ordenes!$C$2:$C$840,$A214,Ordenes!$T$2:$T$840,"Válida",Ordenes!$F$2:$F$840,IF($B$4="Todos","*",$B$4),Ordenes!$G$2:$G$840,IF($B$5="Todos","*",$B$5))/F214,NA())</f>
        <v/>
      </c>
      <c r="I214" s="21">
        <f>IFERROR((G214-H214)*100,"")</f>
        <v/>
      </c>
      <c r="J214" s="20">
        <f>IFERROR(ABS(G214-G213),"")</f>
        <v/>
      </c>
      <c r="K214" s="20">
        <f>$G$7</f>
        <v/>
      </c>
      <c r="L214" s="20">
        <f>$G$10</f>
        <v/>
      </c>
      <c r="M214" s="20">
        <f>$G$11</f>
        <v/>
      </c>
      <c r="N214" s="18">
        <f>IF(ISNA(G214),"Sin producción",IF(L214="","Sin límites",IF(G214&gt;L214,"▲ Sobre LCS",IF(G214&lt;M214,"▼ Bajo LCI","En control"))))</f>
        <v/>
      </c>
      <c r="O214" s="18">
        <f>COUNTIFS(Ordenes!$C$2:$C$840,$A214,Ordenes!$T$2:$T$840,"A corregir",Ordenes!$F$2:$F$840,IF($B$4="Todos","*",$B$4),Ordenes!$G$2:$G$840,IF($B$5="Todos","*",$B$5))</f>
        <v/>
      </c>
    </row>
    <row r="215">
      <c r="A215" s="22" t="n">
        <v>46261</v>
      </c>
      <c r="B215" s="18">
        <f>YEAR(A215)</f>
        <v/>
      </c>
      <c r="C215" s="18">
        <f>MONTH(A215)</f>
        <v/>
      </c>
      <c r="D215" s="18">
        <f>COUNTIFS(Ordenes!$C$2:$C$840,$A215,Ordenes!$T$2:$T$840,"Válida",Ordenes!$F$2:$F$840,IF($B$4="Todos","*",$B$4),Ordenes!$G$2:$G$840,IF($B$5="Todos","*",$B$5))</f>
        <v/>
      </c>
      <c r="E215" s="19">
        <f>SUMIFS(Ordenes!$P$2:$P$840,Ordenes!$C$2:$C$840,$A215,Ordenes!$T$2:$T$840,"Válida",Ordenes!$F$2:$F$840,IF($B$4="Todos","*",$B$4),Ordenes!$G$2:$G$840,IF($B$5="Todos","*",$B$5))</f>
        <v/>
      </c>
      <c r="F215" s="19">
        <f>SUMIFS(Ordenes!$Q$2:$Q$840,Ordenes!$C$2:$C$840,$A215,Ordenes!$T$2:$T$840,"Válida",Ordenes!$F$2:$F$840,IF($B$4="Todos","*",$B$4),Ordenes!$G$2:$G$840,IF($B$5="Todos","*",$B$5))</f>
        <v/>
      </c>
      <c r="G215" s="20">
        <f>IF(F215=0,NA(),E215/F215)</f>
        <v/>
      </c>
      <c r="H215" s="20">
        <f>IFERROR(SUMIFS(Ordenes!$V$2:$V$840,Ordenes!$C$2:$C$840,$A215,Ordenes!$T$2:$T$840,"Válida",Ordenes!$F$2:$F$840,IF($B$4="Todos","*",$B$4),Ordenes!$G$2:$G$840,IF($B$5="Todos","*",$B$5))/F215,NA())</f>
        <v/>
      </c>
      <c r="I215" s="21">
        <f>IFERROR((G215-H215)*100,"")</f>
        <v/>
      </c>
      <c r="J215" s="20">
        <f>IFERROR(ABS(G215-G214),"")</f>
        <v/>
      </c>
      <c r="K215" s="20">
        <f>$G$7</f>
        <v/>
      </c>
      <c r="L215" s="20">
        <f>$G$10</f>
        <v/>
      </c>
      <c r="M215" s="20">
        <f>$G$11</f>
        <v/>
      </c>
      <c r="N215" s="18">
        <f>IF(ISNA(G215),"Sin producción",IF(L215="","Sin límites",IF(G215&gt;L215,"▲ Sobre LCS",IF(G215&lt;M215,"▼ Bajo LCI","En control"))))</f>
        <v/>
      </c>
      <c r="O215" s="18">
        <f>COUNTIFS(Ordenes!$C$2:$C$840,$A215,Ordenes!$T$2:$T$840,"A corregir",Ordenes!$F$2:$F$840,IF($B$4="Todos","*",$B$4),Ordenes!$G$2:$G$840,IF($B$5="Todos","*",$B$5))</f>
        <v/>
      </c>
    </row>
    <row r="216">
      <c r="A216" s="22" t="n">
        <v>46265</v>
      </c>
      <c r="B216" s="18">
        <f>YEAR(A216)</f>
        <v/>
      </c>
      <c r="C216" s="18">
        <f>MONTH(A216)</f>
        <v/>
      </c>
      <c r="D216" s="18">
        <f>COUNTIFS(Ordenes!$C$2:$C$840,$A216,Ordenes!$T$2:$T$840,"Válida",Ordenes!$F$2:$F$840,IF($B$4="Todos","*",$B$4),Ordenes!$G$2:$G$840,IF($B$5="Todos","*",$B$5))</f>
        <v/>
      </c>
      <c r="E216" s="19">
        <f>SUMIFS(Ordenes!$P$2:$P$840,Ordenes!$C$2:$C$840,$A216,Ordenes!$T$2:$T$840,"Válida",Ordenes!$F$2:$F$840,IF($B$4="Todos","*",$B$4),Ordenes!$G$2:$G$840,IF($B$5="Todos","*",$B$5))</f>
        <v/>
      </c>
      <c r="F216" s="19">
        <f>SUMIFS(Ordenes!$Q$2:$Q$840,Ordenes!$C$2:$C$840,$A216,Ordenes!$T$2:$T$840,"Válida",Ordenes!$F$2:$F$840,IF($B$4="Todos","*",$B$4),Ordenes!$G$2:$G$840,IF($B$5="Todos","*",$B$5))</f>
        <v/>
      </c>
      <c r="G216" s="20">
        <f>IF(F216=0,NA(),E216/F216)</f>
        <v/>
      </c>
      <c r="H216" s="20">
        <f>IFERROR(SUMIFS(Ordenes!$V$2:$V$840,Ordenes!$C$2:$C$840,$A216,Ordenes!$T$2:$T$840,"Válida",Ordenes!$F$2:$F$840,IF($B$4="Todos","*",$B$4),Ordenes!$G$2:$G$840,IF($B$5="Todos","*",$B$5))/F216,NA())</f>
        <v/>
      </c>
      <c r="I216" s="21">
        <f>IFERROR((G216-H216)*100,"")</f>
        <v/>
      </c>
      <c r="J216" s="20">
        <f>IFERROR(ABS(G216-G215),"")</f>
        <v/>
      </c>
      <c r="K216" s="20">
        <f>$G$7</f>
        <v/>
      </c>
      <c r="L216" s="20">
        <f>$G$10</f>
        <v/>
      </c>
      <c r="M216" s="20">
        <f>$G$11</f>
        <v/>
      </c>
      <c r="N216" s="18">
        <f>IF(ISNA(G216),"Sin producción",IF(L216="","Sin límites",IF(G216&gt;L216,"▲ Sobre LCS",IF(G216&lt;M216,"▼ Bajo LCI","En control"))))</f>
        <v/>
      </c>
      <c r="O216" s="18">
        <f>COUNTIFS(Ordenes!$C$2:$C$840,$A216,Ordenes!$T$2:$T$840,"A corregir",Ordenes!$F$2:$F$840,IF($B$4="Todos","*",$B$4),Ordenes!$G$2:$G$840,IF($B$5="Todos","*",$B$5))</f>
        <v/>
      </c>
    </row>
    <row r="217">
      <c r="A217" s="22" t="n">
        <v>46266</v>
      </c>
      <c r="B217" s="18">
        <f>YEAR(A217)</f>
        <v/>
      </c>
      <c r="C217" s="18">
        <f>MONTH(A217)</f>
        <v/>
      </c>
      <c r="D217" s="18">
        <f>COUNTIFS(Ordenes!$C$2:$C$840,$A217,Ordenes!$T$2:$T$840,"Válida",Ordenes!$F$2:$F$840,IF($B$4="Todos","*",$B$4),Ordenes!$G$2:$G$840,IF($B$5="Todos","*",$B$5))</f>
        <v/>
      </c>
      <c r="E217" s="19">
        <f>SUMIFS(Ordenes!$P$2:$P$840,Ordenes!$C$2:$C$840,$A217,Ordenes!$T$2:$T$840,"Válida",Ordenes!$F$2:$F$840,IF($B$4="Todos","*",$B$4),Ordenes!$G$2:$G$840,IF($B$5="Todos","*",$B$5))</f>
        <v/>
      </c>
      <c r="F217" s="19">
        <f>SUMIFS(Ordenes!$Q$2:$Q$840,Ordenes!$C$2:$C$840,$A217,Ordenes!$T$2:$T$840,"Válida",Ordenes!$F$2:$F$840,IF($B$4="Todos","*",$B$4),Ordenes!$G$2:$G$840,IF($B$5="Todos","*",$B$5))</f>
        <v/>
      </c>
      <c r="G217" s="20">
        <f>IF(F217=0,NA(),E217/F217)</f>
        <v/>
      </c>
      <c r="H217" s="20">
        <f>IFERROR(SUMIFS(Ordenes!$V$2:$V$840,Ordenes!$C$2:$C$840,$A217,Ordenes!$T$2:$T$840,"Válida",Ordenes!$F$2:$F$840,IF($B$4="Todos","*",$B$4),Ordenes!$G$2:$G$840,IF($B$5="Todos","*",$B$5))/F217,NA())</f>
        <v/>
      </c>
      <c r="I217" s="21">
        <f>IFERROR((G217-H217)*100,"")</f>
        <v/>
      </c>
      <c r="J217" s="20">
        <f>IFERROR(ABS(G217-G216),"")</f>
        <v/>
      </c>
      <c r="K217" s="20">
        <f>$G$7</f>
        <v/>
      </c>
      <c r="L217" s="20">
        <f>$G$10</f>
        <v/>
      </c>
      <c r="M217" s="20">
        <f>$G$11</f>
        <v/>
      </c>
      <c r="N217" s="18">
        <f>IF(ISNA(G217),"Sin producción",IF(L217="","Sin límites",IF(G217&gt;L217,"▲ Sobre LCS",IF(G217&lt;M217,"▼ Bajo LCI","En control"))))</f>
        <v/>
      </c>
      <c r="O217" s="18">
        <f>COUNTIFS(Ordenes!$C$2:$C$840,$A217,Ordenes!$T$2:$T$840,"A corregir",Ordenes!$F$2:$F$840,IF($B$4="Todos","*",$B$4),Ordenes!$G$2:$G$840,IF($B$5="Todos","*",$B$5))</f>
        <v/>
      </c>
    </row>
    <row r="218">
      <c r="A218" s="22" t="n">
        <v>46267</v>
      </c>
      <c r="B218" s="18">
        <f>YEAR(A218)</f>
        <v/>
      </c>
      <c r="C218" s="18">
        <f>MONTH(A218)</f>
        <v/>
      </c>
      <c r="D218" s="18">
        <f>COUNTIFS(Ordenes!$C$2:$C$840,$A218,Ordenes!$T$2:$T$840,"Válida",Ordenes!$F$2:$F$840,IF($B$4="Todos","*",$B$4),Ordenes!$G$2:$G$840,IF($B$5="Todos","*",$B$5))</f>
        <v/>
      </c>
      <c r="E218" s="19">
        <f>SUMIFS(Ordenes!$P$2:$P$840,Ordenes!$C$2:$C$840,$A218,Ordenes!$T$2:$T$840,"Válida",Ordenes!$F$2:$F$840,IF($B$4="Todos","*",$B$4),Ordenes!$G$2:$G$840,IF($B$5="Todos","*",$B$5))</f>
        <v/>
      </c>
      <c r="F218" s="19">
        <f>SUMIFS(Ordenes!$Q$2:$Q$840,Ordenes!$C$2:$C$840,$A218,Ordenes!$T$2:$T$840,"Válida",Ordenes!$F$2:$F$840,IF($B$4="Todos","*",$B$4),Ordenes!$G$2:$G$840,IF($B$5="Todos","*",$B$5))</f>
        <v/>
      </c>
      <c r="G218" s="20">
        <f>IF(F218=0,NA(),E218/F218)</f>
        <v/>
      </c>
      <c r="H218" s="20">
        <f>IFERROR(SUMIFS(Ordenes!$V$2:$V$840,Ordenes!$C$2:$C$840,$A218,Ordenes!$T$2:$T$840,"Válida",Ordenes!$F$2:$F$840,IF($B$4="Todos","*",$B$4),Ordenes!$G$2:$G$840,IF($B$5="Todos","*",$B$5))/F218,NA())</f>
        <v/>
      </c>
      <c r="I218" s="21">
        <f>IFERROR((G218-H218)*100,"")</f>
        <v/>
      </c>
      <c r="J218" s="20">
        <f>IFERROR(ABS(G218-G217),"")</f>
        <v/>
      </c>
      <c r="K218" s="20">
        <f>$G$7</f>
        <v/>
      </c>
      <c r="L218" s="20">
        <f>$G$10</f>
        <v/>
      </c>
      <c r="M218" s="20">
        <f>$G$11</f>
        <v/>
      </c>
      <c r="N218" s="18">
        <f>IF(ISNA(G218),"Sin producción",IF(L218="","Sin límites",IF(G218&gt;L218,"▲ Sobre LCS",IF(G218&lt;M218,"▼ Bajo LCI","En control"))))</f>
        <v/>
      </c>
      <c r="O218" s="18">
        <f>COUNTIFS(Ordenes!$C$2:$C$840,$A218,Ordenes!$T$2:$T$840,"A corregir",Ordenes!$F$2:$F$840,IF($B$4="Todos","*",$B$4),Ordenes!$G$2:$G$840,IF($B$5="Todos","*",$B$5))</f>
        <v/>
      </c>
    </row>
    <row r="219">
      <c r="A219" s="22" t="n">
        <v>46268</v>
      </c>
      <c r="B219" s="18">
        <f>YEAR(A219)</f>
        <v/>
      </c>
      <c r="C219" s="18">
        <f>MONTH(A219)</f>
        <v/>
      </c>
      <c r="D219" s="18">
        <f>COUNTIFS(Ordenes!$C$2:$C$840,$A219,Ordenes!$T$2:$T$840,"Válida",Ordenes!$F$2:$F$840,IF($B$4="Todos","*",$B$4),Ordenes!$G$2:$G$840,IF($B$5="Todos","*",$B$5))</f>
        <v/>
      </c>
      <c r="E219" s="19">
        <f>SUMIFS(Ordenes!$P$2:$P$840,Ordenes!$C$2:$C$840,$A219,Ordenes!$T$2:$T$840,"Válida",Ordenes!$F$2:$F$840,IF($B$4="Todos","*",$B$4),Ordenes!$G$2:$G$840,IF($B$5="Todos","*",$B$5))</f>
        <v/>
      </c>
      <c r="F219" s="19">
        <f>SUMIFS(Ordenes!$Q$2:$Q$840,Ordenes!$C$2:$C$840,$A219,Ordenes!$T$2:$T$840,"Válida",Ordenes!$F$2:$F$840,IF($B$4="Todos","*",$B$4),Ordenes!$G$2:$G$840,IF($B$5="Todos","*",$B$5))</f>
        <v/>
      </c>
      <c r="G219" s="20">
        <f>IF(F219=0,NA(),E219/F219)</f>
        <v/>
      </c>
      <c r="H219" s="20">
        <f>IFERROR(SUMIFS(Ordenes!$V$2:$V$840,Ordenes!$C$2:$C$840,$A219,Ordenes!$T$2:$T$840,"Válida",Ordenes!$F$2:$F$840,IF($B$4="Todos","*",$B$4),Ordenes!$G$2:$G$840,IF($B$5="Todos","*",$B$5))/F219,NA())</f>
        <v/>
      </c>
      <c r="I219" s="21">
        <f>IFERROR((G219-H219)*100,"")</f>
        <v/>
      </c>
      <c r="J219" s="20">
        <f>IFERROR(ABS(G219-G218),"")</f>
        <v/>
      </c>
      <c r="K219" s="20">
        <f>$G$7</f>
        <v/>
      </c>
      <c r="L219" s="20">
        <f>$G$10</f>
        <v/>
      </c>
      <c r="M219" s="20">
        <f>$G$11</f>
        <v/>
      </c>
      <c r="N219" s="18">
        <f>IF(ISNA(G219),"Sin producción",IF(L219="","Sin límites",IF(G219&gt;L219,"▲ Sobre LCS",IF(G219&lt;M219,"▼ Bajo LCI","En control"))))</f>
        <v/>
      </c>
      <c r="O219" s="18">
        <f>COUNTIFS(Ordenes!$C$2:$C$840,$A219,Ordenes!$T$2:$T$840,"A corregir",Ordenes!$F$2:$F$840,IF($B$4="Todos","*",$B$4),Ordenes!$G$2:$G$840,IF($B$5="Todos","*",$B$5))</f>
        <v/>
      </c>
    </row>
    <row r="220">
      <c r="A220" s="22" t="n">
        <v>46269</v>
      </c>
      <c r="B220" s="18">
        <f>YEAR(A220)</f>
        <v/>
      </c>
      <c r="C220" s="18">
        <f>MONTH(A220)</f>
        <v/>
      </c>
      <c r="D220" s="18">
        <f>COUNTIFS(Ordenes!$C$2:$C$840,$A220,Ordenes!$T$2:$T$840,"Válida",Ordenes!$F$2:$F$840,IF($B$4="Todos","*",$B$4),Ordenes!$G$2:$G$840,IF($B$5="Todos","*",$B$5))</f>
        <v/>
      </c>
      <c r="E220" s="19">
        <f>SUMIFS(Ordenes!$P$2:$P$840,Ordenes!$C$2:$C$840,$A220,Ordenes!$T$2:$T$840,"Válida",Ordenes!$F$2:$F$840,IF($B$4="Todos","*",$B$4),Ordenes!$G$2:$G$840,IF($B$5="Todos","*",$B$5))</f>
        <v/>
      </c>
      <c r="F220" s="19">
        <f>SUMIFS(Ordenes!$Q$2:$Q$840,Ordenes!$C$2:$C$840,$A220,Ordenes!$T$2:$T$840,"Válida",Ordenes!$F$2:$F$840,IF($B$4="Todos","*",$B$4),Ordenes!$G$2:$G$840,IF($B$5="Todos","*",$B$5))</f>
        <v/>
      </c>
      <c r="G220" s="20">
        <f>IF(F220=0,NA(),E220/F220)</f>
        <v/>
      </c>
      <c r="H220" s="20">
        <f>IFERROR(SUMIFS(Ordenes!$V$2:$V$840,Ordenes!$C$2:$C$840,$A220,Ordenes!$T$2:$T$840,"Válida",Ordenes!$F$2:$F$840,IF($B$4="Todos","*",$B$4),Ordenes!$G$2:$G$840,IF($B$5="Todos","*",$B$5))/F220,NA())</f>
        <v/>
      </c>
      <c r="I220" s="21">
        <f>IFERROR((G220-H220)*100,"")</f>
        <v/>
      </c>
      <c r="J220" s="20">
        <f>IFERROR(ABS(G220-G219),"")</f>
        <v/>
      </c>
      <c r="K220" s="20">
        <f>$G$7</f>
        <v/>
      </c>
      <c r="L220" s="20">
        <f>$G$10</f>
        <v/>
      </c>
      <c r="M220" s="20">
        <f>$G$11</f>
        <v/>
      </c>
      <c r="N220" s="18">
        <f>IF(ISNA(G220),"Sin producción",IF(L220="","Sin límites",IF(G220&gt;L220,"▲ Sobre LCS",IF(G220&lt;M220,"▼ Bajo LCI","En control"))))</f>
        <v/>
      </c>
      <c r="O220" s="18">
        <f>COUNTIFS(Ordenes!$C$2:$C$840,$A220,Ordenes!$T$2:$T$840,"A corregir",Ordenes!$F$2:$F$840,IF($B$4="Todos","*",$B$4),Ordenes!$G$2:$G$840,IF($B$5="Todos","*",$B$5))</f>
        <v/>
      </c>
    </row>
    <row r="221">
      <c r="A221" s="22" t="n">
        <v>46270</v>
      </c>
      <c r="B221" s="18">
        <f>YEAR(A221)</f>
        <v/>
      </c>
      <c r="C221" s="18">
        <f>MONTH(A221)</f>
        <v/>
      </c>
      <c r="D221" s="18">
        <f>COUNTIFS(Ordenes!$C$2:$C$840,$A221,Ordenes!$T$2:$T$840,"Válida",Ordenes!$F$2:$F$840,IF($B$4="Todos","*",$B$4),Ordenes!$G$2:$G$840,IF($B$5="Todos","*",$B$5))</f>
        <v/>
      </c>
      <c r="E221" s="19">
        <f>SUMIFS(Ordenes!$P$2:$P$840,Ordenes!$C$2:$C$840,$A221,Ordenes!$T$2:$T$840,"Válida",Ordenes!$F$2:$F$840,IF($B$4="Todos","*",$B$4),Ordenes!$G$2:$G$840,IF($B$5="Todos","*",$B$5))</f>
        <v/>
      </c>
      <c r="F221" s="19">
        <f>SUMIFS(Ordenes!$Q$2:$Q$840,Ordenes!$C$2:$C$840,$A221,Ordenes!$T$2:$T$840,"Válida",Ordenes!$F$2:$F$840,IF($B$4="Todos","*",$B$4),Ordenes!$G$2:$G$840,IF($B$5="Todos","*",$B$5))</f>
        <v/>
      </c>
      <c r="G221" s="20">
        <f>IF(F221=0,NA(),E221/F221)</f>
        <v/>
      </c>
      <c r="H221" s="20">
        <f>IFERROR(SUMIFS(Ordenes!$V$2:$V$840,Ordenes!$C$2:$C$840,$A221,Ordenes!$T$2:$T$840,"Válida",Ordenes!$F$2:$F$840,IF($B$4="Todos","*",$B$4),Ordenes!$G$2:$G$840,IF($B$5="Todos","*",$B$5))/F221,NA())</f>
        <v/>
      </c>
      <c r="I221" s="21">
        <f>IFERROR((G221-H221)*100,"")</f>
        <v/>
      </c>
      <c r="J221" s="20">
        <f>IFERROR(ABS(G221-G220),"")</f>
        <v/>
      </c>
      <c r="K221" s="20">
        <f>$G$7</f>
        <v/>
      </c>
      <c r="L221" s="20">
        <f>$G$10</f>
        <v/>
      </c>
      <c r="M221" s="20">
        <f>$G$11</f>
        <v/>
      </c>
      <c r="N221" s="18">
        <f>IF(ISNA(G221),"Sin producción",IF(L221="","Sin límites",IF(G221&gt;L221,"▲ Sobre LCS",IF(G221&lt;M221,"▼ Bajo LCI","En control"))))</f>
        <v/>
      </c>
      <c r="O221" s="18">
        <f>COUNTIFS(Ordenes!$C$2:$C$840,$A221,Ordenes!$T$2:$T$840,"A corregir",Ordenes!$F$2:$F$840,IF($B$4="Todos","*",$B$4),Ordenes!$G$2:$G$840,IF($B$5="Todos","*",$B$5))</f>
        <v/>
      </c>
    </row>
    <row r="222">
      <c r="A222" s="22" t="n">
        <v>46272</v>
      </c>
      <c r="B222" s="18">
        <f>YEAR(A222)</f>
        <v/>
      </c>
      <c r="C222" s="18">
        <f>MONTH(A222)</f>
        <v/>
      </c>
      <c r="D222" s="18">
        <f>COUNTIFS(Ordenes!$C$2:$C$840,$A222,Ordenes!$T$2:$T$840,"Válida",Ordenes!$F$2:$F$840,IF($B$4="Todos","*",$B$4),Ordenes!$G$2:$G$840,IF($B$5="Todos","*",$B$5))</f>
        <v/>
      </c>
      <c r="E222" s="19">
        <f>SUMIFS(Ordenes!$P$2:$P$840,Ordenes!$C$2:$C$840,$A222,Ordenes!$T$2:$T$840,"Válida",Ordenes!$F$2:$F$840,IF($B$4="Todos","*",$B$4),Ordenes!$G$2:$G$840,IF($B$5="Todos","*",$B$5))</f>
        <v/>
      </c>
      <c r="F222" s="19">
        <f>SUMIFS(Ordenes!$Q$2:$Q$840,Ordenes!$C$2:$C$840,$A222,Ordenes!$T$2:$T$840,"Válida",Ordenes!$F$2:$F$840,IF($B$4="Todos","*",$B$4),Ordenes!$G$2:$G$840,IF($B$5="Todos","*",$B$5))</f>
        <v/>
      </c>
      <c r="G222" s="20">
        <f>IF(F222=0,NA(),E222/F222)</f>
        <v/>
      </c>
      <c r="H222" s="20">
        <f>IFERROR(SUMIFS(Ordenes!$V$2:$V$840,Ordenes!$C$2:$C$840,$A222,Ordenes!$T$2:$T$840,"Válida",Ordenes!$F$2:$F$840,IF($B$4="Todos","*",$B$4),Ordenes!$G$2:$G$840,IF($B$5="Todos","*",$B$5))/F222,NA())</f>
        <v/>
      </c>
      <c r="I222" s="21">
        <f>IFERROR((G222-H222)*100,"")</f>
        <v/>
      </c>
      <c r="J222" s="20">
        <f>IFERROR(ABS(G222-G221),"")</f>
        <v/>
      </c>
      <c r="K222" s="20">
        <f>$G$7</f>
        <v/>
      </c>
      <c r="L222" s="20">
        <f>$G$10</f>
        <v/>
      </c>
      <c r="M222" s="20">
        <f>$G$11</f>
        <v/>
      </c>
      <c r="N222" s="18">
        <f>IF(ISNA(G222),"Sin producción",IF(L222="","Sin límites",IF(G222&gt;L222,"▲ Sobre LCS",IF(G222&lt;M222,"▼ Bajo LCI","En control"))))</f>
        <v/>
      </c>
      <c r="O222" s="18">
        <f>COUNTIFS(Ordenes!$C$2:$C$840,$A222,Ordenes!$T$2:$T$840,"A corregir",Ordenes!$F$2:$F$840,IF($B$4="Todos","*",$B$4),Ordenes!$G$2:$G$840,IF($B$5="Todos","*",$B$5))</f>
        <v/>
      </c>
    </row>
    <row r="223">
      <c r="A223" s="22" t="n">
        <v>46273</v>
      </c>
      <c r="B223" s="18">
        <f>YEAR(A223)</f>
        <v/>
      </c>
      <c r="C223" s="18">
        <f>MONTH(A223)</f>
        <v/>
      </c>
      <c r="D223" s="18">
        <f>COUNTIFS(Ordenes!$C$2:$C$840,$A223,Ordenes!$T$2:$T$840,"Válida",Ordenes!$F$2:$F$840,IF($B$4="Todos","*",$B$4),Ordenes!$G$2:$G$840,IF($B$5="Todos","*",$B$5))</f>
        <v/>
      </c>
      <c r="E223" s="19">
        <f>SUMIFS(Ordenes!$P$2:$P$840,Ordenes!$C$2:$C$840,$A223,Ordenes!$T$2:$T$840,"Válida",Ordenes!$F$2:$F$840,IF($B$4="Todos","*",$B$4),Ordenes!$G$2:$G$840,IF($B$5="Todos","*",$B$5))</f>
        <v/>
      </c>
      <c r="F223" s="19">
        <f>SUMIFS(Ordenes!$Q$2:$Q$840,Ordenes!$C$2:$C$840,$A223,Ordenes!$T$2:$T$840,"Válida",Ordenes!$F$2:$F$840,IF($B$4="Todos","*",$B$4),Ordenes!$G$2:$G$840,IF($B$5="Todos","*",$B$5))</f>
        <v/>
      </c>
      <c r="G223" s="20">
        <f>IF(F223=0,NA(),E223/F223)</f>
        <v/>
      </c>
      <c r="H223" s="20">
        <f>IFERROR(SUMIFS(Ordenes!$V$2:$V$840,Ordenes!$C$2:$C$840,$A223,Ordenes!$T$2:$T$840,"Válida",Ordenes!$F$2:$F$840,IF($B$4="Todos","*",$B$4),Ordenes!$G$2:$G$840,IF($B$5="Todos","*",$B$5))/F223,NA())</f>
        <v/>
      </c>
      <c r="I223" s="21">
        <f>IFERROR((G223-H223)*100,"")</f>
        <v/>
      </c>
      <c r="J223" s="20">
        <f>IFERROR(ABS(G223-G222),"")</f>
        <v/>
      </c>
      <c r="K223" s="20">
        <f>$G$7</f>
        <v/>
      </c>
      <c r="L223" s="20">
        <f>$G$10</f>
        <v/>
      </c>
      <c r="M223" s="20">
        <f>$G$11</f>
        <v/>
      </c>
      <c r="N223" s="18">
        <f>IF(ISNA(G223),"Sin producción",IF(L223="","Sin límites",IF(G223&gt;L223,"▲ Sobre LCS",IF(G223&lt;M223,"▼ Bajo LCI","En control"))))</f>
        <v/>
      </c>
      <c r="O223" s="18">
        <f>COUNTIFS(Ordenes!$C$2:$C$840,$A223,Ordenes!$T$2:$T$840,"A corregir",Ordenes!$F$2:$F$840,IF($B$4="Todos","*",$B$4),Ordenes!$G$2:$G$840,IF($B$5="Todos","*",$B$5))</f>
        <v/>
      </c>
    </row>
    <row r="224">
      <c r="A224" s="22" t="n">
        <v>46274</v>
      </c>
      <c r="B224" s="18">
        <f>YEAR(A224)</f>
        <v/>
      </c>
      <c r="C224" s="18">
        <f>MONTH(A224)</f>
        <v/>
      </c>
      <c r="D224" s="18">
        <f>COUNTIFS(Ordenes!$C$2:$C$840,$A224,Ordenes!$T$2:$T$840,"Válida",Ordenes!$F$2:$F$840,IF($B$4="Todos","*",$B$4),Ordenes!$G$2:$G$840,IF($B$5="Todos","*",$B$5))</f>
        <v/>
      </c>
      <c r="E224" s="19">
        <f>SUMIFS(Ordenes!$P$2:$P$840,Ordenes!$C$2:$C$840,$A224,Ordenes!$T$2:$T$840,"Válida",Ordenes!$F$2:$F$840,IF($B$4="Todos","*",$B$4),Ordenes!$G$2:$G$840,IF($B$5="Todos","*",$B$5))</f>
        <v/>
      </c>
      <c r="F224" s="19">
        <f>SUMIFS(Ordenes!$Q$2:$Q$840,Ordenes!$C$2:$C$840,$A224,Ordenes!$T$2:$T$840,"Válida",Ordenes!$F$2:$F$840,IF($B$4="Todos","*",$B$4),Ordenes!$G$2:$G$840,IF($B$5="Todos","*",$B$5))</f>
        <v/>
      </c>
      <c r="G224" s="20">
        <f>IF(F224=0,NA(),E224/F224)</f>
        <v/>
      </c>
      <c r="H224" s="20">
        <f>IFERROR(SUMIFS(Ordenes!$V$2:$V$840,Ordenes!$C$2:$C$840,$A224,Ordenes!$T$2:$T$840,"Válida",Ordenes!$F$2:$F$840,IF($B$4="Todos","*",$B$4),Ordenes!$G$2:$G$840,IF($B$5="Todos","*",$B$5))/F224,NA())</f>
        <v/>
      </c>
      <c r="I224" s="21">
        <f>IFERROR((G224-H224)*100,"")</f>
        <v/>
      </c>
      <c r="J224" s="20">
        <f>IFERROR(ABS(G224-G223),"")</f>
        <v/>
      </c>
      <c r="K224" s="20">
        <f>$G$7</f>
        <v/>
      </c>
      <c r="L224" s="20">
        <f>$G$10</f>
        <v/>
      </c>
      <c r="M224" s="20">
        <f>$G$11</f>
        <v/>
      </c>
      <c r="N224" s="18">
        <f>IF(ISNA(G224),"Sin producción",IF(L224="","Sin límites",IF(G224&gt;L224,"▲ Sobre LCS",IF(G224&lt;M224,"▼ Bajo LCI","En control"))))</f>
        <v/>
      </c>
      <c r="O224" s="18">
        <f>COUNTIFS(Ordenes!$C$2:$C$840,$A224,Ordenes!$T$2:$T$840,"A corregir",Ordenes!$F$2:$F$840,IF($B$4="Todos","*",$B$4),Ordenes!$G$2:$G$840,IF($B$5="Todos","*",$B$5))</f>
        <v/>
      </c>
    </row>
    <row r="225">
      <c r="A225" s="22" t="n">
        <v>46275</v>
      </c>
      <c r="B225" s="18">
        <f>YEAR(A225)</f>
        <v/>
      </c>
      <c r="C225" s="18">
        <f>MONTH(A225)</f>
        <v/>
      </c>
      <c r="D225" s="18">
        <f>COUNTIFS(Ordenes!$C$2:$C$840,$A225,Ordenes!$T$2:$T$840,"Válida",Ordenes!$F$2:$F$840,IF($B$4="Todos","*",$B$4),Ordenes!$G$2:$G$840,IF($B$5="Todos","*",$B$5))</f>
        <v/>
      </c>
      <c r="E225" s="19">
        <f>SUMIFS(Ordenes!$P$2:$P$840,Ordenes!$C$2:$C$840,$A225,Ordenes!$T$2:$T$840,"Válida",Ordenes!$F$2:$F$840,IF($B$4="Todos","*",$B$4),Ordenes!$G$2:$G$840,IF($B$5="Todos","*",$B$5))</f>
        <v/>
      </c>
      <c r="F225" s="19">
        <f>SUMIFS(Ordenes!$Q$2:$Q$840,Ordenes!$C$2:$C$840,$A225,Ordenes!$T$2:$T$840,"Válida",Ordenes!$F$2:$F$840,IF($B$4="Todos","*",$B$4),Ordenes!$G$2:$G$840,IF($B$5="Todos","*",$B$5))</f>
        <v/>
      </c>
      <c r="G225" s="20">
        <f>IF(F225=0,NA(),E225/F225)</f>
        <v/>
      </c>
      <c r="H225" s="20">
        <f>IFERROR(SUMIFS(Ordenes!$V$2:$V$840,Ordenes!$C$2:$C$840,$A225,Ordenes!$T$2:$T$840,"Válida",Ordenes!$F$2:$F$840,IF($B$4="Todos","*",$B$4),Ordenes!$G$2:$G$840,IF($B$5="Todos","*",$B$5))/F225,NA())</f>
        <v/>
      </c>
      <c r="I225" s="21">
        <f>IFERROR((G225-H225)*100,"")</f>
        <v/>
      </c>
      <c r="J225" s="20">
        <f>IFERROR(ABS(G225-G224),"")</f>
        <v/>
      </c>
      <c r="K225" s="20">
        <f>$G$7</f>
        <v/>
      </c>
      <c r="L225" s="20">
        <f>$G$10</f>
        <v/>
      </c>
      <c r="M225" s="20">
        <f>$G$11</f>
        <v/>
      </c>
      <c r="N225" s="18">
        <f>IF(ISNA(G225),"Sin producción",IF(L225="","Sin límites",IF(G225&gt;L225,"▲ Sobre LCS",IF(G225&lt;M225,"▼ Bajo LCI","En control"))))</f>
        <v/>
      </c>
      <c r="O225" s="18">
        <f>COUNTIFS(Ordenes!$C$2:$C$840,$A225,Ordenes!$T$2:$T$840,"A corregir",Ordenes!$F$2:$F$840,IF($B$4="Todos","*",$B$4),Ordenes!$G$2:$G$840,IF($B$5="Todos","*",$B$5))</f>
        <v/>
      </c>
    </row>
    <row r="226">
      <c r="A226" s="22" t="n">
        <v>46276</v>
      </c>
      <c r="B226" s="18">
        <f>YEAR(A226)</f>
        <v/>
      </c>
      <c r="C226" s="18">
        <f>MONTH(A226)</f>
        <v/>
      </c>
      <c r="D226" s="18">
        <f>COUNTIFS(Ordenes!$C$2:$C$840,$A226,Ordenes!$T$2:$T$840,"Válida",Ordenes!$F$2:$F$840,IF($B$4="Todos","*",$B$4),Ordenes!$G$2:$G$840,IF($B$5="Todos","*",$B$5))</f>
        <v/>
      </c>
      <c r="E226" s="19">
        <f>SUMIFS(Ordenes!$P$2:$P$840,Ordenes!$C$2:$C$840,$A226,Ordenes!$T$2:$T$840,"Válida",Ordenes!$F$2:$F$840,IF($B$4="Todos","*",$B$4),Ordenes!$G$2:$G$840,IF($B$5="Todos","*",$B$5))</f>
        <v/>
      </c>
      <c r="F226" s="19">
        <f>SUMIFS(Ordenes!$Q$2:$Q$840,Ordenes!$C$2:$C$840,$A226,Ordenes!$T$2:$T$840,"Válida",Ordenes!$F$2:$F$840,IF($B$4="Todos","*",$B$4),Ordenes!$G$2:$G$840,IF($B$5="Todos","*",$B$5))</f>
        <v/>
      </c>
      <c r="G226" s="20">
        <f>IF(F226=0,NA(),E226/F226)</f>
        <v/>
      </c>
      <c r="H226" s="20">
        <f>IFERROR(SUMIFS(Ordenes!$V$2:$V$840,Ordenes!$C$2:$C$840,$A226,Ordenes!$T$2:$T$840,"Válida",Ordenes!$F$2:$F$840,IF($B$4="Todos","*",$B$4),Ordenes!$G$2:$G$840,IF($B$5="Todos","*",$B$5))/F226,NA())</f>
        <v/>
      </c>
      <c r="I226" s="21">
        <f>IFERROR((G226-H226)*100,"")</f>
        <v/>
      </c>
      <c r="J226" s="20">
        <f>IFERROR(ABS(G226-G225),"")</f>
        <v/>
      </c>
      <c r="K226" s="20">
        <f>$G$7</f>
        <v/>
      </c>
      <c r="L226" s="20">
        <f>$G$10</f>
        <v/>
      </c>
      <c r="M226" s="20">
        <f>$G$11</f>
        <v/>
      </c>
      <c r="N226" s="18">
        <f>IF(ISNA(G226),"Sin producción",IF(L226="","Sin límites",IF(G226&gt;L226,"▲ Sobre LCS",IF(G226&lt;M226,"▼ Bajo LCI","En control"))))</f>
        <v/>
      </c>
      <c r="O226" s="18">
        <f>COUNTIFS(Ordenes!$C$2:$C$840,$A226,Ordenes!$T$2:$T$840,"A corregir",Ordenes!$F$2:$F$840,IF($B$4="Todos","*",$B$4),Ordenes!$G$2:$G$840,IF($B$5="Todos","*",$B$5))</f>
        <v/>
      </c>
    </row>
    <row r="227">
      <c r="A227" s="22" t="n">
        <v>46279</v>
      </c>
      <c r="B227" s="18">
        <f>YEAR(A227)</f>
        <v/>
      </c>
      <c r="C227" s="18">
        <f>MONTH(A227)</f>
        <v/>
      </c>
      <c r="D227" s="18">
        <f>COUNTIFS(Ordenes!$C$2:$C$840,$A227,Ordenes!$T$2:$T$840,"Válida",Ordenes!$F$2:$F$840,IF($B$4="Todos","*",$B$4),Ordenes!$G$2:$G$840,IF($B$5="Todos","*",$B$5))</f>
        <v/>
      </c>
      <c r="E227" s="19">
        <f>SUMIFS(Ordenes!$P$2:$P$840,Ordenes!$C$2:$C$840,$A227,Ordenes!$T$2:$T$840,"Válida",Ordenes!$F$2:$F$840,IF($B$4="Todos","*",$B$4),Ordenes!$G$2:$G$840,IF($B$5="Todos","*",$B$5))</f>
        <v/>
      </c>
      <c r="F227" s="19">
        <f>SUMIFS(Ordenes!$Q$2:$Q$840,Ordenes!$C$2:$C$840,$A227,Ordenes!$T$2:$T$840,"Válida",Ordenes!$F$2:$F$840,IF($B$4="Todos","*",$B$4),Ordenes!$G$2:$G$840,IF($B$5="Todos","*",$B$5))</f>
        <v/>
      </c>
      <c r="G227" s="20">
        <f>IF(F227=0,NA(),E227/F227)</f>
        <v/>
      </c>
      <c r="H227" s="20">
        <f>IFERROR(SUMIFS(Ordenes!$V$2:$V$840,Ordenes!$C$2:$C$840,$A227,Ordenes!$T$2:$T$840,"Válida",Ordenes!$F$2:$F$840,IF($B$4="Todos","*",$B$4),Ordenes!$G$2:$G$840,IF($B$5="Todos","*",$B$5))/F227,NA())</f>
        <v/>
      </c>
      <c r="I227" s="21">
        <f>IFERROR((G227-H227)*100,"")</f>
        <v/>
      </c>
      <c r="J227" s="20">
        <f>IFERROR(ABS(G227-G226),"")</f>
        <v/>
      </c>
      <c r="K227" s="20">
        <f>$G$7</f>
        <v/>
      </c>
      <c r="L227" s="20">
        <f>$G$10</f>
        <v/>
      </c>
      <c r="M227" s="20">
        <f>$G$11</f>
        <v/>
      </c>
      <c r="N227" s="18">
        <f>IF(ISNA(G227),"Sin producción",IF(L227="","Sin límites",IF(G227&gt;L227,"▲ Sobre LCS",IF(G227&lt;M227,"▼ Bajo LCI","En control"))))</f>
        <v/>
      </c>
      <c r="O227" s="18">
        <f>COUNTIFS(Ordenes!$C$2:$C$840,$A227,Ordenes!$T$2:$T$840,"A corregir",Ordenes!$F$2:$F$840,IF($B$4="Todos","*",$B$4),Ordenes!$G$2:$G$840,IF($B$5="Todos","*",$B$5))</f>
        <v/>
      </c>
    </row>
    <row r="228">
      <c r="A228" s="22" t="n">
        <v>46280</v>
      </c>
      <c r="B228" s="18">
        <f>YEAR(A228)</f>
        <v/>
      </c>
      <c r="C228" s="18">
        <f>MONTH(A228)</f>
        <v/>
      </c>
      <c r="D228" s="18">
        <f>COUNTIFS(Ordenes!$C$2:$C$840,$A228,Ordenes!$T$2:$T$840,"Válida",Ordenes!$F$2:$F$840,IF($B$4="Todos","*",$B$4),Ordenes!$G$2:$G$840,IF($B$5="Todos","*",$B$5))</f>
        <v/>
      </c>
      <c r="E228" s="19">
        <f>SUMIFS(Ordenes!$P$2:$P$840,Ordenes!$C$2:$C$840,$A228,Ordenes!$T$2:$T$840,"Válida",Ordenes!$F$2:$F$840,IF($B$4="Todos","*",$B$4),Ordenes!$G$2:$G$840,IF($B$5="Todos","*",$B$5))</f>
        <v/>
      </c>
      <c r="F228" s="19">
        <f>SUMIFS(Ordenes!$Q$2:$Q$840,Ordenes!$C$2:$C$840,$A228,Ordenes!$T$2:$T$840,"Válida",Ordenes!$F$2:$F$840,IF($B$4="Todos","*",$B$4),Ordenes!$G$2:$G$840,IF($B$5="Todos","*",$B$5))</f>
        <v/>
      </c>
      <c r="G228" s="20">
        <f>IF(F228=0,NA(),E228/F228)</f>
        <v/>
      </c>
      <c r="H228" s="20">
        <f>IFERROR(SUMIFS(Ordenes!$V$2:$V$840,Ordenes!$C$2:$C$840,$A228,Ordenes!$T$2:$T$840,"Válida",Ordenes!$F$2:$F$840,IF($B$4="Todos","*",$B$4),Ordenes!$G$2:$G$840,IF($B$5="Todos","*",$B$5))/F228,NA())</f>
        <v/>
      </c>
      <c r="I228" s="21">
        <f>IFERROR((G228-H228)*100,"")</f>
        <v/>
      </c>
      <c r="J228" s="20">
        <f>IFERROR(ABS(G228-G227),"")</f>
        <v/>
      </c>
      <c r="K228" s="20">
        <f>$G$7</f>
        <v/>
      </c>
      <c r="L228" s="20">
        <f>$G$10</f>
        <v/>
      </c>
      <c r="M228" s="20">
        <f>$G$11</f>
        <v/>
      </c>
      <c r="N228" s="18">
        <f>IF(ISNA(G228),"Sin producción",IF(L228="","Sin límites",IF(G228&gt;L228,"▲ Sobre LCS",IF(G228&lt;M228,"▼ Bajo LCI","En control"))))</f>
        <v/>
      </c>
      <c r="O228" s="18">
        <f>COUNTIFS(Ordenes!$C$2:$C$840,$A228,Ordenes!$T$2:$T$840,"A corregir",Ordenes!$F$2:$F$840,IF($B$4="Todos","*",$B$4),Ordenes!$G$2:$G$840,IF($B$5="Todos","*",$B$5))</f>
        <v/>
      </c>
    </row>
    <row r="229">
      <c r="A229" s="22" t="n">
        <v>46281</v>
      </c>
      <c r="B229" s="18">
        <f>YEAR(A229)</f>
        <v/>
      </c>
      <c r="C229" s="18">
        <f>MONTH(A229)</f>
        <v/>
      </c>
      <c r="D229" s="18">
        <f>COUNTIFS(Ordenes!$C$2:$C$840,$A229,Ordenes!$T$2:$T$840,"Válida",Ordenes!$F$2:$F$840,IF($B$4="Todos","*",$B$4),Ordenes!$G$2:$G$840,IF($B$5="Todos","*",$B$5))</f>
        <v/>
      </c>
      <c r="E229" s="19">
        <f>SUMIFS(Ordenes!$P$2:$P$840,Ordenes!$C$2:$C$840,$A229,Ordenes!$T$2:$T$840,"Válida",Ordenes!$F$2:$F$840,IF($B$4="Todos","*",$B$4),Ordenes!$G$2:$G$840,IF($B$5="Todos","*",$B$5))</f>
        <v/>
      </c>
      <c r="F229" s="19">
        <f>SUMIFS(Ordenes!$Q$2:$Q$840,Ordenes!$C$2:$C$840,$A229,Ordenes!$T$2:$T$840,"Válida",Ordenes!$F$2:$F$840,IF($B$4="Todos","*",$B$4),Ordenes!$G$2:$G$840,IF($B$5="Todos","*",$B$5))</f>
        <v/>
      </c>
      <c r="G229" s="20">
        <f>IF(F229=0,NA(),E229/F229)</f>
        <v/>
      </c>
      <c r="H229" s="20">
        <f>IFERROR(SUMIFS(Ordenes!$V$2:$V$840,Ordenes!$C$2:$C$840,$A229,Ordenes!$T$2:$T$840,"Válida",Ordenes!$F$2:$F$840,IF($B$4="Todos","*",$B$4),Ordenes!$G$2:$G$840,IF($B$5="Todos","*",$B$5))/F229,NA())</f>
        <v/>
      </c>
      <c r="I229" s="21">
        <f>IFERROR((G229-H229)*100,"")</f>
        <v/>
      </c>
      <c r="J229" s="20">
        <f>IFERROR(ABS(G229-G228),"")</f>
        <v/>
      </c>
      <c r="K229" s="20">
        <f>$G$7</f>
        <v/>
      </c>
      <c r="L229" s="20">
        <f>$G$10</f>
        <v/>
      </c>
      <c r="M229" s="20">
        <f>$G$11</f>
        <v/>
      </c>
      <c r="N229" s="18">
        <f>IF(ISNA(G229),"Sin producción",IF(L229="","Sin límites",IF(G229&gt;L229,"▲ Sobre LCS",IF(G229&lt;M229,"▼ Bajo LCI","En control"))))</f>
        <v/>
      </c>
      <c r="O229" s="18">
        <f>COUNTIFS(Ordenes!$C$2:$C$840,$A229,Ordenes!$T$2:$T$840,"A corregir",Ordenes!$F$2:$F$840,IF($B$4="Todos","*",$B$4),Ordenes!$G$2:$G$840,IF($B$5="Todos","*",$B$5))</f>
        <v/>
      </c>
    </row>
    <row r="230">
      <c r="A230" s="22" t="n">
        <v>46282</v>
      </c>
      <c r="B230" s="18">
        <f>YEAR(A230)</f>
        <v/>
      </c>
      <c r="C230" s="18">
        <f>MONTH(A230)</f>
        <v/>
      </c>
      <c r="D230" s="18">
        <f>COUNTIFS(Ordenes!$C$2:$C$840,$A230,Ordenes!$T$2:$T$840,"Válida",Ordenes!$F$2:$F$840,IF($B$4="Todos","*",$B$4),Ordenes!$G$2:$G$840,IF($B$5="Todos","*",$B$5))</f>
        <v/>
      </c>
      <c r="E230" s="19">
        <f>SUMIFS(Ordenes!$P$2:$P$840,Ordenes!$C$2:$C$840,$A230,Ordenes!$T$2:$T$840,"Válida",Ordenes!$F$2:$F$840,IF($B$4="Todos","*",$B$4),Ordenes!$G$2:$G$840,IF($B$5="Todos","*",$B$5))</f>
        <v/>
      </c>
      <c r="F230" s="19">
        <f>SUMIFS(Ordenes!$Q$2:$Q$840,Ordenes!$C$2:$C$840,$A230,Ordenes!$T$2:$T$840,"Válida",Ordenes!$F$2:$F$840,IF($B$4="Todos","*",$B$4),Ordenes!$G$2:$G$840,IF($B$5="Todos","*",$B$5))</f>
        <v/>
      </c>
      <c r="G230" s="20">
        <f>IF(F230=0,NA(),E230/F230)</f>
        <v/>
      </c>
      <c r="H230" s="20">
        <f>IFERROR(SUMIFS(Ordenes!$V$2:$V$840,Ordenes!$C$2:$C$840,$A230,Ordenes!$T$2:$T$840,"Válida",Ordenes!$F$2:$F$840,IF($B$4="Todos","*",$B$4),Ordenes!$G$2:$G$840,IF($B$5="Todos","*",$B$5))/F230,NA())</f>
        <v/>
      </c>
      <c r="I230" s="21">
        <f>IFERROR((G230-H230)*100,"")</f>
        <v/>
      </c>
      <c r="J230" s="20">
        <f>IFERROR(ABS(G230-G229),"")</f>
        <v/>
      </c>
      <c r="K230" s="20">
        <f>$G$7</f>
        <v/>
      </c>
      <c r="L230" s="20">
        <f>$G$10</f>
        <v/>
      </c>
      <c r="M230" s="20">
        <f>$G$11</f>
        <v/>
      </c>
      <c r="N230" s="18">
        <f>IF(ISNA(G230),"Sin producción",IF(L230="","Sin límites",IF(G230&gt;L230,"▲ Sobre LCS",IF(G230&lt;M230,"▼ Bajo LCI","En control"))))</f>
        <v/>
      </c>
      <c r="O230" s="18">
        <f>COUNTIFS(Ordenes!$C$2:$C$840,$A230,Ordenes!$T$2:$T$840,"A corregir",Ordenes!$F$2:$F$840,IF($B$4="Todos","*",$B$4),Ordenes!$G$2:$G$840,IF($B$5="Todos","*",$B$5))</f>
        <v/>
      </c>
    </row>
    <row r="231">
      <c r="A231" s="22" t="n">
        <v>46286</v>
      </c>
      <c r="B231" s="18">
        <f>YEAR(A231)</f>
        <v/>
      </c>
      <c r="C231" s="18">
        <f>MONTH(A231)</f>
        <v/>
      </c>
      <c r="D231" s="18">
        <f>COUNTIFS(Ordenes!$C$2:$C$840,$A231,Ordenes!$T$2:$T$840,"Válida",Ordenes!$F$2:$F$840,IF($B$4="Todos","*",$B$4),Ordenes!$G$2:$G$840,IF($B$5="Todos","*",$B$5))</f>
        <v/>
      </c>
      <c r="E231" s="19">
        <f>SUMIFS(Ordenes!$P$2:$P$840,Ordenes!$C$2:$C$840,$A231,Ordenes!$T$2:$T$840,"Válida",Ordenes!$F$2:$F$840,IF($B$4="Todos","*",$B$4),Ordenes!$G$2:$G$840,IF($B$5="Todos","*",$B$5))</f>
        <v/>
      </c>
      <c r="F231" s="19">
        <f>SUMIFS(Ordenes!$Q$2:$Q$840,Ordenes!$C$2:$C$840,$A231,Ordenes!$T$2:$T$840,"Válida",Ordenes!$F$2:$F$840,IF($B$4="Todos","*",$B$4),Ordenes!$G$2:$G$840,IF($B$5="Todos","*",$B$5))</f>
        <v/>
      </c>
      <c r="G231" s="20">
        <f>IF(F231=0,NA(),E231/F231)</f>
        <v/>
      </c>
      <c r="H231" s="20">
        <f>IFERROR(SUMIFS(Ordenes!$V$2:$V$840,Ordenes!$C$2:$C$840,$A231,Ordenes!$T$2:$T$840,"Válida",Ordenes!$F$2:$F$840,IF($B$4="Todos","*",$B$4),Ordenes!$G$2:$G$840,IF($B$5="Todos","*",$B$5))/F231,NA())</f>
        <v/>
      </c>
      <c r="I231" s="21">
        <f>IFERROR((G231-H231)*100,"")</f>
        <v/>
      </c>
      <c r="J231" s="20">
        <f>IFERROR(ABS(G231-G230),"")</f>
        <v/>
      </c>
      <c r="K231" s="20">
        <f>$G$7</f>
        <v/>
      </c>
      <c r="L231" s="20">
        <f>$G$10</f>
        <v/>
      </c>
      <c r="M231" s="20">
        <f>$G$11</f>
        <v/>
      </c>
      <c r="N231" s="18">
        <f>IF(ISNA(G231),"Sin producción",IF(L231="","Sin límites",IF(G231&gt;L231,"▲ Sobre LCS",IF(G231&lt;M231,"▼ Bajo LCI","En control"))))</f>
        <v/>
      </c>
      <c r="O231" s="18">
        <f>COUNTIFS(Ordenes!$C$2:$C$840,$A231,Ordenes!$T$2:$T$840,"A corregir",Ordenes!$F$2:$F$840,IF($B$4="Todos","*",$B$4),Ordenes!$G$2:$G$840,IF($B$5="Todos","*",$B$5))</f>
        <v/>
      </c>
    </row>
    <row r="232">
      <c r="A232" s="22" t="n">
        <v>46287</v>
      </c>
      <c r="B232" s="18">
        <f>YEAR(A232)</f>
        <v/>
      </c>
      <c r="C232" s="18">
        <f>MONTH(A232)</f>
        <v/>
      </c>
      <c r="D232" s="18">
        <f>COUNTIFS(Ordenes!$C$2:$C$840,$A232,Ordenes!$T$2:$T$840,"Válida",Ordenes!$F$2:$F$840,IF($B$4="Todos","*",$B$4),Ordenes!$G$2:$G$840,IF($B$5="Todos","*",$B$5))</f>
        <v/>
      </c>
      <c r="E232" s="19">
        <f>SUMIFS(Ordenes!$P$2:$P$840,Ordenes!$C$2:$C$840,$A232,Ordenes!$T$2:$T$840,"Válida",Ordenes!$F$2:$F$840,IF($B$4="Todos","*",$B$4),Ordenes!$G$2:$G$840,IF($B$5="Todos","*",$B$5))</f>
        <v/>
      </c>
      <c r="F232" s="19">
        <f>SUMIFS(Ordenes!$Q$2:$Q$840,Ordenes!$C$2:$C$840,$A232,Ordenes!$T$2:$T$840,"Válida",Ordenes!$F$2:$F$840,IF($B$4="Todos","*",$B$4),Ordenes!$G$2:$G$840,IF($B$5="Todos","*",$B$5))</f>
        <v/>
      </c>
      <c r="G232" s="20">
        <f>IF(F232=0,NA(),E232/F232)</f>
        <v/>
      </c>
      <c r="H232" s="20">
        <f>IFERROR(SUMIFS(Ordenes!$V$2:$V$840,Ordenes!$C$2:$C$840,$A232,Ordenes!$T$2:$T$840,"Válida",Ordenes!$F$2:$F$840,IF($B$4="Todos","*",$B$4),Ordenes!$G$2:$G$840,IF($B$5="Todos","*",$B$5))/F232,NA())</f>
        <v/>
      </c>
      <c r="I232" s="21">
        <f>IFERROR((G232-H232)*100,"")</f>
        <v/>
      </c>
      <c r="J232" s="20">
        <f>IFERROR(ABS(G232-G231),"")</f>
        <v/>
      </c>
      <c r="K232" s="20">
        <f>$G$7</f>
        <v/>
      </c>
      <c r="L232" s="20">
        <f>$G$10</f>
        <v/>
      </c>
      <c r="M232" s="20">
        <f>$G$11</f>
        <v/>
      </c>
      <c r="N232" s="18">
        <f>IF(ISNA(G232),"Sin producción",IF(L232="","Sin límites",IF(G232&gt;L232,"▲ Sobre LCS",IF(G232&lt;M232,"▼ Bajo LCI","En control"))))</f>
        <v/>
      </c>
      <c r="O232" s="18">
        <f>COUNTIFS(Ordenes!$C$2:$C$840,$A232,Ordenes!$T$2:$T$840,"A corregir",Ordenes!$F$2:$F$840,IF($B$4="Todos","*",$B$4),Ordenes!$G$2:$G$840,IF($B$5="Todos","*",$B$5))</f>
        <v/>
      </c>
    </row>
  </sheetData>
  <conditionalFormatting sqref="N16:N232">
    <cfRule type="expression" priority="1" dxfId="1">
      <formula>LEFT(N16,1)&lt;&gt;"E"</formula>
    </cfRule>
  </conditionalFormatting>
  <conditionalFormatting sqref="I16:I232">
    <cfRule type="cellIs" priority="2" operator="lessThan" dxfId="2">
      <formula>0</formula>
    </cfRule>
  </conditionalFormatting>
  <dataValidations count="1">
    <dataValidation sqref="B4" showDropDown="0" showInputMessage="0" showErrorMessage="0" allowBlank="0" type="list">
      <formula1>"Todos,B Hormigón,Redondo liso,Plana,Ángulo,Cuadrado,Estrella,Saferock,Hexágono"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Rendimiento metálico por grupo y mes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Órdenes válidas. Rend. = Σ kg producidos / Σ kg consumidos.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4" t="inlineStr">
        <is>
          <t>Rendimiento metálico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30" customHeight="1">
      <c r="A5" s="10" t="inlineStr">
        <is>
          <t>Grupo</t>
        </is>
      </c>
      <c r="B5" s="10" t="inlineStr">
        <is>
          <t>Ene 2026</t>
        </is>
      </c>
      <c r="C5" s="10" t="inlineStr">
        <is>
          <t>Feb 2026</t>
        </is>
      </c>
      <c r="D5" s="10" t="inlineStr">
        <is>
          <t>Mar 2026</t>
        </is>
      </c>
      <c r="E5" s="10" t="inlineStr">
        <is>
          <t>Abr 2026</t>
        </is>
      </c>
      <c r="F5" s="10" t="inlineStr">
        <is>
          <t>May 2026</t>
        </is>
      </c>
      <c r="G5" s="10" t="inlineStr">
        <is>
          <t>Jun 2026</t>
        </is>
      </c>
      <c r="H5" s="10" t="inlineStr">
        <is>
          <t>Jul 2026</t>
        </is>
      </c>
      <c r="I5" s="10" t="inlineStr">
        <is>
          <t>Ago 2026</t>
        </is>
      </c>
      <c r="J5" s="10" t="inlineStr">
        <is>
          <t>Sep 2026</t>
        </is>
      </c>
      <c r="K5" s="10" t="inlineStr">
        <is>
          <t>Total</t>
        </is>
      </c>
    </row>
    <row r="6">
      <c r="A6" s="9" t="inlineStr">
        <is>
          <t>B Hormigón</t>
        </is>
      </c>
      <c r="B6" s="14">
        <f>IFERROR(SUMIFS(Ordenes!$P$2:$P$840,Ordenes!$D$2:$D$840,2026,Ordenes!$E$2:$E$840,1,Ordenes!$F$2:$F$840,$A6,Ordenes!$T$2:$T$840,"Válida")/SUMIFS(Ordenes!$Q$2:$Q$840,Ordenes!$D$2:$D$840,2026,Ordenes!$E$2:$E$840,1,Ordenes!$F$2:$F$840,$A6,Ordenes!$T$2:$T$840,"Válida"),"")</f>
        <v/>
      </c>
      <c r="C6" s="14">
        <f>IFERROR(SUMIFS(Ordenes!$P$2:$P$840,Ordenes!$D$2:$D$840,2026,Ordenes!$E$2:$E$840,2,Ordenes!$F$2:$F$840,$A6,Ordenes!$T$2:$T$840,"Válida")/SUMIFS(Ordenes!$Q$2:$Q$840,Ordenes!$D$2:$D$840,2026,Ordenes!$E$2:$E$840,2,Ordenes!$F$2:$F$840,$A6,Ordenes!$T$2:$T$840,"Válida"),"")</f>
        <v/>
      </c>
      <c r="D6" s="14">
        <f>IFERROR(SUMIFS(Ordenes!$P$2:$P$840,Ordenes!$D$2:$D$840,2026,Ordenes!$E$2:$E$840,3,Ordenes!$F$2:$F$840,$A6,Ordenes!$T$2:$T$840,"Válida")/SUMIFS(Ordenes!$Q$2:$Q$840,Ordenes!$D$2:$D$840,2026,Ordenes!$E$2:$E$840,3,Ordenes!$F$2:$F$840,$A6,Ordenes!$T$2:$T$840,"Válida"),"")</f>
        <v/>
      </c>
      <c r="E6" s="14">
        <f>IFERROR(SUMIFS(Ordenes!$P$2:$P$840,Ordenes!$D$2:$D$840,2026,Ordenes!$E$2:$E$840,4,Ordenes!$F$2:$F$840,$A6,Ordenes!$T$2:$T$840,"Válida")/SUMIFS(Ordenes!$Q$2:$Q$840,Ordenes!$D$2:$D$840,2026,Ordenes!$E$2:$E$840,4,Ordenes!$F$2:$F$840,$A6,Ordenes!$T$2:$T$840,"Válida"),"")</f>
        <v/>
      </c>
      <c r="F6" s="14">
        <f>IFERROR(SUMIFS(Ordenes!$P$2:$P$840,Ordenes!$D$2:$D$840,2026,Ordenes!$E$2:$E$840,5,Ordenes!$F$2:$F$840,$A6,Ordenes!$T$2:$T$840,"Válida")/SUMIFS(Ordenes!$Q$2:$Q$840,Ordenes!$D$2:$D$840,2026,Ordenes!$E$2:$E$840,5,Ordenes!$F$2:$F$840,$A6,Ordenes!$T$2:$T$840,"Válida"),"")</f>
        <v/>
      </c>
      <c r="G6" s="14">
        <f>IFERROR(SUMIFS(Ordenes!$P$2:$P$840,Ordenes!$D$2:$D$840,2026,Ordenes!$E$2:$E$840,6,Ordenes!$F$2:$F$840,$A6,Ordenes!$T$2:$T$840,"Válida")/SUMIFS(Ordenes!$Q$2:$Q$840,Ordenes!$D$2:$D$840,2026,Ordenes!$E$2:$E$840,6,Ordenes!$F$2:$F$840,$A6,Ordenes!$T$2:$T$840,"Válida"),"")</f>
        <v/>
      </c>
      <c r="H6" s="14">
        <f>IFERROR(SUMIFS(Ordenes!$P$2:$P$840,Ordenes!$D$2:$D$840,2026,Ordenes!$E$2:$E$840,7,Ordenes!$F$2:$F$840,$A6,Ordenes!$T$2:$T$840,"Válida")/SUMIFS(Ordenes!$Q$2:$Q$840,Ordenes!$D$2:$D$840,2026,Ordenes!$E$2:$E$840,7,Ordenes!$F$2:$F$840,$A6,Ordenes!$T$2:$T$840,"Válida"),"")</f>
        <v/>
      </c>
      <c r="I6" s="14">
        <f>IFERROR(SUMIFS(Ordenes!$P$2:$P$840,Ordenes!$D$2:$D$840,2026,Ordenes!$E$2:$E$840,8,Ordenes!$F$2:$F$840,$A6,Ordenes!$T$2:$T$840,"Válida")/SUMIFS(Ordenes!$Q$2:$Q$840,Ordenes!$D$2:$D$840,2026,Ordenes!$E$2:$E$840,8,Ordenes!$F$2:$F$840,$A6,Ordenes!$T$2:$T$840,"Válida"),"")</f>
        <v/>
      </c>
      <c r="J6" s="14">
        <f>IFERROR(SUMIFS(Ordenes!$P$2:$P$840,Ordenes!$D$2:$D$840,2026,Ordenes!$E$2:$E$840,9,Ordenes!$F$2:$F$840,$A6,Ordenes!$T$2:$T$840,"Válida")/SUMIFS(Ordenes!$Q$2:$Q$840,Ordenes!$D$2:$D$840,2026,Ordenes!$E$2:$E$840,9,Ordenes!$F$2:$F$840,$A6,Ordenes!$T$2:$T$840,"Válida"),"")</f>
        <v/>
      </c>
      <c r="K6" s="17">
        <f>IFERROR(SUMIFS(Ordenes!$P$2:$P$840,Ordenes!$D$2:$D$840,"&gt;=2026",Ordenes!$F$2:$F$840,$A6,Ordenes!$T$2:$T$840,"Válida")/SUMIFS(Ordenes!$Q$2:$Q$840,Ordenes!$D$2:$D$840,"&gt;=2026",Ordenes!$F$2:$F$840,$A6,Ordenes!$T$2:$T$840,"Válida"),"")</f>
        <v/>
      </c>
    </row>
    <row r="7">
      <c r="A7" s="9" t="inlineStr">
        <is>
          <t>Redondo liso</t>
        </is>
      </c>
      <c r="B7" s="14">
        <f>IFERROR(SUMIFS(Ordenes!$P$2:$P$840,Ordenes!$D$2:$D$840,2026,Ordenes!$E$2:$E$840,1,Ordenes!$F$2:$F$840,$A7,Ordenes!$T$2:$T$840,"Válida")/SUMIFS(Ordenes!$Q$2:$Q$840,Ordenes!$D$2:$D$840,2026,Ordenes!$E$2:$E$840,1,Ordenes!$F$2:$F$840,$A7,Ordenes!$T$2:$T$840,"Válida"),"")</f>
        <v/>
      </c>
      <c r="C7" s="14">
        <f>IFERROR(SUMIFS(Ordenes!$P$2:$P$840,Ordenes!$D$2:$D$840,2026,Ordenes!$E$2:$E$840,2,Ordenes!$F$2:$F$840,$A7,Ordenes!$T$2:$T$840,"Válida")/SUMIFS(Ordenes!$Q$2:$Q$840,Ordenes!$D$2:$D$840,2026,Ordenes!$E$2:$E$840,2,Ordenes!$F$2:$F$840,$A7,Ordenes!$T$2:$T$840,"Válida"),"")</f>
        <v/>
      </c>
      <c r="D7" s="14">
        <f>IFERROR(SUMIFS(Ordenes!$P$2:$P$840,Ordenes!$D$2:$D$840,2026,Ordenes!$E$2:$E$840,3,Ordenes!$F$2:$F$840,$A7,Ordenes!$T$2:$T$840,"Válida")/SUMIFS(Ordenes!$Q$2:$Q$840,Ordenes!$D$2:$D$840,2026,Ordenes!$E$2:$E$840,3,Ordenes!$F$2:$F$840,$A7,Ordenes!$T$2:$T$840,"Válida"),"")</f>
        <v/>
      </c>
      <c r="E7" s="14">
        <f>IFERROR(SUMIFS(Ordenes!$P$2:$P$840,Ordenes!$D$2:$D$840,2026,Ordenes!$E$2:$E$840,4,Ordenes!$F$2:$F$840,$A7,Ordenes!$T$2:$T$840,"Válida")/SUMIFS(Ordenes!$Q$2:$Q$840,Ordenes!$D$2:$D$840,2026,Ordenes!$E$2:$E$840,4,Ordenes!$F$2:$F$840,$A7,Ordenes!$T$2:$T$840,"Válida"),"")</f>
        <v/>
      </c>
      <c r="F7" s="14">
        <f>IFERROR(SUMIFS(Ordenes!$P$2:$P$840,Ordenes!$D$2:$D$840,2026,Ordenes!$E$2:$E$840,5,Ordenes!$F$2:$F$840,$A7,Ordenes!$T$2:$T$840,"Válida")/SUMIFS(Ordenes!$Q$2:$Q$840,Ordenes!$D$2:$D$840,2026,Ordenes!$E$2:$E$840,5,Ordenes!$F$2:$F$840,$A7,Ordenes!$T$2:$T$840,"Válida"),"")</f>
        <v/>
      </c>
      <c r="G7" s="14">
        <f>IFERROR(SUMIFS(Ordenes!$P$2:$P$840,Ordenes!$D$2:$D$840,2026,Ordenes!$E$2:$E$840,6,Ordenes!$F$2:$F$840,$A7,Ordenes!$T$2:$T$840,"Válida")/SUMIFS(Ordenes!$Q$2:$Q$840,Ordenes!$D$2:$D$840,2026,Ordenes!$E$2:$E$840,6,Ordenes!$F$2:$F$840,$A7,Ordenes!$T$2:$T$840,"Válida"),"")</f>
        <v/>
      </c>
      <c r="H7" s="14">
        <f>IFERROR(SUMIFS(Ordenes!$P$2:$P$840,Ordenes!$D$2:$D$840,2026,Ordenes!$E$2:$E$840,7,Ordenes!$F$2:$F$840,$A7,Ordenes!$T$2:$T$840,"Válida")/SUMIFS(Ordenes!$Q$2:$Q$840,Ordenes!$D$2:$D$840,2026,Ordenes!$E$2:$E$840,7,Ordenes!$F$2:$F$840,$A7,Ordenes!$T$2:$T$840,"Válida"),"")</f>
        <v/>
      </c>
      <c r="I7" s="14">
        <f>IFERROR(SUMIFS(Ordenes!$P$2:$P$840,Ordenes!$D$2:$D$840,2026,Ordenes!$E$2:$E$840,8,Ordenes!$F$2:$F$840,$A7,Ordenes!$T$2:$T$840,"Válida")/SUMIFS(Ordenes!$Q$2:$Q$840,Ordenes!$D$2:$D$840,2026,Ordenes!$E$2:$E$840,8,Ordenes!$F$2:$F$840,$A7,Ordenes!$T$2:$T$840,"Válida"),"")</f>
        <v/>
      </c>
      <c r="J7" s="14">
        <f>IFERROR(SUMIFS(Ordenes!$P$2:$P$840,Ordenes!$D$2:$D$840,2026,Ordenes!$E$2:$E$840,9,Ordenes!$F$2:$F$840,$A7,Ordenes!$T$2:$T$840,"Válida")/SUMIFS(Ordenes!$Q$2:$Q$840,Ordenes!$D$2:$D$840,2026,Ordenes!$E$2:$E$840,9,Ordenes!$F$2:$F$840,$A7,Ordenes!$T$2:$T$840,"Válida"),"")</f>
        <v/>
      </c>
      <c r="K7" s="17">
        <f>IFERROR(SUMIFS(Ordenes!$P$2:$P$840,Ordenes!$D$2:$D$840,"&gt;=2026",Ordenes!$F$2:$F$840,$A7,Ordenes!$T$2:$T$840,"Válida")/SUMIFS(Ordenes!$Q$2:$Q$840,Ordenes!$D$2:$D$840,"&gt;=2026",Ordenes!$F$2:$F$840,$A7,Ordenes!$T$2:$T$840,"Válida"),"")</f>
        <v/>
      </c>
    </row>
    <row r="8">
      <c r="A8" s="9" t="inlineStr">
        <is>
          <t>Plana</t>
        </is>
      </c>
      <c r="B8" s="14">
        <f>IFERROR(SUMIFS(Ordenes!$P$2:$P$840,Ordenes!$D$2:$D$840,2026,Ordenes!$E$2:$E$840,1,Ordenes!$F$2:$F$840,$A8,Ordenes!$T$2:$T$840,"Válida")/SUMIFS(Ordenes!$Q$2:$Q$840,Ordenes!$D$2:$D$840,2026,Ordenes!$E$2:$E$840,1,Ordenes!$F$2:$F$840,$A8,Ordenes!$T$2:$T$840,"Válida"),"")</f>
        <v/>
      </c>
      <c r="C8" s="14">
        <f>IFERROR(SUMIFS(Ordenes!$P$2:$P$840,Ordenes!$D$2:$D$840,2026,Ordenes!$E$2:$E$840,2,Ordenes!$F$2:$F$840,$A8,Ordenes!$T$2:$T$840,"Válida")/SUMIFS(Ordenes!$Q$2:$Q$840,Ordenes!$D$2:$D$840,2026,Ordenes!$E$2:$E$840,2,Ordenes!$F$2:$F$840,$A8,Ordenes!$T$2:$T$840,"Válida"),"")</f>
        <v/>
      </c>
      <c r="D8" s="14">
        <f>IFERROR(SUMIFS(Ordenes!$P$2:$P$840,Ordenes!$D$2:$D$840,2026,Ordenes!$E$2:$E$840,3,Ordenes!$F$2:$F$840,$A8,Ordenes!$T$2:$T$840,"Válida")/SUMIFS(Ordenes!$Q$2:$Q$840,Ordenes!$D$2:$D$840,2026,Ordenes!$E$2:$E$840,3,Ordenes!$F$2:$F$840,$A8,Ordenes!$T$2:$T$840,"Válida"),"")</f>
        <v/>
      </c>
      <c r="E8" s="14">
        <f>IFERROR(SUMIFS(Ordenes!$P$2:$P$840,Ordenes!$D$2:$D$840,2026,Ordenes!$E$2:$E$840,4,Ordenes!$F$2:$F$840,$A8,Ordenes!$T$2:$T$840,"Válida")/SUMIFS(Ordenes!$Q$2:$Q$840,Ordenes!$D$2:$D$840,2026,Ordenes!$E$2:$E$840,4,Ordenes!$F$2:$F$840,$A8,Ordenes!$T$2:$T$840,"Válida"),"")</f>
        <v/>
      </c>
      <c r="F8" s="14">
        <f>IFERROR(SUMIFS(Ordenes!$P$2:$P$840,Ordenes!$D$2:$D$840,2026,Ordenes!$E$2:$E$840,5,Ordenes!$F$2:$F$840,$A8,Ordenes!$T$2:$T$840,"Válida")/SUMIFS(Ordenes!$Q$2:$Q$840,Ordenes!$D$2:$D$840,2026,Ordenes!$E$2:$E$840,5,Ordenes!$F$2:$F$840,$A8,Ordenes!$T$2:$T$840,"Válida"),"")</f>
        <v/>
      </c>
      <c r="G8" s="14">
        <f>IFERROR(SUMIFS(Ordenes!$P$2:$P$840,Ordenes!$D$2:$D$840,2026,Ordenes!$E$2:$E$840,6,Ordenes!$F$2:$F$840,$A8,Ordenes!$T$2:$T$840,"Válida")/SUMIFS(Ordenes!$Q$2:$Q$840,Ordenes!$D$2:$D$840,2026,Ordenes!$E$2:$E$840,6,Ordenes!$F$2:$F$840,$A8,Ordenes!$T$2:$T$840,"Válida"),"")</f>
        <v/>
      </c>
      <c r="H8" s="14">
        <f>IFERROR(SUMIFS(Ordenes!$P$2:$P$840,Ordenes!$D$2:$D$840,2026,Ordenes!$E$2:$E$840,7,Ordenes!$F$2:$F$840,$A8,Ordenes!$T$2:$T$840,"Válida")/SUMIFS(Ordenes!$Q$2:$Q$840,Ordenes!$D$2:$D$840,2026,Ordenes!$E$2:$E$840,7,Ordenes!$F$2:$F$840,$A8,Ordenes!$T$2:$T$840,"Válida"),"")</f>
        <v/>
      </c>
      <c r="I8" s="14">
        <f>IFERROR(SUMIFS(Ordenes!$P$2:$P$840,Ordenes!$D$2:$D$840,2026,Ordenes!$E$2:$E$840,8,Ordenes!$F$2:$F$840,$A8,Ordenes!$T$2:$T$840,"Válida")/SUMIFS(Ordenes!$Q$2:$Q$840,Ordenes!$D$2:$D$840,2026,Ordenes!$E$2:$E$840,8,Ordenes!$F$2:$F$840,$A8,Ordenes!$T$2:$T$840,"Válida"),"")</f>
        <v/>
      </c>
      <c r="J8" s="14">
        <f>IFERROR(SUMIFS(Ordenes!$P$2:$P$840,Ordenes!$D$2:$D$840,2026,Ordenes!$E$2:$E$840,9,Ordenes!$F$2:$F$840,$A8,Ordenes!$T$2:$T$840,"Válida")/SUMIFS(Ordenes!$Q$2:$Q$840,Ordenes!$D$2:$D$840,2026,Ordenes!$E$2:$E$840,9,Ordenes!$F$2:$F$840,$A8,Ordenes!$T$2:$T$840,"Válida"),"")</f>
        <v/>
      </c>
      <c r="K8" s="17">
        <f>IFERROR(SUMIFS(Ordenes!$P$2:$P$840,Ordenes!$D$2:$D$840,"&gt;=2026",Ordenes!$F$2:$F$840,$A8,Ordenes!$T$2:$T$840,"Válida")/SUMIFS(Ordenes!$Q$2:$Q$840,Ordenes!$D$2:$D$840,"&gt;=2026",Ordenes!$F$2:$F$840,$A8,Ordenes!$T$2:$T$840,"Válida"),"")</f>
        <v/>
      </c>
    </row>
    <row r="9">
      <c r="A9" s="9" t="inlineStr">
        <is>
          <t>Ángulo</t>
        </is>
      </c>
      <c r="B9" s="14">
        <f>IFERROR(SUMIFS(Ordenes!$P$2:$P$840,Ordenes!$D$2:$D$840,2026,Ordenes!$E$2:$E$840,1,Ordenes!$F$2:$F$840,$A9,Ordenes!$T$2:$T$840,"Válida")/SUMIFS(Ordenes!$Q$2:$Q$840,Ordenes!$D$2:$D$840,2026,Ordenes!$E$2:$E$840,1,Ordenes!$F$2:$F$840,$A9,Ordenes!$T$2:$T$840,"Válida"),"")</f>
        <v/>
      </c>
      <c r="C9" s="14">
        <f>IFERROR(SUMIFS(Ordenes!$P$2:$P$840,Ordenes!$D$2:$D$840,2026,Ordenes!$E$2:$E$840,2,Ordenes!$F$2:$F$840,$A9,Ordenes!$T$2:$T$840,"Válida")/SUMIFS(Ordenes!$Q$2:$Q$840,Ordenes!$D$2:$D$840,2026,Ordenes!$E$2:$E$840,2,Ordenes!$F$2:$F$840,$A9,Ordenes!$T$2:$T$840,"Válida"),"")</f>
        <v/>
      </c>
      <c r="D9" s="14">
        <f>IFERROR(SUMIFS(Ordenes!$P$2:$P$840,Ordenes!$D$2:$D$840,2026,Ordenes!$E$2:$E$840,3,Ordenes!$F$2:$F$840,$A9,Ordenes!$T$2:$T$840,"Válida")/SUMIFS(Ordenes!$Q$2:$Q$840,Ordenes!$D$2:$D$840,2026,Ordenes!$E$2:$E$840,3,Ordenes!$F$2:$F$840,$A9,Ordenes!$T$2:$T$840,"Válida"),"")</f>
        <v/>
      </c>
      <c r="E9" s="14">
        <f>IFERROR(SUMIFS(Ordenes!$P$2:$P$840,Ordenes!$D$2:$D$840,2026,Ordenes!$E$2:$E$840,4,Ordenes!$F$2:$F$840,$A9,Ordenes!$T$2:$T$840,"Válida")/SUMIFS(Ordenes!$Q$2:$Q$840,Ordenes!$D$2:$D$840,2026,Ordenes!$E$2:$E$840,4,Ordenes!$F$2:$F$840,$A9,Ordenes!$T$2:$T$840,"Válida"),"")</f>
        <v/>
      </c>
      <c r="F9" s="14">
        <f>IFERROR(SUMIFS(Ordenes!$P$2:$P$840,Ordenes!$D$2:$D$840,2026,Ordenes!$E$2:$E$840,5,Ordenes!$F$2:$F$840,$A9,Ordenes!$T$2:$T$840,"Válida")/SUMIFS(Ordenes!$Q$2:$Q$840,Ordenes!$D$2:$D$840,2026,Ordenes!$E$2:$E$840,5,Ordenes!$F$2:$F$840,$A9,Ordenes!$T$2:$T$840,"Válida"),"")</f>
        <v/>
      </c>
      <c r="G9" s="14">
        <f>IFERROR(SUMIFS(Ordenes!$P$2:$P$840,Ordenes!$D$2:$D$840,2026,Ordenes!$E$2:$E$840,6,Ordenes!$F$2:$F$840,$A9,Ordenes!$T$2:$T$840,"Válida")/SUMIFS(Ordenes!$Q$2:$Q$840,Ordenes!$D$2:$D$840,2026,Ordenes!$E$2:$E$840,6,Ordenes!$F$2:$F$840,$A9,Ordenes!$T$2:$T$840,"Válida"),"")</f>
        <v/>
      </c>
      <c r="H9" s="14">
        <f>IFERROR(SUMIFS(Ordenes!$P$2:$P$840,Ordenes!$D$2:$D$840,2026,Ordenes!$E$2:$E$840,7,Ordenes!$F$2:$F$840,$A9,Ordenes!$T$2:$T$840,"Válida")/SUMIFS(Ordenes!$Q$2:$Q$840,Ordenes!$D$2:$D$840,2026,Ordenes!$E$2:$E$840,7,Ordenes!$F$2:$F$840,$A9,Ordenes!$T$2:$T$840,"Válida"),"")</f>
        <v/>
      </c>
      <c r="I9" s="14">
        <f>IFERROR(SUMIFS(Ordenes!$P$2:$P$840,Ordenes!$D$2:$D$840,2026,Ordenes!$E$2:$E$840,8,Ordenes!$F$2:$F$840,$A9,Ordenes!$T$2:$T$840,"Válida")/SUMIFS(Ordenes!$Q$2:$Q$840,Ordenes!$D$2:$D$840,2026,Ordenes!$E$2:$E$840,8,Ordenes!$F$2:$F$840,$A9,Ordenes!$T$2:$T$840,"Válida"),"")</f>
        <v/>
      </c>
      <c r="J9" s="14">
        <f>IFERROR(SUMIFS(Ordenes!$P$2:$P$840,Ordenes!$D$2:$D$840,2026,Ordenes!$E$2:$E$840,9,Ordenes!$F$2:$F$840,$A9,Ordenes!$T$2:$T$840,"Válida")/SUMIFS(Ordenes!$Q$2:$Q$840,Ordenes!$D$2:$D$840,2026,Ordenes!$E$2:$E$840,9,Ordenes!$F$2:$F$840,$A9,Ordenes!$T$2:$T$840,"Válida"),"")</f>
        <v/>
      </c>
      <c r="K9" s="17">
        <f>IFERROR(SUMIFS(Ordenes!$P$2:$P$840,Ordenes!$D$2:$D$840,"&gt;=2026",Ordenes!$F$2:$F$840,$A9,Ordenes!$T$2:$T$840,"Válida")/SUMIFS(Ordenes!$Q$2:$Q$840,Ordenes!$D$2:$D$840,"&gt;=2026",Ordenes!$F$2:$F$840,$A9,Ordenes!$T$2:$T$840,"Válida"),"")</f>
        <v/>
      </c>
    </row>
    <row r="10">
      <c r="A10" s="9" t="inlineStr">
        <is>
          <t>Cuadrado</t>
        </is>
      </c>
      <c r="B10" s="14">
        <f>IFERROR(SUMIFS(Ordenes!$P$2:$P$840,Ordenes!$D$2:$D$840,2026,Ordenes!$E$2:$E$840,1,Ordenes!$F$2:$F$840,$A10,Ordenes!$T$2:$T$840,"Válida")/SUMIFS(Ordenes!$Q$2:$Q$840,Ordenes!$D$2:$D$840,2026,Ordenes!$E$2:$E$840,1,Ordenes!$F$2:$F$840,$A10,Ordenes!$T$2:$T$840,"Válida"),"")</f>
        <v/>
      </c>
      <c r="C10" s="14">
        <f>IFERROR(SUMIFS(Ordenes!$P$2:$P$840,Ordenes!$D$2:$D$840,2026,Ordenes!$E$2:$E$840,2,Ordenes!$F$2:$F$840,$A10,Ordenes!$T$2:$T$840,"Válida")/SUMIFS(Ordenes!$Q$2:$Q$840,Ordenes!$D$2:$D$840,2026,Ordenes!$E$2:$E$840,2,Ordenes!$F$2:$F$840,$A10,Ordenes!$T$2:$T$840,"Válida"),"")</f>
        <v/>
      </c>
      <c r="D10" s="14">
        <f>IFERROR(SUMIFS(Ordenes!$P$2:$P$840,Ordenes!$D$2:$D$840,2026,Ordenes!$E$2:$E$840,3,Ordenes!$F$2:$F$840,$A10,Ordenes!$T$2:$T$840,"Válida")/SUMIFS(Ordenes!$Q$2:$Q$840,Ordenes!$D$2:$D$840,2026,Ordenes!$E$2:$E$840,3,Ordenes!$F$2:$F$840,$A10,Ordenes!$T$2:$T$840,"Válida"),"")</f>
        <v/>
      </c>
      <c r="E10" s="14">
        <f>IFERROR(SUMIFS(Ordenes!$P$2:$P$840,Ordenes!$D$2:$D$840,2026,Ordenes!$E$2:$E$840,4,Ordenes!$F$2:$F$840,$A10,Ordenes!$T$2:$T$840,"Válida")/SUMIFS(Ordenes!$Q$2:$Q$840,Ordenes!$D$2:$D$840,2026,Ordenes!$E$2:$E$840,4,Ordenes!$F$2:$F$840,$A10,Ordenes!$T$2:$T$840,"Válida"),"")</f>
        <v/>
      </c>
      <c r="F10" s="14">
        <f>IFERROR(SUMIFS(Ordenes!$P$2:$P$840,Ordenes!$D$2:$D$840,2026,Ordenes!$E$2:$E$840,5,Ordenes!$F$2:$F$840,$A10,Ordenes!$T$2:$T$840,"Válida")/SUMIFS(Ordenes!$Q$2:$Q$840,Ordenes!$D$2:$D$840,2026,Ordenes!$E$2:$E$840,5,Ordenes!$F$2:$F$840,$A10,Ordenes!$T$2:$T$840,"Válida"),"")</f>
        <v/>
      </c>
      <c r="G10" s="14">
        <f>IFERROR(SUMIFS(Ordenes!$P$2:$P$840,Ordenes!$D$2:$D$840,2026,Ordenes!$E$2:$E$840,6,Ordenes!$F$2:$F$840,$A10,Ordenes!$T$2:$T$840,"Válida")/SUMIFS(Ordenes!$Q$2:$Q$840,Ordenes!$D$2:$D$840,2026,Ordenes!$E$2:$E$840,6,Ordenes!$F$2:$F$840,$A10,Ordenes!$T$2:$T$840,"Válida"),"")</f>
        <v/>
      </c>
      <c r="H10" s="14">
        <f>IFERROR(SUMIFS(Ordenes!$P$2:$P$840,Ordenes!$D$2:$D$840,2026,Ordenes!$E$2:$E$840,7,Ordenes!$F$2:$F$840,$A10,Ordenes!$T$2:$T$840,"Válida")/SUMIFS(Ordenes!$Q$2:$Q$840,Ordenes!$D$2:$D$840,2026,Ordenes!$E$2:$E$840,7,Ordenes!$F$2:$F$840,$A10,Ordenes!$T$2:$T$840,"Válida"),"")</f>
        <v/>
      </c>
      <c r="I10" s="14">
        <f>IFERROR(SUMIFS(Ordenes!$P$2:$P$840,Ordenes!$D$2:$D$840,2026,Ordenes!$E$2:$E$840,8,Ordenes!$F$2:$F$840,$A10,Ordenes!$T$2:$T$840,"Válida")/SUMIFS(Ordenes!$Q$2:$Q$840,Ordenes!$D$2:$D$840,2026,Ordenes!$E$2:$E$840,8,Ordenes!$F$2:$F$840,$A10,Ordenes!$T$2:$T$840,"Válida"),"")</f>
        <v/>
      </c>
      <c r="J10" s="14">
        <f>IFERROR(SUMIFS(Ordenes!$P$2:$P$840,Ordenes!$D$2:$D$840,2026,Ordenes!$E$2:$E$840,9,Ordenes!$F$2:$F$840,$A10,Ordenes!$T$2:$T$840,"Válida")/SUMIFS(Ordenes!$Q$2:$Q$840,Ordenes!$D$2:$D$840,2026,Ordenes!$E$2:$E$840,9,Ordenes!$F$2:$F$840,$A10,Ordenes!$T$2:$T$840,"Válida"),"")</f>
        <v/>
      </c>
      <c r="K10" s="17">
        <f>IFERROR(SUMIFS(Ordenes!$P$2:$P$840,Ordenes!$D$2:$D$840,"&gt;=2026",Ordenes!$F$2:$F$840,$A10,Ordenes!$T$2:$T$840,"Válida")/SUMIFS(Ordenes!$Q$2:$Q$840,Ordenes!$D$2:$D$840,"&gt;=2026",Ordenes!$F$2:$F$840,$A10,Ordenes!$T$2:$T$840,"Válida"),"")</f>
        <v/>
      </c>
    </row>
    <row r="11">
      <c r="A11" s="9" t="inlineStr">
        <is>
          <t>Estrella</t>
        </is>
      </c>
      <c r="B11" s="14">
        <f>IFERROR(SUMIFS(Ordenes!$P$2:$P$840,Ordenes!$D$2:$D$840,2026,Ordenes!$E$2:$E$840,1,Ordenes!$F$2:$F$840,$A11,Ordenes!$T$2:$T$840,"Válida")/SUMIFS(Ordenes!$Q$2:$Q$840,Ordenes!$D$2:$D$840,2026,Ordenes!$E$2:$E$840,1,Ordenes!$F$2:$F$840,$A11,Ordenes!$T$2:$T$840,"Válida"),"")</f>
        <v/>
      </c>
      <c r="C11" s="14">
        <f>IFERROR(SUMIFS(Ordenes!$P$2:$P$840,Ordenes!$D$2:$D$840,2026,Ordenes!$E$2:$E$840,2,Ordenes!$F$2:$F$840,$A11,Ordenes!$T$2:$T$840,"Válida")/SUMIFS(Ordenes!$Q$2:$Q$840,Ordenes!$D$2:$D$840,2026,Ordenes!$E$2:$E$840,2,Ordenes!$F$2:$F$840,$A11,Ordenes!$T$2:$T$840,"Válida"),"")</f>
        <v/>
      </c>
      <c r="D11" s="14">
        <f>IFERROR(SUMIFS(Ordenes!$P$2:$P$840,Ordenes!$D$2:$D$840,2026,Ordenes!$E$2:$E$840,3,Ordenes!$F$2:$F$840,$A11,Ordenes!$T$2:$T$840,"Válida")/SUMIFS(Ordenes!$Q$2:$Q$840,Ordenes!$D$2:$D$840,2026,Ordenes!$E$2:$E$840,3,Ordenes!$F$2:$F$840,$A11,Ordenes!$T$2:$T$840,"Válida"),"")</f>
        <v/>
      </c>
      <c r="E11" s="14">
        <f>IFERROR(SUMIFS(Ordenes!$P$2:$P$840,Ordenes!$D$2:$D$840,2026,Ordenes!$E$2:$E$840,4,Ordenes!$F$2:$F$840,$A11,Ordenes!$T$2:$T$840,"Válida")/SUMIFS(Ordenes!$Q$2:$Q$840,Ordenes!$D$2:$D$840,2026,Ordenes!$E$2:$E$840,4,Ordenes!$F$2:$F$840,$A11,Ordenes!$T$2:$T$840,"Válida"),"")</f>
        <v/>
      </c>
      <c r="F11" s="14">
        <f>IFERROR(SUMIFS(Ordenes!$P$2:$P$840,Ordenes!$D$2:$D$840,2026,Ordenes!$E$2:$E$840,5,Ordenes!$F$2:$F$840,$A11,Ordenes!$T$2:$T$840,"Válida")/SUMIFS(Ordenes!$Q$2:$Q$840,Ordenes!$D$2:$D$840,2026,Ordenes!$E$2:$E$840,5,Ordenes!$F$2:$F$840,$A11,Ordenes!$T$2:$T$840,"Válida"),"")</f>
        <v/>
      </c>
      <c r="G11" s="14">
        <f>IFERROR(SUMIFS(Ordenes!$P$2:$P$840,Ordenes!$D$2:$D$840,2026,Ordenes!$E$2:$E$840,6,Ordenes!$F$2:$F$840,$A11,Ordenes!$T$2:$T$840,"Válida")/SUMIFS(Ordenes!$Q$2:$Q$840,Ordenes!$D$2:$D$840,2026,Ordenes!$E$2:$E$840,6,Ordenes!$F$2:$F$840,$A11,Ordenes!$T$2:$T$840,"Válida"),"")</f>
        <v/>
      </c>
      <c r="H11" s="14">
        <f>IFERROR(SUMIFS(Ordenes!$P$2:$P$840,Ordenes!$D$2:$D$840,2026,Ordenes!$E$2:$E$840,7,Ordenes!$F$2:$F$840,$A11,Ordenes!$T$2:$T$840,"Válida")/SUMIFS(Ordenes!$Q$2:$Q$840,Ordenes!$D$2:$D$840,2026,Ordenes!$E$2:$E$840,7,Ordenes!$F$2:$F$840,$A11,Ordenes!$T$2:$T$840,"Válida"),"")</f>
        <v/>
      </c>
      <c r="I11" s="14">
        <f>IFERROR(SUMIFS(Ordenes!$P$2:$P$840,Ordenes!$D$2:$D$840,2026,Ordenes!$E$2:$E$840,8,Ordenes!$F$2:$F$840,$A11,Ordenes!$T$2:$T$840,"Válida")/SUMIFS(Ordenes!$Q$2:$Q$840,Ordenes!$D$2:$D$840,2026,Ordenes!$E$2:$E$840,8,Ordenes!$F$2:$F$840,$A11,Ordenes!$T$2:$T$840,"Válida"),"")</f>
        <v/>
      </c>
      <c r="J11" s="14">
        <f>IFERROR(SUMIFS(Ordenes!$P$2:$P$840,Ordenes!$D$2:$D$840,2026,Ordenes!$E$2:$E$840,9,Ordenes!$F$2:$F$840,$A11,Ordenes!$T$2:$T$840,"Válida")/SUMIFS(Ordenes!$Q$2:$Q$840,Ordenes!$D$2:$D$840,2026,Ordenes!$E$2:$E$840,9,Ordenes!$F$2:$F$840,$A11,Ordenes!$T$2:$T$840,"Válida"),"")</f>
        <v/>
      </c>
      <c r="K11" s="17">
        <f>IFERROR(SUMIFS(Ordenes!$P$2:$P$840,Ordenes!$D$2:$D$840,"&gt;=2026",Ordenes!$F$2:$F$840,$A11,Ordenes!$T$2:$T$840,"Válida")/SUMIFS(Ordenes!$Q$2:$Q$840,Ordenes!$D$2:$D$840,"&gt;=2026",Ordenes!$F$2:$F$840,$A11,Ordenes!$T$2:$T$840,"Válida"),"")</f>
        <v/>
      </c>
    </row>
    <row r="12">
      <c r="A12" s="9" t="inlineStr">
        <is>
          <t>Saferock</t>
        </is>
      </c>
      <c r="B12" s="14">
        <f>IFERROR(SUMIFS(Ordenes!$P$2:$P$840,Ordenes!$D$2:$D$840,2026,Ordenes!$E$2:$E$840,1,Ordenes!$F$2:$F$840,$A12,Ordenes!$T$2:$T$840,"Válida")/SUMIFS(Ordenes!$Q$2:$Q$840,Ordenes!$D$2:$D$840,2026,Ordenes!$E$2:$E$840,1,Ordenes!$F$2:$F$840,$A12,Ordenes!$T$2:$T$840,"Válida"),"")</f>
        <v/>
      </c>
      <c r="C12" s="14">
        <f>IFERROR(SUMIFS(Ordenes!$P$2:$P$840,Ordenes!$D$2:$D$840,2026,Ordenes!$E$2:$E$840,2,Ordenes!$F$2:$F$840,$A12,Ordenes!$T$2:$T$840,"Válida")/SUMIFS(Ordenes!$Q$2:$Q$840,Ordenes!$D$2:$D$840,2026,Ordenes!$E$2:$E$840,2,Ordenes!$F$2:$F$840,$A12,Ordenes!$T$2:$T$840,"Válida"),"")</f>
        <v/>
      </c>
      <c r="D12" s="14">
        <f>IFERROR(SUMIFS(Ordenes!$P$2:$P$840,Ordenes!$D$2:$D$840,2026,Ordenes!$E$2:$E$840,3,Ordenes!$F$2:$F$840,$A12,Ordenes!$T$2:$T$840,"Válida")/SUMIFS(Ordenes!$Q$2:$Q$840,Ordenes!$D$2:$D$840,2026,Ordenes!$E$2:$E$840,3,Ordenes!$F$2:$F$840,$A12,Ordenes!$T$2:$T$840,"Válida"),"")</f>
        <v/>
      </c>
      <c r="E12" s="14">
        <f>IFERROR(SUMIFS(Ordenes!$P$2:$P$840,Ordenes!$D$2:$D$840,2026,Ordenes!$E$2:$E$840,4,Ordenes!$F$2:$F$840,$A12,Ordenes!$T$2:$T$840,"Válida")/SUMIFS(Ordenes!$Q$2:$Q$840,Ordenes!$D$2:$D$840,2026,Ordenes!$E$2:$E$840,4,Ordenes!$F$2:$F$840,$A12,Ordenes!$T$2:$T$840,"Válida"),"")</f>
        <v/>
      </c>
      <c r="F12" s="14">
        <f>IFERROR(SUMIFS(Ordenes!$P$2:$P$840,Ordenes!$D$2:$D$840,2026,Ordenes!$E$2:$E$840,5,Ordenes!$F$2:$F$840,$A12,Ordenes!$T$2:$T$840,"Válida")/SUMIFS(Ordenes!$Q$2:$Q$840,Ordenes!$D$2:$D$840,2026,Ordenes!$E$2:$E$840,5,Ordenes!$F$2:$F$840,$A12,Ordenes!$T$2:$T$840,"Válida"),"")</f>
        <v/>
      </c>
      <c r="G12" s="14">
        <f>IFERROR(SUMIFS(Ordenes!$P$2:$P$840,Ordenes!$D$2:$D$840,2026,Ordenes!$E$2:$E$840,6,Ordenes!$F$2:$F$840,$A12,Ordenes!$T$2:$T$840,"Válida")/SUMIFS(Ordenes!$Q$2:$Q$840,Ordenes!$D$2:$D$840,2026,Ordenes!$E$2:$E$840,6,Ordenes!$F$2:$F$840,$A12,Ordenes!$T$2:$T$840,"Válida"),"")</f>
        <v/>
      </c>
      <c r="H12" s="14">
        <f>IFERROR(SUMIFS(Ordenes!$P$2:$P$840,Ordenes!$D$2:$D$840,2026,Ordenes!$E$2:$E$840,7,Ordenes!$F$2:$F$840,$A12,Ordenes!$T$2:$T$840,"Válida")/SUMIFS(Ordenes!$Q$2:$Q$840,Ordenes!$D$2:$D$840,2026,Ordenes!$E$2:$E$840,7,Ordenes!$F$2:$F$840,$A12,Ordenes!$T$2:$T$840,"Válida"),"")</f>
        <v/>
      </c>
      <c r="I12" s="14">
        <f>IFERROR(SUMIFS(Ordenes!$P$2:$P$840,Ordenes!$D$2:$D$840,2026,Ordenes!$E$2:$E$840,8,Ordenes!$F$2:$F$840,$A12,Ordenes!$T$2:$T$840,"Válida")/SUMIFS(Ordenes!$Q$2:$Q$840,Ordenes!$D$2:$D$840,2026,Ordenes!$E$2:$E$840,8,Ordenes!$F$2:$F$840,$A12,Ordenes!$T$2:$T$840,"Válida"),"")</f>
        <v/>
      </c>
      <c r="J12" s="14">
        <f>IFERROR(SUMIFS(Ordenes!$P$2:$P$840,Ordenes!$D$2:$D$840,2026,Ordenes!$E$2:$E$840,9,Ordenes!$F$2:$F$840,$A12,Ordenes!$T$2:$T$840,"Válida")/SUMIFS(Ordenes!$Q$2:$Q$840,Ordenes!$D$2:$D$840,2026,Ordenes!$E$2:$E$840,9,Ordenes!$F$2:$F$840,$A12,Ordenes!$T$2:$T$840,"Válida"),"")</f>
        <v/>
      </c>
      <c r="K12" s="17">
        <f>IFERROR(SUMIFS(Ordenes!$P$2:$P$840,Ordenes!$D$2:$D$840,"&gt;=2026",Ordenes!$F$2:$F$840,$A12,Ordenes!$T$2:$T$840,"Válida")/SUMIFS(Ordenes!$Q$2:$Q$840,Ordenes!$D$2:$D$840,"&gt;=2026",Ordenes!$F$2:$F$840,$A12,Ordenes!$T$2:$T$840,"Válida"),"")</f>
        <v/>
      </c>
    </row>
    <row r="13">
      <c r="A13" s="9" t="inlineStr">
        <is>
          <t>Hexágono</t>
        </is>
      </c>
      <c r="B13" s="14">
        <f>IFERROR(SUMIFS(Ordenes!$P$2:$P$840,Ordenes!$D$2:$D$840,2026,Ordenes!$E$2:$E$840,1,Ordenes!$F$2:$F$840,$A13,Ordenes!$T$2:$T$840,"Válida")/SUMIFS(Ordenes!$Q$2:$Q$840,Ordenes!$D$2:$D$840,2026,Ordenes!$E$2:$E$840,1,Ordenes!$F$2:$F$840,$A13,Ordenes!$T$2:$T$840,"Válida"),"")</f>
        <v/>
      </c>
      <c r="C13" s="14">
        <f>IFERROR(SUMIFS(Ordenes!$P$2:$P$840,Ordenes!$D$2:$D$840,2026,Ordenes!$E$2:$E$840,2,Ordenes!$F$2:$F$840,$A13,Ordenes!$T$2:$T$840,"Válida")/SUMIFS(Ordenes!$Q$2:$Q$840,Ordenes!$D$2:$D$840,2026,Ordenes!$E$2:$E$840,2,Ordenes!$F$2:$F$840,$A13,Ordenes!$T$2:$T$840,"Válida"),"")</f>
        <v/>
      </c>
      <c r="D13" s="14">
        <f>IFERROR(SUMIFS(Ordenes!$P$2:$P$840,Ordenes!$D$2:$D$840,2026,Ordenes!$E$2:$E$840,3,Ordenes!$F$2:$F$840,$A13,Ordenes!$T$2:$T$840,"Válida")/SUMIFS(Ordenes!$Q$2:$Q$840,Ordenes!$D$2:$D$840,2026,Ordenes!$E$2:$E$840,3,Ordenes!$F$2:$F$840,$A13,Ordenes!$T$2:$T$840,"Válida"),"")</f>
        <v/>
      </c>
      <c r="E13" s="14">
        <f>IFERROR(SUMIFS(Ordenes!$P$2:$P$840,Ordenes!$D$2:$D$840,2026,Ordenes!$E$2:$E$840,4,Ordenes!$F$2:$F$840,$A13,Ordenes!$T$2:$T$840,"Válida")/SUMIFS(Ordenes!$Q$2:$Q$840,Ordenes!$D$2:$D$840,2026,Ordenes!$E$2:$E$840,4,Ordenes!$F$2:$F$840,$A13,Ordenes!$T$2:$T$840,"Válida"),"")</f>
        <v/>
      </c>
      <c r="F13" s="14">
        <f>IFERROR(SUMIFS(Ordenes!$P$2:$P$840,Ordenes!$D$2:$D$840,2026,Ordenes!$E$2:$E$840,5,Ordenes!$F$2:$F$840,$A13,Ordenes!$T$2:$T$840,"Válida")/SUMIFS(Ordenes!$Q$2:$Q$840,Ordenes!$D$2:$D$840,2026,Ordenes!$E$2:$E$840,5,Ordenes!$F$2:$F$840,$A13,Ordenes!$T$2:$T$840,"Válida"),"")</f>
        <v/>
      </c>
      <c r="G13" s="14">
        <f>IFERROR(SUMIFS(Ordenes!$P$2:$P$840,Ordenes!$D$2:$D$840,2026,Ordenes!$E$2:$E$840,6,Ordenes!$F$2:$F$840,$A13,Ordenes!$T$2:$T$840,"Válida")/SUMIFS(Ordenes!$Q$2:$Q$840,Ordenes!$D$2:$D$840,2026,Ordenes!$E$2:$E$840,6,Ordenes!$F$2:$F$840,$A13,Ordenes!$T$2:$T$840,"Válida"),"")</f>
        <v/>
      </c>
      <c r="H13" s="14">
        <f>IFERROR(SUMIFS(Ordenes!$P$2:$P$840,Ordenes!$D$2:$D$840,2026,Ordenes!$E$2:$E$840,7,Ordenes!$F$2:$F$840,$A13,Ordenes!$T$2:$T$840,"Válida")/SUMIFS(Ordenes!$Q$2:$Q$840,Ordenes!$D$2:$D$840,2026,Ordenes!$E$2:$E$840,7,Ordenes!$F$2:$F$840,$A13,Ordenes!$T$2:$T$840,"Válida"),"")</f>
        <v/>
      </c>
      <c r="I13" s="14">
        <f>IFERROR(SUMIFS(Ordenes!$P$2:$P$840,Ordenes!$D$2:$D$840,2026,Ordenes!$E$2:$E$840,8,Ordenes!$F$2:$F$840,$A13,Ordenes!$T$2:$T$840,"Válida")/SUMIFS(Ordenes!$Q$2:$Q$840,Ordenes!$D$2:$D$840,2026,Ordenes!$E$2:$E$840,8,Ordenes!$F$2:$F$840,$A13,Ordenes!$T$2:$T$840,"Válida"),"")</f>
        <v/>
      </c>
      <c r="J13" s="14">
        <f>IFERROR(SUMIFS(Ordenes!$P$2:$P$840,Ordenes!$D$2:$D$840,2026,Ordenes!$E$2:$E$840,9,Ordenes!$F$2:$F$840,$A13,Ordenes!$T$2:$T$840,"Válida")/SUMIFS(Ordenes!$Q$2:$Q$840,Ordenes!$D$2:$D$840,2026,Ordenes!$E$2:$E$840,9,Ordenes!$F$2:$F$840,$A13,Ordenes!$T$2:$T$840,"Válida"),"")</f>
        <v/>
      </c>
      <c r="K13" s="17">
        <f>IFERROR(SUMIFS(Ordenes!$P$2:$P$840,Ordenes!$D$2:$D$840,"&gt;=2026",Ordenes!$F$2:$F$840,$A13,Ordenes!$T$2:$T$840,"Válida")/SUMIFS(Ordenes!$Q$2:$Q$840,Ordenes!$D$2:$D$840,"&gt;=2026",Ordenes!$F$2:$F$840,$A13,Ordenes!$T$2:$T$840,"Válida"),"")</f>
        <v/>
      </c>
    </row>
    <row r="14">
      <c r="A14" s="4" t="inlineStr">
        <is>
          <t>Total</t>
        </is>
      </c>
      <c r="B14" s="17">
        <f>IFERROR(SUMIFS(Ordenes!$P$2:$P$840,Ordenes!$D$2:$D$840,2026,Ordenes!$E$2:$E$840,1,Ordenes!$F$2:$F$840,"*",Ordenes!$T$2:$T$840,"Válida")/SUMIFS(Ordenes!$Q$2:$Q$840,Ordenes!$D$2:$D$840,2026,Ordenes!$E$2:$E$840,1,Ordenes!$F$2:$F$840,"*",Ordenes!$T$2:$T$840,"Válida"),"")</f>
        <v/>
      </c>
      <c r="C14" s="17">
        <f>IFERROR(SUMIFS(Ordenes!$P$2:$P$840,Ordenes!$D$2:$D$840,2026,Ordenes!$E$2:$E$840,2,Ordenes!$F$2:$F$840,"*",Ordenes!$T$2:$T$840,"Válida")/SUMIFS(Ordenes!$Q$2:$Q$840,Ordenes!$D$2:$D$840,2026,Ordenes!$E$2:$E$840,2,Ordenes!$F$2:$F$840,"*",Ordenes!$T$2:$T$840,"Válida"),"")</f>
        <v/>
      </c>
      <c r="D14" s="17">
        <f>IFERROR(SUMIFS(Ordenes!$P$2:$P$840,Ordenes!$D$2:$D$840,2026,Ordenes!$E$2:$E$840,3,Ordenes!$F$2:$F$840,"*",Ordenes!$T$2:$T$840,"Válida")/SUMIFS(Ordenes!$Q$2:$Q$840,Ordenes!$D$2:$D$840,2026,Ordenes!$E$2:$E$840,3,Ordenes!$F$2:$F$840,"*",Ordenes!$T$2:$T$840,"Válida"),"")</f>
        <v/>
      </c>
      <c r="E14" s="17">
        <f>IFERROR(SUMIFS(Ordenes!$P$2:$P$840,Ordenes!$D$2:$D$840,2026,Ordenes!$E$2:$E$840,4,Ordenes!$F$2:$F$840,"*",Ordenes!$T$2:$T$840,"Válida")/SUMIFS(Ordenes!$Q$2:$Q$840,Ordenes!$D$2:$D$840,2026,Ordenes!$E$2:$E$840,4,Ordenes!$F$2:$F$840,"*",Ordenes!$T$2:$T$840,"Válida"),"")</f>
        <v/>
      </c>
      <c r="F14" s="17">
        <f>IFERROR(SUMIFS(Ordenes!$P$2:$P$840,Ordenes!$D$2:$D$840,2026,Ordenes!$E$2:$E$840,5,Ordenes!$F$2:$F$840,"*",Ordenes!$T$2:$T$840,"Válida")/SUMIFS(Ordenes!$Q$2:$Q$840,Ordenes!$D$2:$D$840,2026,Ordenes!$E$2:$E$840,5,Ordenes!$F$2:$F$840,"*",Ordenes!$T$2:$T$840,"Válida"),"")</f>
        <v/>
      </c>
      <c r="G14" s="17">
        <f>IFERROR(SUMIFS(Ordenes!$P$2:$P$840,Ordenes!$D$2:$D$840,2026,Ordenes!$E$2:$E$840,6,Ordenes!$F$2:$F$840,"*",Ordenes!$T$2:$T$840,"Válida")/SUMIFS(Ordenes!$Q$2:$Q$840,Ordenes!$D$2:$D$840,2026,Ordenes!$E$2:$E$840,6,Ordenes!$F$2:$F$840,"*",Ordenes!$T$2:$T$840,"Válida"),"")</f>
        <v/>
      </c>
      <c r="H14" s="17">
        <f>IFERROR(SUMIFS(Ordenes!$P$2:$P$840,Ordenes!$D$2:$D$840,2026,Ordenes!$E$2:$E$840,7,Ordenes!$F$2:$F$840,"*",Ordenes!$T$2:$T$840,"Válida")/SUMIFS(Ordenes!$Q$2:$Q$840,Ordenes!$D$2:$D$840,2026,Ordenes!$E$2:$E$840,7,Ordenes!$F$2:$F$840,"*",Ordenes!$T$2:$T$840,"Válida"),"")</f>
        <v/>
      </c>
      <c r="I14" s="17">
        <f>IFERROR(SUMIFS(Ordenes!$P$2:$P$840,Ordenes!$D$2:$D$840,2026,Ordenes!$E$2:$E$840,8,Ordenes!$F$2:$F$840,"*",Ordenes!$T$2:$T$840,"Válida")/SUMIFS(Ordenes!$Q$2:$Q$840,Ordenes!$D$2:$D$840,2026,Ordenes!$E$2:$E$840,8,Ordenes!$F$2:$F$840,"*",Ordenes!$T$2:$T$840,"Válida"),"")</f>
        <v/>
      </c>
      <c r="J14" s="17">
        <f>IFERROR(SUMIFS(Ordenes!$P$2:$P$840,Ordenes!$D$2:$D$840,2026,Ordenes!$E$2:$E$840,9,Ordenes!$F$2:$F$840,"*",Ordenes!$T$2:$T$840,"Válida")/SUMIFS(Ordenes!$Q$2:$Q$840,Ordenes!$D$2:$D$840,2026,Ordenes!$E$2:$E$840,9,Ordenes!$F$2:$F$840,"*",Ordenes!$T$2:$T$840,"Válida"),"")</f>
        <v/>
      </c>
      <c r="K14" s="17">
        <f>IFERROR(SUMIFS(Ordenes!$P$2:$P$840,Ordenes!$D$2:$D$840,"&gt;=2026",Ordenes!$F$2:$F$840,"*",Ordenes!$T$2:$T$840,"Válida")/SUMIFS(Ordenes!$Q$2:$Q$840,Ordenes!$D$2:$D$840,"&gt;=2026",Ordenes!$F$2:$F$840,"*",Ordenes!$T$2:$T$840,"Válida"),"")</f>
        <v/>
      </c>
    </row>
    <row r="15">
      <c r="A15" s="3" t="inlineStr">
        <is>
          <t>Escala de color: rojo ≤ 90 %, gris 94,5 %, azul ≥ 97 %.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4" t="inlineStr">
        <is>
          <t>Kg producidos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30" customHeight="1">
      <c r="A18" s="10" t="inlineStr">
        <is>
          <t>Grupo</t>
        </is>
      </c>
      <c r="B18" s="10" t="inlineStr">
        <is>
          <t>Ene 2026</t>
        </is>
      </c>
      <c r="C18" s="10" t="inlineStr">
        <is>
          <t>Feb 2026</t>
        </is>
      </c>
      <c r="D18" s="10" t="inlineStr">
        <is>
          <t>Mar 2026</t>
        </is>
      </c>
      <c r="E18" s="10" t="inlineStr">
        <is>
          <t>Abr 2026</t>
        </is>
      </c>
      <c r="F18" s="10" t="inlineStr">
        <is>
          <t>May 2026</t>
        </is>
      </c>
      <c r="G18" s="10" t="inlineStr">
        <is>
          <t>Jun 2026</t>
        </is>
      </c>
      <c r="H18" s="10" t="inlineStr">
        <is>
          <t>Jul 2026</t>
        </is>
      </c>
      <c r="I18" s="10" t="inlineStr">
        <is>
          <t>Ago 2026</t>
        </is>
      </c>
      <c r="J18" s="10" t="inlineStr">
        <is>
          <t>Sep 2026</t>
        </is>
      </c>
      <c r="K18" s="10" t="inlineStr">
        <is>
          <t>Total</t>
        </is>
      </c>
    </row>
    <row r="19">
      <c r="A19" s="9" t="inlineStr">
        <is>
          <t>B Hormigón</t>
        </is>
      </c>
      <c r="B19" s="13">
        <f>SUMIFS(Ordenes!$P$2:$P$840,Ordenes!$D$2:$D$840,2026,Ordenes!$E$2:$E$840,1,Ordenes!$F$2:$F$840,$A19,Ordenes!$T$2:$T$840,"Válida")</f>
        <v/>
      </c>
      <c r="C19" s="13">
        <f>SUMIFS(Ordenes!$P$2:$P$840,Ordenes!$D$2:$D$840,2026,Ordenes!$E$2:$E$840,2,Ordenes!$F$2:$F$840,$A19,Ordenes!$T$2:$T$840,"Válida")</f>
        <v/>
      </c>
      <c r="D19" s="13">
        <f>SUMIFS(Ordenes!$P$2:$P$840,Ordenes!$D$2:$D$840,2026,Ordenes!$E$2:$E$840,3,Ordenes!$F$2:$F$840,$A19,Ordenes!$T$2:$T$840,"Válida")</f>
        <v/>
      </c>
      <c r="E19" s="13">
        <f>SUMIFS(Ordenes!$P$2:$P$840,Ordenes!$D$2:$D$840,2026,Ordenes!$E$2:$E$840,4,Ordenes!$F$2:$F$840,$A19,Ordenes!$T$2:$T$840,"Válida")</f>
        <v/>
      </c>
      <c r="F19" s="13">
        <f>SUMIFS(Ordenes!$P$2:$P$840,Ordenes!$D$2:$D$840,2026,Ordenes!$E$2:$E$840,5,Ordenes!$F$2:$F$840,$A19,Ordenes!$T$2:$T$840,"Válida")</f>
        <v/>
      </c>
      <c r="G19" s="13">
        <f>SUMIFS(Ordenes!$P$2:$P$840,Ordenes!$D$2:$D$840,2026,Ordenes!$E$2:$E$840,6,Ordenes!$F$2:$F$840,$A19,Ordenes!$T$2:$T$840,"Válida")</f>
        <v/>
      </c>
      <c r="H19" s="13">
        <f>SUMIFS(Ordenes!$P$2:$P$840,Ordenes!$D$2:$D$840,2026,Ordenes!$E$2:$E$840,7,Ordenes!$F$2:$F$840,$A19,Ordenes!$T$2:$T$840,"Válida")</f>
        <v/>
      </c>
      <c r="I19" s="13">
        <f>SUMIFS(Ordenes!$P$2:$P$840,Ordenes!$D$2:$D$840,2026,Ordenes!$E$2:$E$840,8,Ordenes!$F$2:$F$840,$A19,Ordenes!$T$2:$T$840,"Válida")</f>
        <v/>
      </c>
      <c r="J19" s="13">
        <f>SUMIFS(Ordenes!$P$2:$P$840,Ordenes!$D$2:$D$840,2026,Ordenes!$E$2:$E$840,9,Ordenes!$F$2:$F$840,$A19,Ordenes!$T$2:$T$840,"Válida")</f>
        <v/>
      </c>
      <c r="K19" s="23">
        <f>SUMIFS(Ordenes!$P$2:$P$840,Ordenes!$D$2:$D$840,"&gt;=2026",Ordenes!$F$2:$F$840,$A19,Ordenes!$T$2:$T$840,"Válida")</f>
        <v/>
      </c>
    </row>
    <row r="20">
      <c r="A20" s="9" t="inlineStr">
        <is>
          <t>Redondo liso</t>
        </is>
      </c>
      <c r="B20" s="13">
        <f>SUMIFS(Ordenes!$P$2:$P$840,Ordenes!$D$2:$D$840,2026,Ordenes!$E$2:$E$840,1,Ordenes!$F$2:$F$840,$A20,Ordenes!$T$2:$T$840,"Válida")</f>
        <v/>
      </c>
      <c r="C20" s="13">
        <f>SUMIFS(Ordenes!$P$2:$P$840,Ordenes!$D$2:$D$840,2026,Ordenes!$E$2:$E$840,2,Ordenes!$F$2:$F$840,$A20,Ordenes!$T$2:$T$840,"Válida")</f>
        <v/>
      </c>
      <c r="D20" s="13">
        <f>SUMIFS(Ordenes!$P$2:$P$840,Ordenes!$D$2:$D$840,2026,Ordenes!$E$2:$E$840,3,Ordenes!$F$2:$F$840,$A20,Ordenes!$T$2:$T$840,"Válida")</f>
        <v/>
      </c>
      <c r="E20" s="13">
        <f>SUMIFS(Ordenes!$P$2:$P$840,Ordenes!$D$2:$D$840,2026,Ordenes!$E$2:$E$840,4,Ordenes!$F$2:$F$840,$A20,Ordenes!$T$2:$T$840,"Válida")</f>
        <v/>
      </c>
      <c r="F20" s="13">
        <f>SUMIFS(Ordenes!$P$2:$P$840,Ordenes!$D$2:$D$840,2026,Ordenes!$E$2:$E$840,5,Ordenes!$F$2:$F$840,$A20,Ordenes!$T$2:$T$840,"Válida")</f>
        <v/>
      </c>
      <c r="G20" s="13">
        <f>SUMIFS(Ordenes!$P$2:$P$840,Ordenes!$D$2:$D$840,2026,Ordenes!$E$2:$E$840,6,Ordenes!$F$2:$F$840,$A20,Ordenes!$T$2:$T$840,"Válida")</f>
        <v/>
      </c>
      <c r="H20" s="13">
        <f>SUMIFS(Ordenes!$P$2:$P$840,Ordenes!$D$2:$D$840,2026,Ordenes!$E$2:$E$840,7,Ordenes!$F$2:$F$840,$A20,Ordenes!$T$2:$T$840,"Válida")</f>
        <v/>
      </c>
      <c r="I20" s="13">
        <f>SUMIFS(Ordenes!$P$2:$P$840,Ordenes!$D$2:$D$840,2026,Ordenes!$E$2:$E$840,8,Ordenes!$F$2:$F$840,$A20,Ordenes!$T$2:$T$840,"Válida")</f>
        <v/>
      </c>
      <c r="J20" s="13">
        <f>SUMIFS(Ordenes!$P$2:$P$840,Ordenes!$D$2:$D$840,2026,Ordenes!$E$2:$E$840,9,Ordenes!$F$2:$F$840,$A20,Ordenes!$T$2:$T$840,"Válida")</f>
        <v/>
      </c>
      <c r="K20" s="23">
        <f>SUMIFS(Ordenes!$P$2:$P$840,Ordenes!$D$2:$D$840,"&gt;=2026",Ordenes!$F$2:$F$840,$A20,Ordenes!$T$2:$T$840,"Válida")</f>
        <v/>
      </c>
    </row>
    <row r="21">
      <c r="A21" s="9" t="inlineStr">
        <is>
          <t>Plana</t>
        </is>
      </c>
      <c r="B21" s="13">
        <f>SUMIFS(Ordenes!$P$2:$P$840,Ordenes!$D$2:$D$840,2026,Ordenes!$E$2:$E$840,1,Ordenes!$F$2:$F$840,$A21,Ordenes!$T$2:$T$840,"Válida")</f>
        <v/>
      </c>
      <c r="C21" s="13">
        <f>SUMIFS(Ordenes!$P$2:$P$840,Ordenes!$D$2:$D$840,2026,Ordenes!$E$2:$E$840,2,Ordenes!$F$2:$F$840,$A21,Ordenes!$T$2:$T$840,"Válida")</f>
        <v/>
      </c>
      <c r="D21" s="13">
        <f>SUMIFS(Ordenes!$P$2:$P$840,Ordenes!$D$2:$D$840,2026,Ordenes!$E$2:$E$840,3,Ordenes!$F$2:$F$840,$A21,Ordenes!$T$2:$T$840,"Válida")</f>
        <v/>
      </c>
      <c r="E21" s="13">
        <f>SUMIFS(Ordenes!$P$2:$P$840,Ordenes!$D$2:$D$840,2026,Ordenes!$E$2:$E$840,4,Ordenes!$F$2:$F$840,$A21,Ordenes!$T$2:$T$840,"Válida")</f>
        <v/>
      </c>
      <c r="F21" s="13">
        <f>SUMIFS(Ordenes!$P$2:$P$840,Ordenes!$D$2:$D$840,2026,Ordenes!$E$2:$E$840,5,Ordenes!$F$2:$F$840,$A21,Ordenes!$T$2:$T$840,"Válida")</f>
        <v/>
      </c>
      <c r="G21" s="13">
        <f>SUMIFS(Ordenes!$P$2:$P$840,Ordenes!$D$2:$D$840,2026,Ordenes!$E$2:$E$840,6,Ordenes!$F$2:$F$840,$A21,Ordenes!$T$2:$T$840,"Válida")</f>
        <v/>
      </c>
      <c r="H21" s="13">
        <f>SUMIFS(Ordenes!$P$2:$P$840,Ordenes!$D$2:$D$840,2026,Ordenes!$E$2:$E$840,7,Ordenes!$F$2:$F$840,$A21,Ordenes!$T$2:$T$840,"Válida")</f>
        <v/>
      </c>
      <c r="I21" s="13">
        <f>SUMIFS(Ordenes!$P$2:$P$840,Ordenes!$D$2:$D$840,2026,Ordenes!$E$2:$E$840,8,Ordenes!$F$2:$F$840,$A21,Ordenes!$T$2:$T$840,"Válida")</f>
        <v/>
      </c>
      <c r="J21" s="13">
        <f>SUMIFS(Ordenes!$P$2:$P$840,Ordenes!$D$2:$D$840,2026,Ordenes!$E$2:$E$840,9,Ordenes!$F$2:$F$840,$A21,Ordenes!$T$2:$T$840,"Válida")</f>
        <v/>
      </c>
      <c r="K21" s="23">
        <f>SUMIFS(Ordenes!$P$2:$P$840,Ordenes!$D$2:$D$840,"&gt;=2026",Ordenes!$F$2:$F$840,$A21,Ordenes!$T$2:$T$840,"Válida")</f>
        <v/>
      </c>
    </row>
    <row r="22">
      <c r="A22" s="9" t="inlineStr">
        <is>
          <t>Ángulo</t>
        </is>
      </c>
      <c r="B22" s="13">
        <f>SUMIFS(Ordenes!$P$2:$P$840,Ordenes!$D$2:$D$840,2026,Ordenes!$E$2:$E$840,1,Ordenes!$F$2:$F$840,$A22,Ordenes!$T$2:$T$840,"Válida")</f>
        <v/>
      </c>
      <c r="C22" s="13">
        <f>SUMIFS(Ordenes!$P$2:$P$840,Ordenes!$D$2:$D$840,2026,Ordenes!$E$2:$E$840,2,Ordenes!$F$2:$F$840,$A22,Ordenes!$T$2:$T$840,"Válida")</f>
        <v/>
      </c>
      <c r="D22" s="13">
        <f>SUMIFS(Ordenes!$P$2:$P$840,Ordenes!$D$2:$D$840,2026,Ordenes!$E$2:$E$840,3,Ordenes!$F$2:$F$840,$A22,Ordenes!$T$2:$T$840,"Válida")</f>
        <v/>
      </c>
      <c r="E22" s="13">
        <f>SUMIFS(Ordenes!$P$2:$P$840,Ordenes!$D$2:$D$840,2026,Ordenes!$E$2:$E$840,4,Ordenes!$F$2:$F$840,$A22,Ordenes!$T$2:$T$840,"Válida")</f>
        <v/>
      </c>
      <c r="F22" s="13">
        <f>SUMIFS(Ordenes!$P$2:$P$840,Ordenes!$D$2:$D$840,2026,Ordenes!$E$2:$E$840,5,Ordenes!$F$2:$F$840,$A22,Ordenes!$T$2:$T$840,"Válida")</f>
        <v/>
      </c>
      <c r="G22" s="13">
        <f>SUMIFS(Ordenes!$P$2:$P$840,Ordenes!$D$2:$D$840,2026,Ordenes!$E$2:$E$840,6,Ordenes!$F$2:$F$840,$A22,Ordenes!$T$2:$T$840,"Válida")</f>
        <v/>
      </c>
      <c r="H22" s="13">
        <f>SUMIFS(Ordenes!$P$2:$P$840,Ordenes!$D$2:$D$840,2026,Ordenes!$E$2:$E$840,7,Ordenes!$F$2:$F$840,$A22,Ordenes!$T$2:$T$840,"Válida")</f>
        <v/>
      </c>
      <c r="I22" s="13">
        <f>SUMIFS(Ordenes!$P$2:$P$840,Ordenes!$D$2:$D$840,2026,Ordenes!$E$2:$E$840,8,Ordenes!$F$2:$F$840,$A22,Ordenes!$T$2:$T$840,"Válida")</f>
        <v/>
      </c>
      <c r="J22" s="13">
        <f>SUMIFS(Ordenes!$P$2:$P$840,Ordenes!$D$2:$D$840,2026,Ordenes!$E$2:$E$840,9,Ordenes!$F$2:$F$840,$A22,Ordenes!$T$2:$T$840,"Válida")</f>
        <v/>
      </c>
      <c r="K22" s="23">
        <f>SUMIFS(Ordenes!$P$2:$P$840,Ordenes!$D$2:$D$840,"&gt;=2026",Ordenes!$F$2:$F$840,$A22,Ordenes!$T$2:$T$840,"Válida")</f>
        <v/>
      </c>
    </row>
    <row r="23">
      <c r="A23" s="9" t="inlineStr">
        <is>
          <t>Cuadrado</t>
        </is>
      </c>
      <c r="B23" s="13">
        <f>SUMIFS(Ordenes!$P$2:$P$840,Ordenes!$D$2:$D$840,2026,Ordenes!$E$2:$E$840,1,Ordenes!$F$2:$F$840,$A23,Ordenes!$T$2:$T$840,"Válida")</f>
        <v/>
      </c>
      <c r="C23" s="13">
        <f>SUMIFS(Ordenes!$P$2:$P$840,Ordenes!$D$2:$D$840,2026,Ordenes!$E$2:$E$840,2,Ordenes!$F$2:$F$840,$A23,Ordenes!$T$2:$T$840,"Válida")</f>
        <v/>
      </c>
      <c r="D23" s="13">
        <f>SUMIFS(Ordenes!$P$2:$P$840,Ordenes!$D$2:$D$840,2026,Ordenes!$E$2:$E$840,3,Ordenes!$F$2:$F$840,$A23,Ordenes!$T$2:$T$840,"Válida")</f>
        <v/>
      </c>
      <c r="E23" s="13">
        <f>SUMIFS(Ordenes!$P$2:$P$840,Ordenes!$D$2:$D$840,2026,Ordenes!$E$2:$E$840,4,Ordenes!$F$2:$F$840,$A23,Ordenes!$T$2:$T$840,"Válida")</f>
        <v/>
      </c>
      <c r="F23" s="13">
        <f>SUMIFS(Ordenes!$P$2:$P$840,Ordenes!$D$2:$D$840,2026,Ordenes!$E$2:$E$840,5,Ordenes!$F$2:$F$840,$A23,Ordenes!$T$2:$T$840,"Válida")</f>
        <v/>
      </c>
      <c r="G23" s="13">
        <f>SUMIFS(Ordenes!$P$2:$P$840,Ordenes!$D$2:$D$840,2026,Ordenes!$E$2:$E$840,6,Ordenes!$F$2:$F$840,$A23,Ordenes!$T$2:$T$840,"Válida")</f>
        <v/>
      </c>
      <c r="H23" s="13">
        <f>SUMIFS(Ordenes!$P$2:$P$840,Ordenes!$D$2:$D$840,2026,Ordenes!$E$2:$E$840,7,Ordenes!$F$2:$F$840,$A23,Ordenes!$T$2:$T$840,"Válida")</f>
        <v/>
      </c>
      <c r="I23" s="13">
        <f>SUMIFS(Ordenes!$P$2:$P$840,Ordenes!$D$2:$D$840,2026,Ordenes!$E$2:$E$840,8,Ordenes!$F$2:$F$840,$A23,Ordenes!$T$2:$T$840,"Válida")</f>
        <v/>
      </c>
      <c r="J23" s="13">
        <f>SUMIFS(Ordenes!$P$2:$P$840,Ordenes!$D$2:$D$840,2026,Ordenes!$E$2:$E$840,9,Ordenes!$F$2:$F$840,$A23,Ordenes!$T$2:$T$840,"Válida")</f>
        <v/>
      </c>
      <c r="K23" s="23">
        <f>SUMIFS(Ordenes!$P$2:$P$840,Ordenes!$D$2:$D$840,"&gt;=2026",Ordenes!$F$2:$F$840,$A23,Ordenes!$T$2:$T$840,"Válida")</f>
        <v/>
      </c>
    </row>
    <row r="24">
      <c r="A24" s="9" t="inlineStr">
        <is>
          <t>Estrella</t>
        </is>
      </c>
      <c r="B24" s="13">
        <f>SUMIFS(Ordenes!$P$2:$P$840,Ordenes!$D$2:$D$840,2026,Ordenes!$E$2:$E$840,1,Ordenes!$F$2:$F$840,$A24,Ordenes!$T$2:$T$840,"Válida")</f>
        <v/>
      </c>
      <c r="C24" s="13">
        <f>SUMIFS(Ordenes!$P$2:$P$840,Ordenes!$D$2:$D$840,2026,Ordenes!$E$2:$E$840,2,Ordenes!$F$2:$F$840,$A24,Ordenes!$T$2:$T$840,"Válida")</f>
        <v/>
      </c>
      <c r="D24" s="13">
        <f>SUMIFS(Ordenes!$P$2:$P$840,Ordenes!$D$2:$D$840,2026,Ordenes!$E$2:$E$840,3,Ordenes!$F$2:$F$840,$A24,Ordenes!$T$2:$T$840,"Válida")</f>
        <v/>
      </c>
      <c r="E24" s="13">
        <f>SUMIFS(Ordenes!$P$2:$P$840,Ordenes!$D$2:$D$840,2026,Ordenes!$E$2:$E$840,4,Ordenes!$F$2:$F$840,$A24,Ordenes!$T$2:$T$840,"Válida")</f>
        <v/>
      </c>
      <c r="F24" s="13">
        <f>SUMIFS(Ordenes!$P$2:$P$840,Ordenes!$D$2:$D$840,2026,Ordenes!$E$2:$E$840,5,Ordenes!$F$2:$F$840,$A24,Ordenes!$T$2:$T$840,"Válida")</f>
        <v/>
      </c>
      <c r="G24" s="13">
        <f>SUMIFS(Ordenes!$P$2:$P$840,Ordenes!$D$2:$D$840,2026,Ordenes!$E$2:$E$840,6,Ordenes!$F$2:$F$840,$A24,Ordenes!$T$2:$T$840,"Válida")</f>
        <v/>
      </c>
      <c r="H24" s="13">
        <f>SUMIFS(Ordenes!$P$2:$P$840,Ordenes!$D$2:$D$840,2026,Ordenes!$E$2:$E$840,7,Ordenes!$F$2:$F$840,$A24,Ordenes!$T$2:$T$840,"Válida")</f>
        <v/>
      </c>
      <c r="I24" s="13">
        <f>SUMIFS(Ordenes!$P$2:$P$840,Ordenes!$D$2:$D$840,2026,Ordenes!$E$2:$E$840,8,Ordenes!$F$2:$F$840,$A24,Ordenes!$T$2:$T$840,"Válida")</f>
        <v/>
      </c>
      <c r="J24" s="13">
        <f>SUMIFS(Ordenes!$P$2:$P$840,Ordenes!$D$2:$D$840,2026,Ordenes!$E$2:$E$840,9,Ordenes!$F$2:$F$840,$A24,Ordenes!$T$2:$T$840,"Válida")</f>
        <v/>
      </c>
      <c r="K24" s="23">
        <f>SUMIFS(Ordenes!$P$2:$P$840,Ordenes!$D$2:$D$840,"&gt;=2026",Ordenes!$F$2:$F$840,$A24,Ordenes!$T$2:$T$840,"Válida")</f>
        <v/>
      </c>
    </row>
    <row r="25">
      <c r="A25" s="9" t="inlineStr">
        <is>
          <t>Saferock</t>
        </is>
      </c>
      <c r="B25" s="13">
        <f>SUMIFS(Ordenes!$P$2:$P$840,Ordenes!$D$2:$D$840,2026,Ordenes!$E$2:$E$840,1,Ordenes!$F$2:$F$840,$A25,Ordenes!$T$2:$T$840,"Válida")</f>
        <v/>
      </c>
      <c r="C25" s="13">
        <f>SUMIFS(Ordenes!$P$2:$P$840,Ordenes!$D$2:$D$840,2026,Ordenes!$E$2:$E$840,2,Ordenes!$F$2:$F$840,$A25,Ordenes!$T$2:$T$840,"Válida")</f>
        <v/>
      </c>
      <c r="D25" s="13">
        <f>SUMIFS(Ordenes!$P$2:$P$840,Ordenes!$D$2:$D$840,2026,Ordenes!$E$2:$E$840,3,Ordenes!$F$2:$F$840,$A25,Ordenes!$T$2:$T$840,"Válida")</f>
        <v/>
      </c>
      <c r="E25" s="13">
        <f>SUMIFS(Ordenes!$P$2:$P$840,Ordenes!$D$2:$D$840,2026,Ordenes!$E$2:$E$840,4,Ordenes!$F$2:$F$840,$A25,Ordenes!$T$2:$T$840,"Válida")</f>
        <v/>
      </c>
      <c r="F25" s="13">
        <f>SUMIFS(Ordenes!$P$2:$P$840,Ordenes!$D$2:$D$840,2026,Ordenes!$E$2:$E$840,5,Ordenes!$F$2:$F$840,$A25,Ordenes!$T$2:$T$840,"Válida")</f>
        <v/>
      </c>
      <c r="G25" s="13">
        <f>SUMIFS(Ordenes!$P$2:$P$840,Ordenes!$D$2:$D$840,2026,Ordenes!$E$2:$E$840,6,Ordenes!$F$2:$F$840,$A25,Ordenes!$T$2:$T$840,"Válida")</f>
        <v/>
      </c>
      <c r="H25" s="13">
        <f>SUMIFS(Ordenes!$P$2:$P$840,Ordenes!$D$2:$D$840,2026,Ordenes!$E$2:$E$840,7,Ordenes!$F$2:$F$840,$A25,Ordenes!$T$2:$T$840,"Válida")</f>
        <v/>
      </c>
      <c r="I25" s="13">
        <f>SUMIFS(Ordenes!$P$2:$P$840,Ordenes!$D$2:$D$840,2026,Ordenes!$E$2:$E$840,8,Ordenes!$F$2:$F$840,$A25,Ordenes!$T$2:$T$840,"Válida")</f>
        <v/>
      </c>
      <c r="J25" s="13">
        <f>SUMIFS(Ordenes!$P$2:$P$840,Ordenes!$D$2:$D$840,2026,Ordenes!$E$2:$E$840,9,Ordenes!$F$2:$F$840,$A25,Ordenes!$T$2:$T$840,"Válida")</f>
        <v/>
      </c>
      <c r="K25" s="23">
        <f>SUMIFS(Ordenes!$P$2:$P$840,Ordenes!$D$2:$D$840,"&gt;=2026",Ordenes!$F$2:$F$840,$A25,Ordenes!$T$2:$T$840,"Válida")</f>
        <v/>
      </c>
    </row>
    <row r="26">
      <c r="A26" s="9" t="inlineStr">
        <is>
          <t>Hexágono</t>
        </is>
      </c>
      <c r="B26" s="13">
        <f>SUMIFS(Ordenes!$P$2:$P$840,Ordenes!$D$2:$D$840,2026,Ordenes!$E$2:$E$840,1,Ordenes!$F$2:$F$840,$A26,Ordenes!$T$2:$T$840,"Válida")</f>
        <v/>
      </c>
      <c r="C26" s="13">
        <f>SUMIFS(Ordenes!$P$2:$P$840,Ordenes!$D$2:$D$840,2026,Ordenes!$E$2:$E$840,2,Ordenes!$F$2:$F$840,$A26,Ordenes!$T$2:$T$840,"Válida")</f>
        <v/>
      </c>
      <c r="D26" s="13">
        <f>SUMIFS(Ordenes!$P$2:$P$840,Ordenes!$D$2:$D$840,2026,Ordenes!$E$2:$E$840,3,Ordenes!$F$2:$F$840,$A26,Ordenes!$T$2:$T$840,"Válida")</f>
        <v/>
      </c>
      <c r="E26" s="13">
        <f>SUMIFS(Ordenes!$P$2:$P$840,Ordenes!$D$2:$D$840,2026,Ordenes!$E$2:$E$840,4,Ordenes!$F$2:$F$840,$A26,Ordenes!$T$2:$T$840,"Válida")</f>
        <v/>
      </c>
      <c r="F26" s="13">
        <f>SUMIFS(Ordenes!$P$2:$P$840,Ordenes!$D$2:$D$840,2026,Ordenes!$E$2:$E$840,5,Ordenes!$F$2:$F$840,$A26,Ordenes!$T$2:$T$840,"Válida")</f>
        <v/>
      </c>
      <c r="G26" s="13">
        <f>SUMIFS(Ordenes!$P$2:$P$840,Ordenes!$D$2:$D$840,2026,Ordenes!$E$2:$E$840,6,Ordenes!$F$2:$F$840,$A26,Ordenes!$T$2:$T$840,"Válida")</f>
        <v/>
      </c>
      <c r="H26" s="13">
        <f>SUMIFS(Ordenes!$P$2:$P$840,Ordenes!$D$2:$D$840,2026,Ordenes!$E$2:$E$840,7,Ordenes!$F$2:$F$840,$A26,Ordenes!$T$2:$T$840,"Válida")</f>
        <v/>
      </c>
      <c r="I26" s="13">
        <f>SUMIFS(Ordenes!$P$2:$P$840,Ordenes!$D$2:$D$840,2026,Ordenes!$E$2:$E$840,8,Ordenes!$F$2:$F$840,$A26,Ordenes!$T$2:$T$840,"Válida")</f>
        <v/>
      </c>
      <c r="J26" s="13">
        <f>SUMIFS(Ordenes!$P$2:$P$840,Ordenes!$D$2:$D$840,2026,Ordenes!$E$2:$E$840,9,Ordenes!$F$2:$F$840,$A26,Ordenes!$T$2:$T$840,"Válida")</f>
        <v/>
      </c>
      <c r="K26" s="23">
        <f>SUMIFS(Ordenes!$P$2:$P$840,Ordenes!$D$2:$D$840,"&gt;=2026",Ordenes!$F$2:$F$840,$A26,Ordenes!$T$2:$T$840,"Válida")</f>
        <v/>
      </c>
    </row>
    <row r="27">
      <c r="A27" s="4" t="inlineStr">
        <is>
          <t>Total</t>
        </is>
      </c>
      <c r="B27" s="23">
        <f>SUMIFS(Ordenes!$P$2:$P$840,Ordenes!$D$2:$D$840,2026,Ordenes!$E$2:$E$840,1,Ordenes!$F$2:$F$840,"*",Ordenes!$T$2:$T$840,"Válida")</f>
        <v/>
      </c>
      <c r="C27" s="23">
        <f>SUMIFS(Ordenes!$P$2:$P$840,Ordenes!$D$2:$D$840,2026,Ordenes!$E$2:$E$840,2,Ordenes!$F$2:$F$840,"*",Ordenes!$T$2:$T$840,"Válida")</f>
        <v/>
      </c>
      <c r="D27" s="23">
        <f>SUMIFS(Ordenes!$P$2:$P$840,Ordenes!$D$2:$D$840,2026,Ordenes!$E$2:$E$840,3,Ordenes!$F$2:$F$840,"*",Ordenes!$T$2:$T$840,"Válida")</f>
        <v/>
      </c>
      <c r="E27" s="23">
        <f>SUMIFS(Ordenes!$P$2:$P$840,Ordenes!$D$2:$D$840,2026,Ordenes!$E$2:$E$840,4,Ordenes!$F$2:$F$840,"*",Ordenes!$T$2:$T$840,"Válida")</f>
        <v/>
      </c>
      <c r="F27" s="23">
        <f>SUMIFS(Ordenes!$P$2:$P$840,Ordenes!$D$2:$D$840,2026,Ordenes!$E$2:$E$840,5,Ordenes!$F$2:$F$840,"*",Ordenes!$T$2:$T$840,"Válida")</f>
        <v/>
      </c>
      <c r="G27" s="23">
        <f>SUMIFS(Ordenes!$P$2:$P$840,Ordenes!$D$2:$D$840,2026,Ordenes!$E$2:$E$840,6,Ordenes!$F$2:$F$840,"*",Ordenes!$T$2:$T$840,"Válida")</f>
        <v/>
      </c>
      <c r="H27" s="23">
        <f>SUMIFS(Ordenes!$P$2:$P$840,Ordenes!$D$2:$D$840,2026,Ordenes!$E$2:$E$840,7,Ordenes!$F$2:$F$840,"*",Ordenes!$T$2:$T$840,"Válida")</f>
        <v/>
      </c>
      <c r="I27" s="23">
        <f>SUMIFS(Ordenes!$P$2:$P$840,Ordenes!$D$2:$D$840,2026,Ordenes!$E$2:$E$840,8,Ordenes!$F$2:$F$840,"*",Ordenes!$T$2:$T$840,"Válida")</f>
        <v/>
      </c>
      <c r="J27" s="23">
        <f>SUMIFS(Ordenes!$P$2:$P$840,Ordenes!$D$2:$D$840,2026,Ordenes!$E$2:$E$840,9,Ordenes!$F$2:$F$840,"*",Ordenes!$T$2:$T$840,"Válida")</f>
        <v/>
      </c>
      <c r="K27" s="23">
        <f>SUMIFS(Ordenes!$P$2:$P$840,Ordenes!$D$2:$D$840,"&gt;=2026",Ordenes!$F$2:$F$840,"*",Ordenes!$T$2:$T$840,"Válida")</f>
        <v/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4" t="inlineStr">
        <is>
          <t>Meta ponderada (Rend_Met × kg consumidos)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30" customHeight="1">
      <c r="A31" s="10" t="inlineStr">
        <is>
          <t>Grupo</t>
        </is>
      </c>
      <c r="B31" s="10" t="inlineStr">
        <is>
          <t>Ene 2026</t>
        </is>
      </c>
      <c r="C31" s="10" t="inlineStr">
        <is>
          <t>Feb 2026</t>
        </is>
      </c>
      <c r="D31" s="10" t="inlineStr">
        <is>
          <t>Mar 2026</t>
        </is>
      </c>
      <c r="E31" s="10" t="inlineStr">
        <is>
          <t>Abr 2026</t>
        </is>
      </c>
      <c r="F31" s="10" t="inlineStr">
        <is>
          <t>May 2026</t>
        </is>
      </c>
      <c r="G31" s="10" t="inlineStr">
        <is>
          <t>Jun 2026</t>
        </is>
      </c>
      <c r="H31" s="10" t="inlineStr">
        <is>
          <t>Jul 2026</t>
        </is>
      </c>
      <c r="I31" s="10" t="inlineStr">
        <is>
          <t>Ago 2026</t>
        </is>
      </c>
      <c r="J31" s="10" t="inlineStr">
        <is>
          <t>Sep 2026</t>
        </is>
      </c>
      <c r="K31" s="10" t="inlineStr">
        <is>
          <t>Total</t>
        </is>
      </c>
    </row>
    <row r="32">
      <c r="A32" s="9" t="inlineStr">
        <is>
          <t>B Hormigón</t>
        </is>
      </c>
      <c r="B32" s="14">
        <f>IFERROR(SUMIFS(Ordenes!$V$2:$V$840,Ordenes!$D$2:$D$840,2026,Ordenes!$E$2:$E$840,1,Ordenes!$F$2:$F$840,$A32,Ordenes!$T$2:$T$840,"Válida")/SUMIFS(Ordenes!$Q$2:$Q$840,Ordenes!$D$2:$D$840,2026,Ordenes!$E$2:$E$840,1,Ordenes!$F$2:$F$840,$A32,Ordenes!$T$2:$T$840,"Válida"),"")</f>
        <v/>
      </c>
      <c r="C32" s="14">
        <f>IFERROR(SUMIFS(Ordenes!$V$2:$V$840,Ordenes!$D$2:$D$840,2026,Ordenes!$E$2:$E$840,2,Ordenes!$F$2:$F$840,$A32,Ordenes!$T$2:$T$840,"Válida")/SUMIFS(Ordenes!$Q$2:$Q$840,Ordenes!$D$2:$D$840,2026,Ordenes!$E$2:$E$840,2,Ordenes!$F$2:$F$840,$A32,Ordenes!$T$2:$T$840,"Válida"),"")</f>
        <v/>
      </c>
      <c r="D32" s="14">
        <f>IFERROR(SUMIFS(Ordenes!$V$2:$V$840,Ordenes!$D$2:$D$840,2026,Ordenes!$E$2:$E$840,3,Ordenes!$F$2:$F$840,$A32,Ordenes!$T$2:$T$840,"Válida")/SUMIFS(Ordenes!$Q$2:$Q$840,Ordenes!$D$2:$D$840,2026,Ordenes!$E$2:$E$840,3,Ordenes!$F$2:$F$840,$A32,Ordenes!$T$2:$T$840,"Válida"),"")</f>
        <v/>
      </c>
      <c r="E32" s="14">
        <f>IFERROR(SUMIFS(Ordenes!$V$2:$V$840,Ordenes!$D$2:$D$840,2026,Ordenes!$E$2:$E$840,4,Ordenes!$F$2:$F$840,$A32,Ordenes!$T$2:$T$840,"Válida")/SUMIFS(Ordenes!$Q$2:$Q$840,Ordenes!$D$2:$D$840,2026,Ordenes!$E$2:$E$840,4,Ordenes!$F$2:$F$840,$A32,Ordenes!$T$2:$T$840,"Válida"),"")</f>
        <v/>
      </c>
      <c r="F32" s="14">
        <f>IFERROR(SUMIFS(Ordenes!$V$2:$V$840,Ordenes!$D$2:$D$840,2026,Ordenes!$E$2:$E$840,5,Ordenes!$F$2:$F$840,$A32,Ordenes!$T$2:$T$840,"Válida")/SUMIFS(Ordenes!$Q$2:$Q$840,Ordenes!$D$2:$D$840,2026,Ordenes!$E$2:$E$840,5,Ordenes!$F$2:$F$840,$A32,Ordenes!$T$2:$T$840,"Válida"),"")</f>
        <v/>
      </c>
      <c r="G32" s="14">
        <f>IFERROR(SUMIFS(Ordenes!$V$2:$V$840,Ordenes!$D$2:$D$840,2026,Ordenes!$E$2:$E$840,6,Ordenes!$F$2:$F$840,$A32,Ordenes!$T$2:$T$840,"Válida")/SUMIFS(Ordenes!$Q$2:$Q$840,Ordenes!$D$2:$D$840,2026,Ordenes!$E$2:$E$840,6,Ordenes!$F$2:$F$840,$A32,Ordenes!$T$2:$T$840,"Válida"),"")</f>
        <v/>
      </c>
      <c r="H32" s="14">
        <f>IFERROR(SUMIFS(Ordenes!$V$2:$V$840,Ordenes!$D$2:$D$840,2026,Ordenes!$E$2:$E$840,7,Ordenes!$F$2:$F$840,$A32,Ordenes!$T$2:$T$840,"Válida")/SUMIFS(Ordenes!$Q$2:$Q$840,Ordenes!$D$2:$D$840,2026,Ordenes!$E$2:$E$840,7,Ordenes!$F$2:$F$840,$A32,Ordenes!$T$2:$T$840,"Válida"),"")</f>
        <v/>
      </c>
      <c r="I32" s="14">
        <f>IFERROR(SUMIFS(Ordenes!$V$2:$V$840,Ordenes!$D$2:$D$840,2026,Ordenes!$E$2:$E$840,8,Ordenes!$F$2:$F$840,$A32,Ordenes!$T$2:$T$840,"Válida")/SUMIFS(Ordenes!$Q$2:$Q$840,Ordenes!$D$2:$D$840,2026,Ordenes!$E$2:$E$840,8,Ordenes!$F$2:$F$840,$A32,Ordenes!$T$2:$T$840,"Válida"),"")</f>
        <v/>
      </c>
      <c r="J32" s="14">
        <f>IFERROR(SUMIFS(Ordenes!$V$2:$V$840,Ordenes!$D$2:$D$840,2026,Ordenes!$E$2:$E$840,9,Ordenes!$F$2:$F$840,$A32,Ordenes!$T$2:$T$840,"Válida")/SUMIFS(Ordenes!$Q$2:$Q$840,Ordenes!$D$2:$D$840,2026,Ordenes!$E$2:$E$840,9,Ordenes!$F$2:$F$840,$A32,Ordenes!$T$2:$T$840,"Válida"),"")</f>
        <v/>
      </c>
      <c r="K32" s="17">
        <f>IFERROR(SUMIFS(Ordenes!$V$2:$V$840,Ordenes!$D$2:$D$840,"&gt;=2026",Ordenes!$F$2:$F$840,$A32,Ordenes!$T$2:$T$840,"Válida")/SUMIFS(Ordenes!$Q$2:$Q$840,Ordenes!$D$2:$D$840,"&gt;=2026",Ordenes!$F$2:$F$840,$A32,Ordenes!$T$2:$T$840,"Válida"),"")</f>
        <v/>
      </c>
    </row>
    <row r="33">
      <c r="A33" s="9" t="inlineStr">
        <is>
          <t>Redondo liso</t>
        </is>
      </c>
      <c r="B33" s="14">
        <f>IFERROR(SUMIFS(Ordenes!$V$2:$V$840,Ordenes!$D$2:$D$840,2026,Ordenes!$E$2:$E$840,1,Ordenes!$F$2:$F$840,$A33,Ordenes!$T$2:$T$840,"Válida")/SUMIFS(Ordenes!$Q$2:$Q$840,Ordenes!$D$2:$D$840,2026,Ordenes!$E$2:$E$840,1,Ordenes!$F$2:$F$840,$A33,Ordenes!$T$2:$T$840,"Válida"),"")</f>
        <v/>
      </c>
      <c r="C33" s="14">
        <f>IFERROR(SUMIFS(Ordenes!$V$2:$V$840,Ordenes!$D$2:$D$840,2026,Ordenes!$E$2:$E$840,2,Ordenes!$F$2:$F$840,$A33,Ordenes!$T$2:$T$840,"Válida")/SUMIFS(Ordenes!$Q$2:$Q$840,Ordenes!$D$2:$D$840,2026,Ordenes!$E$2:$E$840,2,Ordenes!$F$2:$F$840,$A33,Ordenes!$T$2:$T$840,"Válida"),"")</f>
        <v/>
      </c>
      <c r="D33" s="14">
        <f>IFERROR(SUMIFS(Ordenes!$V$2:$V$840,Ordenes!$D$2:$D$840,2026,Ordenes!$E$2:$E$840,3,Ordenes!$F$2:$F$840,$A33,Ordenes!$T$2:$T$840,"Válida")/SUMIFS(Ordenes!$Q$2:$Q$840,Ordenes!$D$2:$D$840,2026,Ordenes!$E$2:$E$840,3,Ordenes!$F$2:$F$840,$A33,Ordenes!$T$2:$T$840,"Válida"),"")</f>
        <v/>
      </c>
      <c r="E33" s="14">
        <f>IFERROR(SUMIFS(Ordenes!$V$2:$V$840,Ordenes!$D$2:$D$840,2026,Ordenes!$E$2:$E$840,4,Ordenes!$F$2:$F$840,$A33,Ordenes!$T$2:$T$840,"Válida")/SUMIFS(Ordenes!$Q$2:$Q$840,Ordenes!$D$2:$D$840,2026,Ordenes!$E$2:$E$840,4,Ordenes!$F$2:$F$840,$A33,Ordenes!$T$2:$T$840,"Válida"),"")</f>
        <v/>
      </c>
      <c r="F33" s="14">
        <f>IFERROR(SUMIFS(Ordenes!$V$2:$V$840,Ordenes!$D$2:$D$840,2026,Ordenes!$E$2:$E$840,5,Ordenes!$F$2:$F$840,$A33,Ordenes!$T$2:$T$840,"Válida")/SUMIFS(Ordenes!$Q$2:$Q$840,Ordenes!$D$2:$D$840,2026,Ordenes!$E$2:$E$840,5,Ordenes!$F$2:$F$840,$A33,Ordenes!$T$2:$T$840,"Válida"),"")</f>
        <v/>
      </c>
      <c r="G33" s="14">
        <f>IFERROR(SUMIFS(Ordenes!$V$2:$V$840,Ordenes!$D$2:$D$840,2026,Ordenes!$E$2:$E$840,6,Ordenes!$F$2:$F$840,$A33,Ordenes!$T$2:$T$840,"Válida")/SUMIFS(Ordenes!$Q$2:$Q$840,Ordenes!$D$2:$D$840,2026,Ordenes!$E$2:$E$840,6,Ordenes!$F$2:$F$840,$A33,Ordenes!$T$2:$T$840,"Válida"),"")</f>
        <v/>
      </c>
      <c r="H33" s="14">
        <f>IFERROR(SUMIFS(Ordenes!$V$2:$V$840,Ordenes!$D$2:$D$840,2026,Ordenes!$E$2:$E$840,7,Ordenes!$F$2:$F$840,$A33,Ordenes!$T$2:$T$840,"Válida")/SUMIFS(Ordenes!$Q$2:$Q$840,Ordenes!$D$2:$D$840,2026,Ordenes!$E$2:$E$840,7,Ordenes!$F$2:$F$840,$A33,Ordenes!$T$2:$T$840,"Válida"),"")</f>
        <v/>
      </c>
      <c r="I33" s="14">
        <f>IFERROR(SUMIFS(Ordenes!$V$2:$V$840,Ordenes!$D$2:$D$840,2026,Ordenes!$E$2:$E$840,8,Ordenes!$F$2:$F$840,$A33,Ordenes!$T$2:$T$840,"Válida")/SUMIFS(Ordenes!$Q$2:$Q$840,Ordenes!$D$2:$D$840,2026,Ordenes!$E$2:$E$840,8,Ordenes!$F$2:$F$840,$A33,Ordenes!$T$2:$T$840,"Válida"),"")</f>
        <v/>
      </c>
      <c r="J33" s="14">
        <f>IFERROR(SUMIFS(Ordenes!$V$2:$V$840,Ordenes!$D$2:$D$840,2026,Ordenes!$E$2:$E$840,9,Ordenes!$F$2:$F$840,$A33,Ordenes!$T$2:$T$840,"Válida")/SUMIFS(Ordenes!$Q$2:$Q$840,Ordenes!$D$2:$D$840,2026,Ordenes!$E$2:$E$840,9,Ordenes!$F$2:$F$840,$A33,Ordenes!$T$2:$T$840,"Válida"),"")</f>
        <v/>
      </c>
      <c r="K33" s="17">
        <f>IFERROR(SUMIFS(Ordenes!$V$2:$V$840,Ordenes!$D$2:$D$840,"&gt;=2026",Ordenes!$F$2:$F$840,$A33,Ordenes!$T$2:$T$840,"Válida")/SUMIFS(Ordenes!$Q$2:$Q$840,Ordenes!$D$2:$D$840,"&gt;=2026",Ordenes!$F$2:$F$840,$A33,Ordenes!$T$2:$T$840,"Válida"),"")</f>
        <v/>
      </c>
    </row>
    <row r="34">
      <c r="A34" s="9" t="inlineStr">
        <is>
          <t>Plana</t>
        </is>
      </c>
      <c r="B34" s="14">
        <f>IFERROR(SUMIFS(Ordenes!$V$2:$V$840,Ordenes!$D$2:$D$840,2026,Ordenes!$E$2:$E$840,1,Ordenes!$F$2:$F$840,$A34,Ordenes!$T$2:$T$840,"Válida")/SUMIFS(Ordenes!$Q$2:$Q$840,Ordenes!$D$2:$D$840,2026,Ordenes!$E$2:$E$840,1,Ordenes!$F$2:$F$840,$A34,Ordenes!$T$2:$T$840,"Válida"),"")</f>
        <v/>
      </c>
      <c r="C34" s="14">
        <f>IFERROR(SUMIFS(Ordenes!$V$2:$V$840,Ordenes!$D$2:$D$840,2026,Ordenes!$E$2:$E$840,2,Ordenes!$F$2:$F$840,$A34,Ordenes!$T$2:$T$840,"Válida")/SUMIFS(Ordenes!$Q$2:$Q$840,Ordenes!$D$2:$D$840,2026,Ordenes!$E$2:$E$840,2,Ordenes!$F$2:$F$840,$A34,Ordenes!$T$2:$T$840,"Válida"),"")</f>
        <v/>
      </c>
      <c r="D34" s="14">
        <f>IFERROR(SUMIFS(Ordenes!$V$2:$V$840,Ordenes!$D$2:$D$840,2026,Ordenes!$E$2:$E$840,3,Ordenes!$F$2:$F$840,$A34,Ordenes!$T$2:$T$840,"Válida")/SUMIFS(Ordenes!$Q$2:$Q$840,Ordenes!$D$2:$D$840,2026,Ordenes!$E$2:$E$840,3,Ordenes!$F$2:$F$840,$A34,Ordenes!$T$2:$T$840,"Válida"),"")</f>
        <v/>
      </c>
      <c r="E34" s="14">
        <f>IFERROR(SUMIFS(Ordenes!$V$2:$V$840,Ordenes!$D$2:$D$840,2026,Ordenes!$E$2:$E$840,4,Ordenes!$F$2:$F$840,$A34,Ordenes!$T$2:$T$840,"Válida")/SUMIFS(Ordenes!$Q$2:$Q$840,Ordenes!$D$2:$D$840,2026,Ordenes!$E$2:$E$840,4,Ordenes!$F$2:$F$840,$A34,Ordenes!$T$2:$T$840,"Válida"),"")</f>
        <v/>
      </c>
      <c r="F34" s="14">
        <f>IFERROR(SUMIFS(Ordenes!$V$2:$V$840,Ordenes!$D$2:$D$840,2026,Ordenes!$E$2:$E$840,5,Ordenes!$F$2:$F$840,$A34,Ordenes!$T$2:$T$840,"Válida")/SUMIFS(Ordenes!$Q$2:$Q$840,Ordenes!$D$2:$D$840,2026,Ordenes!$E$2:$E$840,5,Ordenes!$F$2:$F$840,$A34,Ordenes!$T$2:$T$840,"Válida"),"")</f>
        <v/>
      </c>
      <c r="G34" s="14">
        <f>IFERROR(SUMIFS(Ordenes!$V$2:$V$840,Ordenes!$D$2:$D$840,2026,Ordenes!$E$2:$E$840,6,Ordenes!$F$2:$F$840,$A34,Ordenes!$T$2:$T$840,"Válida")/SUMIFS(Ordenes!$Q$2:$Q$840,Ordenes!$D$2:$D$840,2026,Ordenes!$E$2:$E$840,6,Ordenes!$F$2:$F$840,$A34,Ordenes!$T$2:$T$840,"Válida"),"")</f>
        <v/>
      </c>
      <c r="H34" s="14">
        <f>IFERROR(SUMIFS(Ordenes!$V$2:$V$840,Ordenes!$D$2:$D$840,2026,Ordenes!$E$2:$E$840,7,Ordenes!$F$2:$F$840,$A34,Ordenes!$T$2:$T$840,"Válida")/SUMIFS(Ordenes!$Q$2:$Q$840,Ordenes!$D$2:$D$840,2026,Ordenes!$E$2:$E$840,7,Ordenes!$F$2:$F$840,$A34,Ordenes!$T$2:$T$840,"Válida"),"")</f>
        <v/>
      </c>
      <c r="I34" s="14">
        <f>IFERROR(SUMIFS(Ordenes!$V$2:$V$840,Ordenes!$D$2:$D$840,2026,Ordenes!$E$2:$E$840,8,Ordenes!$F$2:$F$840,$A34,Ordenes!$T$2:$T$840,"Válida")/SUMIFS(Ordenes!$Q$2:$Q$840,Ordenes!$D$2:$D$840,2026,Ordenes!$E$2:$E$840,8,Ordenes!$F$2:$F$840,$A34,Ordenes!$T$2:$T$840,"Válida"),"")</f>
        <v/>
      </c>
      <c r="J34" s="14">
        <f>IFERROR(SUMIFS(Ordenes!$V$2:$V$840,Ordenes!$D$2:$D$840,2026,Ordenes!$E$2:$E$840,9,Ordenes!$F$2:$F$840,$A34,Ordenes!$T$2:$T$840,"Válida")/SUMIFS(Ordenes!$Q$2:$Q$840,Ordenes!$D$2:$D$840,2026,Ordenes!$E$2:$E$840,9,Ordenes!$F$2:$F$840,$A34,Ordenes!$T$2:$T$840,"Válida"),"")</f>
        <v/>
      </c>
      <c r="K34" s="17">
        <f>IFERROR(SUMIFS(Ordenes!$V$2:$V$840,Ordenes!$D$2:$D$840,"&gt;=2026",Ordenes!$F$2:$F$840,$A34,Ordenes!$T$2:$T$840,"Válida")/SUMIFS(Ordenes!$Q$2:$Q$840,Ordenes!$D$2:$D$840,"&gt;=2026",Ordenes!$F$2:$F$840,$A34,Ordenes!$T$2:$T$840,"Válida"),"")</f>
        <v/>
      </c>
    </row>
    <row r="35">
      <c r="A35" s="9" t="inlineStr">
        <is>
          <t>Ángulo</t>
        </is>
      </c>
      <c r="B35" s="14">
        <f>IFERROR(SUMIFS(Ordenes!$V$2:$V$840,Ordenes!$D$2:$D$840,2026,Ordenes!$E$2:$E$840,1,Ordenes!$F$2:$F$840,$A35,Ordenes!$T$2:$T$840,"Válida")/SUMIFS(Ordenes!$Q$2:$Q$840,Ordenes!$D$2:$D$840,2026,Ordenes!$E$2:$E$840,1,Ordenes!$F$2:$F$840,$A35,Ordenes!$T$2:$T$840,"Válida"),"")</f>
        <v/>
      </c>
      <c r="C35" s="14">
        <f>IFERROR(SUMIFS(Ordenes!$V$2:$V$840,Ordenes!$D$2:$D$840,2026,Ordenes!$E$2:$E$840,2,Ordenes!$F$2:$F$840,$A35,Ordenes!$T$2:$T$840,"Válida")/SUMIFS(Ordenes!$Q$2:$Q$840,Ordenes!$D$2:$D$840,2026,Ordenes!$E$2:$E$840,2,Ordenes!$F$2:$F$840,$A35,Ordenes!$T$2:$T$840,"Válida"),"")</f>
        <v/>
      </c>
      <c r="D35" s="14">
        <f>IFERROR(SUMIFS(Ordenes!$V$2:$V$840,Ordenes!$D$2:$D$840,2026,Ordenes!$E$2:$E$840,3,Ordenes!$F$2:$F$840,$A35,Ordenes!$T$2:$T$840,"Válida")/SUMIFS(Ordenes!$Q$2:$Q$840,Ordenes!$D$2:$D$840,2026,Ordenes!$E$2:$E$840,3,Ordenes!$F$2:$F$840,$A35,Ordenes!$T$2:$T$840,"Válida"),"")</f>
        <v/>
      </c>
      <c r="E35" s="14">
        <f>IFERROR(SUMIFS(Ordenes!$V$2:$V$840,Ordenes!$D$2:$D$840,2026,Ordenes!$E$2:$E$840,4,Ordenes!$F$2:$F$840,$A35,Ordenes!$T$2:$T$840,"Válida")/SUMIFS(Ordenes!$Q$2:$Q$840,Ordenes!$D$2:$D$840,2026,Ordenes!$E$2:$E$840,4,Ordenes!$F$2:$F$840,$A35,Ordenes!$T$2:$T$840,"Válida"),"")</f>
        <v/>
      </c>
      <c r="F35" s="14">
        <f>IFERROR(SUMIFS(Ordenes!$V$2:$V$840,Ordenes!$D$2:$D$840,2026,Ordenes!$E$2:$E$840,5,Ordenes!$F$2:$F$840,$A35,Ordenes!$T$2:$T$840,"Válida")/SUMIFS(Ordenes!$Q$2:$Q$840,Ordenes!$D$2:$D$840,2026,Ordenes!$E$2:$E$840,5,Ordenes!$F$2:$F$840,$A35,Ordenes!$T$2:$T$840,"Válida"),"")</f>
        <v/>
      </c>
      <c r="G35" s="14">
        <f>IFERROR(SUMIFS(Ordenes!$V$2:$V$840,Ordenes!$D$2:$D$840,2026,Ordenes!$E$2:$E$840,6,Ordenes!$F$2:$F$840,$A35,Ordenes!$T$2:$T$840,"Válida")/SUMIFS(Ordenes!$Q$2:$Q$840,Ordenes!$D$2:$D$840,2026,Ordenes!$E$2:$E$840,6,Ordenes!$F$2:$F$840,$A35,Ordenes!$T$2:$T$840,"Válida"),"")</f>
        <v/>
      </c>
      <c r="H35" s="14">
        <f>IFERROR(SUMIFS(Ordenes!$V$2:$V$840,Ordenes!$D$2:$D$840,2026,Ordenes!$E$2:$E$840,7,Ordenes!$F$2:$F$840,$A35,Ordenes!$T$2:$T$840,"Válida")/SUMIFS(Ordenes!$Q$2:$Q$840,Ordenes!$D$2:$D$840,2026,Ordenes!$E$2:$E$840,7,Ordenes!$F$2:$F$840,$A35,Ordenes!$T$2:$T$840,"Válida"),"")</f>
        <v/>
      </c>
      <c r="I35" s="14">
        <f>IFERROR(SUMIFS(Ordenes!$V$2:$V$840,Ordenes!$D$2:$D$840,2026,Ordenes!$E$2:$E$840,8,Ordenes!$F$2:$F$840,$A35,Ordenes!$T$2:$T$840,"Válida")/SUMIFS(Ordenes!$Q$2:$Q$840,Ordenes!$D$2:$D$840,2026,Ordenes!$E$2:$E$840,8,Ordenes!$F$2:$F$840,$A35,Ordenes!$T$2:$T$840,"Válida"),"")</f>
        <v/>
      </c>
      <c r="J35" s="14">
        <f>IFERROR(SUMIFS(Ordenes!$V$2:$V$840,Ordenes!$D$2:$D$840,2026,Ordenes!$E$2:$E$840,9,Ordenes!$F$2:$F$840,$A35,Ordenes!$T$2:$T$840,"Válida")/SUMIFS(Ordenes!$Q$2:$Q$840,Ordenes!$D$2:$D$840,2026,Ordenes!$E$2:$E$840,9,Ordenes!$F$2:$F$840,$A35,Ordenes!$T$2:$T$840,"Válida"),"")</f>
        <v/>
      </c>
      <c r="K35" s="17">
        <f>IFERROR(SUMIFS(Ordenes!$V$2:$V$840,Ordenes!$D$2:$D$840,"&gt;=2026",Ordenes!$F$2:$F$840,$A35,Ordenes!$T$2:$T$840,"Válida")/SUMIFS(Ordenes!$Q$2:$Q$840,Ordenes!$D$2:$D$840,"&gt;=2026",Ordenes!$F$2:$F$840,$A35,Ordenes!$T$2:$T$840,"Válida"),"")</f>
        <v/>
      </c>
    </row>
    <row r="36">
      <c r="A36" s="9" t="inlineStr">
        <is>
          <t>Cuadrado</t>
        </is>
      </c>
      <c r="B36" s="14">
        <f>IFERROR(SUMIFS(Ordenes!$V$2:$V$840,Ordenes!$D$2:$D$840,2026,Ordenes!$E$2:$E$840,1,Ordenes!$F$2:$F$840,$A36,Ordenes!$T$2:$T$840,"Válida")/SUMIFS(Ordenes!$Q$2:$Q$840,Ordenes!$D$2:$D$840,2026,Ordenes!$E$2:$E$840,1,Ordenes!$F$2:$F$840,$A36,Ordenes!$T$2:$T$840,"Válida"),"")</f>
        <v/>
      </c>
      <c r="C36" s="14">
        <f>IFERROR(SUMIFS(Ordenes!$V$2:$V$840,Ordenes!$D$2:$D$840,2026,Ordenes!$E$2:$E$840,2,Ordenes!$F$2:$F$840,$A36,Ordenes!$T$2:$T$840,"Válida")/SUMIFS(Ordenes!$Q$2:$Q$840,Ordenes!$D$2:$D$840,2026,Ordenes!$E$2:$E$840,2,Ordenes!$F$2:$F$840,$A36,Ordenes!$T$2:$T$840,"Válida"),"")</f>
        <v/>
      </c>
      <c r="D36" s="14">
        <f>IFERROR(SUMIFS(Ordenes!$V$2:$V$840,Ordenes!$D$2:$D$840,2026,Ordenes!$E$2:$E$840,3,Ordenes!$F$2:$F$840,$A36,Ordenes!$T$2:$T$840,"Válida")/SUMIFS(Ordenes!$Q$2:$Q$840,Ordenes!$D$2:$D$840,2026,Ordenes!$E$2:$E$840,3,Ordenes!$F$2:$F$840,$A36,Ordenes!$T$2:$T$840,"Válida"),"")</f>
        <v/>
      </c>
      <c r="E36" s="14">
        <f>IFERROR(SUMIFS(Ordenes!$V$2:$V$840,Ordenes!$D$2:$D$840,2026,Ordenes!$E$2:$E$840,4,Ordenes!$F$2:$F$840,$A36,Ordenes!$T$2:$T$840,"Válida")/SUMIFS(Ordenes!$Q$2:$Q$840,Ordenes!$D$2:$D$840,2026,Ordenes!$E$2:$E$840,4,Ordenes!$F$2:$F$840,$A36,Ordenes!$T$2:$T$840,"Válida"),"")</f>
        <v/>
      </c>
      <c r="F36" s="14">
        <f>IFERROR(SUMIFS(Ordenes!$V$2:$V$840,Ordenes!$D$2:$D$840,2026,Ordenes!$E$2:$E$840,5,Ordenes!$F$2:$F$840,$A36,Ordenes!$T$2:$T$840,"Válida")/SUMIFS(Ordenes!$Q$2:$Q$840,Ordenes!$D$2:$D$840,2026,Ordenes!$E$2:$E$840,5,Ordenes!$F$2:$F$840,$A36,Ordenes!$T$2:$T$840,"Válida"),"")</f>
        <v/>
      </c>
      <c r="G36" s="14">
        <f>IFERROR(SUMIFS(Ordenes!$V$2:$V$840,Ordenes!$D$2:$D$840,2026,Ordenes!$E$2:$E$840,6,Ordenes!$F$2:$F$840,$A36,Ordenes!$T$2:$T$840,"Válida")/SUMIFS(Ordenes!$Q$2:$Q$840,Ordenes!$D$2:$D$840,2026,Ordenes!$E$2:$E$840,6,Ordenes!$F$2:$F$840,$A36,Ordenes!$T$2:$T$840,"Válida"),"")</f>
        <v/>
      </c>
      <c r="H36" s="14">
        <f>IFERROR(SUMIFS(Ordenes!$V$2:$V$840,Ordenes!$D$2:$D$840,2026,Ordenes!$E$2:$E$840,7,Ordenes!$F$2:$F$840,$A36,Ordenes!$T$2:$T$840,"Válida")/SUMIFS(Ordenes!$Q$2:$Q$840,Ordenes!$D$2:$D$840,2026,Ordenes!$E$2:$E$840,7,Ordenes!$F$2:$F$840,$A36,Ordenes!$T$2:$T$840,"Válida"),"")</f>
        <v/>
      </c>
      <c r="I36" s="14">
        <f>IFERROR(SUMIFS(Ordenes!$V$2:$V$840,Ordenes!$D$2:$D$840,2026,Ordenes!$E$2:$E$840,8,Ordenes!$F$2:$F$840,$A36,Ordenes!$T$2:$T$840,"Válida")/SUMIFS(Ordenes!$Q$2:$Q$840,Ordenes!$D$2:$D$840,2026,Ordenes!$E$2:$E$840,8,Ordenes!$F$2:$F$840,$A36,Ordenes!$T$2:$T$840,"Válida"),"")</f>
        <v/>
      </c>
      <c r="J36" s="14">
        <f>IFERROR(SUMIFS(Ordenes!$V$2:$V$840,Ordenes!$D$2:$D$840,2026,Ordenes!$E$2:$E$840,9,Ordenes!$F$2:$F$840,$A36,Ordenes!$T$2:$T$840,"Válida")/SUMIFS(Ordenes!$Q$2:$Q$840,Ordenes!$D$2:$D$840,2026,Ordenes!$E$2:$E$840,9,Ordenes!$F$2:$F$840,$A36,Ordenes!$T$2:$T$840,"Válida"),"")</f>
        <v/>
      </c>
      <c r="K36" s="17">
        <f>IFERROR(SUMIFS(Ordenes!$V$2:$V$840,Ordenes!$D$2:$D$840,"&gt;=2026",Ordenes!$F$2:$F$840,$A36,Ordenes!$T$2:$T$840,"Válida")/SUMIFS(Ordenes!$Q$2:$Q$840,Ordenes!$D$2:$D$840,"&gt;=2026",Ordenes!$F$2:$F$840,$A36,Ordenes!$T$2:$T$840,"Válida"),"")</f>
        <v/>
      </c>
    </row>
    <row r="37">
      <c r="A37" s="9" t="inlineStr">
        <is>
          <t>Estrella</t>
        </is>
      </c>
      <c r="B37" s="14">
        <f>IFERROR(SUMIFS(Ordenes!$V$2:$V$840,Ordenes!$D$2:$D$840,2026,Ordenes!$E$2:$E$840,1,Ordenes!$F$2:$F$840,$A37,Ordenes!$T$2:$T$840,"Válida")/SUMIFS(Ordenes!$Q$2:$Q$840,Ordenes!$D$2:$D$840,2026,Ordenes!$E$2:$E$840,1,Ordenes!$F$2:$F$840,$A37,Ordenes!$T$2:$T$840,"Válida"),"")</f>
        <v/>
      </c>
      <c r="C37" s="14">
        <f>IFERROR(SUMIFS(Ordenes!$V$2:$V$840,Ordenes!$D$2:$D$840,2026,Ordenes!$E$2:$E$840,2,Ordenes!$F$2:$F$840,$A37,Ordenes!$T$2:$T$840,"Válida")/SUMIFS(Ordenes!$Q$2:$Q$840,Ordenes!$D$2:$D$840,2026,Ordenes!$E$2:$E$840,2,Ordenes!$F$2:$F$840,$A37,Ordenes!$T$2:$T$840,"Válida"),"")</f>
        <v/>
      </c>
      <c r="D37" s="14">
        <f>IFERROR(SUMIFS(Ordenes!$V$2:$V$840,Ordenes!$D$2:$D$840,2026,Ordenes!$E$2:$E$840,3,Ordenes!$F$2:$F$840,$A37,Ordenes!$T$2:$T$840,"Válida")/SUMIFS(Ordenes!$Q$2:$Q$840,Ordenes!$D$2:$D$840,2026,Ordenes!$E$2:$E$840,3,Ordenes!$F$2:$F$840,$A37,Ordenes!$T$2:$T$840,"Válida"),"")</f>
        <v/>
      </c>
      <c r="E37" s="14">
        <f>IFERROR(SUMIFS(Ordenes!$V$2:$V$840,Ordenes!$D$2:$D$840,2026,Ordenes!$E$2:$E$840,4,Ordenes!$F$2:$F$840,$A37,Ordenes!$T$2:$T$840,"Válida")/SUMIFS(Ordenes!$Q$2:$Q$840,Ordenes!$D$2:$D$840,2026,Ordenes!$E$2:$E$840,4,Ordenes!$F$2:$F$840,$A37,Ordenes!$T$2:$T$840,"Válida"),"")</f>
        <v/>
      </c>
      <c r="F37" s="14">
        <f>IFERROR(SUMIFS(Ordenes!$V$2:$V$840,Ordenes!$D$2:$D$840,2026,Ordenes!$E$2:$E$840,5,Ordenes!$F$2:$F$840,$A37,Ordenes!$T$2:$T$840,"Válida")/SUMIFS(Ordenes!$Q$2:$Q$840,Ordenes!$D$2:$D$840,2026,Ordenes!$E$2:$E$840,5,Ordenes!$F$2:$F$840,$A37,Ordenes!$T$2:$T$840,"Válida"),"")</f>
        <v/>
      </c>
      <c r="G37" s="14">
        <f>IFERROR(SUMIFS(Ordenes!$V$2:$V$840,Ordenes!$D$2:$D$840,2026,Ordenes!$E$2:$E$840,6,Ordenes!$F$2:$F$840,$A37,Ordenes!$T$2:$T$840,"Válida")/SUMIFS(Ordenes!$Q$2:$Q$840,Ordenes!$D$2:$D$840,2026,Ordenes!$E$2:$E$840,6,Ordenes!$F$2:$F$840,$A37,Ordenes!$T$2:$T$840,"Válida"),"")</f>
        <v/>
      </c>
      <c r="H37" s="14">
        <f>IFERROR(SUMIFS(Ordenes!$V$2:$V$840,Ordenes!$D$2:$D$840,2026,Ordenes!$E$2:$E$840,7,Ordenes!$F$2:$F$840,$A37,Ordenes!$T$2:$T$840,"Válida")/SUMIFS(Ordenes!$Q$2:$Q$840,Ordenes!$D$2:$D$840,2026,Ordenes!$E$2:$E$840,7,Ordenes!$F$2:$F$840,$A37,Ordenes!$T$2:$T$840,"Válida"),"")</f>
        <v/>
      </c>
      <c r="I37" s="14">
        <f>IFERROR(SUMIFS(Ordenes!$V$2:$V$840,Ordenes!$D$2:$D$840,2026,Ordenes!$E$2:$E$840,8,Ordenes!$F$2:$F$840,$A37,Ordenes!$T$2:$T$840,"Válida")/SUMIFS(Ordenes!$Q$2:$Q$840,Ordenes!$D$2:$D$840,2026,Ordenes!$E$2:$E$840,8,Ordenes!$F$2:$F$840,$A37,Ordenes!$T$2:$T$840,"Válida"),"")</f>
        <v/>
      </c>
      <c r="J37" s="14">
        <f>IFERROR(SUMIFS(Ordenes!$V$2:$V$840,Ordenes!$D$2:$D$840,2026,Ordenes!$E$2:$E$840,9,Ordenes!$F$2:$F$840,$A37,Ordenes!$T$2:$T$840,"Válida")/SUMIFS(Ordenes!$Q$2:$Q$840,Ordenes!$D$2:$D$840,2026,Ordenes!$E$2:$E$840,9,Ordenes!$F$2:$F$840,$A37,Ordenes!$T$2:$T$840,"Válida"),"")</f>
        <v/>
      </c>
      <c r="K37" s="17">
        <f>IFERROR(SUMIFS(Ordenes!$V$2:$V$840,Ordenes!$D$2:$D$840,"&gt;=2026",Ordenes!$F$2:$F$840,$A37,Ordenes!$T$2:$T$840,"Válida")/SUMIFS(Ordenes!$Q$2:$Q$840,Ordenes!$D$2:$D$840,"&gt;=2026",Ordenes!$F$2:$F$840,$A37,Ordenes!$T$2:$T$840,"Válida"),"")</f>
        <v/>
      </c>
    </row>
    <row r="38">
      <c r="A38" s="9" t="inlineStr">
        <is>
          <t>Saferock</t>
        </is>
      </c>
      <c r="B38" s="14">
        <f>IFERROR(SUMIFS(Ordenes!$V$2:$V$840,Ordenes!$D$2:$D$840,2026,Ordenes!$E$2:$E$840,1,Ordenes!$F$2:$F$840,$A38,Ordenes!$T$2:$T$840,"Válida")/SUMIFS(Ordenes!$Q$2:$Q$840,Ordenes!$D$2:$D$840,2026,Ordenes!$E$2:$E$840,1,Ordenes!$F$2:$F$840,$A38,Ordenes!$T$2:$T$840,"Válida"),"")</f>
        <v/>
      </c>
      <c r="C38" s="14">
        <f>IFERROR(SUMIFS(Ordenes!$V$2:$V$840,Ordenes!$D$2:$D$840,2026,Ordenes!$E$2:$E$840,2,Ordenes!$F$2:$F$840,$A38,Ordenes!$T$2:$T$840,"Válida")/SUMIFS(Ordenes!$Q$2:$Q$840,Ordenes!$D$2:$D$840,2026,Ordenes!$E$2:$E$840,2,Ordenes!$F$2:$F$840,$A38,Ordenes!$T$2:$T$840,"Válida"),"")</f>
        <v/>
      </c>
      <c r="D38" s="14">
        <f>IFERROR(SUMIFS(Ordenes!$V$2:$V$840,Ordenes!$D$2:$D$840,2026,Ordenes!$E$2:$E$840,3,Ordenes!$F$2:$F$840,$A38,Ordenes!$T$2:$T$840,"Válida")/SUMIFS(Ordenes!$Q$2:$Q$840,Ordenes!$D$2:$D$840,2026,Ordenes!$E$2:$E$840,3,Ordenes!$F$2:$F$840,$A38,Ordenes!$T$2:$T$840,"Válida"),"")</f>
        <v/>
      </c>
      <c r="E38" s="14">
        <f>IFERROR(SUMIFS(Ordenes!$V$2:$V$840,Ordenes!$D$2:$D$840,2026,Ordenes!$E$2:$E$840,4,Ordenes!$F$2:$F$840,$A38,Ordenes!$T$2:$T$840,"Válida")/SUMIFS(Ordenes!$Q$2:$Q$840,Ordenes!$D$2:$D$840,2026,Ordenes!$E$2:$E$840,4,Ordenes!$F$2:$F$840,$A38,Ordenes!$T$2:$T$840,"Válida"),"")</f>
        <v/>
      </c>
      <c r="F38" s="14">
        <f>IFERROR(SUMIFS(Ordenes!$V$2:$V$840,Ordenes!$D$2:$D$840,2026,Ordenes!$E$2:$E$840,5,Ordenes!$F$2:$F$840,$A38,Ordenes!$T$2:$T$840,"Válida")/SUMIFS(Ordenes!$Q$2:$Q$840,Ordenes!$D$2:$D$840,2026,Ordenes!$E$2:$E$840,5,Ordenes!$F$2:$F$840,$A38,Ordenes!$T$2:$T$840,"Válida"),"")</f>
        <v/>
      </c>
      <c r="G38" s="14">
        <f>IFERROR(SUMIFS(Ordenes!$V$2:$V$840,Ordenes!$D$2:$D$840,2026,Ordenes!$E$2:$E$840,6,Ordenes!$F$2:$F$840,$A38,Ordenes!$T$2:$T$840,"Válida")/SUMIFS(Ordenes!$Q$2:$Q$840,Ordenes!$D$2:$D$840,2026,Ordenes!$E$2:$E$840,6,Ordenes!$F$2:$F$840,$A38,Ordenes!$T$2:$T$840,"Válida"),"")</f>
        <v/>
      </c>
      <c r="H38" s="14">
        <f>IFERROR(SUMIFS(Ordenes!$V$2:$V$840,Ordenes!$D$2:$D$840,2026,Ordenes!$E$2:$E$840,7,Ordenes!$F$2:$F$840,$A38,Ordenes!$T$2:$T$840,"Válida")/SUMIFS(Ordenes!$Q$2:$Q$840,Ordenes!$D$2:$D$840,2026,Ordenes!$E$2:$E$840,7,Ordenes!$F$2:$F$840,$A38,Ordenes!$T$2:$T$840,"Válida"),"")</f>
        <v/>
      </c>
      <c r="I38" s="14">
        <f>IFERROR(SUMIFS(Ordenes!$V$2:$V$840,Ordenes!$D$2:$D$840,2026,Ordenes!$E$2:$E$840,8,Ordenes!$F$2:$F$840,$A38,Ordenes!$T$2:$T$840,"Válida")/SUMIFS(Ordenes!$Q$2:$Q$840,Ordenes!$D$2:$D$840,2026,Ordenes!$E$2:$E$840,8,Ordenes!$F$2:$F$840,$A38,Ordenes!$T$2:$T$840,"Válida"),"")</f>
        <v/>
      </c>
      <c r="J38" s="14">
        <f>IFERROR(SUMIFS(Ordenes!$V$2:$V$840,Ordenes!$D$2:$D$840,2026,Ordenes!$E$2:$E$840,9,Ordenes!$F$2:$F$840,$A38,Ordenes!$T$2:$T$840,"Válida")/SUMIFS(Ordenes!$Q$2:$Q$840,Ordenes!$D$2:$D$840,2026,Ordenes!$E$2:$E$840,9,Ordenes!$F$2:$F$840,$A38,Ordenes!$T$2:$T$840,"Válida"),"")</f>
        <v/>
      </c>
      <c r="K38" s="17">
        <f>IFERROR(SUMIFS(Ordenes!$V$2:$V$840,Ordenes!$D$2:$D$840,"&gt;=2026",Ordenes!$F$2:$F$840,$A38,Ordenes!$T$2:$T$840,"Válida")/SUMIFS(Ordenes!$Q$2:$Q$840,Ordenes!$D$2:$D$840,"&gt;=2026",Ordenes!$F$2:$F$840,$A38,Ordenes!$T$2:$T$840,"Válida"),"")</f>
        <v/>
      </c>
    </row>
    <row r="39">
      <c r="A39" s="9" t="inlineStr">
        <is>
          <t>Hexágono</t>
        </is>
      </c>
      <c r="B39" s="14">
        <f>IFERROR(SUMIFS(Ordenes!$V$2:$V$840,Ordenes!$D$2:$D$840,2026,Ordenes!$E$2:$E$840,1,Ordenes!$F$2:$F$840,$A39,Ordenes!$T$2:$T$840,"Válida")/SUMIFS(Ordenes!$Q$2:$Q$840,Ordenes!$D$2:$D$840,2026,Ordenes!$E$2:$E$840,1,Ordenes!$F$2:$F$840,$A39,Ordenes!$T$2:$T$840,"Válida"),"")</f>
        <v/>
      </c>
      <c r="C39" s="14">
        <f>IFERROR(SUMIFS(Ordenes!$V$2:$V$840,Ordenes!$D$2:$D$840,2026,Ordenes!$E$2:$E$840,2,Ordenes!$F$2:$F$840,$A39,Ordenes!$T$2:$T$840,"Válida")/SUMIFS(Ordenes!$Q$2:$Q$840,Ordenes!$D$2:$D$840,2026,Ordenes!$E$2:$E$840,2,Ordenes!$F$2:$F$840,$A39,Ordenes!$T$2:$T$840,"Válida"),"")</f>
        <v/>
      </c>
      <c r="D39" s="14">
        <f>IFERROR(SUMIFS(Ordenes!$V$2:$V$840,Ordenes!$D$2:$D$840,2026,Ordenes!$E$2:$E$840,3,Ordenes!$F$2:$F$840,$A39,Ordenes!$T$2:$T$840,"Válida")/SUMIFS(Ordenes!$Q$2:$Q$840,Ordenes!$D$2:$D$840,2026,Ordenes!$E$2:$E$840,3,Ordenes!$F$2:$F$840,$A39,Ordenes!$T$2:$T$840,"Válida"),"")</f>
        <v/>
      </c>
      <c r="E39" s="14">
        <f>IFERROR(SUMIFS(Ordenes!$V$2:$V$840,Ordenes!$D$2:$D$840,2026,Ordenes!$E$2:$E$840,4,Ordenes!$F$2:$F$840,$A39,Ordenes!$T$2:$T$840,"Válida")/SUMIFS(Ordenes!$Q$2:$Q$840,Ordenes!$D$2:$D$840,2026,Ordenes!$E$2:$E$840,4,Ordenes!$F$2:$F$840,$A39,Ordenes!$T$2:$T$840,"Válida"),"")</f>
        <v/>
      </c>
      <c r="F39" s="14">
        <f>IFERROR(SUMIFS(Ordenes!$V$2:$V$840,Ordenes!$D$2:$D$840,2026,Ordenes!$E$2:$E$840,5,Ordenes!$F$2:$F$840,$A39,Ordenes!$T$2:$T$840,"Válida")/SUMIFS(Ordenes!$Q$2:$Q$840,Ordenes!$D$2:$D$840,2026,Ordenes!$E$2:$E$840,5,Ordenes!$F$2:$F$840,$A39,Ordenes!$T$2:$T$840,"Válida"),"")</f>
        <v/>
      </c>
      <c r="G39" s="14">
        <f>IFERROR(SUMIFS(Ordenes!$V$2:$V$840,Ordenes!$D$2:$D$840,2026,Ordenes!$E$2:$E$840,6,Ordenes!$F$2:$F$840,$A39,Ordenes!$T$2:$T$840,"Válida")/SUMIFS(Ordenes!$Q$2:$Q$840,Ordenes!$D$2:$D$840,2026,Ordenes!$E$2:$E$840,6,Ordenes!$F$2:$F$840,$A39,Ordenes!$T$2:$T$840,"Válida"),"")</f>
        <v/>
      </c>
      <c r="H39" s="14">
        <f>IFERROR(SUMIFS(Ordenes!$V$2:$V$840,Ordenes!$D$2:$D$840,2026,Ordenes!$E$2:$E$840,7,Ordenes!$F$2:$F$840,$A39,Ordenes!$T$2:$T$840,"Válida")/SUMIFS(Ordenes!$Q$2:$Q$840,Ordenes!$D$2:$D$840,2026,Ordenes!$E$2:$E$840,7,Ordenes!$F$2:$F$840,$A39,Ordenes!$T$2:$T$840,"Válida"),"")</f>
        <v/>
      </c>
      <c r="I39" s="14">
        <f>IFERROR(SUMIFS(Ordenes!$V$2:$V$840,Ordenes!$D$2:$D$840,2026,Ordenes!$E$2:$E$840,8,Ordenes!$F$2:$F$840,$A39,Ordenes!$T$2:$T$840,"Válida")/SUMIFS(Ordenes!$Q$2:$Q$840,Ordenes!$D$2:$D$840,2026,Ordenes!$E$2:$E$840,8,Ordenes!$F$2:$F$840,$A39,Ordenes!$T$2:$T$840,"Válida"),"")</f>
        <v/>
      </c>
      <c r="J39" s="14">
        <f>IFERROR(SUMIFS(Ordenes!$V$2:$V$840,Ordenes!$D$2:$D$840,2026,Ordenes!$E$2:$E$840,9,Ordenes!$F$2:$F$840,$A39,Ordenes!$T$2:$T$840,"Válida")/SUMIFS(Ordenes!$Q$2:$Q$840,Ordenes!$D$2:$D$840,2026,Ordenes!$E$2:$E$840,9,Ordenes!$F$2:$F$840,$A39,Ordenes!$T$2:$T$840,"Válida"),"")</f>
        <v/>
      </c>
      <c r="K39" s="17">
        <f>IFERROR(SUMIFS(Ordenes!$V$2:$V$840,Ordenes!$D$2:$D$840,"&gt;=2026",Ordenes!$F$2:$F$840,$A39,Ordenes!$T$2:$T$840,"Válida")/SUMIFS(Ordenes!$Q$2:$Q$840,Ordenes!$D$2:$D$840,"&gt;=2026",Ordenes!$F$2:$F$840,$A39,Ordenes!$T$2:$T$840,"Válida"),"")</f>
        <v/>
      </c>
    </row>
    <row r="40">
      <c r="A40" s="4" t="inlineStr">
        <is>
          <t>Total</t>
        </is>
      </c>
      <c r="B40" s="17">
        <f>IFERROR(SUMIFS(Ordenes!$V$2:$V$840,Ordenes!$D$2:$D$840,2026,Ordenes!$E$2:$E$840,1,Ordenes!$F$2:$F$840,"*",Ordenes!$T$2:$T$840,"Válida")/SUMIFS(Ordenes!$Q$2:$Q$840,Ordenes!$D$2:$D$840,2026,Ordenes!$E$2:$E$840,1,Ordenes!$F$2:$F$840,"*",Ordenes!$T$2:$T$840,"Válida"),"")</f>
        <v/>
      </c>
      <c r="C40" s="17">
        <f>IFERROR(SUMIFS(Ordenes!$V$2:$V$840,Ordenes!$D$2:$D$840,2026,Ordenes!$E$2:$E$840,2,Ordenes!$F$2:$F$840,"*",Ordenes!$T$2:$T$840,"Válida")/SUMIFS(Ordenes!$Q$2:$Q$840,Ordenes!$D$2:$D$840,2026,Ordenes!$E$2:$E$840,2,Ordenes!$F$2:$F$840,"*",Ordenes!$T$2:$T$840,"Válida"),"")</f>
        <v/>
      </c>
      <c r="D40" s="17">
        <f>IFERROR(SUMIFS(Ordenes!$V$2:$V$840,Ordenes!$D$2:$D$840,2026,Ordenes!$E$2:$E$840,3,Ordenes!$F$2:$F$840,"*",Ordenes!$T$2:$T$840,"Válida")/SUMIFS(Ordenes!$Q$2:$Q$840,Ordenes!$D$2:$D$840,2026,Ordenes!$E$2:$E$840,3,Ordenes!$F$2:$F$840,"*",Ordenes!$T$2:$T$840,"Válida"),"")</f>
        <v/>
      </c>
      <c r="E40" s="17">
        <f>IFERROR(SUMIFS(Ordenes!$V$2:$V$840,Ordenes!$D$2:$D$840,2026,Ordenes!$E$2:$E$840,4,Ordenes!$F$2:$F$840,"*",Ordenes!$T$2:$T$840,"Válida")/SUMIFS(Ordenes!$Q$2:$Q$840,Ordenes!$D$2:$D$840,2026,Ordenes!$E$2:$E$840,4,Ordenes!$F$2:$F$840,"*",Ordenes!$T$2:$T$840,"Válida"),"")</f>
        <v/>
      </c>
      <c r="F40" s="17">
        <f>IFERROR(SUMIFS(Ordenes!$V$2:$V$840,Ordenes!$D$2:$D$840,2026,Ordenes!$E$2:$E$840,5,Ordenes!$F$2:$F$840,"*",Ordenes!$T$2:$T$840,"Válida")/SUMIFS(Ordenes!$Q$2:$Q$840,Ordenes!$D$2:$D$840,2026,Ordenes!$E$2:$E$840,5,Ordenes!$F$2:$F$840,"*",Ordenes!$T$2:$T$840,"Válida"),"")</f>
        <v/>
      </c>
      <c r="G40" s="17">
        <f>IFERROR(SUMIFS(Ordenes!$V$2:$V$840,Ordenes!$D$2:$D$840,2026,Ordenes!$E$2:$E$840,6,Ordenes!$F$2:$F$840,"*",Ordenes!$T$2:$T$840,"Válida")/SUMIFS(Ordenes!$Q$2:$Q$840,Ordenes!$D$2:$D$840,2026,Ordenes!$E$2:$E$840,6,Ordenes!$F$2:$F$840,"*",Ordenes!$T$2:$T$840,"Válida"),"")</f>
        <v/>
      </c>
      <c r="H40" s="17">
        <f>IFERROR(SUMIFS(Ordenes!$V$2:$V$840,Ordenes!$D$2:$D$840,2026,Ordenes!$E$2:$E$840,7,Ordenes!$F$2:$F$840,"*",Ordenes!$T$2:$T$840,"Válida")/SUMIFS(Ordenes!$Q$2:$Q$840,Ordenes!$D$2:$D$840,2026,Ordenes!$E$2:$E$840,7,Ordenes!$F$2:$F$840,"*",Ordenes!$T$2:$T$840,"Válida"),"")</f>
        <v/>
      </c>
      <c r="I40" s="17">
        <f>IFERROR(SUMIFS(Ordenes!$V$2:$V$840,Ordenes!$D$2:$D$840,2026,Ordenes!$E$2:$E$840,8,Ordenes!$F$2:$F$840,"*",Ordenes!$T$2:$T$840,"Válida")/SUMIFS(Ordenes!$Q$2:$Q$840,Ordenes!$D$2:$D$840,2026,Ordenes!$E$2:$E$840,8,Ordenes!$F$2:$F$840,"*",Ordenes!$T$2:$T$840,"Válida"),"")</f>
        <v/>
      </c>
      <c r="J40" s="17">
        <f>IFERROR(SUMIFS(Ordenes!$V$2:$V$840,Ordenes!$D$2:$D$840,2026,Ordenes!$E$2:$E$840,9,Ordenes!$F$2:$F$840,"*",Ordenes!$T$2:$T$840,"Válida")/SUMIFS(Ordenes!$Q$2:$Q$840,Ordenes!$D$2:$D$840,2026,Ordenes!$E$2:$E$840,9,Ordenes!$F$2:$F$840,"*",Ordenes!$T$2:$T$840,"Válida"),"")</f>
        <v/>
      </c>
      <c r="K40" s="17">
        <f>IFERROR(SUMIFS(Ordenes!$V$2:$V$840,Ordenes!$D$2:$D$840,"&gt;=2026",Ordenes!$F$2:$F$840,"*",Ordenes!$T$2:$T$840,"Válida")/SUMIFS(Ordenes!$Q$2:$Q$840,Ordenes!$D$2:$D$840,"&gt;=2026",Ordenes!$F$2:$F$840,"*",Ordenes!$T$2:$T$840,"Válida"),"")</f>
        <v/>
      </c>
    </row>
  </sheetData>
  <conditionalFormatting sqref="B6:J13">
    <cfRule type="colorScale" priority="1">
      <colorScale>
        <cfvo type="num" val="0.9"/>
        <cfvo type="num" val="0.945"/>
        <cfvo type="num" val="0.97"/>
        <color rgb="00E34948"/>
        <color rgb="00F0EFEC"/>
        <color rgb="002A78D6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11" customWidth="1" min="14" max="14"/>
    <col width="14" customWidth="1" min="15" max="15"/>
    <col width="14" customWidth="1" min="16" max="16"/>
    <col width="10" customWidth="1" min="17" max="17"/>
  </cols>
  <sheetData>
    <row r="1">
      <c r="A1" s="1" t="inlineStr">
        <is>
          <t>Rendimiento metálico por grupo y semana ISO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Semana ISO: lunes a domingo, según la fecha de inicio de la orden. Órdenes válidas. Rend. = Σ kg producidos / Σ kg consumidos.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30" customHeight="1">
      <c r="A4" s="10" t="inlineStr">
        <is>
          <t>Período</t>
        </is>
      </c>
      <c r="B4" s="10" t="inlineStr">
        <is>
          <t>Año ISO</t>
        </is>
      </c>
      <c r="C4" s="10" t="inlineStr">
        <is>
          <t>N° semana</t>
        </is>
      </c>
      <c r="D4" s="10" t="inlineStr">
        <is>
          <t>Rend. B Hormigón</t>
        </is>
      </c>
      <c r="E4" s="10" t="inlineStr">
        <is>
          <t>Rend. Redondo liso</t>
        </is>
      </c>
      <c r="F4" s="10" t="inlineStr">
        <is>
          <t>Rend. Plana</t>
        </is>
      </c>
      <c r="G4" s="10" t="inlineStr">
        <is>
          <t>Rend. Ángulo</t>
        </is>
      </c>
      <c r="H4" s="10" t="inlineStr">
        <is>
          <t>Rend. Cuadrado</t>
        </is>
      </c>
      <c r="I4" s="10" t="inlineStr">
        <is>
          <t>Rend. Estrella</t>
        </is>
      </c>
      <c r="J4" s="10" t="inlineStr">
        <is>
          <t>Rend. Saferock</t>
        </is>
      </c>
      <c r="K4" s="10" t="inlineStr">
        <is>
          <t>Rend. Hexágono</t>
        </is>
      </c>
      <c r="L4" s="10" t="inlineStr">
        <is>
          <t>Rend. Total</t>
        </is>
      </c>
      <c r="M4" s="10" t="inlineStr">
        <is>
          <t>Meta total</t>
        </is>
      </c>
      <c r="N4" s="10" t="inlineStr">
        <is>
          <t>vs meta (pp)</t>
        </is>
      </c>
      <c r="O4" s="10" t="inlineStr">
        <is>
          <t>Kg producidos</t>
        </is>
      </c>
      <c r="P4" s="10" t="inlineStr">
        <is>
          <t>Kg consumidos</t>
        </is>
      </c>
      <c r="Q4" s="10" t="inlineStr">
        <is>
          <t>Órdenes válidas</t>
        </is>
      </c>
    </row>
    <row r="5">
      <c r="A5" s="18" t="inlineStr">
        <is>
          <t>S01 2026 (29 dic)</t>
        </is>
      </c>
      <c r="B5" s="18" t="n">
        <v>2026</v>
      </c>
      <c r="C5" s="18" t="n">
        <v>1</v>
      </c>
      <c r="D5" s="20">
        <f>IFERROR(SUMIFS(Ordenes!$P$2:$P$840,Ordenes!$W$2:$W$840,$B5,Ordenes!$X$2:$X$840,$C5,Ordenes!$T$2:$T$840,"Válida",Ordenes!$F$2:$F$840,"B Hormigón")/SUMIFS(Ordenes!$Q$2:$Q$840,Ordenes!$W$2:$W$840,$B5,Ordenes!$X$2:$X$840,$C5,Ordenes!$T$2:$T$840,"Válida",Ordenes!$F$2:$F$840,"B Hormigón"),"")</f>
        <v/>
      </c>
      <c r="E5" s="20">
        <f>IFERROR(SUMIFS(Ordenes!$P$2:$P$840,Ordenes!$W$2:$W$840,$B5,Ordenes!$X$2:$X$840,$C5,Ordenes!$T$2:$T$840,"Válida",Ordenes!$F$2:$F$840,"Redondo liso")/SUMIFS(Ordenes!$Q$2:$Q$840,Ordenes!$W$2:$W$840,$B5,Ordenes!$X$2:$X$840,$C5,Ordenes!$T$2:$T$840,"Válida",Ordenes!$F$2:$F$840,"Redondo liso"),"")</f>
        <v/>
      </c>
      <c r="F5" s="20">
        <f>IFERROR(SUMIFS(Ordenes!$P$2:$P$840,Ordenes!$W$2:$W$840,$B5,Ordenes!$X$2:$X$840,$C5,Ordenes!$T$2:$T$840,"Válida",Ordenes!$F$2:$F$840,"Plana")/SUMIFS(Ordenes!$Q$2:$Q$840,Ordenes!$W$2:$W$840,$B5,Ordenes!$X$2:$X$840,$C5,Ordenes!$T$2:$T$840,"Válida",Ordenes!$F$2:$F$840,"Plana"),"")</f>
        <v/>
      </c>
      <c r="G5" s="20">
        <f>IFERROR(SUMIFS(Ordenes!$P$2:$P$840,Ordenes!$W$2:$W$840,$B5,Ordenes!$X$2:$X$840,$C5,Ordenes!$T$2:$T$840,"Válida",Ordenes!$F$2:$F$840,"Ángulo")/SUMIFS(Ordenes!$Q$2:$Q$840,Ordenes!$W$2:$W$840,$B5,Ordenes!$X$2:$X$840,$C5,Ordenes!$T$2:$T$840,"Válida",Ordenes!$F$2:$F$840,"Ángulo"),"")</f>
        <v/>
      </c>
      <c r="H5" s="20">
        <f>IFERROR(SUMIFS(Ordenes!$P$2:$P$840,Ordenes!$W$2:$W$840,$B5,Ordenes!$X$2:$X$840,$C5,Ordenes!$T$2:$T$840,"Válida",Ordenes!$F$2:$F$840,"Cuadrado")/SUMIFS(Ordenes!$Q$2:$Q$840,Ordenes!$W$2:$W$840,$B5,Ordenes!$X$2:$X$840,$C5,Ordenes!$T$2:$T$840,"Válida",Ordenes!$F$2:$F$840,"Cuadrado"),"")</f>
        <v/>
      </c>
      <c r="I5" s="20">
        <f>IFERROR(SUMIFS(Ordenes!$P$2:$P$840,Ordenes!$W$2:$W$840,$B5,Ordenes!$X$2:$X$840,$C5,Ordenes!$T$2:$T$840,"Válida",Ordenes!$F$2:$F$840,"Estrella")/SUMIFS(Ordenes!$Q$2:$Q$840,Ordenes!$W$2:$W$840,$B5,Ordenes!$X$2:$X$840,$C5,Ordenes!$T$2:$T$840,"Válida",Ordenes!$F$2:$F$840,"Estrella"),"")</f>
        <v/>
      </c>
      <c r="J5" s="20">
        <f>IFERROR(SUMIFS(Ordenes!$P$2:$P$840,Ordenes!$W$2:$W$840,$B5,Ordenes!$X$2:$X$840,$C5,Ordenes!$T$2:$T$840,"Válida",Ordenes!$F$2:$F$840,"Saferock")/SUMIFS(Ordenes!$Q$2:$Q$840,Ordenes!$W$2:$W$840,$B5,Ordenes!$X$2:$X$840,$C5,Ordenes!$T$2:$T$840,"Válida",Ordenes!$F$2:$F$840,"Saferock"),"")</f>
        <v/>
      </c>
      <c r="K5" s="20">
        <f>IFERROR(SUMIFS(Ordenes!$P$2:$P$840,Ordenes!$W$2:$W$840,$B5,Ordenes!$X$2:$X$840,$C5,Ordenes!$T$2:$T$840,"Válida",Ordenes!$F$2:$F$840,"Hexágono")/SUMIFS(Ordenes!$Q$2:$Q$840,Ordenes!$W$2:$W$840,$B5,Ordenes!$X$2:$X$840,$C5,Ordenes!$T$2:$T$840,"Válida",Ordenes!$F$2:$F$840,"Hexágono"),"")</f>
        <v/>
      </c>
      <c r="L5" s="24">
        <f>IFERROR(SUMIFS(Ordenes!$P$2:$P$840,Ordenes!$W$2:$W$840,$B5,Ordenes!$X$2:$X$840,$C5,Ordenes!$T$2:$T$840,"Válida",Ordenes!$F$2:$F$840,"*")/SUMIFS(Ordenes!$Q$2:$Q$840,Ordenes!$W$2:$W$840,$B5,Ordenes!$X$2:$X$840,$C5,Ordenes!$T$2:$T$840,"Válida",Ordenes!$F$2:$F$840,"*"),"")</f>
        <v/>
      </c>
      <c r="M5" s="20">
        <f>IFERROR(SUMIFS(Ordenes!$V$2:$V$840,Ordenes!$W$2:$W$840,$B5,Ordenes!$X$2:$X$840,$C5,Ordenes!$T$2:$T$840,"Válida")/SUMIFS(Ordenes!$Q$2:$Q$840,Ordenes!$W$2:$W$840,$B5,Ordenes!$X$2:$X$840,$C5,Ordenes!$T$2:$T$840,"Válida"),"")</f>
        <v/>
      </c>
      <c r="N5" s="21">
        <f>IFERROR((L5-M5)*100,"")</f>
        <v/>
      </c>
      <c r="O5" s="19">
        <f>SUMIFS(Ordenes!$P$2:$P$840,Ordenes!$W$2:$W$840,$B5,Ordenes!$X$2:$X$840,$C5,Ordenes!$T$2:$T$840,"Válida")</f>
        <v/>
      </c>
      <c r="P5" s="19">
        <f>SUMIFS(Ordenes!$Q$2:$Q$840,Ordenes!$W$2:$W$840,$B5,Ordenes!$X$2:$X$840,$C5,Ordenes!$T$2:$T$840,"Válida")</f>
        <v/>
      </c>
      <c r="Q5" s="18">
        <f>COUNTIFS(Ordenes!$W$2:$W$840,$B5,Ordenes!$X$2:$X$840,$C5,Ordenes!$T$2:$T$840,"Válida")</f>
        <v/>
      </c>
    </row>
    <row r="6">
      <c r="A6" s="18" t="inlineStr">
        <is>
          <t>S02 2026 (5 ene)</t>
        </is>
      </c>
      <c r="B6" s="18" t="n">
        <v>2026</v>
      </c>
      <c r="C6" s="18" t="n">
        <v>2</v>
      </c>
      <c r="D6" s="20">
        <f>IFERROR(SUMIFS(Ordenes!$P$2:$P$840,Ordenes!$W$2:$W$840,$B6,Ordenes!$X$2:$X$840,$C6,Ordenes!$T$2:$T$840,"Válida",Ordenes!$F$2:$F$840,"B Hormigón")/SUMIFS(Ordenes!$Q$2:$Q$840,Ordenes!$W$2:$W$840,$B6,Ordenes!$X$2:$X$840,$C6,Ordenes!$T$2:$T$840,"Válida",Ordenes!$F$2:$F$840,"B Hormigón"),"")</f>
        <v/>
      </c>
      <c r="E6" s="20">
        <f>IFERROR(SUMIFS(Ordenes!$P$2:$P$840,Ordenes!$W$2:$W$840,$B6,Ordenes!$X$2:$X$840,$C6,Ordenes!$T$2:$T$840,"Válida",Ordenes!$F$2:$F$840,"Redondo liso")/SUMIFS(Ordenes!$Q$2:$Q$840,Ordenes!$W$2:$W$840,$B6,Ordenes!$X$2:$X$840,$C6,Ordenes!$T$2:$T$840,"Válida",Ordenes!$F$2:$F$840,"Redondo liso"),"")</f>
        <v/>
      </c>
      <c r="F6" s="20">
        <f>IFERROR(SUMIFS(Ordenes!$P$2:$P$840,Ordenes!$W$2:$W$840,$B6,Ordenes!$X$2:$X$840,$C6,Ordenes!$T$2:$T$840,"Válida",Ordenes!$F$2:$F$840,"Plana")/SUMIFS(Ordenes!$Q$2:$Q$840,Ordenes!$W$2:$W$840,$B6,Ordenes!$X$2:$X$840,$C6,Ordenes!$T$2:$T$840,"Válida",Ordenes!$F$2:$F$840,"Plana"),"")</f>
        <v/>
      </c>
      <c r="G6" s="20">
        <f>IFERROR(SUMIFS(Ordenes!$P$2:$P$840,Ordenes!$W$2:$W$840,$B6,Ordenes!$X$2:$X$840,$C6,Ordenes!$T$2:$T$840,"Válida",Ordenes!$F$2:$F$840,"Ángulo")/SUMIFS(Ordenes!$Q$2:$Q$840,Ordenes!$W$2:$W$840,$B6,Ordenes!$X$2:$X$840,$C6,Ordenes!$T$2:$T$840,"Válida",Ordenes!$F$2:$F$840,"Ángulo"),"")</f>
        <v/>
      </c>
      <c r="H6" s="20">
        <f>IFERROR(SUMIFS(Ordenes!$P$2:$P$840,Ordenes!$W$2:$W$840,$B6,Ordenes!$X$2:$X$840,$C6,Ordenes!$T$2:$T$840,"Válida",Ordenes!$F$2:$F$840,"Cuadrado")/SUMIFS(Ordenes!$Q$2:$Q$840,Ordenes!$W$2:$W$840,$B6,Ordenes!$X$2:$X$840,$C6,Ordenes!$T$2:$T$840,"Válida",Ordenes!$F$2:$F$840,"Cuadrado"),"")</f>
        <v/>
      </c>
      <c r="I6" s="20">
        <f>IFERROR(SUMIFS(Ordenes!$P$2:$P$840,Ordenes!$W$2:$W$840,$B6,Ordenes!$X$2:$X$840,$C6,Ordenes!$T$2:$T$840,"Válida",Ordenes!$F$2:$F$840,"Estrella")/SUMIFS(Ordenes!$Q$2:$Q$840,Ordenes!$W$2:$W$840,$B6,Ordenes!$X$2:$X$840,$C6,Ordenes!$T$2:$T$840,"Válida",Ordenes!$F$2:$F$840,"Estrella"),"")</f>
        <v/>
      </c>
      <c r="J6" s="20">
        <f>IFERROR(SUMIFS(Ordenes!$P$2:$P$840,Ordenes!$W$2:$W$840,$B6,Ordenes!$X$2:$X$840,$C6,Ordenes!$T$2:$T$840,"Válida",Ordenes!$F$2:$F$840,"Saferock")/SUMIFS(Ordenes!$Q$2:$Q$840,Ordenes!$W$2:$W$840,$B6,Ordenes!$X$2:$X$840,$C6,Ordenes!$T$2:$T$840,"Válida",Ordenes!$F$2:$F$840,"Saferock"),"")</f>
        <v/>
      </c>
      <c r="K6" s="20">
        <f>IFERROR(SUMIFS(Ordenes!$P$2:$P$840,Ordenes!$W$2:$W$840,$B6,Ordenes!$X$2:$X$840,$C6,Ordenes!$T$2:$T$840,"Válida",Ordenes!$F$2:$F$840,"Hexágono")/SUMIFS(Ordenes!$Q$2:$Q$840,Ordenes!$W$2:$W$840,$B6,Ordenes!$X$2:$X$840,$C6,Ordenes!$T$2:$T$840,"Válida",Ordenes!$F$2:$F$840,"Hexágono"),"")</f>
        <v/>
      </c>
      <c r="L6" s="24">
        <f>IFERROR(SUMIFS(Ordenes!$P$2:$P$840,Ordenes!$W$2:$W$840,$B6,Ordenes!$X$2:$X$840,$C6,Ordenes!$T$2:$T$840,"Válida",Ordenes!$F$2:$F$840,"*")/SUMIFS(Ordenes!$Q$2:$Q$840,Ordenes!$W$2:$W$840,$B6,Ordenes!$X$2:$X$840,$C6,Ordenes!$T$2:$T$840,"Válida",Ordenes!$F$2:$F$840,"*"),"")</f>
        <v/>
      </c>
      <c r="M6" s="20">
        <f>IFERROR(SUMIFS(Ordenes!$V$2:$V$840,Ordenes!$W$2:$W$840,$B6,Ordenes!$X$2:$X$840,$C6,Ordenes!$T$2:$T$840,"Válida")/SUMIFS(Ordenes!$Q$2:$Q$840,Ordenes!$W$2:$W$840,$B6,Ordenes!$X$2:$X$840,$C6,Ordenes!$T$2:$T$840,"Válida"),"")</f>
        <v/>
      </c>
      <c r="N6" s="21">
        <f>IFERROR((L6-M6)*100,"")</f>
        <v/>
      </c>
      <c r="O6" s="19">
        <f>SUMIFS(Ordenes!$P$2:$P$840,Ordenes!$W$2:$W$840,$B6,Ordenes!$X$2:$X$840,$C6,Ordenes!$T$2:$T$840,"Válida")</f>
        <v/>
      </c>
      <c r="P6" s="19">
        <f>SUMIFS(Ordenes!$Q$2:$Q$840,Ordenes!$W$2:$W$840,$B6,Ordenes!$X$2:$X$840,$C6,Ordenes!$T$2:$T$840,"Válida")</f>
        <v/>
      </c>
      <c r="Q6" s="18">
        <f>COUNTIFS(Ordenes!$W$2:$W$840,$B6,Ordenes!$X$2:$X$840,$C6,Ordenes!$T$2:$T$840,"Válida")</f>
        <v/>
      </c>
    </row>
    <row r="7">
      <c r="A7" s="18" t="inlineStr">
        <is>
          <t>S03 2026 (12 ene)</t>
        </is>
      </c>
      <c r="B7" s="18" t="n">
        <v>2026</v>
      </c>
      <c r="C7" s="18" t="n">
        <v>3</v>
      </c>
      <c r="D7" s="20">
        <f>IFERROR(SUMIFS(Ordenes!$P$2:$P$840,Ordenes!$W$2:$W$840,$B7,Ordenes!$X$2:$X$840,$C7,Ordenes!$T$2:$T$840,"Válida",Ordenes!$F$2:$F$840,"B Hormigón")/SUMIFS(Ordenes!$Q$2:$Q$840,Ordenes!$W$2:$W$840,$B7,Ordenes!$X$2:$X$840,$C7,Ordenes!$T$2:$T$840,"Válida",Ordenes!$F$2:$F$840,"B Hormigón"),"")</f>
        <v/>
      </c>
      <c r="E7" s="20">
        <f>IFERROR(SUMIFS(Ordenes!$P$2:$P$840,Ordenes!$W$2:$W$840,$B7,Ordenes!$X$2:$X$840,$C7,Ordenes!$T$2:$T$840,"Válida",Ordenes!$F$2:$F$840,"Redondo liso")/SUMIFS(Ordenes!$Q$2:$Q$840,Ordenes!$W$2:$W$840,$B7,Ordenes!$X$2:$X$840,$C7,Ordenes!$T$2:$T$840,"Válida",Ordenes!$F$2:$F$840,"Redondo liso"),"")</f>
        <v/>
      </c>
      <c r="F7" s="20">
        <f>IFERROR(SUMIFS(Ordenes!$P$2:$P$840,Ordenes!$W$2:$W$840,$B7,Ordenes!$X$2:$X$840,$C7,Ordenes!$T$2:$T$840,"Válida",Ordenes!$F$2:$F$840,"Plana")/SUMIFS(Ordenes!$Q$2:$Q$840,Ordenes!$W$2:$W$840,$B7,Ordenes!$X$2:$X$840,$C7,Ordenes!$T$2:$T$840,"Válida",Ordenes!$F$2:$F$840,"Plana"),"")</f>
        <v/>
      </c>
      <c r="G7" s="20">
        <f>IFERROR(SUMIFS(Ordenes!$P$2:$P$840,Ordenes!$W$2:$W$840,$B7,Ordenes!$X$2:$X$840,$C7,Ordenes!$T$2:$T$840,"Válida",Ordenes!$F$2:$F$840,"Ángulo")/SUMIFS(Ordenes!$Q$2:$Q$840,Ordenes!$W$2:$W$840,$B7,Ordenes!$X$2:$X$840,$C7,Ordenes!$T$2:$T$840,"Válida",Ordenes!$F$2:$F$840,"Ángulo"),"")</f>
        <v/>
      </c>
      <c r="H7" s="20">
        <f>IFERROR(SUMIFS(Ordenes!$P$2:$P$840,Ordenes!$W$2:$W$840,$B7,Ordenes!$X$2:$X$840,$C7,Ordenes!$T$2:$T$840,"Válida",Ordenes!$F$2:$F$840,"Cuadrado")/SUMIFS(Ordenes!$Q$2:$Q$840,Ordenes!$W$2:$W$840,$B7,Ordenes!$X$2:$X$840,$C7,Ordenes!$T$2:$T$840,"Válida",Ordenes!$F$2:$F$840,"Cuadrado"),"")</f>
        <v/>
      </c>
      <c r="I7" s="20">
        <f>IFERROR(SUMIFS(Ordenes!$P$2:$P$840,Ordenes!$W$2:$W$840,$B7,Ordenes!$X$2:$X$840,$C7,Ordenes!$T$2:$T$840,"Válida",Ordenes!$F$2:$F$840,"Estrella")/SUMIFS(Ordenes!$Q$2:$Q$840,Ordenes!$W$2:$W$840,$B7,Ordenes!$X$2:$X$840,$C7,Ordenes!$T$2:$T$840,"Válida",Ordenes!$F$2:$F$840,"Estrella"),"")</f>
        <v/>
      </c>
      <c r="J7" s="20">
        <f>IFERROR(SUMIFS(Ordenes!$P$2:$P$840,Ordenes!$W$2:$W$840,$B7,Ordenes!$X$2:$X$840,$C7,Ordenes!$T$2:$T$840,"Válida",Ordenes!$F$2:$F$840,"Saferock")/SUMIFS(Ordenes!$Q$2:$Q$840,Ordenes!$W$2:$W$840,$B7,Ordenes!$X$2:$X$840,$C7,Ordenes!$T$2:$T$840,"Válida",Ordenes!$F$2:$F$840,"Saferock"),"")</f>
        <v/>
      </c>
      <c r="K7" s="20">
        <f>IFERROR(SUMIFS(Ordenes!$P$2:$P$840,Ordenes!$W$2:$W$840,$B7,Ordenes!$X$2:$X$840,$C7,Ordenes!$T$2:$T$840,"Válida",Ordenes!$F$2:$F$840,"Hexágono")/SUMIFS(Ordenes!$Q$2:$Q$840,Ordenes!$W$2:$W$840,$B7,Ordenes!$X$2:$X$840,$C7,Ordenes!$T$2:$T$840,"Válida",Ordenes!$F$2:$F$840,"Hexágono"),"")</f>
        <v/>
      </c>
      <c r="L7" s="24">
        <f>IFERROR(SUMIFS(Ordenes!$P$2:$P$840,Ordenes!$W$2:$W$840,$B7,Ordenes!$X$2:$X$840,$C7,Ordenes!$T$2:$T$840,"Válida",Ordenes!$F$2:$F$840,"*")/SUMIFS(Ordenes!$Q$2:$Q$840,Ordenes!$W$2:$W$840,$B7,Ordenes!$X$2:$X$840,$C7,Ordenes!$T$2:$T$840,"Válida",Ordenes!$F$2:$F$840,"*"),"")</f>
        <v/>
      </c>
      <c r="M7" s="20">
        <f>IFERROR(SUMIFS(Ordenes!$V$2:$V$840,Ordenes!$W$2:$W$840,$B7,Ordenes!$X$2:$X$840,$C7,Ordenes!$T$2:$T$840,"Válida")/SUMIFS(Ordenes!$Q$2:$Q$840,Ordenes!$W$2:$W$840,$B7,Ordenes!$X$2:$X$840,$C7,Ordenes!$T$2:$T$840,"Válida"),"")</f>
        <v/>
      </c>
      <c r="N7" s="21">
        <f>IFERROR((L7-M7)*100,"")</f>
        <v/>
      </c>
      <c r="O7" s="19">
        <f>SUMIFS(Ordenes!$P$2:$P$840,Ordenes!$W$2:$W$840,$B7,Ordenes!$X$2:$X$840,$C7,Ordenes!$T$2:$T$840,"Válida")</f>
        <v/>
      </c>
      <c r="P7" s="19">
        <f>SUMIFS(Ordenes!$Q$2:$Q$840,Ordenes!$W$2:$W$840,$B7,Ordenes!$X$2:$X$840,$C7,Ordenes!$T$2:$T$840,"Válida")</f>
        <v/>
      </c>
      <c r="Q7" s="18">
        <f>COUNTIFS(Ordenes!$W$2:$W$840,$B7,Ordenes!$X$2:$X$840,$C7,Ordenes!$T$2:$T$840,"Válida")</f>
        <v/>
      </c>
    </row>
    <row r="8">
      <c r="A8" s="18" t="inlineStr">
        <is>
          <t>S04 2026 (19 ene)</t>
        </is>
      </c>
      <c r="B8" s="18" t="n">
        <v>2026</v>
      </c>
      <c r="C8" s="18" t="n">
        <v>4</v>
      </c>
      <c r="D8" s="20">
        <f>IFERROR(SUMIFS(Ordenes!$P$2:$P$840,Ordenes!$W$2:$W$840,$B8,Ordenes!$X$2:$X$840,$C8,Ordenes!$T$2:$T$840,"Válida",Ordenes!$F$2:$F$840,"B Hormigón")/SUMIFS(Ordenes!$Q$2:$Q$840,Ordenes!$W$2:$W$840,$B8,Ordenes!$X$2:$X$840,$C8,Ordenes!$T$2:$T$840,"Válida",Ordenes!$F$2:$F$840,"B Hormigón"),"")</f>
        <v/>
      </c>
      <c r="E8" s="20">
        <f>IFERROR(SUMIFS(Ordenes!$P$2:$P$840,Ordenes!$W$2:$W$840,$B8,Ordenes!$X$2:$X$840,$C8,Ordenes!$T$2:$T$840,"Válida",Ordenes!$F$2:$F$840,"Redondo liso")/SUMIFS(Ordenes!$Q$2:$Q$840,Ordenes!$W$2:$W$840,$B8,Ordenes!$X$2:$X$840,$C8,Ordenes!$T$2:$T$840,"Válida",Ordenes!$F$2:$F$840,"Redondo liso"),"")</f>
        <v/>
      </c>
      <c r="F8" s="20">
        <f>IFERROR(SUMIFS(Ordenes!$P$2:$P$840,Ordenes!$W$2:$W$840,$B8,Ordenes!$X$2:$X$840,$C8,Ordenes!$T$2:$T$840,"Válida",Ordenes!$F$2:$F$840,"Plana")/SUMIFS(Ordenes!$Q$2:$Q$840,Ordenes!$W$2:$W$840,$B8,Ordenes!$X$2:$X$840,$C8,Ordenes!$T$2:$T$840,"Válida",Ordenes!$F$2:$F$840,"Plana"),"")</f>
        <v/>
      </c>
      <c r="G8" s="20">
        <f>IFERROR(SUMIFS(Ordenes!$P$2:$P$840,Ordenes!$W$2:$W$840,$B8,Ordenes!$X$2:$X$840,$C8,Ordenes!$T$2:$T$840,"Válida",Ordenes!$F$2:$F$840,"Ángulo")/SUMIFS(Ordenes!$Q$2:$Q$840,Ordenes!$W$2:$W$840,$B8,Ordenes!$X$2:$X$840,$C8,Ordenes!$T$2:$T$840,"Válida",Ordenes!$F$2:$F$840,"Ángulo"),"")</f>
        <v/>
      </c>
      <c r="H8" s="20">
        <f>IFERROR(SUMIFS(Ordenes!$P$2:$P$840,Ordenes!$W$2:$W$840,$B8,Ordenes!$X$2:$X$840,$C8,Ordenes!$T$2:$T$840,"Válida",Ordenes!$F$2:$F$840,"Cuadrado")/SUMIFS(Ordenes!$Q$2:$Q$840,Ordenes!$W$2:$W$840,$B8,Ordenes!$X$2:$X$840,$C8,Ordenes!$T$2:$T$840,"Válida",Ordenes!$F$2:$F$840,"Cuadrado"),"")</f>
        <v/>
      </c>
      <c r="I8" s="20">
        <f>IFERROR(SUMIFS(Ordenes!$P$2:$P$840,Ordenes!$W$2:$W$840,$B8,Ordenes!$X$2:$X$840,$C8,Ordenes!$T$2:$T$840,"Válida",Ordenes!$F$2:$F$840,"Estrella")/SUMIFS(Ordenes!$Q$2:$Q$840,Ordenes!$W$2:$W$840,$B8,Ordenes!$X$2:$X$840,$C8,Ordenes!$T$2:$T$840,"Válida",Ordenes!$F$2:$F$840,"Estrella"),"")</f>
        <v/>
      </c>
      <c r="J8" s="20">
        <f>IFERROR(SUMIFS(Ordenes!$P$2:$P$840,Ordenes!$W$2:$W$840,$B8,Ordenes!$X$2:$X$840,$C8,Ordenes!$T$2:$T$840,"Válida",Ordenes!$F$2:$F$840,"Saferock")/SUMIFS(Ordenes!$Q$2:$Q$840,Ordenes!$W$2:$W$840,$B8,Ordenes!$X$2:$X$840,$C8,Ordenes!$T$2:$T$840,"Válida",Ordenes!$F$2:$F$840,"Saferock"),"")</f>
        <v/>
      </c>
      <c r="K8" s="20">
        <f>IFERROR(SUMIFS(Ordenes!$P$2:$P$840,Ordenes!$W$2:$W$840,$B8,Ordenes!$X$2:$X$840,$C8,Ordenes!$T$2:$T$840,"Válida",Ordenes!$F$2:$F$840,"Hexágono")/SUMIFS(Ordenes!$Q$2:$Q$840,Ordenes!$W$2:$W$840,$B8,Ordenes!$X$2:$X$840,$C8,Ordenes!$T$2:$T$840,"Válida",Ordenes!$F$2:$F$840,"Hexágono"),"")</f>
        <v/>
      </c>
      <c r="L8" s="24">
        <f>IFERROR(SUMIFS(Ordenes!$P$2:$P$840,Ordenes!$W$2:$W$840,$B8,Ordenes!$X$2:$X$840,$C8,Ordenes!$T$2:$T$840,"Válida",Ordenes!$F$2:$F$840,"*")/SUMIFS(Ordenes!$Q$2:$Q$840,Ordenes!$W$2:$W$840,$B8,Ordenes!$X$2:$X$840,$C8,Ordenes!$T$2:$T$840,"Válida",Ordenes!$F$2:$F$840,"*"),"")</f>
        <v/>
      </c>
      <c r="M8" s="20">
        <f>IFERROR(SUMIFS(Ordenes!$V$2:$V$840,Ordenes!$W$2:$W$840,$B8,Ordenes!$X$2:$X$840,$C8,Ordenes!$T$2:$T$840,"Válida")/SUMIFS(Ordenes!$Q$2:$Q$840,Ordenes!$W$2:$W$840,$B8,Ordenes!$X$2:$X$840,$C8,Ordenes!$T$2:$T$840,"Válida"),"")</f>
        <v/>
      </c>
      <c r="N8" s="21">
        <f>IFERROR((L8-M8)*100,"")</f>
        <v/>
      </c>
      <c r="O8" s="19">
        <f>SUMIFS(Ordenes!$P$2:$P$840,Ordenes!$W$2:$W$840,$B8,Ordenes!$X$2:$X$840,$C8,Ordenes!$T$2:$T$840,"Válida")</f>
        <v/>
      </c>
      <c r="P8" s="19">
        <f>SUMIFS(Ordenes!$Q$2:$Q$840,Ordenes!$W$2:$W$840,$B8,Ordenes!$X$2:$X$840,$C8,Ordenes!$T$2:$T$840,"Válida")</f>
        <v/>
      </c>
      <c r="Q8" s="18">
        <f>COUNTIFS(Ordenes!$W$2:$W$840,$B8,Ordenes!$X$2:$X$840,$C8,Ordenes!$T$2:$T$840,"Válida")</f>
        <v/>
      </c>
    </row>
    <row r="9">
      <c r="A9" s="18" t="inlineStr">
        <is>
          <t>S05 2026 (26 ene)</t>
        </is>
      </c>
      <c r="B9" s="18" t="n">
        <v>2026</v>
      </c>
      <c r="C9" s="18" t="n">
        <v>5</v>
      </c>
      <c r="D9" s="20">
        <f>IFERROR(SUMIFS(Ordenes!$P$2:$P$840,Ordenes!$W$2:$W$840,$B9,Ordenes!$X$2:$X$840,$C9,Ordenes!$T$2:$T$840,"Válida",Ordenes!$F$2:$F$840,"B Hormigón")/SUMIFS(Ordenes!$Q$2:$Q$840,Ordenes!$W$2:$W$840,$B9,Ordenes!$X$2:$X$840,$C9,Ordenes!$T$2:$T$840,"Válida",Ordenes!$F$2:$F$840,"B Hormigón"),"")</f>
        <v/>
      </c>
      <c r="E9" s="20">
        <f>IFERROR(SUMIFS(Ordenes!$P$2:$P$840,Ordenes!$W$2:$W$840,$B9,Ordenes!$X$2:$X$840,$C9,Ordenes!$T$2:$T$840,"Válida",Ordenes!$F$2:$F$840,"Redondo liso")/SUMIFS(Ordenes!$Q$2:$Q$840,Ordenes!$W$2:$W$840,$B9,Ordenes!$X$2:$X$840,$C9,Ordenes!$T$2:$T$840,"Válida",Ordenes!$F$2:$F$840,"Redondo liso"),"")</f>
        <v/>
      </c>
      <c r="F9" s="20">
        <f>IFERROR(SUMIFS(Ordenes!$P$2:$P$840,Ordenes!$W$2:$W$840,$B9,Ordenes!$X$2:$X$840,$C9,Ordenes!$T$2:$T$840,"Válida",Ordenes!$F$2:$F$840,"Plana")/SUMIFS(Ordenes!$Q$2:$Q$840,Ordenes!$W$2:$W$840,$B9,Ordenes!$X$2:$X$840,$C9,Ordenes!$T$2:$T$840,"Válida",Ordenes!$F$2:$F$840,"Plana"),"")</f>
        <v/>
      </c>
      <c r="G9" s="20">
        <f>IFERROR(SUMIFS(Ordenes!$P$2:$P$840,Ordenes!$W$2:$W$840,$B9,Ordenes!$X$2:$X$840,$C9,Ordenes!$T$2:$T$840,"Válida",Ordenes!$F$2:$F$840,"Ángulo")/SUMIFS(Ordenes!$Q$2:$Q$840,Ordenes!$W$2:$W$840,$B9,Ordenes!$X$2:$X$840,$C9,Ordenes!$T$2:$T$840,"Válida",Ordenes!$F$2:$F$840,"Ángulo"),"")</f>
        <v/>
      </c>
      <c r="H9" s="20">
        <f>IFERROR(SUMIFS(Ordenes!$P$2:$P$840,Ordenes!$W$2:$W$840,$B9,Ordenes!$X$2:$X$840,$C9,Ordenes!$T$2:$T$840,"Válida",Ordenes!$F$2:$F$840,"Cuadrado")/SUMIFS(Ordenes!$Q$2:$Q$840,Ordenes!$W$2:$W$840,$B9,Ordenes!$X$2:$X$840,$C9,Ordenes!$T$2:$T$840,"Válida",Ordenes!$F$2:$F$840,"Cuadrado"),"")</f>
        <v/>
      </c>
      <c r="I9" s="20">
        <f>IFERROR(SUMIFS(Ordenes!$P$2:$P$840,Ordenes!$W$2:$W$840,$B9,Ordenes!$X$2:$X$840,$C9,Ordenes!$T$2:$T$840,"Válida",Ordenes!$F$2:$F$840,"Estrella")/SUMIFS(Ordenes!$Q$2:$Q$840,Ordenes!$W$2:$W$840,$B9,Ordenes!$X$2:$X$840,$C9,Ordenes!$T$2:$T$840,"Válida",Ordenes!$F$2:$F$840,"Estrella"),"")</f>
        <v/>
      </c>
      <c r="J9" s="20">
        <f>IFERROR(SUMIFS(Ordenes!$P$2:$P$840,Ordenes!$W$2:$W$840,$B9,Ordenes!$X$2:$X$840,$C9,Ordenes!$T$2:$T$840,"Válida",Ordenes!$F$2:$F$840,"Saferock")/SUMIFS(Ordenes!$Q$2:$Q$840,Ordenes!$W$2:$W$840,$B9,Ordenes!$X$2:$X$840,$C9,Ordenes!$T$2:$T$840,"Válida",Ordenes!$F$2:$F$840,"Saferock"),"")</f>
        <v/>
      </c>
      <c r="K9" s="20">
        <f>IFERROR(SUMIFS(Ordenes!$P$2:$P$840,Ordenes!$W$2:$W$840,$B9,Ordenes!$X$2:$X$840,$C9,Ordenes!$T$2:$T$840,"Válida",Ordenes!$F$2:$F$840,"Hexágono")/SUMIFS(Ordenes!$Q$2:$Q$840,Ordenes!$W$2:$W$840,$B9,Ordenes!$X$2:$X$840,$C9,Ordenes!$T$2:$T$840,"Válida",Ordenes!$F$2:$F$840,"Hexágono"),"")</f>
        <v/>
      </c>
      <c r="L9" s="24">
        <f>IFERROR(SUMIFS(Ordenes!$P$2:$P$840,Ordenes!$W$2:$W$840,$B9,Ordenes!$X$2:$X$840,$C9,Ordenes!$T$2:$T$840,"Válida",Ordenes!$F$2:$F$840,"*")/SUMIFS(Ordenes!$Q$2:$Q$840,Ordenes!$W$2:$W$840,$B9,Ordenes!$X$2:$X$840,$C9,Ordenes!$T$2:$T$840,"Válida",Ordenes!$F$2:$F$840,"*"),"")</f>
        <v/>
      </c>
      <c r="M9" s="20">
        <f>IFERROR(SUMIFS(Ordenes!$V$2:$V$840,Ordenes!$W$2:$W$840,$B9,Ordenes!$X$2:$X$840,$C9,Ordenes!$T$2:$T$840,"Válida")/SUMIFS(Ordenes!$Q$2:$Q$840,Ordenes!$W$2:$W$840,$B9,Ordenes!$X$2:$X$840,$C9,Ordenes!$T$2:$T$840,"Válida"),"")</f>
        <v/>
      </c>
      <c r="N9" s="21">
        <f>IFERROR((L9-M9)*100,"")</f>
        <v/>
      </c>
      <c r="O9" s="19">
        <f>SUMIFS(Ordenes!$P$2:$P$840,Ordenes!$W$2:$W$840,$B9,Ordenes!$X$2:$X$840,$C9,Ordenes!$T$2:$T$840,"Válida")</f>
        <v/>
      </c>
      <c r="P9" s="19">
        <f>SUMIFS(Ordenes!$Q$2:$Q$840,Ordenes!$W$2:$W$840,$B9,Ordenes!$X$2:$X$840,$C9,Ordenes!$T$2:$T$840,"Válida")</f>
        <v/>
      </c>
      <c r="Q9" s="18">
        <f>COUNTIFS(Ordenes!$W$2:$W$840,$B9,Ordenes!$X$2:$X$840,$C9,Ordenes!$T$2:$T$840,"Válida")</f>
        <v/>
      </c>
    </row>
    <row r="10">
      <c r="A10" s="18" t="inlineStr">
        <is>
          <t>S06 2026 (2 feb)</t>
        </is>
      </c>
      <c r="B10" s="18" t="n">
        <v>2026</v>
      </c>
      <c r="C10" s="18" t="n">
        <v>6</v>
      </c>
      <c r="D10" s="20">
        <f>IFERROR(SUMIFS(Ordenes!$P$2:$P$840,Ordenes!$W$2:$W$840,$B10,Ordenes!$X$2:$X$840,$C10,Ordenes!$T$2:$T$840,"Válida",Ordenes!$F$2:$F$840,"B Hormigón")/SUMIFS(Ordenes!$Q$2:$Q$840,Ordenes!$W$2:$W$840,$B10,Ordenes!$X$2:$X$840,$C10,Ordenes!$T$2:$T$840,"Válida",Ordenes!$F$2:$F$840,"B Hormigón"),"")</f>
        <v/>
      </c>
      <c r="E10" s="20">
        <f>IFERROR(SUMIFS(Ordenes!$P$2:$P$840,Ordenes!$W$2:$W$840,$B10,Ordenes!$X$2:$X$840,$C10,Ordenes!$T$2:$T$840,"Válida",Ordenes!$F$2:$F$840,"Redondo liso")/SUMIFS(Ordenes!$Q$2:$Q$840,Ordenes!$W$2:$W$840,$B10,Ordenes!$X$2:$X$840,$C10,Ordenes!$T$2:$T$840,"Válida",Ordenes!$F$2:$F$840,"Redondo liso"),"")</f>
        <v/>
      </c>
      <c r="F10" s="20">
        <f>IFERROR(SUMIFS(Ordenes!$P$2:$P$840,Ordenes!$W$2:$W$840,$B10,Ordenes!$X$2:$X$840,$C10,Ordenes!$T$2:$T$840,"Válida",Ordenes!$F$2:$F$840,"Plana")/SUMIFS(Ordenes!$Q$2:$Q$840,Ordenes!$W$2:$W$840,$B10,Ordenes!$X$2:$X$840,$C10,Ordenes!$T$2:$T$840,"Válida",Ordenes!$F$2:$F$840,"Plana"),"")</f>
        <v/>
      </c>
      <c r="G10" s="20">
        <f>IFERROR(SUMIFS(Ordenes!$P$2:$P$840,Ordenes!$W$2:$W$840,$B10,Ordenes!$X$2:$X$840,$C10,Ordenes!$T$2:$T$840,"Válida",Ordenes!$F$2:$F$840,"Ángulo")/SUMIFS(Ordenes!$Q$2:$Q$840,Ordenes!$W$2:$W$840,$B10,Ordenes!$X$2:$X$840,$C10,Ordenes!$T$2:$T$840,"Válida",Ordenes!$F$2:$F$840,"Ángulo"),"")</f>
        <v/>
      </c>
      <c r="H10" s="20">
        <f>IFERROR(SUMIFS(Ordenes!$P$2:$P$840,Ordenes!$W$2:$W$840,$B10,Ordenes!$X$2:$X$840,$C10,Ordenes!$T$2:$T$840,"Válida",Ordenes!$F$2:$F$840,"Cuadrado")/SUMIFS(Ordenes!$Q$2:$Q$840,Ordenes!$W$2:$W$840,$B10,Ordenes!$X$2:$X$840,$C10,Ordenes!$T$2:$T$840,"Válida",Ordenes!$F$2:$F$840,"Cuadrado"),"")</f>
        <v/>
      </c>
      <c r="I10" s="20">
        <f>IFERROR(SUMIFS(Ordenes!$P$2:$P$840,Ordenes!$W$2:$W$840,$B10,Ordenes!$X$2:$X$840,$C10,Ordenes!$T$2:$T$840,"Válida",Ordenes!$F$2:$F$840,"Estrella")/SUMIFS(Ordenes!$Q$2:$Q$840,Ordenes!$W$2:$W$840,$B10,Ordenes!$X$2:$X$840,$C10,Ordenes!$T$2:$T$840,"Válida",Ordenes!$F$2:$F$840,"Estrella"),"")</f>
        <v/>
      </c>
      <c r="J10" s="20">
        <f>IFERROR(SUMIFS(Ordenes!$P$2:$P$840,Ordenes!$W$2:$W$840,$B10,Ordenes!$X$2:$X$840,$C10,Ordenes!$T$2:$T$840,"Válida",Ordenes!$F$2:$F$840,"Saferock")/SUMIFS(Ordenes!$Q$2:$Q$840,Ordenes!$W$2:$W$840,$B10,Ordenes!$X$2:$X$840,$C10,Ordenes!$T$2:$T$840,"Válida",Ordenes!$F$2:$F$840,"Saferock"),"")</f>
        <v/>
      </c>
      <c r="K10" s="20">
        <f>IFERROR(SUMIFS(Ordenes!$P$2:$P$840,Ordenes!$W$2:$W$840,$B10,Ordenes!$X$2:$X$840,$C10,Ordenes!$T$2:$T$840,"Válida",Ordenes!$F$2:$F$840,"Hexágono")/SUMIFS(Ordenes!$Q$2:$Q$840,Ordenes!$W$2:$W$840,$B10,Ordenes!$X$2:$X$840,$C10,Ordenes!$T$2:$T$840,"Válida",Ordenes!$F$2:$F$840,"Hexágono"),"")</f>
        <v/>
      </c>
      <c r="L10" s="24">
        <f>IFERROR(SUMIFS(Ordenes!$P$2:$P$840,Ordenes!$W$2:$W$840,$B10,Ordenes!$X$2:$X$840,$C10,Ordenes!$T$2:$T$840,"Válida",Ordenes!$F$2:$F$840,"*")/SUMIFS(Ordenes!$Q$2:$Q$840,Ordenes!$W$2:$W$840,$B10,Ordenes!$X$2:$X$840,$C10,Ordenes!$T$2:$T$840,"Válida",Ordenes!$F$2:$F$840,"*"),"")</f>
        <v/>
      </c>
      <c r="M10" s="20">
        <f>IFERROR(SUMIFS(Ordenes!$V$2:$V$840,Ordenes!$W$2:$W$840,$B10,Ordenes!$X$2:$X$840,$C10,Ordenes!$T$2:$T$840,"Válida")/SUMIFS(Ordenes!$Q$2:$Q$840,Ordenes!$W$2:$W$840,$B10,Ordenes!$X$2:$X$840,$C10,Ordenes!$T$2:$T$840,"Válida"),"")</f>
        <v/>
      </c>
      <c r="N10" s="21">
        <f>IFERROR((L10-M10)*100,"")</f>
        <v/>
      </c>
      <c r="O10" s="19">
        <f>SUMIFS(Ordenes!$P$2:$P$840,Ordenes!$W$2:$W$840,$B10,Ordenes!$X$2:$X$840,$C10,Ordenes!$T$2:$T$840,"Válida")</f>
        <v/>
      </c>
      <c r="P10" s="19">
        <f>SUMIFS(Ordenes!$Q$2:$Q$840,Ordenes!$W$2:$W$840,$B10,Ordenes!$X$2:$X$840,$C10,Ordenes!$T$2:$T$840,"Válida")</f>
        <v/>
      </c>
      <c r="Q10" s="18">
        <f>COUNTIFS(Ordenes!$W$2:$W$840,$B10,Ordenes!$X$2:$X$840,$C10,Ordenes!$T$2:$T$840,"Válida")</f>
        <v/>
      </c>
    </row>
    <row r="11">
      <c r="A11" s="18" t="inlineStr">
        <is>
          <t>S07 2026 (9 feb)</t>
        </is>
      </c>
      <c r="B11" s="18" t="n">
        <v>2026</v>
      </c>
      <c r="C11" s="18" t="n">
        <v>7</v>
      </c>
      <c r="D11" s="20">
        <f>IFERROR(SUMIFS(Ordenes!$P$2:$P$840,Ordenes!$W$2:$W$840,$B11,Ordenes!$X$2:$X$840,$C11,Ordenes!$T$2:$T$840,"Válida",Ordenes!$F$2:$F$840,"B Hormigón")/SUMIFS(Ordenes!$Q$2:$Q$840,Ordenes!$W$2:$W$840,$B11,Ordenes!$X$2:$X$840,$C11,Ordenes!$T$2:$T$840,"Válida",Ordenes!$F$2:$F$840,"B Hormigón"),"")</f>
        <v/>
      </c>
      <c r="E11" s="20">
        <f>IFERROR(SUMIFS(Ordenes!$P$2:$P$840,Ordenes!$W$2:$W$840,$B11,Ordenes!$X$2:$X$840,$C11,Ordenes!$T$2:$T$840,"Válida",Ordenes!$F$2:$F$840,"Redondo liso")/SUMIFS(Ordenes!$Q$2:$Q$840,Ordenes!$W$2:$W$840,$B11,Ordenes!$X$2:$X$840,$C11,Ordenes!$T$2:$T$840,"Válida",Ordenes!$F$2:$F$840,"Redondo liso"),"")</f>
        <v/>
      </c>
      <c r="F11" s="20">
        <f>IFERROR(SUMIFS(Ordenes!$P$2:$P$840,Ordenes!$W$2:$W$840,$B11,Ordenes!$X$2:$X$840,$C11,Ordenes!$T$2:$T$840,"Válida",Ordenes!$F$2:$F$840,"Plana")/SUMIFS(Ordenes!$Q$2:$Q$840,Ordenes!$W$2:$W$840,$B11,Ordenes!$X$2:$X$840,$C11,Ordenes!$T$2:$T$840,"Válida",Ordenes!$F$2:$F$840,"Plana"),"")</f>
        <v/>
      </c>
      <c r="G11" s="20">
        <f>IFERROR(SUMIFS(Ordenes!$P$2:$P$840,Ordenes!$W$2:$W$840,$B11,Ordenes!$X$2:$X$840,$C11,Ordenes!$T$2:$T$840,"Válida",Ordenes!$F$2:$F$840,"Ángulo")/SUMIFS(Ordenes!$Q$2:$Q$840,Ordenes!$W$2:$W$840,$B11,Ordenes!$X$2:$X$840,$C11,Ordenes!$T$2:$T$840,"Válida",Ordenes!$F$2:$F$840,"Ángulo"),"")</f>
        <v/>
      </c>
      <c r="H11" s="20">
        <f>IFERROR(SUMIFS(Ordenes!$P$2:$P$840,Ordenes!$W$2:$W$840,$B11,Ordenes!$X$2:$X$840,$C11,Ordenes!$T$2:$T$840,"Válida",Ordenes!$F$2:$F$840,"Cuadrado")/SUMIFS(Ordenes!$Q$2:$Q$840,Ordenes!$W$2:$W$840,$B11,Ordenes!$X$2:$X$840,$C11,Ordenes!$T$2:$T$840,"Válida",Ordenes!$F$2:$F$840,"Cuadrado"),"")</f>
        <v/>
      </c>
      <c r="I11" s="20">
        <f>IFERROR(SUMIFS(Ordenes!$P$2:$P$840,Ordenes!$W$2:$W$840,$B11,Ordenes!$X$2:$X$840,$C11,Ordenes!$T$2:$T$840,"Válida",Ordenes!$F$2:$F$840,"Estrella")/SUMIFS(Ordenes!$Q$2:$Q$840,Ordenes!$W$2:$W$840,$B11,Ordenes!$X$2:$X$840,$C11,Ordenes!$T$2:$T$840,"Válida",Ordenes!$F$2:$F$840,"Estrella"),"")</f>
        <v/>
      </c>
      <c r="J11" s="20">
        <f>IFERROR(SUMIFS(Ordenes!$P$2:$P$840,Ordenes!$W$2:$W$840,$B11,Ordenes!$X$2:$X$840,$C11,Ordenes!$T$2:$T$840,"Válida",Ordenes!$F$2:$F$840,"Saferock")/SUMIFS(Ordenes!$Q$2:$Q$840,Ordenes!$W$2:$W$840,$B11,Ordenes!$X$2:$X$840,$C11,Ordenes!$T$2:$T$840,"Válida",Ordenes!$F$2:$F$840,"Saferock"),"")</f>
        <v/>
      </c>
      <c r="K11" s="20">
        <f>IFERROR(SUMIFS(Ordenes!$P$2:$P$840,Ordenes!$W$2:$W$840,$B11,Ordenes!$X$2:$X$840,$C11,Ordenes!$T$2:$T$840,"Válida",Ordenes!$F$2:$F$840,"Hexágono")/SUMIFS(Ordenes!$Q$2:$Q$840,Ordenes!$W$2:$W$840,$B11,Ordenes!$X$2:$X$840,$C11,Ordenes!$T$2:$T$840,"Válida",Ordenes!$F$2:$F$840,"Hexágono"),"")</f>
        <v/>
      </c>
      <c r="L11" s="24">
        <f>IFERROR(SUMIFS(Ordenes!$P$2:$P$840,Ordenes!$W$2:$W$840,$B11,Ordenes!$X$2:$X$840,$C11,Ordenes!$T$2:$T$840,"Válida",Ordenes!$F$2:$F$840,"*")/SUMIFS(Ordenes!$Q$2:$Q$840,Ordenes!$W$2:$W$840,$B11,Ordenes!$X$2:$X$840,$C11,Ordenes!$T$2:$T$840,"Válida",Ordenes!$F$2:$F$840,"*"),"")</f>
        <v/>
      </c>
      <c r="M11" s="20">
        <f>IFERROR(SUMIFS(Ordenes!$V$2:$V$840,Ordenes!$W$2:$W$840,$B11,Ordenes!$X$2:$X$840,$C11,Ordenes!$T$2:$T$840,"Válida")/SUMIFS(Ordenes!$Q$2:$Q$840,Ordenes!$W$2:$W$840,$B11,Ordenes!$X$2:$X$840,$C11,Ordenes!$T$2:$T$840,"Válida"),"")</f>
        <v/>
      </c>
      <c r="N11" s="21">
        <f>IFERROR((L11-M11)*100,"")</f>
        <v/>
      </c>
      <c r="O11" s="19">
        <f>SUMIFS(Ordenes!$P$2:$P$840,Ordenes!$W$2:$W$840,$B11,Ordenes!$X$2:$X$840,$C11,Ordenes!$T$2:$T$840,"Válida")</f>
        <v/>
      </c>
      <c r="P11" s="19">
        <f>SUMIFS(Ordenes!$Q$2:$Q$840,Ordenes!$W$2:$W$840,$B11,Ordenes!$X$2:$X$840,$C11,Ordenes!$T$2:$T$840,"Válida")</f>
        <v/>
      </c>
      <c r="Q11" s="18">
        <f>COUNTIFS(Ordenes!$W$2:$W$840,$B11,Ordenes!$X$2:$X$840,$C11,Ordenes!$T$2:$T$840,"Válida")</f>
        <v/>
      </c>
    </row>
    <row r="12">
      <c r="A12" s="18" t="inlineStr">
        <is>
          <t>S08 2026 (16 feb)</t>
        </is>
      </c>
      <c r="B12" s="18" t="n">
        <v>2026</v>
      </c>
      <c r="C12" s="18" t="n">
        <v>8</v>
      </c>
      <c r="D12" s="20">
        <f>IFERROR(SUMIFS(Ordenes!$P$2:$P$840,Ordenes!$W$2:$W$840,$B12,Ordenes!$X$2:$X$840,$C12,Ordenes!$T$2:$T$840,"Válida",Ordenes!$F$2:$F$840,"B Hormigón")/SUMIFS(Ordenes!$Q$2:$Q$840,Ordenes!$W$2:$W$840,$B12,Ordenes!$X$2:$X$840,$C12,Ordenes!$T$2:$T$840,"Válida",Ordenes!$F$2:$F$840,"B Hormigón"),"")</f>
        <v/>
      </c>
      <c r="E12" s="20">
        <f>IFERROR(SUMIFS(Ordenes!$P$2:$P$840,Ordenes!$W$2:$W$840,$B12,Ordenes!$X$2:$X$840,$C12,Ordenes!$T$2:$T$840,"Válida",Ordenes!$F$2:$F$840,"Redondo liso")/SUMIFS(Ordenes!$Q$2:$Q$840,Ordenes!$W$2:$W$840,$B12,Ordenes!$X$2:$X$840,$C12,Ordenes!$T$2:$T$840,"Válida",Ordenes!$F$2:$F$840,"Redondo liso"),"")</f>
        <v/>
      </c>
      <c r="F12" s="20">
        <f>IFERROR(SUMIFS(Ordenes!$P$2:$P$840,Ordenes!$W$2:$W$840,$B12,Ordenes!$X$2:$X$840,$C12,Ordenes!$T$2:$T$840,"Válida",Ordenes!$F$2:$F$840,"Plana")/SUMIFS(Ordenes!$Q$2:$Q$840,Ordenes!$W$2:$W$840,$B12,Ordenes!$X$2:$X$840,$C12,Ordenes!$T$2:$T$840,"Válida",Ordenes!$F$2:$F$840,"Plana"),"")</f>
        <v/>
      </c>
      <c r="G12" s="20">
        <f>IFERROR(SUMIFS(Ordenes!$P$2:$P$840,Ordenes!$W$2:$W$840,$B12,Ordenes!$X$2:$X$840,$C12,Ordenes!$T$2:$T$840,"Válida",Ordenes!$F$2:$F$840,"Ángulo")/SUMIFS(Ordenes!$Q$2:$Q$840,Ordenes!$W$2:$W$840,$B12,Ordenes!$X$2:$X$840,$C12,Ordenes!$T$2:$T$840,"Válida",Ordenes!$F$2:$F$840,"Ángulo"),"")</f>
        <v/>
      </c>
      <c r="H12" s="20">
        <f>IFERROR(SUMIFS(Ordenes!$P$2:$P$840,Ordenes!$W$2:$W$840,$B12,Ordenes!$X$2:$X$840,$C12,Ordenes!$T$2:$T$840,"Válida",Ordenes!$F$2:$F$840,"Cuadrado")/SUMIFS(Ordenes!$Q$2:$Q$840,Ordenes!$W$2:$W$840,$B12,Ordenes!$X$2:$X$840,$C12,Ordenes!$T$2:$T$840,"Válida",Ordenes!$F$2:$F$840,"Cuadrado"),"")</f>
        <v/>
      </c>
      <c r="I12" s="20">
        <f>IFERROR(SUMIFS(Ordenes!$P$2:$P$840,Ordenes!$W$2:$W$840,$B12,Ordenes!$X$2:$X$840,$C12,Ordenes!$T$2:$T$840,"Válida",Ordenes!$F$2:$F$840,"Estrella")/SUMIFS(Ordenes!$Q$2:$Q$840,Ordenes!$W$2:$W$840,$B12,Ordenes!$X$2:$X$840,$C12,Ordenes!$T$2:$T$840,"Válida",Ordenes!$F$2:$F$840,"Estrella"),"")</f>
        <v/>
      </c>
      <c r="J12" s="20">
        <f>IFERROR(SUMIFS(Ordenes!$P$2:$P$840,Ordenes!$W$2:$W$840,$B12,Ordenes!$X$2:$X$840,$C12,Ordenes!$T$2:$T$840,"Válida",Ordenes!$F$2:$F$840,"Saferock")/SUMIFS(Ordenes!$Q$2:$Q$840,Ordenes!$W$2:$W$840,$B12,Ordenes!$X$2:$X$840,$C12,Ordenes!$T$2:$T$840,"Válida",Ordenes!$F$2:$F$840,"Saferock"),"")</f>
        <v/>
      </c>
      <c r="K12" s="20">
        <f>IFERROR(SUMIFS(Ordenes!$P$2:$P$840,Ordenes!$W$2:$W$840,$B12,Ordenes!$X$2:$X$840,$C12,Ordenes!$T$2:$T$840,"Válida",Ordenes!$F$2:$F$840,"Hexágono")/SUMIFS(Ordenes!$Q$2:$Q$840,Ordenes!$W$2:$W$840,$B12,Ordenes!$X$2:$X$840,$C12,Ordenes!$T$2:$T$840,"Válida",Ordenes!$F$2:$F$840,"Hexágono"),"")</f>
        <v/>
      </c>
      <c r="L12" s="24">
        <f>IFERROR(SUMIFS(Ordenes!$P$2:$P$840,Ordenes!$W$2:$W$840,$B12,Ordenes!$X$2:$X$840,$C12,Ordenes!$T$2:$T$840,"Válida",Ordenes!$F$2:$F$840,"*")/SUMIFS(Ordenes!$Q$2:$Q$840,Ordenes!$W$2:$W$840,$B12,Ordenes!$X$2:$X$840,$C12,Ordenes!$T$2:$T$840,"Válida",Ordenes!$F$2:$F$840,"*"),"")</f>
        <v/>
      </c>
      <c r="M12" s="20">
        <f>IFERROR(SUMIFS(Ordenes!$V$2:$V$840,Ordenes!$W$2:$W$840,$B12,Ordenes!$X$2:$X$840,$C12,Ordenes!$T$2:$T$840,"Válida")/SUMIFS(Ordenes!$Q$2:$Q$840,Ordenes!$W$2:$W$840,$B12,Ordenes!$X$2:$X$840,$C12,Ordenes!$T$2:$T$840,"Válida"),"")</f>
        <v/>
      </c>
      <c r="N12" s="21">
        <f>IFERROR((L12-M12)*100,"")</f>
        <v/>
      </c>
      <c r="O12" s="19">
        <f>SUMIFS(Ordenes!$P$2:$P$840,Ordenes!$W$2:$W$840,$B12,Ordenes!$X$2:$X$840,$C12,Ordenes!$T$2:$T$840,"Válida")</f>
        <v/>
      </c>
      <c r="P12" s="19">
        <f>SUMIFS(Ordenes!$Q$2:$Q$840,Ordenes!$W$2:$W$840,$B12,Ordenes!$X$2:$X$840,$C12,Ordenes!$T$2:$T$840,"Válida")</f>
        <v/>
      </c>
      <c r="Q12" s="18">
        <f>COUNTIFS(Ordenes!$W$2:$W$840,$B12,Ordenes!$X$2:$X$840,$C12,Ordenes!$T$2:$T$840,"Válida")</f>
        <v/>
      </c>
    </row>
    <row r="13">
      <c r="A13" s="18" t="inlineStr">
        <is>
          <t>S09 2026 (23 feb)</t>
        </is>
      </c>
      <c r="B13" s="18" t="n">
        <v>2026</v>
      </c>
      <c r="C13" s="18" t="n">
        <v>9</v>
      </c>
      <c r="D13" s="20">
        <f>IFERROR(SUMIFS(Ordenes!$P$2:$P$840,Ordenes!$W$2:$W$840,$B13,Ordenes!$X$2:$X$840,$C13,Ordenes!$T$2:$T$840,"Válida",Ordenes!$F$2:$F$840,"B Hormigón")/SUMIFS(Ordenes!$Q$2:$Q$840,Ordenes!$W$2:$W$840,$B13,Ordenes!$X$2:$X$840,$C13,Ordenes!$T$2:$T$840,"Válida",Ordenes!$F$2:$F$840,"B Hormigón"),"")</f>
        <v/>
      </c>
      <c r="E13" s="20">
        <f>IFERROR(SUMIFS(Ordenes!$P$2:$P$840,Ordenes!$W$2:$W$840,$B13,Ordenes!$X$2:$X$840,$C13,Ordenes!$T$2:$T$840,"Válida",Ordenes!$F$2:$F$840,"Redondo liso")/SUMIFS(Ordenes!$Q$2:$Q$840,Ordenes!$W$2:$W$840,$B13,Ordenes!$X$2:$X$840,$C13,Ordenes!$T$2:$T$840,"Válida",Ordenes!$F$2:$F$840,"Redondo liso"),"")</f>
        <v/>
      </c>
      <c r="F13" s="20">
        <f>IFERROR(SUMIFS(Ordenes!$P$2:$P$840,Ordenes!$W$2:$W$840,$B13,Ordenes!$X$2:$X$840,$C13,Ordenes!$T$2:$T$840,"Válida",Ordenes!$F$2:$F$840,"Plana")/SUMIFS(Ordenes!$Q$2:$Q$840,Ordenes!$W$2:$W$840,$B13,Ordenes!$X$2:$X$840,$C13,Ordenes!$T$2:$T$840,"Válida",Ordenes!$F$2:$F$840,"Plana"),"")</f>
        <v/>
      </c>
      <c r="G13" s="20">
        <f>IFERROR(SUMIFS(Ordenes!$P$2:$P$840,Ordenes!$W$2:$W$840,$B13,Ordenes!$X$2:$X$840,$C13,Ordenes!$T$2:$T$840,"Válida",Ordenes!$F$2:$F$840,"Ángulo")/SUMIFS(Ordenes!$Q$2:$Q$840,Ordenes!$W$2:$W$840,$B13,Ordenes!$X$2:$X$840,$C13,Ordenes!$T$2:$T$840,"Válida",Ordenes!$F$2:$F$840,"Ángulo"),"")</f>
        <v/>
      </c>
      <c r="H13" s="20">
        <f>IFERROR(SUMIFS(Ordenes!$P$2:$P$840,Ordenes!$W$2:$W$840,$B13,Ordenes!$X$2:$X$840,$C13,Ordenes!$T$2:$T$840,"Válida",Ordenes!$F$2:$F$840,"Cuadrado")/SUMIFS(Ordenes!$Q$2:$Q$840,Ordenes!$W$2:$W$840,$B13,Ordenes!$X$2:$X$840,$C13,Ordenes!$T$2:$T$840,"Válida",Ordenes!$F$2:$F$840,"Cuadrado"),"")</f>
        <v/>
      </c>
      <c r="I13" s="20">
        <f>IFERROR(SUMIFS(Ordenes!$P$2:$P$840,Ordenes!$W$2:$W$840,$B13,Ordenes!$X$2:$X$840,$C13,Ordenes!$T$2:$T$840,"Válida",Ordenes!$F$2:$F$840,"Estrella")/SUMIFS(Ordenes!$Q$2:$Q$840,Ordenes!$W$2:$W$840,$B13,Ordenes!$X$2:$X$840,$C13,Ordenes!$T$2:$T$840,"Válida",Ordenes!$F$2:$F$840,"Estrella"),"")</f>
        <v/>
      </c>
      <c r="J13" s="20">
        <f>IFERROR(SUMIFS(Ordenes!$P$2:$P$840,Ordenes!$W$2:$W$840,$B13,Ordenes!$X$2:$X$840,$C13,Ordenes!$T$2:$T$840,"Válida",Ordenes!$F$2:$F$840,"Saferock")/SUMIFS(Ordenes!$Q$2:$Q$840,Ordenes!$W$2:$W$840,$B13,Ordenes!$X$2:$X$840,$C13,Ordenes!$T$2:$T$840,"Válida",Ordenes!$F$2:$F$840,"Saferock"),"")</f>
        <v/>
      </c>
      <c r="K13" s="20">
        <f>IFERROR(SUMIFS(Ordenes!$P$2:$P$840,Ordenes!$W$2:$W$840,$B13,Ordenes!$X$2:$X$840,$C13,Ordenes!$T$2:$T$840,"Válida",Ordenes!$F$2:$F$840,"Hexágono")/SUMIFS(Ordenes!$Q$2:$Q$840,Ordenes!$W$2:$W$840,$B13,Ordenes!$X$2:$X$840,$C13,Ordenes!$T$2:$T$840,"Válida",Ordenes!$F$2:$F$840,"Hexágono"),"")</f>
        <v/>
      </c>
      <c r="L13" s="24">
        <f>IFERROR(SUMIFS(Ordenes!$P$2:$P$840,Ordenes!$W$2:$W$840,$B13,Ordenes!$X$2:$X$840,$C13,Ordenes!$T$2:$T$840,"Válida",Ordenes!$F$2:$F$840,"*")/SUMIFS(Ordenes!$Q$2:$Q$840,Ordenes!$W$2:$W$840,$B13,Ordenes!$X$2:$X$840,$C13,Ordenes!$T$2:$T$840,"Válida",Ordenes!$F$2:$F$840,"*"),"")</f>
        <v/>
      </c>
      <c r="M13" s="20">
        <f>IFERROR(SUMIFS(Ordenes!$V$2:$V$840,Ordenes!$W$2:$W$840,$B13,Ordenes!$X$2:$X$840,$C13,Ordenes!$T$2:$T$840,"Válida")/SUMIFS(Ordenes!$Q$2:$Q$840,Ordenes!$W$2:$W$840,$B13,Ordenes!$X$2:$X$840,$C13,Ordenes!$T$2:$T$840,"Válida"),"")</f>
        <v/>
      </c>
      <c r="N13" s="21">
        <f>IFERROR((L13-M13)*100,"")</f>
        <v/>
      </c>
      <c r="O13" s="19">
        <f>SUMIFS(Ordenes!$P$2:$P$840,Ordenes!$W$2:$W$840,$B13,Ordenes!$X$2:$X$840,$C13,Ordenes!$T$2:$T$840,"Válida")</f>
        <v/>
      </c>
      <c r="P13" s="19">
        <f>SUMIFS(Ordenes!$Q$2:$Q$840,Ordenes!$W$2:$W$840,$B13,Ordenes!$X$2:$X$840,$C13,Ordenes!$T$2:$T$840,"Válida")</f>
        <v/>
      </c>
      <c r="Q13" s="18">
        <f>COUNTIFS(Ordenes!$W$2:$W$840,$B13,Ordenes!$X$2:$X$840,$C13,Ordenes!$T$2:$T$840,"Válida")</f>
        <v/>
      </c>
    </row>
    <row r="14">
      <c r="A14" s="18" t="inlineStr">
        <is>
          <t>S10 2026 (2 mar)</t>
        </is>
      </c>
      <c r="B14" s="18" t="n">
        <v>2026</v>
      </c>
      <c r="C14" s="18" t="n">
        <v>10</v>
      </c>
      <c r="D14" s="20">
        <f>IFERROR(SUMIFS(Ordenes!$P$2:$P$840,Ordenes!$W$2:$W$840,$B14,Ordenes!$X$2:$X$840,$C14,Ordenes!$T$2:$T$840,"Válida",Ordenes!$F$2:$F$840,"B Hormigón")/SUMIFS(Ordenes!$Q$2:$Q$840,Ordenes!$W$2:$W$840,$B14,Ordenes!$X$2:$X$840,$C14,Ordenes!$T$2:$T$840,"Válida",Ordenes!$F$2:$F$840,"B Hormigón"),"")</f>
        <v/>
      </c>
      <c r="E14" s="20">
        <f>IFERROR(SUMIFS(Ordenes!$P$2:$P$840,Ordenes!$W$2:$W$840,$B14,Ordenes!$X$2:$X$840,$C14,Ordenes!$T$2:$T$840,"Válida",Ordenes!$F$2:$F$840,"Redondo liso")/SUMIFS(Ordenes!$Q$2:$Q$840,Ordenes!$W$2:$W$840,$B14,Ordenes!$X$2:$X$840,$C14,Ordenes!$T$2:$T$840,"Válida",Ordenes!$F$2:$F$840,"Redondo liso"),"")</f>
        <v/>
      </c>
      <c r="F14" s="20">
        <f>IFERROR(SUMIFS(Ordenes!$P$2:$P$840,Ordenes!$W$2:$W$840,$B14,Ordenes!$X$2:$X$840,$C14,Ordenes!$T$2:$T$840,"Válida",Ordenes!$F$2:$F$840,"Plana")/SUMIFS(Ordenes!$Q$2:$Q$840,Ordenes!$W$2:$W$840,$B14,Ordenes!$X$2:$X$840,$C14,Ordenes!$T$2:$T$840,"Válida",Ordenes!$F$2:$F$840,"Plana"),"")</f>
        <v/>
      </c>
      <c r="G14" s="20">
        <f>IFERROR(SUMIFS(Ordenes!$P$2:$P$840,Ordenes!$W$2:$W$840,$B14,Ordenes!$X$2:$X$840,$C14,Ordenes!$T$2:$T$840,"Válida",Ordenes!$F$2:$F$840,"Ángulo")/SUMIFS(Ordenes!$Q$2:$Q$840,Ordenes!$W$2:$W$840,$B14,Ordenes!$X$2:$X$840,$C14,Ordenes!$T$2:$T$840,"Válida",Ordenes!$F$2:$F$840,"Ángulo"),"")</f>
        <v/>
      </c>
      <c r="H14" s="20">
        <f>IFERROR(SUMIFS(Ordenes!$P$2:$P$840,Ordenes!$W$2:$W$840,$B14,Ordenes!$X$2:$X$840,$C14,Ordenes!$T$2:$T$840,"Válida",Ordenes!$F$2:$F$840,"Cuadrado")/SUMIFS(Ordenes!$Q$2:$Q$840,Ordenes!$W$2:$W$840,$B14,Ordenes!$X$2:$X$840,$C14,Ordenes!$T$2:$T$840,"Válida",Ordenes!$F$2:$F$840,"Cuadrado"),"")</f>
        <v/>
      </c>
      <c r="I14" s="20">
        <f>IFERROR(SUMIFS(Ordenes!$P$2:$P$840,Ordenes!$W$2:$W$840,$B14,Ordenes!$X$2:$X$840,$C14,Ordenes!$T$2:$T$840,"Válida",Ordenes!$F$2:$F$840,"Estrella")/SUMIFS(Ordenes!$Q$2:$Q$840,Ordenes!$W$2:$W$840,$B14,Ordenes!$X$2:$X$840,$C14,Ordenes!$T$2:$T$840,"Válida",Ordenes!$F$2:$F$840,"Estrella"),"")</f>
        <v/>
      </c>
      <c r="J14" s="20">
        <f>IFERROR(SUMIFS(Ordenes!$P$2:$P$840,Ordenes!$W$2:$W$840,$B14,Ordenes!$X$2:$X$840,$C14,Ordenes!$T$2:$T$840,"Válida",Ordenes!$F$2:$F$840,"Saferock")/SUMIFS(Ordenes!$Q$2:$Q$840,Ordenes!$W$2:$W$840,$B14,Ordenes!$X$2:$X$840,$C14,Ordenes!$T$2:$T$840,"Válida",Ordenes!$F$2:$F$840,"Saferock"),"")</f>
        <v/>
      </c>
      <c r="K14" s="20">
        <f>IFERROR(SUMIFS(Ordenes!$P$2:$P$840,Ordenes!$W$2:$W$840,$B14,Ordenes!$X$2:$X$840,$C14,Ordenes!$T$2:$T$840,"Válida",Ordenes!$F$2:$F$840,"Hexágono")/SUMIFS(Ordenes!$Q$2:$Q$840,Ordenes!$W$2:$W$840,$B14,Ordenes!$X$2:$X$840,$C14,Ordenes!$T$2:$T$840,"Válida",Ordenes!$F$2:$F$840,"Hexágono"),"")</f>
        <v/>
      </c>
      <c r="L14" s="24">
        <f>IFERROR(SUMIFS(Ordenes!$P$2:$P$840,Ordenes!$W$2:$W$840,$B14,Ordenes!$X$2:$X$840,$C14,Ordenes!$T$2:$T$840,"Válida",Ordenes!$F$2:$F$840,"*")/SUMIFS(Ordenes!$Q$2:$Q$840,Ordenes!$W$2:$W$840,$B14,Ordenes!$X$2:$X$840,$C14,Ordenes!$T$2:$T$840,"Válida",Ordenes!$F$2:$F$840,"*"),"")</f>
        <v/>
      </c>
      <c r="M14" s="20">
        <f>IFERROR(SUMIFS(Ordenes!$V$2:$V$840,Ordenes!$W$2:$W$840,$B14,Ordenes!$X$2:$X$840,$C14,Ordenes!$T$2:$T$840,"Válida")/SUMIFS(Ordenes!$Q$2:$Q$840,Ordenes!$W$2:$W$840,$B14,Ordenes!$X$2:$X$840,$C14,Ordenes!$T$2:$T$840,"Válida"),"")</f>
        <v/>
      </c>
      <c r="N14" s="21">
        <f>IFERROR((L14-M14)*100,"")</f>
        <v/>
      </c>
      <c r="O14" s="19">
        <f>SUMIFS(Ordenes!$P$2:$P$840,Ordenes!$W$2:$W$840,$B14,Ordenes!$X$2:$X$840,$C14,Ordenes!$T$2:$T$840,"Válida")</f>
        <v/>
      </c>
      <c r="P14" s="19">
        <f>SUMIFS(Ordenes!$Q$2:$Q$840,Ordenes!$W$2:$W$840,$B14,Ordenes!$X$2:$X$840,$C14,Ordenes!$T$2:$T$840,"Válida")</f>
        <v/>
      </c>
      <c r="Q14" s="18">
        <f>COUNTIFS(Ordenes!$W$2:$W$840,$B14,Ordenes!$X$2:$X$840,$C14,Ordenes!$T$2:$T$840,"Válida")</f>
        <v/>
      </c>
    </row>
    <row r="15">
      <c r="A15" s="18" t="inlineStr">
        <is>
          <t>S11 2026 (9 mar)</t>
        </is>
      </c>
      <c r="B15" s="18" t="n">
        <v>2026</v>
      </c>
      <c r="C15" s="18" t="n">
        <v>11</v>
      </c>
      <c r="D15" s="20">
        <f>IFERROR(SUMIFS(Ordenes!$P$2:$P$840,Ordenes!$W$2:$W$840,$B15,Ordenes!$X$2:$X$840,$C15,Ordenes!$T$2:$T$840,"Válida",Ordenes!$F$2:$F$840,"B Hormigón")/SUMIFS(Ordenes!$Q$2:$Q$840,Ordenes!$W$2:$W$840,$B15,Ordenes!$X$2:$X$840,$C15,Ordenes!$T$2:$T$840,"Válida",Ordenes!$F$2:$F$840,"B Hormigón"),"")</f>
        <v/>
      </c>
      <c r="E15" s="20">
        <f>IFERROR(SUMIFS(Ordenes!$P$2:$P$840,Ordenes!$W$2:$W$840,$B15,Ordenes!$X$2:$X$840,$C15,Ordenes!$T$2:$T$840,"Válida",Ordenes!$F$2:$F$840,"Redondo liso")/SUMIFS(Ordenes!$Q$2:$Q$840,Ordenes!$W$2:$W$840,$B15,Ordenes!$X$2:$X$840,$C15,Ordenes!$T$2:$T$840,"Válida",Ordenes!$F$2:$F$840,"Redondo liso"),"")</f>
        <v/>
      </c>
      <c r="F15" s="20">
        <f>IFERROR(SUMIFS(Ordenes!$P$2:$P$840,Ordenes!$W$2:$W$840,$B15,Ordenes!$X$2:$X$840,$C15,Ordenes!$T$2:$T$840,"Válida",Ordenes!$F$2:$F$840,"Plana")/SUMIFS(Ordenes!$Q$2:$Q$840,Ordenes!$W$2:$W$840,$B15,Ordenes!$X$2:$X$840,$C15,Ordenes!$T$2:$T$840,"Válida",Ordenes!$F$2:$F$840,"Plana"),"")</f>
        <v/>
      </c>
      <c r="G15" s="20">
        <f>IFERROR(SUMIFS(Ordenes!$P$2:$P$840,Ordenes!$W$2:$W$840,$B15,Ordenes!$X$2:$X$840,$C15,Ordenes!$T$2:$T$840,"Válida",Ordenes!$F$2:$F$840,"Ángulo")/SUMIFS(Ordenes!$Q$2:$Q$840,Ordenes!$W$2:$W$840,$B15,Ordenes!$X$2:$X$840,$C15,Ordenes!$T$2:$T$840,"Válida",Ordenes!$F$2:$F$840,"Ángulo"),"")</f>
        <v/>
      </c>
      <c r="H15" s="20">
        <f>IFERROR(SUMIFS(Ordenes!$P$2:$P$840,Ordenes!$W$2:$W$840,$B15,Ordenes!$X$2:$X$840,$C15,Ordenes!$T$2:$T$840,"Válida",Ordenes!$F$2:$F$840,"Cuadrado")/SUMIFS(Ordenes!$Q$2:$Q$840,Ordenes!$W$2:$W$840,$B15,Ordenes!$X$2:$X$840,$C15,Ordenes!$T$2:$T$840,"Válida",Ordenes!$F$2:$F$840,"Cuadrado"),"")</f>
        <v/>
      </c>
      <c r="I15" s="20">
        <f>IFERROR(SUMIFS(Ordenes!$P$2:$P$840,Ordenes!$W$2:$W$840,$B15,Ordenes!$X$2:$X$840,$C15,Ordenes!$T$2:$T$840,"Válida",Ordenes!$F$2:$F$840,"Estrella")/SUMIFS(Ordenes!$Q$2:$Q$840,Ordenes!$W$2:$W$840,$B15,Ordenes!$X$2:$X$840,$C15,Ordenes!$T$2:$T$840,"Válida",Ordenes!$F$2:$F$840,"Estrella"),"")</f>
        <v/>
      </c>
      <c r="J15" s="20">
        <f>IFERROR(SUMIFS(Ordenes!$P$2:$P$840,Ordenes!$W$2:$W$840,$B15,Ordenes!$X$2:$X$840,$C15,Ordenes!$T$2:$T$840,"Válida",Ordenes!$F$2:$F$840,"Saferock")/SUMIFS(Ordenes!$Q$2:$Q$840,Ordenes!$W$2:$W$840,$B15,Ordenes!$X$2:$X$840,$C15,Ordenes!$T$2:$T$840,"Válida",Ordenes!$F$2:$F$840,"Saferock"),"")</f>
        <v/>
      </c>
      <c r="K15" s="20">
        <f>IFERROR(SUMIFS(Ordenes!$P$2:$P$840,Ordenes!$W$2:$W$840,$B15,Ordenes!$X$2:$X$840,$C15,Ordenes!$T$2:$T$840,"Válida",Ordenes!$F$2:$F$840,"Hexágono")/SUMIFS(Ordenes!$Q$2:$Q$840,Ordenes!$W$2:$W$840,$B15,Ordenes!$X$2:$X$840,$C15,Ordenes!$T$2:$T$840,"Válida",Ordenes!$F$2:$F$840,"Hexágono"),"")</f>
        <v/>
      </c>
      <c r="L15" s="24">
        <f>IFERROR(SUMIFS(Ordenes!$P$2:$P$840,Ordenes!$W$2:$W$840,$B15,Ordenes!$X$2:$X$840,$C15,Ordenes!$T$2:$T$840,"Válida",Ordenes!$F$2:$F$840,"*")/SUMIFS(Ordenes!$Q$2:$Q$840,Ordenes!$W$2:$W$840,$B15,Ordenes!$X$2:$X$840,$C15,Ordenes!$T$2:$T$840,"Válida",Ordenes!$F$2:$F$840,"*"),"")</f>
        <v/>
      </c>
      <c r="M15" s="20">
        <f>IFERROR(SUMIFS(Ordenes!$V$2:$V$840,Ordenes!$W$2:$W$840,$B15,Ordenes!$X$2:$X$840,$C15,Ordenes!$T$2:$T$840,"Válida")/SUMIFS(Ordenes!$Q$2:$Q$840,Ordenes!$W$2:$W$840,$B15,Ordenes!$X$2:$X$840,$C15,Ordenes!$T$2:$T$840,"Válida"),"")</f>
        <v/>
      </c>
      <c r="N15" s="21">
        <f>IFERROR((L15-M15)*100,"")</f>
        <v/>
      </c>
      <c r="O15" s="19">
        <f>SUMIFS(Ordenes!$P$2:$P$840,Ordenes!$W$2:$W$840,$B15,Ordenes!$X$2:$X$840,$C15,Ordenes!$T$2:$T$840,"Válida")</f>
        <v/>
      </c>
      <c r="P15" s="19">
        <f>SUMIFS(Ordenes!$Q$2:$Q$840,Ordenes!$W$2:$W$840,$B15,Ordenes!$X$2:$X$840,$C15,Ordenes!$T$2:$T$840,"Válida")</f>
        <v/>
      </c>
      <c r="Q15" s="18">
        <f>COUNTIFS(Ordenes!$W$2:$W$840,$B15,Ordenes!$X$2:$X$840,$C15,Ordenes!$T$2:$T$840,"Válida")</f>
        <v/>
      </c>
    </row>
    <row r="16">
      <c r="A16" s="18" t="inlineStr">
        <is>
          <t>S12 2026 (16 mar)</t>
        </is>
      </c>
      <c r="B16" s="18" t="n">
        <v>2026</v>
      </c>
      <c r="C16" s="18" t="n">
        <v>12</v>
      </c>
      <c r="D16" s="20">
        <f>IFERROR(SUMIFS(Ordenes!$P$2:$P$840,Ordenes!$W$2:$W$840,$B16,Ordenes!$X$2:$X$840,$C16,Ordenes!$T$2:$T$840,"Válida",Ordenes!$F$2:$F$840,"B Hormigón")/SUMIFS(Ordenes!$Q$2:$Q$840,Ordenes!$W$2:$W$840,$B16,Ordenes!$X$2:$X$840,$C16,Ordenes!$T$2:$T$840,"Válida",Ordenes!$F$2:$F$840,"B Hormigón"),"")</f>
        <v/>
      </c>
      <c r="E16" s="20">
        <f>IFERROR(SUMIFS(Ordenes!$P$2:$P$840,Ordenes!$W$2:$W$840,$B16,Ordenes!$X$2:$X$840,$C16,Ordenes!$T$2:$T$840,"Válida",Ordenes!$F$2:$F$840,"Redondo liso")/SUMIFS(Ordenes!$Q$2:$Q$840,Ordenes!$W$2:$W$840,$B16,Ordenes!$X$2:$X$840,$C16,Ordenes!$T$2:$T$840,"Válida",Ordenes!$F$2:$F$840,"Redondo liso"),"")</f>
        <v/>
      </c>
      <c r="F16" s="20">
        <f>IFERROR(SUMIFS(Ordenes!$P$2:$P$840,Ordenes!$W$2:$W$840,$B16,Ordenes!$X$2:$X$840,$C16,Ordenes!$T$2:$T$840,"Válida",Ordenes!$F$2:$F$840,"Plana")/SUMIFS(Ordenes!$Q$2:$Q$840,Ordenes!$W$2:$W$840,$B16,Ordenes!$X$2:$X$840,$C16,Ordenes!$T$2:$T$840,"Válida",Ordenes!$F$2:$F$840,"Plana"),"")</f>
        <v/>
      </c>
      <c r="G16" s="20">
        <f>IFERROR(SUMIFS(Ordenes!$P$2:$P$840,Ordenes!$W$2:$W$840,$B16,Ordenes!$X$2:$X$840,$C16,Ordenes!$T$2:$T$840,"Válida",Ordenes!$F$2:$F$840,"Ángulo")/SUMIFS(Ordenes!$Q$2:$Q$840,Ordenes!$W$2:$W$840,$B16,Ordenes!$X$2:$X$840,$C16,Ordenes!$T$2:$T$840,"Válida",Ordenes!$F$2:$F$840,"Ángulo"),"")</f>
        <v/>
      </c>
      <c r="H16" s="20">
        <f>IFERROR(SUMIFS(Ordenes!$P$2:$P$840,Ordenes!$W$2:$W$840,$B16,Ordenes!$X$2:$X$840,$C16,Ordenes!$T$2:$T$840,"Válida",Ordenes!$F$2:$F$840,"Cuadrado")/SUMIFS(Ordenes!$Q$2:$Q$840,Ordenes!$W$2:$W$840,$B16,Ordenes!$X$2:$X$840,$C16,Ordenes!$T$2:$T$840,"Válida",Ordenes!$F$2:$F$840,"Cuadrado"),"")</f>
        <v/>
      </c>
      <c r="I16" s="20">
        <f>IFERROR(SUMIFS(Ordenes!$P$2:$P$840,Ordenes!$W$2:$W$840,$B16,Ordenes!$X$2:$X$840,$C16,Ordenes!$T$2:$T$840,"Válida",Ordenes!$F$2:$F$840,"Estrella")/SUMIFS(Ordenes!$Q$2:$Q$840,Ordenes!$W$2:$W$840,$B16,Ordenes!$X$2:$X$840,$C16,Ordenes!$T$2:$T$840,"Válida",Ordenes!$F$2:$F$840,"Estrella"),"")</f>
        <v/>
      </c>
      <c r="J16" s="20">
        <f>IFERROR(SUMIFS(Ordenes!$P$2:$P$840,Ordenes!$W$2:$W$840,$B16,Ordenes!$X$2:$X$840,$C16,Ordenes!$T$2:$T$840,"Válida",Ordenes!$F$2:$F$840,"Saferock")/SUMIFS(Ordenes!$Q$2:$Q$840,Ordenes!$W$2:$W$840,$B16,Ordenes!$X$2:$X$840,$C16,Ordenes!$T$2:$T$840,"Válida",Ordenes!$F$2:$F$840,"Saferock"),"")</f>
        <v/>
      </c>
      <c r="K16" s="20">
        <f>IFERROR(SUMIFS(Ordenes!$P$2:$P$840,Ordenes!$W$2:$W$840,$B16,Ordenes!$X$2:$X$840,$C16,Ordenes!$T$2:$T$840,"Válida",Ordenes!$F$2:$F$840,"Hexágono")/SUMIFS(Ordenes!$Q$2:$Q$840,Ordenes!$W$2:$W$840,$B16,Ordenes!$X$2:$X$840,$C16,Ordenes!$T$2:$T$840,"Válida",Ordenes!$F$2:$F$840,"Hexágono"),"")</f>
        <v/>
      </c>
      <c r="L16" s="24">
        <f>IFERROR(SUMIFS(Ordenes!$P$2:$P$840,Ordenes!$W$2:$W$840,$B16,Ordenes!$X$2:$X$840,$C16,Ordenes!$T$2:$T$840,"Válida",Ordenes!$F$2:$F$840,"*")/SUMIFS(Ordenes!$Q$2:$Q$840,Ordenes!$W$2:$W$840,$B16,Ordenes!$X$2:$X$840,$C16,Ordenes!$T$2:$T$840,"Válida",Ordenes!$F$2:$F$840,"*"),"")</f>
        <v/>
      </c>
      <c r="M16" s="20">
        <f>IFERROR(SUMIFS(Ordenes!$V$2:$V$840,Ordenes!$W$2:$W$840,$B16,Ordenes!$X$2:$X$840,$C16,Ordenes!$T$2:$T$840,"Válida")/SUMIFS(Ordenes!$Q$2:$Q$840,Ordenes!$W$2:$W$840,$B16,Ordenes!$X$2:$X$840,$C16,Ordenes!$T$2:$T$840,"Válida"),"")</f>
        <v/>
      </c>
      <c r="N16" s="21">
        <f>IFERROR((L16-M16)*100,"")</f>
        <v/>
      </c>
      <c r="O16" s="19">
        <f>SUMIFS(Ordenes!$P$2:$P$840,Ordenes!$W$2:$W$840,$B16,Ordenes!$X$2:$X$840,$C16,Ordenes!$T$2:$T$840,"Válida")</f>
        <v/>
      </c>
      <c r="P16" s="19">
        <f>SUMIFS(Ordenes!$Q$2:$Q$840,Ordenes!$W$2:$W$840,$B16,Ordenes!$X$2:$X$840,$C16,Ordenes!$T$2:$T$840,"Válida")</f>
        <v/>
      </c>
      <c r="Q16" s="18">
        <f>COUNTIFS(Ordenes!$W$2:$W$840,$B16,Ordenes!$X$2:$X$840,$C16,Ordenes!$T$2:$T$840,"Válida")</f>
        <v/>
      </c>
    </row>
    <row r="17">
      <c r="A17" s="18" t="inlineStr">
        <is>
          <t>S13 2026 (23 mar)</t>
        </is>
      </c>
      <c r="B17" s="18" t="n">
        <v>2026</v>
      </c>
      <c r="C17" s="18" t="n">
        <v>13</v>
      </c>
      <c r="D17" s="20">
        <f>IFERROR(SUMIFS(Ordenes!$P$2:$P$840,Ordenes!$W$2:$W$840,$B17,Ordenes!$X$2:$X$840,$C17,Ordenes!$T$2:$T$840,"Válida",Ordenes!$F$2:$F$840,"B Hormigón")/SUMIFS(Ordenes!$Q$2:$Q$840,Ordenes!$W$2:$W$840,$B17,Ordenes!$X$2:$X$840,$C17,Ordenes!$T$2:$T$840,"Válida",Ordenes!$F$2:$F$840,"B Hormigón"),"")</f>
        <v/>
      </c>
      <c r="E17" s="20">
        <f>IFERROR(SUMIFS(Ordenes!$P$2:$P$840,Ordenes!$W$2:$W$840,$B17,Ordenes!$X$2:$X$840,$C17,Ordenes!$T$2:$T$840,"Válida",Ordenes!$F$2:$F$840,"Redondo liso")/SUMIFS(Ordenes!$Q$2:$Q$840,Ordenes!$W$2:$W$840,$B17,Ordenes!$X$2:$X$840,$C17,Ordenes!$T$2:$T$840,"Válida",Ordenes!$F$2:$F$840,"Redondo liso"),"")</f>
        <v/>
      </c>
      <c r="F17" s="20">
        <f>IFERROR(SUMIFS(Ordenes!$P$2:$P$840,Ordenes!$W$2:$W$840,$B17,Ordenes!$X$2:$X$840,$C17,Ordenes!$T$2:$T$840,"Válida",Ordenes!$F$2:$F$840,"Plana")/SUMIFS(Ordenes!$Q$2:$Q$840,Ordenes!$W$2:$W$840,$B17,Ordenes!$X$2:$X$840,$C17,Ordenes!$T$2:$T$840,"Válida",Ordenes!$F$2:$F$840,"Plana"),"")</f>
        <v/>
      </c>
      <c r="G17" s="20">
        <f>IFERROR(SUMIFS(Ordenes!$P$2:$P$840,Ordenes!$W$2:$W$840,$B17,Ordenes!$X$2:$X$840,$C17,Ordenes!$T$2:$T$840,"Válida",Ordenes!$F$2:$F$840,"Ángulo")/SUMIFS(Ordenes!$Q$2:$Q$840,Ordenes!$W$2:$W$840,$B17,Ordenes!$X$2:$X$840,$C17,Ordenes!$T$2:$T$840,"Válida",Ordenes!$F$2:$F$840,"Ángulo"),"")</f>
        <v/>
      </c>
      <c r="H17" s="20">
        <f>IFERROR(SUMIFS(Ordenes!$P$2:$P$840,Ordenes!$W$2:$W$840,$B17,Ordenes!$X$2:$X$840,$C17,Ordenes!$T$2:$T$840,"Válida",Ordenes!$F$2:$F$840,"Cuadrado")/SUMIFS(Ordenes!$Q$2:$Q$840,Ordenes!$W$2:$W$840,$B17,Ordenes!$X$2:$X$840,$C17,Ordenes!$T$2:$T$840,"Válida",Ordenes!$F$2:$F$840,"Cuadrado"),"")</f>
        <v/>
      </c>
      <c r="I17" s="20">
        <f>IFERROR(SUMIFS(Ordenes!$P$2:$P$840,Ordenes!$W$2:$W$840,$B17,Ordenes!$X$2:$X$840,$C17,Ordenes!$T$2:$T$840,"Válida",Ordenes!$F$2:$F$840,"Estrella")/SUMIFS(Ordenes!$Q$2:$Q$840,Ordenes!$W$2:$W$840,$B17,Ordenes!$X$2:$X$840,$C17,Ordenes!$T$2:$T$840,"Válida",Ordenes!$F$2:$F$840,"Estrella"),"")</f>
        <v/>
      </c>
      <c r="J17" s="20">
        <f>IFERROR(SUMIFS(Ordenes!$P$2:$P$840,Ordenes!$W$2:$W$840,$B17,Ordenes!$X$2:$X$840,$C17,Ordenes!$T$2:$T$840,"Válida",Ordenes!$F$2:$F$840,"Saferock")/SUMIFS(Ordenes!$Q$2:$Q$840,Ordenes!$W$2:$W$840,$B17,Ordenes!$X$2:$X$840,$C17,Ordenes!$T$2:$T$840,"Válida",Ordenes!$F$2:$F$840,"Saferock"),"")</f>
        <v/>
      </c>
      <c r="K17" s="20">
        <f>IFERROR(SUMIFS(Ordenes!$P$2:$P$840,Ordenes!$W$2:$W$840,$B17,Ordenes!$X$2:$X$840,$C17,Ordenes!$T$2:$T$840,"Válida",Ordenes!$F$2:$F$840,"Hexágono")/SUMIFS(Ordenes!$Q$2:$Q$840,Ordenes!$W$2:$W$840,$B17,Ordenes!$X$2:$X$840,$C17,Ordenes!$T$2:$T$840,"Válida",Ordenes!$F$2:$F$840,"Hexágono"),"")</f>
        <v/>
      </c>
      <c r="L17" s="24">
        <f>IFERROR(SUMIFS(Ordenes!$P$2:$P$840,Ordenes!$W$2:$W$840,$B17,Ordenes!$X$2:$X$840,$C17,Ordenes!$T$2:$T$840,"Válida",Ordenes!$F$2:$F$840,"*")/SUMIFS(Ordenes!$Q$2:$Q$840,Ordenes!$W$2:$W$840,$B17,Ordenes!$X$2:$X$840,$C17,Ordenes!$T$2:$T$840,"Válida",Ordenes!$F$2:$F$840,"*"),"")</f>
        <v/>
      </c>
      <c r="M17" s="20">
        <f>IFERROR(SUMIFS(Ordenes!$V$2:$V$840,Ordenes!$W$2:$W$840,$B17,Ordenes!$X$2:$X$840,$C17,Ordenes!$T$2:$T$840,"Válida")/SUMIFS(Ordenes!$Q$2:$Q$840,Ordenes!$W$2:$W$840,$B17,Ordenes!$X$2:$X$840,$C17,Ordenes!$T$2:$T$840,"Válida"),"")</f>
        <v/>
      </c>
      <c r="N17" s="21">
        <f>IFERROR((L17-M17)*100,"")</f>
        <v/>
      </c>
      <c r="O17" s="19">
        <f>SUMIFS(Ordenes!$P$2:$P$840,Ordenes!$W$2:$W$840,$B17,Ordenes!$X$2:$X$840,$C17,Ordenes!$T$2:$T$840,"Válida")</f>
        <v/>
      </c>
      <c r="P17" s="19">
        <f>SUMIFS(Ordenes!$Q$2:$Q$840,Ordenes!$W$2:$W$840,$B17,Ordenes!$X$2:$X$840,$C17,Ordenes!$T$2:$T$840,"Válida")</f>
        <v/>
      </c>
      <c r="Q17" s="18">
        <f>COUNTIFS(Ordenes!$W$2:$W$840,$B17,Ordenes!$X$2:$X$840,$C17,Ordenes!$T$2:$T$840,"Válida")</f>
        <v/>
      </c>
    </row>
    <row r="18">
      <c r="A18" s="18" t="inlineStr">
        <is>
          <t>S14 2026 (30 mar)</t>
        </is>
      </c>
      <c r="B18" s="18" t="n">
        <v>2026</v>
      </c>
      <c r="C18" s="18" t="n">
        <v>14</v>
      </c>
      <c r="D18" s="20">
        <f>IFERROR(SUMIFS(Ordenes!$P$2:$P$840,Ordenes!$W$2:$W$840,$B18,Ordenes!$X$2:$X$840,$C18,Ordenes!$T$2:$T$840,"Válida",Ordenes!$F$2:$F$840,"B Hormigón")/SUMIFS(Ordenes!$Q$2:$Q$840,Ordenes!$W$2:$W$840,$B18,Ordenes!$X$2:$X$840,$C18,Ordenes!$T$2:$T$840,"Válida",Ordenes!$F$2:$F$840,"B Hormigón"),"")</f>
        <v/>
      </c>
      <c r="E18" s="20">
        <f>IFERROR(SUMIFS(Ordenes!$P$2:$P$840,Ordenes!$W$2:$W$840,$B18,Ordenes!$X$2:$X$840,$C18,Ordenes!$T$2:$T$840,"Válida",Ordenes!$F$2:$F$840,"Redondo liso")/SUMIFS(Ordenes!$Q$2:$Q$840,Ordenes!$W$2:$W$840,$B18,Ordenes!$X$2:$X$840,$C18,Ordenes!$T$2:$T$840,"Válida",Ordenes!$F$2:$F$840,"Redondo liso"),"")</f>
        <v/>
      </c>
      <c r="F18" s="20">
        <f>IFERROR(SUMIFS(Ordenes!$P$2:$P$840,Ordenes!$W$2:$W$840,$B18,Ordenes!$X$2:$X$840,$C18,Ordenes!$T$2:$T$840,"Válida",Ordenes!$F$2:$F$840,"Plana")/SUMIFS(Ordenes!$Q$2:$Q$840,Ordenes!$W$2:$W$840,$B18,Ordenes!$X$2:$X$840,$C18,Ordenes!$T$2:$T$840,"Válida",Ordenes!$F$2:$F$840,"Plana"),"")</f>
        <v/>
      </c>
      <c r="G18" s="20">
        <f>IFERROR(SUMIFS(Ordenes!$P$2:$P$840,Ordenes!$W$2:$W$840,$B18,Ordenes!$X$2:$X$840,$C18,Ordenes!$T$2:$T$840,"Válida",Ordenes!$F$2:$F$840,"Ángulo")/SUMIFS(Ordenes!$Q$2:$Q$840,Ordenes!$W$2:$W$840,$B18,Ordenes!$X$2:$X$840,$C18,Ordenes!$T$2:$T$840,"Válida",Ordenes!$F$2:$F$840,"Ángulo"),"")</f>
        <v/>
      </c>
      <c r="H18" s="20">
        <f>IFERROR(SUMIFS(Ordenes!$P$2:$P$840,Ordenes!$W$2:$W$840,$B18,Ordenes!$X$2:$X$840,$C18,Ordenes!$T$2:$T$840,"Válida",Ordenes!$F$2:$F$840,"Cuadrado")/SUMIFS(Ordenes!$Q$2:$Q$840,Ordenes!$W$2:$W$840,$B18,Ordenes!$X$2:$X$840,$C18,Ordenes!$T$2:$T$840,"Válida",Ordenes!$F$2:$F$840,"Cuadrado"),"")</f>
        <v/>
      </c>
      <c r="I18" s="20">
        <f>IFERROR(SUMIFS(Ordenes!$P$2:$P$840,Ordenes!$W$2:$W$840,$B18,Ordenes!$X$2:$X$840,$C18,Ordenes!$T$2:$T$840,"Válida",Ordenes!$F$2:$F$840,"Estrella")/SUMIFS(Ordenes!$Q$2:$Q$840,Ordenes!$W$2:$W$840,$B18,Ordenes!$X$2:$X$840,$C18,Ordenes!$T$2:$T$840,"Válida",Ordenes!$F$2:$F$840,"Estrella"),"")</f>
        <v/>
      </c>
      <c r="J18" s="20">
        <f>IFERROR(SUMIFS(Ordenes!$P$2:$P$840,Ordenes!$W$2:$W$840,$B18,Ordenes!$X$2:$X$840,$C18,Ordenes!$T$2:$T$840,"Válida",Ordenes!$F$2:$F$840,"Saferock")/SUMIFS(Ordenes!$Q$2:$Q$840,Ordenes!$W$2:$W$840,$B18,Ordenes!$X$2:$X$840,$C18,Ordenes!$T$2:$T$840,"Válida",Ordenes!$F$2:$F$840,"Saferock"),"")</f>
        <v/>
      </c>
      <c r="K18" s="20">
        <f>IFERROR(SUMIFS(Ordenes!$P$2:$P$840,Ordenes!$W$2:$W$840,$B18,Ordenes!$X$2:$X$840,$C18,Ordenes!$T$2:$T$840,"Válida",Ordenes!$F$2:$F$840,"Hexágono")/SUMIFS(Ordenes!$Q$2:$Q$840,Ordenes!$W$2:$W$840,$B18,Ordenes!$X$2:$X$840,$C18,Ordenes!$T$2:$T$840,"Válida",Ordenes!$F$2:$F$840,"Hexágono"),"")</f>
        <v/>
      </c>
      <c r="L18" s="24">
        <f>IFERROR(SUMIFS(Ordenes!$P$2:$P$840,Ordenes!$W$2:$W$840,$B18,Ordenes!$X$2:$X$840,$C18,Ordenes!$T$2:$T$840,"Válida",Ordenes!$F$2:$F$840,"*")/SUMIFS(Ordenes!$Q$2:$Q$840,Ordenes!$W$2:$W$840,$B18,Ordenes!$X$2:$X$840,$C18,Ordenes!$T$2:$T$840,"Válida",Ordenes!$F$2:$F$840,"*"),"")</f>
        <v/>
      </c>
      <c r="M18" s="20">
        <f>IFERROR(SUMIFS(Ordenes!$V$2:$V$840,Ordenes!$W$2:$W$840,$B18,Ordenes!$X$2:$X$840,$C18,Ordenes!$T$2:$T$840,"Válida")/SUMIFS(Ordenes!$Q$2:$Q$840,Ordenes!$W$2:$W$840,$B18,Ordenes!$X$2:$X$840,$C18,Ordenes!$T$2:$T$840,"Válida"),"")</f>
        <v/>
      </c>
      <c r="N18" s="21">
        <f>IFERROR((L18-M18)*100,"")</f>
        <v/>
      </c>
      <c r="O18" s="19">
        <f>SUMIFS(Ordenes!$P$2:$P$840,Ordenes!$W$2:$W$840,$B18,Ordenes!$X$2:$X$840,$C18,Ordenes!$T$2:$T$840,"Válida")</f>
        <v/>
      </c>
      <c r="P18" s="19">
        <f>SUMIFS(Ordenes!$Q$2:$Q$840,Ordenes!$W$2:$W$840,$B18,Ordenes!$X$2:$X$840,$C18,Ordenes!$T$2:$T$840,"Válida")</f>
        <v/>
      </c>
      <c r="Q18" s="18">
        <f>COUNTIFS(Ordenes!$W$2:$W$840,$B18,Ordenes!$X$2:$X$840,$C18,Ordenes!$T$2:$T$840,"Válida")</f>
        <v/>
      </c>
    </row>
    <row r="19">
      <c r="A19" s="18" t="inlineStr">
        <is>
          <t>S16 2026 (13 abr)</t>
        </is>
      </c>
      <c r="B19" s="18" t="n">
        <v>2026</v>
      </c>
      <c r="C19" s="18" t="n">
        <v>16</v>
      </c>
      <c r="D19" s="20">
        <f>IFERROR(SUMIFS(Ordenes!$P$2:$P$840,Ordenes!$W$2:$W$840,$B19,Ordenes!$X$2:$X$840,$C19,Ordenes!$T$2:$T$840,"Válida",Ordenes!$F$2:$F$840,"B Hormigón")/SUMIFS(Ordenes!$Q$2:$Q$840,Ordenes!$W$2:$W$840,$B19,Ordenes!$X$2:$X$840,$C19,Ordenes!$T$2:$T$840,"Válida",Ordenes!$F$2:$F$840,"B Hormigón"),"")</f>
        <v/>
      </c>
      <c r="E19" s="20">
        <f>IFERROR(SUMIFS(Ordenes!$P$2:$P$840,Ordenes!$W$2:$W$840,$B19,Ordenes!$X$2:$X$840,$C19,Ordenes!$T$2:$T$840,"Válida",Ordenes!$F$2:$F$840,"Redondo liso")/SUMIFS(Ordenes!$Q$2:$Q$840,Ordenes!$W$2:$W$840,$B19,Ordenes!$X$2:$X$840,$C19,Ordenes!$T$2:$T$840,"Válida",Ordenes!$F$2:$F$840,"Redondo liso"),"")</f>
        <v/>
      </c>
      <c r="F19" s="20">
        <f>IFERROR(SUMIFS(Ordenes!$P$2:$P$840,Ordenes!$W$2:$W$840,$B19,Ordenes!$X$2:$X$840,$C19,Ordenes!$T$2:$T$840,"Válida",Ordenes!$F$2:$F$840,"Plana")/SUMIFS(Ordenes!$Q$2:$Q$840,Ordenes!$W$2:$W$840,$B19,Ordenes!$X$2:$X$840,$C19,Ordenes!$T$2:$T$840,"Válida",Ordenes!$F$2:$F$840,"Plana"),"")</f>
        <v/>
      </c>
      <c r="G19" s="20">
        <f>IFERROR(SUMIFS(Ordenes!$P$2:$P$840,Ordenes!$W$2:$W$840,$B19,Ordenes!$X$2:$X$840,$C19,Ordenes!$T$2:$T$840,"Válida",Ordenes!$F$2:$F$840,"Ángulo")/SUMIFS(Ordenes!$Q$2:$Q$840,Ordenes!$W$2:$W$840,$B19,Ordenes!$X$2:$X$840,$C19,Ordenes!$T$2:$T$840,"Válida",Ordenes!$F$2:$F$840,"Ángulo"),"")</f>
        <v/>
      </c>
      <c r="H19" s="20">
        <f>IFERROR(SUMIFS(Ordenes!$P$2:$P$840,Ordenes!$W$2:$W$840,$B19,Ordenes!$X$2:$X$840,$C19,Ordenes!$T$2:$T$840,"Válida",Ordenes!$F$2:$F$840,"Cuadrado")/SUMIFS(Ordenes!$Q$2:$Q$840,Ordenes!$W$2:$W$840,$B19,Ordenes!$X$2:$X$840,$C19,Ordenes!$T$2:$T$840,"Válida",Ordenes!$F$2:$F$840,"Cuadrado"),"")</f>
        <v/>
      </c>
      <c r="I19" s="20">
        <f>IFERROR(SUMIFS(Ordenes!$P$2:$P$840,Ordenes!$W$2:$W$840,$B19,Ordenes!$X$2:$X$840,$C19,Ordenes!$T$2:$T$840,"Válida",Ordenes!$F$2:$F$840,"Estrella")/SUMIFS(Ordenes!$Q$2:$Q$840,Ordenes!$W$2:$W$840,$B19,Ordenes!$X$2:$X$840,$C19,Ordenes!$T$2:$T$840,"Válida",Ordenes!$F$2:$F$840,"Estrella"),"")</f>
        <v/>
      </c>
      <c r="J19" s="20">
        <f>IFERROR(SUMIFS(Ordenes!$P$2:$P$840,Ordenes!$W$2:$W$840,$B19,Ordenes!$X$2:$X$840,$C19,Ordenes!$T$2:$T$840,"Válida",Ordenes!$F$2:$F$840,"Saferock")/SUMIFS(Ordenes!$Q$2:$Q$840,Ordenes!$W$2:$W$840,$B19,Ordenes!$X$2:$X$840,$C19,Ordenes!$T$2:$T$840,"Válida",Ordenes!$F$2:$F$840,"Saferock"),"")</f>
        <v/>
      </c>
      <c r="K19" s="20">
        <f>IFERROR(SUMIFS(Ordenes!$P$2:$P$840,Ordenes!$W$2:$W$840,$B19,Ordenes!$X$2:$X$840,$C19,Ordenes!$T$2:$T$840,"Válida",Ordenes!$F$2:$F$840,"Hexágono")/SUMIFS(Ordenes!$Q$2:$Q$840,Ordenes!$W$2:$W$840,$B19,Ordenes!$X$2:$X$840,$C19,Ordenes!$T$2:$T$840,"Válida",Ordenes!$F$2:$F$840,"Hexágono"),"")</f>
        <v/>
      </c>
      <c r="L19" s="24">
        <f>IFERROR(SUMIFS(Ordenes!$P$2:$P$840,Ordenes!$W$2:$W$840,$B19,Ordenes!$X$2:$X$840,$C19,Ordenes!$T$2:$T$840,"Válida",Ordenes!$F$2:$F$840,"*")/SUMIFS(Ordenes!$Q$2:$Q$840,Ordenes!$W$2:$W$840,$B19,Ordenes!$X$2:$X$840,$C19,Ordenes!$T$2:$T$840,"Válida",Ordenes!$F$2:$F$840,"*"),"")</f>
        <v/>
      </c>
      <c r="M19" s="20">
        <f>IFERROR(SUMIFS(Ordenes!$V$2:$V$840,Ordenes!$W$2:$W$840,$B19,Ordenes!$X$2:$X$840,$C19,Ordenes!$T$2:$T$840,"Válida")/SUMIFS(Ordenes!$Q$2:$Q$840,Ordenes!$W$2:$W$840,$B19,Ordenes!$X$2:$X$840,$C19,Ordenes!$T$2:$T$840,"Válida"),"")</f>
        <v/>
      </c>
      <c r="N19" s="21">
        <f>IFERROR((L19-M19)*100,"")</f>
        <v/>
      </c>
      <c r="O19" s="19">
        <f>SUMIFS(Ordenes!$P$2:$P$840,Ordenes!$W$2:$W$840,$B19,Ordenes!$X$2:$X$840,$C19,Ordenes!$T$2:$T$840,"Válida")</f>
        <v/>
      </c>
      <c r="P19" s="19">
        <f>SUMIFS(Ordenes!$Q$2:$Q$840,Ordenes!$W$2:$W$840,$B19,Ordenes!$X$2:$X$840,$C19,Ordenes!$T$2:$T$840,"Válida")</f>
        <v/>
      </c>
      <c r="Q19" s="18">
        <f>COUNTIFS(Ordenes!$W$2:$W$840,$B19,Ordenes!$X$2:$X$840,$C19,Ordenes!$T$2:$T$840,"Válida")</f>
        <v/>
      </c>
    </row>
    <row r="20">
      <c r="A20" s="18" t="inlineStr">
        <is>
          <t>S17 2026 (20 abr)</t>
        </is>
      </c>
      <c r="B20" s="18" t="n">
        <v>2026</v>
      </c>
      <c r="C20" s="18" t="n">
        <v>17</v>
      </c>
      <c r="D20" s="20">
        <f>IFERROR(SUMIFS(Ordenes!$P$2:$P$840,Ordenes!$W$2:$W$840,$B20,Ordenes!$X$2:$X$840,$C20,Ordenes!$T$2:$T$840,"Válida",Ordenes!$F$2:$F$840,"B Hormigón")/SUMIFS(Ordenes!$Q$2:$Q$840,Ordenes!$W$2:$W$840,$B20,Ordenes!$X$2:$X$840,$C20,Ordenes!$T$2:$T$840,"Válida",Ordenes!$F$2:$F$840,"B Hormigón"),"")</f>
        <v/>
      </c>
      <c r="E20" s="20">
        <f>IFERROR(SUMIFS(Ordenes!$P$2:$P$840,Ordenes!$W$2:$W$840,$B20,Ordenes!$X$2:$X$840,$C20,Ordenes!$T$2:$T$840,"Válida",Ordenes!$F$2:$F$840,"Redondo liso")/SUMIFS(Ordenes!$Q$2:$Q$840,Ordenes!$W$2:$W$840,$B20,Ordenes!$X$2:$X$840,$C20,Ordenes!$T$2:$T$840,"Válida",Ordenes!$F$2:$F$840,"Redondo liso"),"")</f>
        <v/>
      </c>
      <c r="F20" s="20">
        <f>IFERROR(SUMIFS(Ordenes!$P$2:$P$840,Ordenes!$W$2:$W$840,$B20,Ordenes!$X$2:$X$840,$C20,Ordenes!$T$2:$T$840,"Válida",Ordenes!$F$2:$F$840,"Plana")/SUMIFS(Ordenes!$Q$2:$Q$840,Ordenes!$W$2:$W$840,$B20,Ordenes!$X$2:$X$840,$C20,Ordenes!$T$2:$T$840,"Válida",Ordenes!$F$2:$F$840,"Plana"),"")</f>
        <v/>
      </c>
      <c r="G20" s="20">
        <f>IFERROR(SUMIFS(Ordenes!$P$2:$P$840,Ordenes!$W$2:$W$840,$B20,Ordenes!$X$2:$X$840,$C20,Ordenes!$T$2:$T$840,"Válida",Ordenes!$F$2:$F$840,"Ángulo")/SUMIFS(Ordenes!$Q$2:$Q$840,Ordenes!$W$2:$W$840,$B20,Ordenes!$X$2:$X$840,$C20,Ordenes!$T$2:$T$840,"Válida",Ordenes!$F$2:$F$840,"Ángulo"),"")</f>
        <v/>
      </c>
      <c r="H20" s="20">
        <f>IFERROR(SUMIFS(Ordenes!$P$2:$P$840,Ordenes!$W$2:$W$840,$B20,Ordenes!$X$2:$X$840,$C20,Ordenes!$T$2:$T$840,"Válida",Ordenes!$F$2:$F$840,"Cuadrado")/SUMIFS(Ordenes!$Q$2:$Q$840,Ordenes!$W$2:$W$840,$B20,Ordenes!$X$2:$X$840,$C20,Ordenes!$T$2:$T$840,"Válida",Ordenes!$F$2:$F$840,"Cuadrado"),"")</f>
        <v/>
      </c>
      <c r="I20" s="20">
        <f>IFERROR(SUMIFS(Ordenes!$P$2:$P$840,Ordenes!$W$2:$W$840,$B20,Ordenes!$X$2:$X$840,$C20,Ordenes!$T$2:$T$840,"Válida",Ordenes!$F$2:$F$840,"Estrella")/SUMIFS(Ordenes!$Q$2:$Q$840,Ordenes!$W$2:$W$840,$B20,Ordenes!$X$2:$X$840,$C20,Ordenes!$T$2:$T$840,"Válida",Ordenes!$F$2:$F$840,"Estrella"),"")</f>
        <v/>
      </c>
      <c r="J20" s="20">
        <f>IFERROR(SUMIFS(Ordenes!$P$2:$P$840,Ordenes!$W$2:$W$840,$B20,Ordenes!$X$2:$X$840,$C20,Ordenes!$T$2:$T$840,"Válida",Ordenes!$F$2:$F$840,"Saferock")/SUMIFS(Ordenes!$Q$2:$Q$840,Ordenes!$W$2:$W$840,$B20,Ordenes!$X$2:$X$840,$C20,Ordenes!$T$2:$T$840,"Válida",Ordenes!$F$2:$F$840,"Saferock"),"")</f>
        <v/>
      </c>
      <c r="K20" s="20">
        <f>IFERROR(SUMIFS(Ordenes!$P$2:$P$840,Ordenes!$W$2:$W$840,$B20,Ordenes!$X$2:$X$840,$C20,Ordenes!$T$2:$T$840,"Válida",Ordenes!$F$2:$F$840,"Hexágono")/SUMIFS(Ordenes!$Q$2:$Q$840,Ordenes!$W$2:$W$840,$B20,Ordenes!$X$2:$X$840,$C20,Ordenes!$T$2:$T$840,"Válida",Ordenes!$F$2:$F$840,"Hexágono"),"")</f>
        <v/>
      </c>
      <c r="L20" s="24">
        <f>IFERROR(SUMIFS(Ordenes!$P$2:$P$840,Ordenes!$W$2:$W$840,$B20,Ordenes!$X$2:$X$840,$C20,Ordenes!$T$2:$T$840,"Válida",Ordenes!$F$2:$F$840,"*")/SUMIFS(Ordenes!$Q$2:$Q$840,Ordenes!$W$2:$W$840,$B20,Ordenes!$X$2:$X$840,$C20,Ordenes!$T$2:$T$840,"Válida",Ordenes!$F$2:$F$840,"*"),"")</f>
        <v/>
      </c>
      <c r="M20" s="20">
        <f>IFERROR(SUMIFS(Ordenes!$V$2:$V$840,Ordenes!$W$2:$W$840,$B20,Ordenes!$X$2:$X$840,$C20,Ordenes!$T$2:$T$840,"Válida")/SUMIFS(Ordenes!$Q$2:$Q$840,Ordenes!$W$2:$W$840,$B20,Ordenes!$X$2:$X$840,$C20,Ordenes!$T$2:$T$840,"Válida"),"")</f>
        <v/>
      </c>
      <c r="N20" s="21">
        <f>IFERROR((L20-M20)*100,"")</f>
        <v/>
      </c>
      <c r="O20" s="19">
        <f>SUMIFS(Ordenes!$P$2:$P$840,Ordenes!$W$2:$W$840,$B20,Ordenes!$X$2:$X$840,$C20,Ordenes!$T$2:$T$840,"Válida")</f>
        <v/>
      </c>
      <c r="P20" s="19">
        <f>SUMIFS(Ordenes!$Q$2:$Q$840,Ordenes!$W$2:$W$840,$B20,Ordenes!$X$2:$X$840,$C20,Ordenes!$T$2:$T$840,"Válida")</f>
        <v/>
      </c>
      <c r="Q20" s="18">
        <f>COUNTIFS(Ordenes!$W$2:$W$840,$B20,Ordenes!$X$2:$X$840,$C20,Ordenes!$T$2:$T$840,"Válida")</f>
        <v/>
      </c>
    </row>
    <row r="21">
      <c r="A21" s="18" t="inlineStr">
        <is>
          <t>S18 2026 (27 abr)</t>
        </is>
      </c>
      <c r="B21" s="18" t="n">
        <v>2026</v>
      </c>
      <c r="C21" s="18" t="n">
        <v>18</v>
      </c>
      <c r="D21" s="20">
        <f>IFERROR(SUMIFS(Ordenes!$P$2:$P$840,Ordenes!$W$2:$W$840,$B21,Ordenes!$X$2:$X$840,$C21,Ordenes!$T$2:$T$840,"Válida",Ordenes!$F$2:$F$840,"B Hormigón")/SUMIFS(Ordenes!$Q$2:$Q$840,Ordenes!$W$2:$W$840,$B21,Ordenes!$X$2:$X$840,$C21,Ordenes!$T$2:$T$840,"Válida",Ordenes!$F$2:$F$840,"B Hormigón"),"")</f>
        <v/>
      </c>
      <c r="E21" s="20">
        <f>IFERROR(SUMIFS(Ordenes!$P$2:$P$840,Ordenes!$W$2:$W$840,$B21,Ordenes!$X$2:$X$840,$C21,Ordenes!$T$2:$T$840,"Válida",Ordenes!$F$2:$F$840,"Redondo liso")/SUMIFS(Ordenes!$Q$2:$Q$840,Ordenes!$W$2:$W$840,$B21,Ordenes!$X$2:$X$840,$C21,Ordenes!$T$2:$T$840,"Válida",Ordenes!$F$2:$F$840,"Redondo liso"),"")</f>
        <v/>
      </c>
      <c r="F21" s="20">
        <f>IFERROR(SUMIFS(Ordenes!$P$2:$P$840,Ordenes!$W$2:$W$840,$B21,Ordenes!$X$2:$X$840,$C21,Ordenes!$T$2:$T$840,"Válida",Ordenes!$F$2:$F$840,"Plana")/SUMIFS(Ordenes!$Q$2:$Q$840,Ordenes!$W$2:$W$840,$B21,Ordenes!$X$2:$X$840,$C21,Ordenes!$T$2:$T$840,"Válida",Ordenes!$F$2:$F$840,"Plana"),"")</f>
        <v/>
      </c>
      <c r="G21" s="20">
        <f>IFERROR(SUMIFS(Ordenes!$P$2:$P$840,Ordenes!$W$2:$W$840,$B21,Ordenes!$X$2:$X$840,$C21,Ordenes!$T$2:$T$840,"Válida",Ordenes!$F$2:$F$840,"Ángulo")/SUMIFS(Ordenes!$Q$2:$Q$840,Ordenes!$W$2:$W$840,$B21,Ordenes!$X$2:$X$840,$C21,Ordenes!$T$2:$T$840,"Válida",Ordenes!$F$2:$F$840,"Ángulo"),"")</f>
        <v/>
      </c>
      <c r="H21" s="20">
        <f>IFERROR(SUMIFS(Ordenes!$P$2:$P$840,Ordenes!$W$2:$W$840,$B21,Ordenes!$X$2:$X$840,$C21,Ordenes!$T$2:$T$840,"Válida",Ordenes!$F$2:$F$840,"Cuadrado")/SUMIFS(Ordenes!$Q$2:$Q$840,Ordenes!$W$2:$W$840,$B21,Ordenes!$X$2:$X$840,$C21,Ordenes!$T$2:$T$840,"Válida",Ordenes!$F$2:$F$840,"Cuadrado"),"")</f>
        <v/>
      </c>
      <c r="I21" s="20">
        <f>IFERROR(SUMIFS(Ordenes!$P$2:$P$840,Ordenes!$W$2:$W$840,$B21,Ordenes!$X$2:$X$840,$C21,Ordenes!$T$2:$T$840,"Válida",Ordenes!$F$2:$F$840,"Estrella")/SUMIFS(Ordenes!$Q$2:$Q$840,Ordenes!$W$2:$W$840,$B21,Ordenes!$X$2:$X$840,$C21,Ordenes!$T$2:$T$840,"Válida",Ordenes!$F$2:$F$840,"Estrella"),"")</f>
        <v/>
      </c>
      <c r="J21" s="20">
        <f>IFERROR(SUMIFS(Ordenes!$P$2:$P$840,Ordenes!$W$2:$W$840,$B21,Ordenes!$X$2:$X$840,$C21,Ordenes!$T$2:$T$840,"Válida",Ordenes!$F$2:$F$840,"Saferock")/SUMIFS(Ordenes!$Q$2:$Q$840,Ordenes!$W$2:$W$840,$B21,Ordenes!$X$2:$X$840,$C21,Ordenes!$T$2:$T$840,"Válida",Ordenes!$F$2:$F$840,"Saferock"),"")</f>
        <v/>
      </c>
      <c r="K21" s="20">
        <f>IFERROR(SUMIFS(Ordenes!$P$2:$P$840,Ordenes!$W$2:$W$840,$B21,Ordenes!$X$2:$X$840,$C21,Ordenes!$T$2:$T$840,"Válida",Ordenes!$F$2:$F$840,"Hexágono")/SUMIFS(Ordenes!$Q$2:$Q$840,Ordenes!$W$2:$W$840,$B21,Ordenes!$X$2:$X$840,$C21,Ordenes!$T$2:$T$840,"Válida",Ordenes!$F$2:$F$840,"Hexágono"),"")</f>
        <v/>
      </c>
      <c r="L21" s="24">
        <f>IFERROR(SUMIFS(Ordenes!$P$2:$P$840,Ordenes!$W$2:$W$840,$B21,Ordenes!$X$2:$X$840,$C21,Ordenes!$T$2:$T$840,"Válida",Ordenes!$F$2:$F$840,"*")/SUMIFS(Ordenes!$Q$2:$Q$840,Ordenes!$W$2:$W$840,$B21,Ordenes!$X$2:$X$840,$C21,Ordenes!$T$2:$T$840,"Válida",Ordenes!$F$2:$F$840,"*"),"")</f>
        <v/>
      </c>
      <c r="M21" s="20">
        <f>IFERROR(SUMIFS(Ordenes!$V$2:$V$840,Ordenes!$W$2:$W$840,$B21,Ordenes!$X$2:$X$840,$C21,Ordenes!$T$2:$T$840,"Válida")/SUMIFS(Ordenes!$Q$2:$Q$840,Ordenes!$W$2:$W$840,$B21,Ordenes!$X$2:$X$840,$C21,Ordenes!$T$2:$T$840,"Válida"),"")</f>
        <v/>
      </c>
      <c r="N21" s="21">
        <f>IFERROR((L21-M21)*100,"")</f>
        <v/>
      </c>
      <c r="O21" s="19">
        <f>SUMIFS(Ordenes!$P$2:$P$840,Ordenes!$W$2:$W$840,$B21,Ordenes!$X$2:$X$840,$C21,Ordenes!$T$2:$T$840,"Válida")</f>
        <v/>
      </c>
      <c r="P21" s="19">
        <f>SUMIFS(Ordenes!$Q$2:$Q$840,Ordenes!$W$2:$W$840,$B21,Ordenes!$X$2:$X$840,$C21,Ordenes!$T$2:$T$840,"Válida")</f>
        <v/>
      </c>
      <c r="Q21" s="18">
        <f>COUNTIFS(Ordenes!$W$2:$W$840,$B21,Ordenes!$X$2:$X$840,$C21,Ordenes!$T$2:$T$840,"Válida")</f>
        <v/>
      </c>
    </row>
    <row r="22">
      <c r="A22" s="18" t="inlineStr">
        <is>
          <t>S19 2026 (4 may)</t>
        </is>
      </c>
      <c r="B22" s="18" t="n">
        <v>2026</v>
      </c>
      <c r="C22" s="18" t="n">
        <v>19</v>
      </c>
      <c r="D22" s="20">
        <f>IFERROR(SUMIFS(Ordenes!$P$2:$P$840,Ordenes!$W$2:$W$840,$B22,Ordenes!$X$2:$X$840,$C22,Ordenes!$T$2:$T$840,"Válida",Ordenes!$F$2:$F$840,"B Hormigón")/SUMIFS(Ordenes!$Q$2:$Q$840,Ordenes!$W$2:$W$840,$B22,Ordenes!$X$2:$X$840,$C22,Ordenes!$T$2:$T$840,"Válida",Ordenes!$F$2:$F$840,"B Hormigón"),"")</f>
        <v/>
      </c>
      <c r="E22" s="20">
        <f>IFERROR(SUMIFS(Ordenes!$P$2:$P$840,Ordenes!$W$2:$W$840,$B22,Ordenes!$X$2:$X$840,$C22,Ordenes!$T$2:$T$840,"Válida",Ordenes!$F$2:$F$840,"Redondo liso")/SUMIFS(Ordenes!$Q$2:$Q$840,Ordenes!$W$2:$W$840,$B22,Ordenes!$X$2:$X$840,$C22,Ordenes!$T$2:$T$840,"Válida",Ordenes!$F$2:$F$840,"Redondo liso"),"")</f>
        <v/>
      </c>
      <c r="F22" s="20">
        <f>IFERROR(SUMIFS(Ordenes!$P$2:$P$840,Ordenes!$W$2:$W$840,$B22,Ordenes!$X$2:$X$840,$C22,Ordenes!$T$2:$T$840,"Válida",Ordenes!$F$2:$F$840,"Plana")/SUMIFS(Ordenes!$Q$2:$Q$840,Ordenes!$W$2:$W$840,$B22,Ordenes!$X$2:$X$840,$C22,Ordenes!$T$2:$T$840,"Válida",Ordenes!$F$2:$F$840,"Plana"),"")</f>
        <v/>
      </c>
      <c r="G22" s="20">
        <f>IFERROR(SUMIFS(Ordenes!$P$2:$P$840,Ordenes!$W$2:$W$840,$B22,Ordenes!$X$2:$X$840,$C22,Ordenes!$T$2:$T$840,"Válida",Ordenes!$F$2:$F$840,"Ángulo")/SUMIFS(Ordenes!$Q$2:$Q$840,Ordenes!$W$2:$W$840,$B22,Ordenes!$X$2:$X$840,$C22,Ordenes!$T$2:$T$840,"Válida",Ordenes!$F$2:$F$840,"Ángulo"),"")</f>
        <v/>
      </c>
      <c r="H22" s="20">
        <f>IFERROR(SUMIFS(Ordenes!$P$2:$P$840,Ordenes!$W$2:$W$840,$B22,Ordenes!$X$2:$X$840,$C22,Ordenes!$T$2:$T$840,"Válida",Ordenes!$F$2:$F$840,"Cuadrado")/SUMIFS(Ordenes!$Q$2:$Q$840,Ordenes!$W$2:$W$840,$B22,Ordenes!$X$2:$X$840,$C22,Ordenes!$T$2:$T$840,"Válida",Ordenes!$F$2:$F$840,"Cuadrado"),"")</f>
        <v/>
      </c>
      <c r="I22" s="20">
        <f>IFERROR(SUMIFS(Ordenes!$P$2:$P$840,Ordenes!$W$2:$W$840,$B22,Ordenes!$X$2:$X$840,$C22,Ordenes!$T$2:$T$840,"Válida",Ordenes!$F$2:$F$840,"Estrella")/SUMIFS(Ordenes!$Q$2:$Q$840,Ordenes!$W$2:$W$840,$B22,Ordenes!$X$2:$X$840,$C22,Ordenes!$T$2:$T$840,"Válida",Ordenes!$F$2:$F$840,"Estrella"),"")</f>
        <v/>
      </c>
      <c r="J22" s="20">
        <f>IFERROR(SUMIFS(Ordenes!$P$2:$P$840,Ordenes!$W$2:$W$840,$B22,Ordenes!$X$2:$X$840,$C22,Ordenes!$T$2:$T$840,"Válida",Ordenes!$F$2:$F$840,"Saferock")/SUMIFS(Ordenes!$Q$2:$Q$840,Ordenes!$W$2:$W$840,$B22,Ordenes!$X$2:$X$840,$C22,Ordenes!$T$2:$T$840,"Válida",Ordenes!$F$2:$F$840,"Saferock"),"")</f>
        <v/>
      </c>
      <c r="K22" s="20">
        <f>IFERROR(SUMIFS(Ordenes!$P$2:$P$840,Ordenes!$W$2:$W$840,$B22,Ordenes!$X$2:$X$840,$C22,Ordenes!$T$2:$T$840,"Válida",Ordenes!$F$2:$F$840,"Hexágono")/SUMIFS(Ordenes!$Q$2:$Q$840,Ordenes!$W$2:$W$840,$B22,Ordenes!$X$2:$X$840,$C22,Ordenes!$T$2:$T$840,"Válida",Ordenes!$F$2:$F$840,"Hexágono"),"")</f>
        <v/>
      </c>
      <c r="L22" s="24">
        <f>IFERROR(SUMIFS(Ordenes!$P$2:$P$840,Ordenes!$W$2:$W$840,$B22,Ordenes!$X$2:$X$840,$C22,Ordenes!$T$2:$T$840,"Válida",Ordenes!$F$2:$F$840,"*")/SUMIFS(Ordenes!$Q$2:$Q$840,Ordenes!$W$2:$W$840,$B22,Ordenes!$X$2:$X$840,$C22,Ordenes!$T$2:$T$840,"Válida",Ordenes!$F$2:$F$840,"*"),"")</f>
        <v/>
      </c>
      <c r="M22" s="20">
        <f>IFERROR(SUMIFS(Ordenes!$V$2:$V$840,Ordenes!$W$2:$W$840,$B22,Ordenes!$X$2:$X$840,$C22,Ordenes!$T$2:$T$840,"Válida")/SUMIFS(Ordenes!$Q$2:$Q$840,Ordenes!$W$2:$W$840,$B22,Ordenes!$X$2:$X$840,$C22,Ordenes!$T$2:$T$840,"Válida"),"")</f>
        <v/>
      </c>
      <c r="N22" s="21">
        <f>IFERROR((L22-M22)*100,"")</f>
        <v/>
      </c>
      <c r="O22" s="19">
        <f>SUMIFS(Ordenes!$P$2:$P$840,Ordenes!$W$2:$W$840,$B22,Ordenes!$X$2:$X$840,$C22,Ordenes!$T$2:$T$840,"Válida")</f>
        <v/>
      </c>
      <c r="P22" s="19">
        <f>SUMIFS(Ordenes!$Q$2:$Q$840,Ordenes!$W$2:$W$840,$B22,Ordenes!$X$2:$X$840,$C22,Ordenes!$T$2:$T$840,"Válida")</f>
        <v/>
      </c>
      <c r="Q22" s="18">
        <f>COUNTIFS(Ordenes!$W$2:$W$840,$B22,Ordenes!$X$2:$X$840,$C22,Ordenes!$T$2:$T$840,"Válida")</f>
        <v/>
      </c>
    </row>
    <row r="23">
      <c r="A23" s="18" t="inlineStr">
        <is>
          <t>S20 2026 (11 may)</t>
        </is>
      </c>
      <c r="B23" s="18" t="n">
        <v>2026</v>
      </c>
      <c r="C23" s="18" t="n">
        <v>20</v>
      </c>
      <c r="D23" s="20">
        <f>IFERROR(SUMIFS(Ordenes!$P$2:$P$840,Ordenes!$W$2:$W$840,$B23,Ordenes!$X$2:$X$840,$C23,Ordenes!$T$2:$T$840,"Válida",Ordenes!$F$2:$F$840,"B Hormigón")/SUMIFS(Ordenes!$Q$2:$Q$840,Ordenes!$W$2:$W$840,$B23,Ordenes!$X$2:$X$840,$C23,Ordenes!$T$2:$T$840,"Válida",Ordenes!$F$2:$F$840,"B Hormigón"),"")</f>
        <v/>
      </c>
      <c r="E23" s="20">
        <f>IFERROR(SUMIFS(Ordenes!$P$2:$P$840,Ordenes!$W$2:$W$840,$B23,Ordenes!$X$2:$X$840,$C23,Ordenes!$T$2:$T$840,"Válida",Ordenes!$F$2:$F$840,"Redondo liso")/SUMIFS(Ordenes!$Q$2:$Q$840,Ordenes!$W$2:$W$840,$B23,Ordenes!$X$2:$X$840,$C23,Ordenes!$T$2:$T$840,"Válida",Ordenes!$F$2:$F$840,"Redondo liso"),"")</f>
        <v/>
      </c>
      <c r="F23" s="20">
        <f>IFERROR(SUMIFS(Ordenes!$P$2:$P$840,Ordenes!$W$2:$W$840,$B23,Ordenes!$X$2:$X$840,$C23,Ordenes!$T$2:$T$840,"Válida",Ordenes!$F$2:$F$840,"Plana")/SUMIFS(Ordenes!$Q$2:$Q$840,Ordenes!$W$2:$W$840,$B23,Ordenes!$X$2:$X$840,$C23,Ordenes!$T$2:$T$840,"Válida",Ordenes!$F$2:$F$840,"Plana"),"")</f>
        <v/>
      </c>
      <c r="G23" s="20">
        <f>IFERROR(SUMIFS(Ordenes!$P$2:$P$840,Ordenes!$W$2:$W$840,$B23,Ordenes!$X$2:$X$840,$C23,Ordenes!$T$2:$T$840,"Válida",Ordenes!$F$2:$F$840,"Ángulo")/SUMIFS(Ordenes!$Q$2:$Q$840,Ordenes!$W$2:$W$840,$B23,Ordenes!$X$2:$X$840,$C23,Ordenes!$T$2:$T$840,"Válida",Ordenes!$F$2:$F$840,"Ángulo"),"")</f>
        <v/>
      </c>
      <c r="H23" s="20">
        <f>IFERROR(SUMIFS(Ordenes!$P$2:$P$840,Ordenes!$W$2:$W$840,$B23,Ordenes!$X$2:$X$840,$C23,Ordenes!$T$2:$T$840,"Válida",Ordenes!$F$2:$F$840,"Cuadrado")/SUMIFS(Ordenes!$Q$2:$Q$840,Ordenes!$W$2:$W$840,$B23,Ordenes!$X$2:$X$840,$C23,Ordenes!$T$2:$T$840,"Válida",Ordenes!$F$2:$F$840,"Cuadrado"),"")</f>
        <v/>
      </c>
      <c r="I23" s="20">
        <f>IFERROR(SUMIFS(Ordenes!$P$2:$P$840,Ordenes!$W$2:$W$840,$B23,Ordenes!$X$2:$X$840,$C23,Ordenes!$T$2:$T$840,"Válida",Ordenes!$F$2:$F$840,"Estrella")/SUMIFS(Ordenes!$Q$2:$Q$840,Ordenes!$W$2:$W$840,$B23,Ordenes!$X$2:$X$840,$C23,Ordenes!$T$2:$T$840,"Válida",Ordenes!$F$2:$F$840,"Estrella"),"")</f>
        <v/>
      </c>
      <c r="J23" s="20">
        <f>IFERROR(SUMIFS(Ordenes!$P$2:$P$840,Ordenes!$W$2:$W$840,$B23,Ordenes!$X$2:$X$840,$C23,Ordenes!$T$2:$T$840,"Válida",Ordenes!$F$2:$F$840,"Saferock")/SUMIFS(Ordenes!$Q$2:$Q$840,Ordenes!$W$2:$W$840,$B23,Ordenes!$X$2:$X$840,$C23,Ordenes!$T$2:$T$840,"Válida",Ordenes!$F$2:$F$840,"Saferock"),"")</f>
        <v/>
      </c>
      <c r="K23" s="20">
        <f>IFERROR(SUMIFS(Ordenes!$P$2:$P$840,Ordenes!$W$2:$W$840,$B23,Ordenes!$X$2:$X$840,$C23,Ordenes!$T$2:$T$840,"Válida",Ordenes!$F$2:$F$840,"Hexágono")/SUMIFS(Ordenes!$Q$2:$Q$840,Ordenes!$W$2:$W$840,$B23,Ordenes!$X$2:$X$840,$C23,Ordenes!$T$2:$T$840,"Válida",Ordenes!$F$2:$F$840,"Hexágono"),"")</f>
        <v/>
      </c>
      <c r="L23" s="24">
        <f>IFERROR(SUMIFS(Ordenes!$P$2:$P$840,Ordenes!$W$2:$W$840,$B23,Ordenes!$X$2:$X$840,$C23,Ordenes!$T$2:$T$840,"Válida",Ordenes!$F$2:$F$840,"*")/SUMIFS(Ordenes!$Q$2:$Q$840,Ordenes!$W$2:$W$840,$B23,Ordenes!$X$2:$X$840,$C23,Ordenes!$T$2:$T$840,"Válida",Ordenes!$F$2:$F$840,"*"),"")</f>
        <v/>
      </c>
      <c r="M23" s="20">
        <f>IFERROR(SUMIFS(Ordenes!$V$2:$V$840,Ordenes!$W$2:$W$840,$B23,Ordenes!$X$2:$X$840,$C23,Ordenes!$T$2:$T$840,"Válida")/SUMIFS(Ordenes!$Q$2:$Q$840,Ordenes!$W$2:$W$840,$B23,Ordenes!$X$2:$X$840,$C23,Ordenes!$T$2:$T$840,"Válida"),"")</f>
        <v/>
      </c>
      <c r="N23" s="21">
        <f>IFERROR((L23-M23)*100,"")</f>
        <v/>
      </c>
      <c r="O23" s="19">
        <f>SUMIFS(Ordenes!$P$2:$P$840,Ordenes!$W$2:$W$840,$B23,Ordenes!$X$2:$X$840,$C23,Ordenes!$T$2:$T$840,"Válida")</f>
        <v/>
      </c>
      <c r="P23" s="19">
        <f>SUMIFS(Ordenes!$Q$2:$Q$840,Ordenes!$W$2:$W$840,$B23,Ordenes!$X$2:$X$840,$C23,Ordenes!$T$2:$T$840,"Válida")</f>
        <v/>
      </c>
      <c r="Q23" s="18">
        <f>COUNTIFS(Ordenes!$W$2:$W$840,$B23,Ordenes!$X$2:$X$840,$C23,Ordenes!$T$2:$T$840,"Válida")</f>
        <v/>
      </c>
    </row>
    <row r="24">
      <c r="A24" s="18" t="inlineStr">
        <is>
          <t>S21 2026 (18 may)</t>
        </is>
      </c>
      <c r="B24" s="18" t="n">
        <v>2026</v>
      </c>
      <c r="C24" s="18" t="n">
        <v>21</v>
      </c>
      <c r="D24" s="20">
        <f>IFERROR(SUMIFS(Ordenes!$P$2:$P$840,Ordenes!$W$2:$W$840,$B24,Ordenes!$X$2:$X$840,$C24,Ordenes!$T$2:$T$840,"Válida",Ordenes!$F$2:$F$840,"B Hormigón")/SUMIFS(Ordenes!$Q$2:$Q$840,Ordenes!$W$2:$W$840,$B24,Ordenes!$X$2:$X$840,$C24,Ordenes!$T$2:$T$840,"Válida",Ordenes!$F$2:$F$840,"B Hormigón"),"")</f>
        <v/>
      </c>
      <c r="E24" s="20">
        <f>IFERROR(SUMIFS(Ordenes!$P$2:$P$840,Ordenes!$W$2:$W$840,$B24,Ordenes!$X$2:$X$840,$C24,Ordenes!$T$2:$T$840,"Válida",Ordenes!$F$2:$F$840,"Redondo liso")/SUMIFS(Ordenes!$Q$2:$Q$840,Ordenes!$W$2:$W$840,$B24,Ordenes!$X$2:$X$840,$C24,Ordenes!$T$2:$T$840,"Válida",Ordenes!$F$2:$F$840,"Redondo liso"),"")</f>
        <v/>
      </c>
      <c r="F24" s="20">
        <f>IFERROR(SUMIFS(Ordenes!$P$2:$P$840,Ordenes!$W$2:$W$840,$B24,Ordenes!$X$2:$X$840,$C24,Ordenes!$T$2:$T$840,"Válida",Ordenes!$F$2:$F$840,"Plana")/SUMIFS(Ordenes!$Q$2:$Q$840,Ordenes!$W$2:$W$840,$B24,Ordenes!$X$2:$X$840,$C24,Ordenes!$T$2:$T$840,"Válida",Ordenes!$F$2:$F$840,"Plana"),"")</f>
        <v/>
      </c>
      <c r="G24" s="20">
        <f>IFERROR(SUMIFS(Ordenes!$P$2:$P$840,Ordenes!$W$2:$W$840,$B24,Ordenes!$X$2:$X$840,$C24,Ordenes!$T$2:$T$840,"Válida",Ordenes!$F$2:$F$840,"Ángulo")/SUMIFS(Ordenes!$Q$2:$Q$840,Ordenes!$W$2:$W$840,$B24,Ordenes!$X$2:$X$840,$C24,Ordenes!$T$2:$T$840,"Válida",Ordenes!$F$2:$F$840,"Ángulo"),"")</f>
        <v/>
      </c>
      <c r="H24" s="20">
        <f>IFERROR(SUMIFS(Ordenes!$P$2:$P$840,Ordenes!$W$2:$W$840,$B24,Ordenes!$X$2:$X$840,$C24,Ordenes!$T$2:$T$840,"Válida",Ordenes!$F$2:$F$840,"Cuadrado")/SUMIFS(Ordenes!$Q$2:$Q$840,Ordenes!$W$2:$W$840,$B24,Ordenes!$X$2:$X$840,$C24,Ordenes!$T$2:$T$840,"Válida",Ordenes!$F$2:$F$840,"Cuadrado"),"")</f>
        <v/>
      </c>
      <c r="I24" s="20">
        <f>IFERROR(SUMIFS(Ordenes!$P$2:$P$840,Ordenes!$W$2:$W$840,$B24,Ordenes!$X$2:$X$840,$C24,Ordenes!$T$2:$T$840,"Válida",Ordenes!$F$2:$F$840,"Estrella")/SUMIFS(Ordenes!$Q$2:$Q$840,Ordenes!$W$2:$W$840,$B24,Ordenes!$X$2:$X$840,$C24,Ordenes!$T$2:$T$840,"Válida",Ordenes!$F$2:$F$840,"Estrella"),"")</f>
        <v/>
      </c>
      <c r="J24" s="20">
        <f>IFERROR(SUMIFS(Ordenes!$P$2:$P$840,Ordenes!$W$2:$W$840,$B24,Ordenes!$X$2:$X$840,$C24,Ordenes!$T$2:$T$840,"Válida",Ordenes!$F$2:$F$840,"Saferock")/SUMIFS(Ordenes!$Q$2:$Q$840,Ordenes!$W$2:$W$840,$B24,Ordenes!$X$2:$X$840,$C24,Ordenes!$T$2:$T$840,"Válida",Ordenes!$F$2:$F$840,"Saferock"),"")</f>
        <v/>
      </c>
      <c r="K24" s="20">
        <f>IFERROR(SUMIFS(Ordenes!$P$2:$P$840,Ordenes!$W$2:$W$840,$B24,Ordenes!$X$2:$X$840,$C24,Ordenes!$T$2:$T$840,"Válida",Ordenes!$F$2:$F$840,"Hexágono")/SUMIFS(Ordenes!$Q$2:$Q$840,Ordenes!$W$2:$W$840,$B24,Ordenes!$X$2:$X$840,$C24,Ordenes!$T$2:$T$840,"Válida",Ordenes!$F$2:$F$840,"Hexágono"),"")</f>
        <v/>
      </c>
      <c r="L24" s="24">
        <f>IFERROR(SUMIFS(Ordenes!$P$2:$P$840,Ordenes!$W$2:$W$840,$B24,Ordenes!$X$2:$X$840,$C24,Ordenes!$T$2:$T$840,"Válida",Ordenes!$F$2:$F$840,"*")/SUMIFS(Ordenes!$Q$2:$Q$840,Ordenes!$W$2:$W$840,$B24,Ordenes!$X$2:$X$840,$C24,Ordenes!$T$2:$T$840,"Válida",Ordenes!$F$2:$F$840,"*"),"")</f>
        <v/>
      </c>
      <c r="M24" s="20">
        <f>IFERROR(SUMIFS(Ordenes!$V$2:$V$840,Ordenes!$W$2:$W$840,$B24,Ordenes!$X$2:$X$840,$C24,Ordenes!$T$2:$T$840,"Válida")/SUMIFS(Ordenes!$Q$2:$Q$840,Ordenes!$W$2:$W$840,$B24,Ordenes!$X$2:$X$840,$C24,Ordenes!$T$2:$T$840,"Válida"),"")</f>
        <v/>
      </c>
      <c r="N24" s="21">
        <f>IFERROR((L24-M24)*100,"")</f>
        <v/>
      </c>
      <c r="O24" s="19">
        <f>SUMIFS(Ordenes!$P$2:$P$840,Ordenes!$W$2:$W$840,$B24,Ordenes!$X$2:$X$840,$C24,Ordenes!$T$2:$T$840,"Válida")</f>
        <v/>
      </c>
      <c r="P24" s="19">
        <f>SUMIFS(Ordenes!$Q$2:$Q$840,Ordenes!$W$2:$W$840,$B24,Ordenes!$X$2:$X$840,$C24,Ordenes!$T$2:$T$840,"Válida")</f>
        <v/>
      </c>
      <c r="Q24" s="18">
        <f>COUNTIFS(Ordenes!$W$2:$W$840,$B24,Ordenes!$X$2:$X$840,$C24,Ordenes!$T$2:$T$840,"Válida")</f>
        <v/>
      </c>
    </row>
    <row r="25">
      <c r="A25" s="18" t="inlineStr">
        <is>
          <t>S22 2026 (25 may)</t>
        </is>
      </c>
      <c r="B25" s="18" t="n">
        <v>2026</v>
      </c>
      <c r="C25" s="18" t="n">
        <v>22</v>
      </c>
      <c r="D25" s="20">
        <f>IFERROR(SUMIFS(Ordenes!$P$2:$P$840,Ordenes!$W$2:$W$840,$B25,Ordenes!$X$2:$X$840,$C25,Ordenes!$T$2:$T$840,"Válida",Ordenes!$F$2:$F$840,"B Hormigón")/SUMIFS(Ordenes!$Q$2:$Q$840,Ordenes!$W$2:$W$840,$B25,Ordenes!$X$2:$X$840,$C25,Ordenes!$T$2:$T$840,"Válida",Ordenes!$F$2:$F$840,"B Hormigón"),"")</f>
        <v/>
      </c>
      <c r="E25" s="20">
        <f>IFERROR(SUMIFS(Ordenes!$P$2:$P$840,Ordenes!$W$2:$W$840,$B25,Ordenes!$X$2:$X$840,$C25,Ordenes!$T$2:$T$840,"Válida",Ordenes!$F$2:$F$840,"Redondo liso")/SUMIFS(Ordenes!$Q$2:$Q$840,Ordenes!$W$2:$W$840,$B25,Ordenes!$X$2:$X$840,$C25,Ordenes!$T$2:$T$840,"Válida",Ordenes!$F$2:$F$840,"Redondo liso"),"")</f>
        <v/>
      </c>
      <c r="F25" s="20">
        <f>IFERROR(SUMIFS(Ordenes!$P$2:$P$840,Ordenes!$W$2:$W$840,$B25,Ordenes!$X$2:$X$840,$C25,Ordenes!$T$2:$T$840,"Válida",Ordenes!$F$2:$F$840,"Plana")/SUMIFS(Ordenes!$Q$2:$Q$840,Ordenes!$W$2:$W$840,$B25,Ordenes!$X$2:$X$840,$C25,Ordenes!$T$2:$T$840,"Válida",Ordenes!$F$2:$F$840,"Plana"),"")</f>
        <v/>
      </c>
      <c r="G25" s="20">
        <f>IFERROR(SUMIFS(Ordenes!$P$2:$P$840,Ordenes!$W$2:$W$840,$B25,Ordenes!$X$2:$X$840,$C25,Ordenes!$T$2:$T$840,"Válida",Ordenes!$F$2:$F$840,"Ángulo")/SUMIFS(Ordenes!$Q$2:$Q$840,Ordenes!$W$2:$W$840,$B25,Ordenes!$X$2:$X$840,$C25,Ordenes!$T$2:$T$840,"Válida",Ordenes!$F$2:$F$840,"Ángulo"),"")</f>
        <v/>
      </c>
      <c r="H25" s="20">
        <f>IFERROR(SUMIFS(Ordenes!$P$2:$P$840,Ordenes!$W$2:$W$840,$B25,Ordenes!$X$2:$X$840,$C25,Ordenes!$T$2:$T$840,"Válida",Ordenes!$F$2:$F$840,"Cuadrado")/SUMIFS(Ordenes!$Q$2:$Q$840,Ordenes!$W$2:$W$840,$B25,Ordenes!$X$2:$X$840,$C25,Ordenes!$T$2:$T$840,"Válida",Ordenes!$F$2:$F$840,"Cuadrado"),"")</f>
        <v/>
      </c>
      <c r="I25" s="20">
        <f>IFERROR(SUMIFS(Ordenes!$P$2:$P$840,Ordenes!$W$2:$W$840,$B25,Ordenes!$X$2:$X$840,$C25,Ordenes!$T$2:$T$840,"Válida",Ordenes!$F$2:$F$840,"Estrella")/SUMIFS(Ordenes!$Q$2:$Q$840,Ordenes!$W$2:$W$840,$B25,Ordenes!$X$2:$X$840,$C25,Ordenes!$T$2:$T$840,"Válida",Ordenes!$F$2:$F$840,"Estrella"),"")</f>
        <v/>
      </c>
      <c r="J25" s="20">
        <f>IFERROR(SUMIFS(Ordenes!$P$2:$P$840,Ordenes!$W$2:$W$840,$B25,Ordenes!$X$2:$X$840,$C25,Ordenes!$T$2:$T$840,"Válida",Ordenes!$F$2:$F$840,"Saferock")/SUMIFS(Ordenes!$Q$2:$Q$840,Ordenes!$W$2:$W$840,$B25,Ordenes!$X$2:$X$840,$C25,Ordenes!$T$2:$T$840,"Válida",Ordenes!$F$2:$F$840,"Saferock"),"")</f>
        <v/>
      </c>
      <c r="K25" s="20">
        <f>IFERROR(SUMIFS(Ordenes!$P$2:$P$840,Ordenes!$W$2:$W$840,$B25,Ordenes!$X$2:$X$840,$C25,Ordenes!$T$2:$T$840,"Válida",Ordenes!$F$2:$F$840,"Hexágono")/SUMIFS(Ordenes!$Q$2:$Q$840,Ordenes!$W$2:$W$840,$B25,Ordenes!$X$2:$X$840,$C25,Ordenes!$T$2:$T$840,"Válida",Ordenes!$F$2:$F$840,"Hexágono"),"")</f>
        <v/>
      </c>
      <c r="L25" s="24">
        <f>IFERROR(SUMIFS(Ordenes!$P$2:$P$840,Ordenes!$W$2:$W$840,$B25,Ordenes!$X$2:$X$840,$C25,Ordenes!$T$2:$T$840,"Válida",Ordenes!$F$2:$F$840,"*")/SUMIFS(Ordenes!$Q$2:$Q$840,Ordenes!$W$2:$W$840,$B25,Ordenes!$X$2:$X$840,$C25,Ordenes!$T$2:$T$840,"Válida",Ordenes!$F$2:$F$840,"*"),"")</f>
        <v/>
      </c>
      <c r="M25" s="20">
        <f>IFERROR(SUMIFS(Ordenes!$V$2:$V$840,Ordenes!$W$2:$W$840,$B25,Ordenes!$X$2:$X$840,$C25,Ordenes!$T$2:$T$840,"Válida")/SUMIFS(Ordenes!$Q$2:$Q$840,Ordenes!$W$2:$W$840,$B25,Ordenes!$X$2:$X$840,$C25,Ordenes!$T$2:$T$840,"Válida"),"")</f>
        <v/>
      </c>
      <c r="N25" s="21">
        <f>IFERROR((L25-M25)*100,"")</f>
        <v/>
      </c>
      <c r="O25" s="19">
        <f>SUMIFS(Ordenes!$P$2:$P$840,Ordenes!$W$2:$W$840,$B25,Ordenes!$X$2:$X$840,$C25,Ordenes!$T$2:$T$840,"Válida")</f>
        <v/>
      </c>
      <c r="P25" s="19">
        <f>SUMIFS(Ordenes!$Q$2:$Q$840,Ordenes!$W$2:$W$840,$B25,Ordenes!$X$2:$X$840,$C25,Ordenes!$T$2:$T$840,"Válida")</f>
        <v/>
      </c>
      <c r="Q25" s="18">
        <f>COUNTIFS(Ordenes!$W$2:$W$840,$B25,Ordenes!$X$2:$X$840,$C25,Ordenes!$T$2:$T$840,"Válida")</f>
        <v/>
      </c>
    </row>
    <row r="26">
      <c r="A26" s="18" t="inlineStr">
        <is>
          <t>S23 2026 (1 jun)</t>
        </is>
      </c>
      <c r="B26" s="18" t="n">
        <v>2026</v>
      </c>
      <c r="C26" s="18" t="n">
        <v>23</v>
      </c>
      <c r="D26" s="20">
        <f>IFERROR(SUMIFS(Ordenes!$P$2:$P$840,Ordenes!$W$2:$W$840,$B26,Ordenes!$X$2:$X$840,$C26,Ordenes!$T$2:$T$840,"Válida",Ordenes!$F$2:$F$840,"B Hormigón")/SUMIFS(Ordenes!$Q$2:$Q$840,Ordenes!$W$2:$W$840,$B26,Ordenes!$X$2:$X$840,$C26,Ordenes!$T$2:$T$840,"Válida",Ordenes!$F$2:$F$840,"B Hormigón"),"")</f>
        <v/>
      </c>
      <c r="E26" s="20">
        <f>IFERROR(SUMIFS(Ordenes!$P$2:$P$840,Ordenes!$W$2:$W$840,$B26,Ordenes!$X$2:$X$840,$C26,Ordenes!$T$2:$T$840,"Válida",Ordenes!$F$2:$F$840,"Redondo liso")/SUMIFS(Ordenes!$Q$2:$Q$840,Ordenes!$W$2:$W$840,$B26,Ordenes!$X$2:$X$840,$C26,Ordenes!$T$2:$T$840,"Válida",Ordenes!$F$2:$F$840,"Redondo liso"),"")</f>
        <v/>
      </c>
      <c r="F26" s="20">
        <f>IFERROR(SUMIFS(Ordenes!$P$2:$P$840,Ordenes!$W$2:$W$840,$B26,Ordenes!$X$2:$X$840,$C26,Ordenes!$T$2:$T$840,"Válida",Ordenes!$F$2:$F$840,"Plana")/SUMIFS(Ordenes!$Q$2:$Q$840,Ordenes!$W$2:$W$840,$B26,Ordenes!$X$2:$X$840,$C26,Ordenes!$T$2:$T$840,"Válida",Ordenes!$F$2:$F$840,"Plana"),"")</f>
        <v/>
      </c>
      <c r="G26" s="20">
        <f>IFERROR(SUMIFS(Ordenes!$P$2:$P$840,Ordenes!$W$2:$W$840,$B26,Ordenes!$X$2:$X$840,$C26,Ordenes!$T$2:$T$840,"Válida",Ordenes!$F$2:$F$840,"Ángulo")/SUMIFS(Ordenes!$Q$2:$Q$840,Ordenes!$W$2:$W$840,$B26,Ordenes!$X$2:$X$840,$C26,Ordenes!$T$2:$T$840,"Válida",Ordenes!$F$2:$F$840,"Ángulo"),"")</f>
        <v/>
      </c>
      <c r="H26" s="20">
        <f>IFERROR(SUMIFS(Ordenes!$P$2:$P$840,Ordenes!$W$2:$W$840,$B26,Ordenes!$X$2:$X$840,$C26,Ordenes!$T$2:$T$840,"Válida",Ordenes!$F$2:$F$840,"Cuadrado")/SUMIFS(Ordenes!$Q$2:$Q$840,Ordenes!$W$2:$W$840,$B26,Ordenes!$X$2:$X$840,$C26,Ordenes!$T$2:$T$840,"Válida",Ordenes!$F$2:$F$840,"Cuadrado"),"")</f>
        <v/>
      </c>
      <c r="I26" s="20">
        <f>IFERROR(SUMIFS(Ordenes!$P$2:$P$840,Ordenes!$W$2:$W$840,$B26,Ordenes!$X$2:$X$840,$C26,Ordenes!$T$2:$T$840,"Válida",Ordenes!$F$2:$F$840,"Estrella")/SUMIFS(Ordenes!$Q$2:$Q$840,Ordenes!$W$2:$W$840,$B26,Ordenes!$X$2:$X$840,$C26,Ordenes!$T$2:$T$840,"Válida",Ordenes!$F$2:$F$840,"Estrella"),"")</f>
        <v/>
      </c>
      <c r="J26" s="20">
        <f>IFERROR(SUMIFS(Ordenes!$P$2:$P$840,Ordenes!$W$2:$W$840,$B26,Ordenes!$X$2:$X$840,$C26,Ordenes!$T$2:$T$840,"Válida",Ordenes!$F$2:$F$840,"Saferock")/SUMIFS(Ordenes!$Q$2:$Q$840,Ordenes!$W$2:$W$840,$B26,Ordenes!$X$2:$X$840,$C26,Ordenes!$T$2:$T$840,"Válida",Ordenes!$F$2:$F$840,"Saferock"),"")</f>
        <v/>
      </c>
      <c r="K26" s="20">
        <f>IFERROR(SUMIFS(Ordenes!$P$2:$P$840,Ordenes!$W$2:$W$840,$B26,Ordenes!$X$2:$X$840,$C26,Ordenes!$T$2:$T$840,"Válida",Ordenes!$F$2:$F$840,"Hexágono")/SUMIFS(Ordenes!$Q$2:$Q$840,Ordenes!$W$2:$W$840,$B26,Ordenes!$X$2:$X$840,$C26,Ordenes!$T$2:$T$840,"Válida",Ordenes!$F$2:$F$840,"Hexágono"),"")</f>
        <v/>
      </c>
      <c r="L26" s="24">
        <f>IFERROR(SUMIFS(Ordenes!$P$2:$P$840,Ordenes!$W$2:$W$840,$B26,Ordenes!$X$2:$X$840,$C26,Ordenes!$T$2:$T$840,"Válida",Ordenes!$F$2:$F$840,"*")/SUMIFS(Ordenes!$Q$2:$Q$840,Ordenes!$W$2:$W$840,$B26,Ordenes!$X$2:$X$840,$C26,Ordenes!$T$2:$T$840,"Válida",Ordenes!$F$2:$F$840,"*"),"")</f>
        <v/>
      </c>
      <c r="M26" s="20">
        <f>IFERROR(SUMIFS(Ordenes!$V$2:$V$840,Ordenes!$W$2:$W$840,$B26,Ordenes!$X$2:$X$840,$C26,Ordenes!$T$2:$T$840,"Válida")/SUMIFS(Ordenes!$Q$2:$Q$840,Ordenes!$W$2:$W$840,$B26,Ordenes!$X$2:$X$840,$C26,Ordenes!$T$2:$T$840,"Válida"),"")</f>
        <v/>
      </c>
      <c r="N26" s="21">
        <f>IFERROR((L26-M26)*100,"")</f>
        <v/>
      </c>
      <c r="O26" s="19">
        <f>SUMIFS(Ordenes!$P$2:$P$840,Ordenes!$W$2:$W$840,$B26,Ordenes!$X$2:$X$840,$C26,Ordenes!$T$2:$T$840,"Válida")</f>
        <v/>
      </c>
      <c r="P26" s="19">
        <f>SUMIFS(Ordenes!$Q$2:$Q$840,Ordenes!$W$2:$W$840,$B26,Ordenes!$X$2:$X$840,$C26,Ordenes!$T$2:$T$840,"Válida")</f>
        <v/>
      </c>
      <c r="Q26" s="18">
        <f>COUNTIFS(Ordenes!$W$2:$W$840,$B26,Ordenes!$X$2:$X$840,$C26,Ordenes!$T$2:$T$840,"Válida")</f>
        <v/>
      </c>
    </row>
    <row r="27">
      <c r="A27" s="18" t="inlineStr">
        <is>
          <t>S24 2026 (8 jun)</t>
        </is>
      </c>
      <c r="B27" s="18" t="n">
        <v>2026</v>
      </c>
      <c r="C27" s="18" t="n">
        <v>24</v>
      </c>
      <c r="D27" s="20">
        <f>IFERROR(SUMIFS(Ordenes!$P$2:$P$840,Ordenes!$W$2:$W$840,$B27,Ordenes!$X$2:$X$840,$C27,Ordenes!$T$2:$T$840,"Válida",Ordenes!$F$2:$F$840,"B Hormigón")/SUMIFS(Ordenes!$Q$2:$Q$840,Ordenes!$W$2:$W$840,$B27,Ordenes!$X$2:$X$840,$C27,Ordenes!$T$2:$T$840,"Válida",Ordenes!$F$2:$F$840,"B Hormigón"),"")</f>
        <v/>
      </c>
      <c r="E27" s="20">
        <f>IFERROR(SUMIFS(Ordenes!$P$2:$P$840,Ordenes!$W$2:$W$840,$B27,Ordenes!$X$2:$X$840,$C27,Ordenes!$T$2:$T$840,"Válida",Ordenes!$F$2:$F$840,"Redondo liso")/SUMIFS(Ordenes!$Q$2:$Q$840,Ordenes!$W$2:$W$840,$B27,Ordenes!$X$2:$X$840,$C27,Ordenes!$T$2:$T$840,"Válida",Ordenes!$F$2:$F$840,"Redondo liso"),"")</f>
        <v/>
      </c>
      <c r="F27" s="20">
        <f>IFERROR(SUMIFS(Ordenes!$P$2:$P$840,Ordenes!$W$2:$W$840,$B27,Ordenes!$X$2:$X$840,$C27,Ordenes!$T$2:$T$840,"Válida",Ordenes!$F$2:$F$840,"Plana")/SUMIFS(Ordenes!$Q$2:$Q$840,Ordenes!$W$2:$W$840,$B27,Ordenes!$X$2:$X$840,$C27,Ordenes!$T$2:$T$840,"Válida",Ordenes!$F$2:$F$840,"Plana"),"")</f>
        <v/>
      </c>
      <c r="G27" s="20">
        <f>IFERROR(SUMIFS(Ordenes!$P$2:$P$840,Ordenes!$W$2:$W$840,$B27,Ordenes!$X$2:$X$840,$C27,Ordenes!$T$2:$T$840,"Válida",Ordenes!$F$2:$F$840,"Ángulo")/SUMIFS(Ordenes!$Q$2:$Q$840,Ordenes!$W$2:$W$840,$B27,Ordenes!$X$2:$X$840,$C27,Ordenes!$T$2:$T$840,"Válida",Ordenes!$F$2:$F$840,"Ángulo"),"")</f>
        <v/>
      </c>
      <c r="H27" s="20">
        <f>IFERROR(SUMIFS(Ordenes!$P$2:$P$840,Ordenes!$W$2:$W$840,$B27,Ordenes!$X$2:$X$840,$C27,Ordenes!$T$2:$T$840,"Válida",Ordenes!$F$2:$F$840,"Cuadrado")/SUMIFS(Ordenes!$Q$2:$Q$840,Ordenes!$W$2:$W$840,$B27,Ordenes!$X$2:$X$840,$C27,Ordenes!$T$2:$T$840,"Válida",Ordenes!$F$2:$F$840,"Cuadrado"),"")</f>
        <v/>
      </c>
      <c r="I27" s="20">
        <f>IFERROR(SUMIFS(Ordenes!$P$2:$P$840,Ordenes!$W$2:$W$840,$B27,Ordenes!$X$2:$X$840,$C27,Ordenes!$T$2:$T$840,"Válida",Ordenes!$F$2:$F$840,"Estrella")/SUMIFS(Ordenes!$Q$2:$Q$840,Ordenes!$W$2:$W$840,$B27,Ordenes!$X$2:$X$840,$C27,Ordenes!$T$2:$T$840,"Válida",Ordenes!$F$2:$F$840,"Estrella"),"")</f>
        <v/>
      </c>
      <c r="J27" s="20">
        <f>IFERROR(SUMIFS(Ordenes!$P$2:$P$840,Ordenes!$W$2:$W$840,$B27,Ordenes!$X$2:$X$840,$C27,Ordenes!$T$2:$T$840,"Válida",Ordenes!$F$2:$F$840,"Saferock")/SUMIFS(Ordenes!$Q$2:$Q$840,Ordenes!$W$2:$W$840,$B27,Ordenes!$X$2:$X$840,$C27,Ordenes!$T$2:$T$840,"Válida",Ordenes!$F$2:$F$840,"Saferock"),"")</f>
        <v/>
      </c>
      <c r="K27" s="20">
        <f>IFERROR(SUMIFS(Ordenes!$P$2:$P$840,Ordenes!$W$2:$W$840,$B27,Ordenes!$X$2:$X$840,$C27,Ordenes!$T$2:$T$840,"Válida",Ordenes!$F$2:$F$840,"Hexágono")/SUMIFS(Ordenes!$Q$2:$Q$840,Ordenes!$W$2:$W$840,$B27,Ordenes!$X$2:$X$840,$C27,Ordenes!$T$2:$T$840,"Válida",Ordenes!$F$2:$F$840,"Hexágono"),"")</f>
        <v/>
      </c>
      <c r="L27" s="24">
        <f>IFERROR(SUMIFS(Ordenes!$P$2:$P$840,Ordenes!$W$2:$W$840,$B27,Ordenes!$X$2:$X$840,$C27,Ordenes!$T$2:$T$840,"Válida",Ordenes!$F$2:$F$840,"*")/SUMIFS(Ordenes!$Q$2:$Q$840,Ordenes!$W$2:$W$840,$B27,Ordenes!$X$2:$X$840,$C27,Ordenes!$T$2:$T$840,"Válida",Ordenes!$F$2:$F$840,"*"),"")</f>
        <v/>
      </c>
      <c r="M27" s="20">
        <f>IFERROR(SUMIFS(Ordenes!$V$2:$V$840,Ordenes!$W$2:$W$840,$B27,Ordenes!$X$2:$X$840,$C27,Ordenes!$T$2:$T$840,"Válida")/SUMIFS(Ordenes!$Q$2:$Q$840,Ordenes!$W$2:$W$840,$B27,Ordenes!$X$2:$X$840,$C27,Ordenes!$T$2:$T$840,"Válida"),"")</f>
        <v/>
      </c>
      <c r="N27" s="21">
        <f>IFERROR((L27-M27)*100,"")</f>
        <v/>
      </c>
      <c r="O27" s="19">
        <f>SUMIFS(Ordenes!$P$2:$P$840,Ordenes!$W$2:$W$840,$B27,Ordenes!$X$2:$X$840,$C27,Ordenes!$T$2:$T$840,"Válida")</f>
        <v/>
      </c>
      <c r="P27" s="19">
        <f>SUMIFS(Ordenes!$Q$2:$Q$840,Ordenes!$W$2:$W$840,$B27,Ordenes!$X$2:$X$840,$C27,Ordenes!$T$2:$T$840,"Válida")</f>
        <v/>
      </c>
      <c r="Q27" s="18">
        <f>COUNTIFS(Ordenes!$W$2:$W$840,$B27,Ordenes!$X$2:$X$840,$C27,Ordenes!$T$2:$T$840,"Válida")</f>
        <v/>
      </c>
    </row>
    <row r="28">
      <c r="A28" s="18" t="inlineStr">
        <is>
          <t>S25 2026 (15 jun)</t>
        </is>
      </c>
      <c r="B28" s="18" t="n">
        <v>2026</v>
      </c>
      <c r="C28" s="18" t="n">
        <v>25</v>
      </c>
      <c r="D28" s="20">
        <f>IFERROR(SUMIFS(Ordenes!$P$2:$P$840,Ordenes!$W$2:$W$840,$B28,Ordenes!$X$2:$X$840,$C28,Ordenes!$T$2:$T$840,"Válida",Ordenes!$F$2:$F$840,"B Hormigón")/SUMIFS(Ordenes!$Q$2:$Q$840,Ordenes!$W$2:$W$840,$B28,Ordenes!$X$2:$X$840,$C28,Ordenes!$T$2:$T$840,"Válida",Ordenes!$F$2:$F$840,"B Hormigón"),"")</f>
        <v/>
      </c>
      <c r="E28" s="20">
        <f>IFERROR(SUMIFS(Ordenes!$P$2:$P$840,Ordenes!$W$2:$W$840,$B28,Ordenes!$X$2:$X$840,$C28,Ordenes!$T$2:$T$840,"Válida",Ordenes!$F$2:$F$840,"Redondo liso")/SUMIFS(Ordenes!$Q$2:$Q$840,Ordenes!$W$2:$W$840,$B28,Ordenes!$X$2:$X$840,$C28,Ordenes!$T$2:$T$840,"Válida",Ordenes!$F$2:$F$840,"Redondo liso"),"")</f>
        <v/>
      </c>
      <c r="F28" s="20">
        <f>IFERROR(SUMIFS(Ordenes!$P$2:$P$840,Ordenes!$W$2:$W$840,$B28,Ordenes!$X$2:$X$840,$C28,Ordenes!$T$2:$T$840,"Válida",Ordenes!$F$2:$F$840,"Plana")/SUMIFS(Ordenes!$Q$2:$Q$840,Ordenes!$W$2:$W$840,$B28,Ordenes!$X$2:$X$840,$C28,Ordenes!$T$2:$T$840,"Válida",Ordenes!$F$2:$F$840,"Plana"),"")</f>
        <v/>
      </c>
      <c r="G28" s="20">
        <f>IFERROR(SUMIFS(Ordenes!$P$2:$P$840,Ordenes!$W$2:$W$840,$B28,Ordenes!$X$2:$X$840,$C28,Ordenes!$T$2:$T$840,"Válida",Ordenes!$F$2:$F$840,"Ángulo")/SUMIFS(Ordenes!$Q$2:$Q$840,Ordenes!$W$2:$W$840,$B28,Ordenes!$X$2:$X$840,$C28,Ordenes!$T$2:$T$840,"Válida",Ordenes!$F$2:$F$840,"Ángulo"),"")</f>
        <v/>
      </c>
      <c r="H28" s="20">
        <f>IFERROR(SUMIFS(Ordenes!$P$2:$P$840,Ordenes!$W$2:$W$840,$B28,Ordenes!$X$2:$X$840,$C28,Ordenes!$T$2:$T$840,"Válida",Ordenes!$F$2:$F$840,"Cuadrado")/SUMIFS(Ordenes!$Q$2:$Q$840,Ordenes!$W$2:$W$840,$B28,Ordenes!$X$2:$X$840,$C28,Ordenes!$T$2:$T$840,"Válida",Ordenes!$F$2:$F$840,"Cuadrado"),"")</f>
        <v/>
      </c>
      <c r="I28" s="20">
        <f>IFERROR(SUMIFS(Ordenes!$P$2:$P$840,Ordenes!$W$2:$W$840,$B28,Ordenes!$X$2:$X$840,$C28,Ordenes!$T$2:$T$840,"Válida",Ordenes!$F$2:$F$840,"Estrella")/SUMIFS(Ordenes!$Q$2:$Q$840,Ordenes!$W$2:$W$840,$B28,Ordenes!$X$2:$X$840,$C28,Ordenes!$T$2:$T$840,"Válida",Ordenes!$F$2:$F$840,"Estrella"),"")</f>
        <v/>
      </c>
      <c r="J28" s="20">
        <f>IFERROR(SUMIFS(Ordenes!$P$2:$P$840,Ordenes!$W$2:$W$840,$B28,Ordenes!$X$2:$X$840,$C28,Ordenes!$T$2:$T$840,"Válida",Ordenes!$F$2:$F$840,"Saferock")/SUMIFS(Ordenes!$Q$2:$Q$840,Ordenes!$W$2:$W$840,$B28,Ordenes!$X$2:$X$840,$C28,Ordenes!$T$2:$T$840,"Válida",Ordenes!$F$2:$F$840,"Saferock"),"")</f>
        <v/>
      </c>
      <c r="K28" s="20">
        <f>IFERROR(SUMIFS(Ordenes!$P$2:$P$840,Ordenes!$W$2:$W$840,$B28,Ordenes!$X$2:$X$840,$C28,Ordenes!$T$2:$T$840,"Válida",Ordenes!$F$2:$F$840,"Hexágono")/SUMIFS(Ordenes!$Q$2:$Q$840,Ordenes!$W$2:$W$840,$B28,Ordenes!$X$2:$X$840,$C28,Ordenes!$T$2:$T$840,"Válida",Ordenes!$F$2:$F$840,"Hexágono"),"")</f>
        <v/>
      </c>
      <c r="L28" s="24">
        <f>IFERROR(SUMIFS(Ordenes!$P$2:$P$840,Ordenes!$W$2:$W$840,$B28,Ordenes!$X$2:$X$840,$C28,Ordenes!$T$2:$T$840,"Válida",Ordenes!$F$2:$F$840,"*")/SUMIFS(Ordenes!$Q$2:$Q$840,Ordenes!$W$2:$W$840,$B28,Ordenes!$X$2:$X$840,$C28,Ordenes!$T$2:$T$840,"Válida",Ordenes!$F$2:$F$840,"*"),"")</f>
        <v/>
      </c>
      <c r="M28" s="20">
        <f>IFERROR(SUMIFS(Ordenes!$V$2:$V$840,Ordenes!$W$2:$W$840,$B28,Ordenes!$X$2:$X$840,$C28,Ordenes!$T$2:$T$840,"Válida")/SUMIFS(Ordenes!$Q$2:$Q$840,Ordenes!$W$2:$W$840,$B28,Ordenes!$X$2:$X$840,$C28,Ordenes!$T$2:$T$840,"Válida"),"")</f>
        <v/>
      </c>
      <c r="N28" s="21">
        <f>IFERROR((L28-M28)*100,"")</f>
        <v/>
      </c>
      <c r="O28" s="19">
        <f>SUMIFS(Ordenes!$P$2:$P$840,Ordenes!$W$2:$W$840,$B28,Ordenes!$X$2:$X$840,$C28,Ordenes!$T$2:$T$840,"Válida")</f>
        <v/>
      </c>
      <c r="P28" s="19">
        <f>SUMIFS(Ordenes!$Q$2:$Q$840,Ordenes!$W$2:$W$840,$B28,Ordenes!$X$2:$X$840,$C28,Ordenes!$T$2:$T$840,"Válida")</f>
        <v/>
      </c>
      <c r="Q28" s="18">
        <f>COUNTIFS(Ordenes!$W$2:$W$840,$B28,Ordenes!$X$2:$X$840,$C28,Ordenes!$T$2:$T$840,"Válida")</f>
        <v/>
      </c>
    </row>
    <row r="29">
      <c r="A29" s="18" t="inlineStr">
        <is>
          <t>S26 2026 (22 jun)</t>
        </is>
      </c>
      <c r="B29" s="18" t="n">
        <v>2026</v>
      </c>
      <c r="C29" s="18" t="n">
        <v>26</v>
      </c>
      <c r="D29" s="20">
        <f>IFERROR(SUMIFS(Ordenes!$P$2:$P$840,Ordenes!$W$2:$W$840,$B29,Ordenes!$X$2:$X$840,$C29,Ordenes!$T$2:$T$840,"Válida",Ordenes!$F$2:$F$840,"B Hormigón")/SUMIFS(Ordenes!$Q$2:$Q$840,Ordenes!$W$2:$W$840,$B29,Ordenes!$X$2:$X$840,$C29,Ordenes!$T$2:$T$840,"Válida",Ordenes!$F$2:$F$840,"B Hormigón"),"")</f>
        <v/>
      </c>
      <c r="E29" s="20">
        <f>IFERROR(SUMIFS(Ordenes!$P$2:$P$840,Ordenes!$W$2:$W$840,$B29,Ordenes!$X$2:$X$840,$C29,Ordenes!$T$2:$T$840,"Válida",Ordenes!$F$2:$F$840,"Redondo liso")/SUMIFS(Ordenes!$Q$2:$Q$840,Ordenes!$W$2:$W$840,$B29,Ordenes!$X$2:$X$840,$C29,Ordenes!$T$2:$T$840,"Válida",Ordenes!$F$2:$F$840,"Redondo liso"),"")</f>
        <v/>
      </c>
      <c r="F29" s="20">
        <f>IFERROR(SUMIFS(Ordenes!$P$2:$P$840,Ordenes!$W$2:$W$840,$B29,Ordenes!$X$2:$X$840,$C29,Ordenes!$T$2:$T$840,"Válida",Ordenes!$F$2:$F$840,"Plana")/SUMIFS(Ordenes!$Q$2:$Q$840,Ordenes!$W$2:$W$840,$B29,Ordenes!$X$2:$X$840,$C29,Ordenes!$T$2:$T$840,"Válida",Ordenes!$F$2:$F$840,"Plana"),"")</f>
        <v/>
      </c>
      <c r="G29" s="20">
        <f>IFERROR(SUMIFS(Ordenes!$P$2:$P$840,Ordenes!$W$2:$W$840,$B29,Ordenes!$X$2:$X$840,$C29,Ordenes!$T$2:$T$840,"Válida",Ordenes!$F$2:$F$840,"Ángulo")/SUMIFS(Ordenes!$Q$2:$Q$840,Ordenes!$W$2:$W$840,$B29,Ordenes!$X$2:$X$840,$C29,Ordenes!$T$2:$T$840,"Válida",Ordenes!$F$2:$F$840,"Ángulo"),"")</f>
        <v/>
      </c>
      <c r="H29" s="20">
        <f>IFERROR(SUMIFS(Ordenes!$P$2:$P$840,Ordenes!$W$2:$W$840,$B29,Ordenes!$X$2:$X$840,$C29,Ordenes!$T$2:$T$840,"Válida",Ordenes!$F$2:$F$840,"Cuadrado")/SUMIFS(Ordenes!$Q$2:$Q$840,Ordenes!$W$2:$W$840,$B29,Ordenes!$X$2:$X$840,$C29,Ordenes!$T$2:$T$840,"Válida",Ordenes!$F$2:$F$840,"Cuadrado"),"")</f>
        <v/>
      </c>
      <c r="I29" s="20">
        <f>IFERROR(SUMIFS(Ordenes!$P$2:$P$840,Ordenes!$W$2:$W$840,$B29,Ordenes!$X$2:$X$840,$C29,Ordenes!$T$2:$T$840,"Válida",Ordenes!$F$2:$F$840,"Estrella")/SUMIFS(Ordenes!$Q$2:$Q$840,Ordenes!$W$2:$W$840,$B29,Ordenes!$X$2:$X$840,$C29,Ordenes!$T$2:$T$840,"Válida",Ordenes!$F$2:$F$840,"Estrella"),"")</f>
        <v/>
      </c>
      <c r="J29" s="20">
        <f>IFERROR(SUMIFS(Ordenes!$P$2:$P$840,Ordenes!$W$2:$W$840,$B29,Ordenes!$X$2:$X$840,$C29,Ordenes!$T$2:$T$840,"Válida",Ordenes!$F$2:$F$840,"Saferock")/SUMIFS(Ordenes!$Q$2:$Q$840,Ordenes!$W$2:$W$840,$B29,Ordenes!$X$2:$X$840,$C29,Ordenes!$T$2:$T$840,"Válida",Ordenes!$F$2:$F$840,"Saferock"),"")</f>
        <v/>
      </c>
      <c r="K29" s="20">
        <f>IFERROR(SUMIFS(Ordenes!$P$2:$P$840,Ordenes!$W$2:$W$840,$B29,Ordenes!$X$2:$X$840,$C29,Ordenes!$T$2:$T$840,"Válida",Ordenes!$F$2:$F$840,"Hexágono")/SUMIFS(Ordenes!$Q$2:$Q$840,Ordenes!$W$2:$W$840,$B29,Ordenes!$X$2:$X$840,$C29,Ordenes!$T$2:$T$840,"Válida",Ordenes!$F$2:$F$840,"Hexágono"),"")</f>
        <v/>
      </c>
      <c r="L29" s="24">
        <f>IFERROR(SUMIFS(Ordenes!$P$2:$P$840,Ordenes!$W$2:$W$840,$B29,Ordenes!$X$2:$X$840,$C29,Ordenes!$T$2:$T$840,"Válida",Ordenes!$F$2:$F$840,"*")/SUMIFS(Ordenes!$Q$2:$Q$840,Ordenes!$W$2:$W$840,$B29,Ordenes!$X$2:$X$840,$C29,Ordenes!$T$2:$T$840,"Válida",Ordenes!$F$2:$F$840,"*"),"")</f>
        <v/>
      </c>
      <c r="M29" s="20">
        <f>IFERROR(SUMIFS(Ordenes!$V$2:$V$840,Ordenes!$W$2:$W$840,$B29,Ordenes!$X$2:$X$840,$C29,Ordenes!$T$2:$T$840,"Válida")/SUMIFS(Ordenes!$Q$2:$Q$840,Ordenes!$W$2:$W$840,$B29,Ordenes!$X$2:$X$840,$C29,Ordenes!$T$2:$T$840,"Válida"),"")</f>
        <v/>
      </c>
      <c r="N29" s="21">
        <f>IFERROR((L29-M29)*100,"")</f>
        <v/>
      </c>
      <c r="O29" s="19">
        <f>SUMIFS(Ordenes!$P$2:$P$840,Ordenes!$W$2:$W$840,$B29,Ordenes!$X$2:$X$840,$C29,Ordenes!$T$2:$T$840,"Válida")</f>
        <v/>
      </c>
      <c r="P29" s="19">
        <f>SUMIFS(Ordenes!$Q$2:$Q$840,Ordenes!$W$2:$W$840,$B29,Ordenes!$X$2:$X$840,$C29,Ordenes!$T$2:$T$840,"Válida")</f>
        <v/>
      </c>
      <c r="Q29" s="18">
        <f>COUNTIFS(Ordenes!$W$2:$W$840,$B29,Ordenes!$X$2:$X$840,$C29,Ordenes!$T$2:$T$840,"Válida")</f>
        <v/>
      </c>
    </row>
    <row r="30">
      <c r="A30" s="18" t="inlineStr">
        <is>
          <t>S27 2026 (29 jun)</t>
        </is>
      </c>
      <c r="B30" s="18" t="n">
        <v>2026</v>
      </c>
      <c r="C30" s="18" t="n">
        <v>27</v>
      </c>
      <c r="D30" s="20">
        <f>IFERROR(SUMIFS(Ordenes!$P$2:$P$840,Ordenes!$W$2:$W$840,$B30,Ordenes!$X$2:$X$840,$C30,Ordenes!$T$2:$T$840,"Válida",Ordenes!$F$2:$F$840,"B Hormigón")/SUMIFS(Ordenes!$Q$2:$Q$840,Ordenes!$W$2:$W$840,$B30,Ordenes!$X$2:$X$840,$C30,Ordenes!$T$2:$T$840,"Válida",Ordenes!$F$2:$F$840,"B Hormigón"),"")</f>
        <v/>
      </c>
      <c r="E30" s="20">
        <f>IFERROR(SUMIFS(Ordenes!$P$2:$P$840,Ordenes!$W$2:$W$840,$B30,Ordenes!$X$2:$X$840,$C30,Ordenes!$T$2:$T$840,"Válida",Ordenes!$F$2:$F$840,"Redondo liso")/SUMIFS(Ordenes!$Q$2:$Q$840,Ordenes!$W$2:$W$840,$B30,Ordenes!$X$2:$X$840,$C30,Ordenes!$T$2:$T$840,"Válida",Ordenes!$F$2:$F$840,"Redondo liso"),"")</f>
        <v/>
      </c>
      <c r="F30" s="20">
        <f>IFERROR(SUMIFS(Ordenes!$P$2:$P$840,Ordenes!$W$2:$W$840,$B30,Ordenes!$X$2:$X$840,$C30,Ordenes!$T$2:$T$840,"Válida",Ordenes!$F$2:$F$840,"Plana")/SUMIFS(Ordenes!$Q$2:$Q$840,Ordenes!$W$2:$W$840,$B30,Ordenes!$X$2:$X$840,$C30,Ordenes!$T$2:$T$840,"Válida",Ordenes!$F$2:$F$840,"Plana"),"")</f>
        <v/>
      </c>
      <c r="G30" s="20">
        <f>IFERROR(SUMIFS(Ordenes!$P$2:$P$840,Ordenes!$W$2:$W$840,$B30,Ordenes!$X$2:$X$840,$C30,Ordenes!$T$2:$T$840,"Válida",Ordenes!$F$2:$F$840,"Ángulo")/SUMIFS(Ordenes!$Q$2:$Q$840,Ordenes!$W$2:$W$840,$B30,Ordenes!$X$2:$X$840,$C30,Ordenes!$T$2:$T$840,"Válida",Ordenes!$F$2:$F$840,"Ángulo"),"")</f>
        <v/>
      </c>
      <c r="H30" s="20">
        <f>IFERROR(SUMIFS(Ordenes!$P$2:$P$840,Ordenes!$W$2:$W$840,$B30,Ordenes!$X$2:$X$840,$C30,Ordenes!$T$2:$T$840,"Válida",Ordenes!$F$2:$F$840,"Cuadrado")/SUMIFS(Ordenes!$Q$2:$Q$840,Ordenes!$W$2:$W$840,$B30,Ordenes!$X$2:$X$840,$C30,Ordenes!$T$2:$T$840,"Válida",Ordenes!$F$2:$F$840,"Cuadrado"),"")</f>
        <v/>
      </c>
      <c r="I30" s="20">
        <f>IFERROR(SUMIFS(Ordenes!$P$2:$P$840,Ordenes!$W$2:$W$840,$B30,Ordenes!$X$2:$X$840,$C30,Ordenes!$T$2:$T$840,"Válida",Ordenes!$F$2:$F$840,"Estrella")/SUMIFS(Ordenes!$Q$2:$Q$840,Ordenes!$W$2:$W$840,$B30,Ordenes!$X$2:$X$840,$C30,Ordenes!$T$2:$T$840,"Válida",Ordenes!$F$2:$F$840,"Estrella"),"")</f>
        <v/>
      </c>
      <c r="J30" s="20">
        <f>IFERROR(SUMIFS(Ordenes!$P$2:$P$840,Ordenes!$W$2:$W$840,$B30,Ordenes!$X$2:$X$840,$C30,Ordenes!$T$2:$T$840,"Válida",Ordenes!$F$2:$F$840,"Saferock")/SUMIFS(Ordenes!$Q$2:$Q$840,Ordenes!$W$2:$W$840,$B30,Ordenes!$X$2:$X$840,$C30,Ordenes!$T$2:$T$840,"Válida",Ordenes!$F$2:$F$840,"Saferock"),"")</f>
        <v/>
      </c>
      <c r="K30" s="20">
        <f>IFERROR(SUMIFS(Ordenes!$P$2:$P$840,Ordenes!$W$2:$W$840,$B30,Ordenes!$X$2:$X$840,$C30,Ordenes!$T$2:$T$840,"Válida",Ordenes!$F$2:$F$840,"Hexágono")/SUMIFS(Ordenes!$Q$2:$Q$840,Ordenes!$W$2:$W$840,$B30,Ordenes!$X$2:$X$840,$C30,Ordenes!$T$2:$T$840,"Válida",Ordenes!$F$2:$F$840,"Hexágono"),"")</f>
        <v/>
      </c>
      <c r="L30" s="24">
        <f>IFERROR(SUMIFS(Ordenes!$P$2:$P$840,Ordenes!$W$2:$W$840,$B30,Ordenes!$X$2:$X$840,$C30,Ordenes!$T$2:$T$840,"Válida",Ordenes!$F$2:$F$840,"*")/SUMIFS(Ordenes!$Q$2:$Q$840,Ordenes!$W$2:$W$840,$B30,Ordenes!$X$2:$X$840,$C30,Ordenes!$T$2:$T$840,"Válida",Ordenes!$F$2:$F$840,"*"),"")</f>
        <v/>
      </c>
      <c r="M30" s="20">
        <f>IFERROR(SUMIFS(Ordenes!$V$2:$V$840,Ordenes!$W$2:$W$840,$B30,Ordenes!$X$2:$X$840,$C30,Ordenes!$T$2:$T$840,"Válida")/SUMIFS(Ordenes!$Q$2:$Q$840,Ordenes!$W$2:$W$840,$B30,Ordenes!$X$2:$X$840,$C30,Ordenes!$T$2:$T$840,"Válida"),"")</f>
        <v/>
      </c>
      <c r="N30" s="21">
        <f>IFERROR((L30-M30)*100,"")</f>
        <v/>
      </c>
      <c r="O30" s="19">
        <f>SUMIFS(Ordenes!$P$2:$P$840,Ordenes!$W$2:$W$840,$B30,Ordenes!$X$2:$X$840,$C30,Ordenes!$T$2:$T$840,"Válida")</f>
        <v/>
      </c>
      <c r="P30" s="19">
        <f>SUMIFS(Ordenes!$Q$2:$Q$840,Ordenes!$W$2:$W$840,$B30,Ordenes!$X$2:$X$840,$C30,Ordenes!$T$2:$T$840,"Válida")</f>
        <v/>
      </c>
      <c r="Q30" s="18">
        <f>COUNTIFS(Ordenes!$W$2:$W$840,$B30,Ordenes!$X$2:$X$840,$C30,Ordenes!$T$2:$T$840,"Válida")</f>
        <v/>
      </c>
    </row>
    <row r="31">
      <c r="A31" s="18" t="inlineStr">
        <is>
          <t>S28 2026 (6 jul)</t>
        </is>
      </c>
      <c r="B31" s="18" t="n">
        <v>2026</v>
      </c>
      <c r="C31" s="18" t="n">
        <v>28</v>
      </c>
      <c r="D31" s="20">
        <f>IFERROR(SUMIFS(Ordenes!$P$2:$P$840,Ordenes!$W$2:$W$840,$B31,Ordenes!$X$2:$X$840,$C31,Ordenes!$T$2:$T$840,"Válida",Ordenes!$F$2:$F$840,"B Hormigón")/SUMIFS(Ordenes!$Q$2:$Q$840,Ordenes!$W$2:$W$840,$B31,Ordenes!$X$2:$X$840,$C31,Ordenes!$T$2:$T$840,"Válida",Ordenes!$F$2:$F$840,"B Hormigón"),"")</f>
        <v/>
      </c>
      <c r="E31" s="20">
        <f>IFERROR(SUMIFS(Ordenes!$P$2:$P$840,Ordenes!$W$2:$W$840,$B31,Ordenes!$X$2:$X$840,$C31,Ordenes!$T$2:$T$840,"Válida",Ordenes!$F$2:$F$840,"Redondo liso")/SUMIFS(Ordenes!$Q$2:$Q$840,Ordenes!$W$2:$W$840,$B31,Ordenes!$X$2:$X$840,$C31,Ordenes!$T$2:$T$840,"Válida",Ordenes!$F$2:$F$840,"Redondo liso"),"")</f>
        <v/>
      </c>
      <c r="F31" s="20">
        <f>IFERROR(SUMIFS(Ordenes!$P$2:$P$840,Ordenes!$W$2:$W$840,$B31,Ordenes!$X$2:$X$840,$C31,Ordenes!$T$2:$T$840,"Válida",Ordenes!$F$2:$F$840,"Plana")/SUMIFS(Ordenes!$Q$2:$Q$840,Ordenes!$W$2:$W$840,$B31,Ordenes!$X$2:$X$840,$C31,Ordenes!$T$2:$T$840,"Válida",Ordenes!$F$2:$F$840,"Plana"),"")</f>
        <v/>
      </c>
      <c r="G31" s="20">
        <f>IFERROR(SUMIFS(Ordenes!$P$2:$P$840,Ordenes!$W$2:$W$840,$B31,Ordenes!$X$2:$X$840,$C31,Ordenes!$T$2:$T$840,"Válida",Ordenes!$F$2:$F$840,"Ángulo")/SUMIFS(Ordenes!$Q$2:$Q$840,Ordenes!$W$2:$W$840,$B31,Ordenes!$X$2:$X$840,$C31,Ordenes!$T$2:$T$840,"Válida",Ordenes!$F$2:$F$840,"Ángulo"),"")</f>
        <v/>
      </c>
      <c r="H31" s="20">
        <f>IFERROR(SUMIFS(Ordenes!$P$2:$P$840,Ordenes!$W$2:$W$840,$B31,Ordenes!$X$2:$X$840,$C31,Ordenes!$T$2:$T$840,"Válida",Ordenes!$F$2:$F$840,"Cuadrado")/SUMIFS(Ordenes!$Q$2:$Q$840,Ordenes!$W$2:$W$840,$B31,Ordenes!$X$2:$X$840,$C31,Ordenes!$T$2:$T$840,"Válida",Ordenes!$F$2:$F$840,"Cuadrado"),"")</f>
        <v/>
      </c>
      <c r="I31" s="20">
        <f>IFERROR(SUMIFS(Ordenes!$P$2:$P$840,Ordenes!$W$2:$W$840,$B31,Ordenes!$X$2:$X$840,$C31,Ordenes!$T$2:$T$840,"Válida",Ordenes!$F$2:$F$840,"Estrella")/SUMIFS(Ordenes!$Q$2:$Q$840,Ordenes!$W$2:$W$840,$B31,Ordenes!$X$2:$X$840,$C31,Ordenes!$T$2:$T$840,"Válida",Ordenes!$F$2:$F$840,"Estrella"),"")</f>
        <v/>
      </c>
      <c r="J31" s="20">
        <f>IFERROR(SUMIFS(Ordenes!$P$2:$P$840,Ordenes!$W$2:$W$840,$B31,Ordenes!$X$2:$X$840,$C31,Ordenes!$T$2:$T$840,"Válida",Ordenes!$F$2:$F$840,"Saferock")/SUMIFS(Ordenes!$Q$2:$Q$840,Ordenes!$W$2:$W$840,$B31,Ordenes!$X$2:$X$840,$C31,Ordenes!$T$2:$T$840,"Válida",Ordenes!$F$2:$F$840,"Saferock"),"")</f>
        <v/>
      </c>
      <c r="K31" s="20">
        <f>IFERROR(SUMIFS(Ordenes!$P$2:$P$840,Ordenes!$W$2:$W$840,$B31,Ordenes!$X$2:$X$840,$C31,Ordenes!$T$2:$T$840,"Válida",Ordenes!$F$2:$F$840,"Hexágono")/SUMIFS(Ordenes!$Q$2:$Q$840,Ordenes!$W$2:$W$840,$B31,Ordenes!$X$2:$X$840,$C31,Ordenes!$T$2:$T$840,"Válida",Ordenes!$F$2:$F$840,"Hexágono"),"")</f>
        <v/>
      </c>
      <c r="L31" s="24">
        <f>IFERROR(SUMIFS(Ordenes!$P$2:$P$840,Ordenes!$W$2:$W$840,$B31,Ordenes!$X$2:$X$840,$C31,Ordenes!$T$2:$T$840,"Válida",Ordenes!$F$2:$F$840,"*")/SUMIFS(Ordenes!$Q$2:$Q$840,Ordenes!$W$2:$W$840,$B31,Ordenes!$X$2:$X$840,$C31,Ordenes!$T$2:$T$840,"Válida",Ordenes!$F$2:$F$840,"*"),"")</f>
        <v/>
      </c>
      <c r="M31" s="20">
        <f>IFERROR(SUMIFS(Ordenes!$V$2:$V$840,Ordenes!$W$2:$W$840,$B31,Ordenes!$X$2:$X$840,$C31,Ordenes!$T$2:$T$840,"Válida")/SUMIFS(Ordenes!$Q$2:$Q$840,Ordenes!$W$2:$W$840,$B31,Ordenes!$X$2:$X$840,$C31,Ordenes!$T$2:$T$840,"Válida"),"")</f>
        <v/>
      </c>
      <c r="N31" s="21">
        <f>IFERROR((L31-M31)*100,"")</f>
        <v/>
      </c>
      <c r="O31" s="19">
        <f>SUMIFS(Ordenes!$P$2:$P$840,Ordenes!$W$2:$W$840,$B31,Ordenes!$X$2:$X$840,$C31,Ordenes!$T$2:$T$840,"Válida")</f>
        <v/>
      </c>
      <c r="P31" s="19">
        <f>SUMIFS(Ordenes!$Q$2:$Q$840,Ordenes!$W$2:$W$840,$B31,Ordenes!$X$2:$X$840,$C31,Ordenes!$T$2:$T$840,"Válida")</f>
        <v/>
      </c>
      <c r="Q31" s="18">
        <f>COUNTIFS(Ordenes!$W$2:$W$840,$B31,Ordenes!$X$2:$X$840,$C31,Ordenes!$T$2:$T$840,"Válida")</f>
        <v/>
      </c>
    </row>
    <row r="32">
      <c r="A32" s="18" t="inlineStr">
        <is>
          <t>S29 2026 (13 jul)</t>
        </is>
      </c>
      <c r="B32" s="18" t="n">
        <v>2026</v>
      </c>
      <c r="C32" s="18" t="n">
        <v>29</v>
      </c>
      <c r="D32" s="20">
        <f>IFERROR(SUMIFS(Ordenes!$P$2:$P$840,Ordenes!$W$2:$W$840,$B32,Ordenes!$X$2:$X$840,$C32,Ordenes!$T$2:$T$840,"Válida",Ordenes!$F$2:$F$840,"B Hormigón")/SUMIFS(Ordenes!$Q$2:$Q$840,Ordenes!$W$2:$W$840,$B32,Ordenes!$X$2:$X$840,$C32,Ordenes!$T$2:$T$840,"Válida",Ordenes!$F$2:$F$840,"B Hormigón"),"")</f>
        <v/>
      </c>
      <c r="E32" s="20">
        <f>IFERROR(SUMIFS(Ordenes!$P$2:$P$840,Ordenes!$W$2:$W$840,$B32,Ordenes!$X$2:$X$840,$C32,Ordenes!$T$2:$T$840,"Válida",Ordenes!$F$2:$F$840,"Redondo liso")/SUMIFS(Ordenes!$Q$2:$Q$840,Ordenes!$W$2:$W$840,$B32,Ordenes!$X$2:$X$840,$C32,Ordenes!$T$2:$T$840,"Válida",Ordenes!$F$2:$F$840,"Redondo liso"),"")</f>
        <v/>
      </c>
      <c r="F32" s="20">
        <f>IFERROR(SUMIFS(Ordenes!$P$2:$P$840,Ordenes!$W$2:$W$840,$B32,Ordenes!$X$2:$X$840,$C32,Ordenes!$T$2:$T$840,"Válida",Ordenes!$F$2:$F$840,"Plana")/SUMIFS(Ordenes!$Q$2:$Q$840,Ordenes!$W$2:$W$840,$B32,Ordenes!$X$2:$X$840,$C32,Ordenes!$T$2:$T$840,"Válida",Ordenes!$F$2:$F$840,"Plana"),"")</f>
        <v/>
      </c>
      <c r="G32" s="20">
        <f>IFERROR(SUMIFS(Ordenes!$P$2:$P$840,Ordenes!$W$2:$W$840,$B32,Ordenes!$X$2:$X$840,$C32,Ordenes!$T$2:$T$840,"Válida",Ordenes!$F$2:$F$840,"Ángulo")/SUMIFS(Ordenes!$Q$2:$Q$840,Ordenes!$W$2:$W$840,$B32,Ordenes!$X$2:$X$840,$C32,Ordenes!$T$2:$T$840,"Válida",Ordenes!$F$2:$F$840,"Ángulo"),"")</f>
        <v/>
      </c>
      <c r="H32" s="20">
        <f>IFERROR(SUMIFS(Ordenes!$P$2:$P$840,Ordenes!$W$2:$W$840,$B32,Ordenes!$X$2:$X$840,$C32,Ordenes!$T$2:$T$840,"Válida",Ordenes!$F$2:$F$840,"Cuadrado")/SUMIFS(Ordenes!$Q$2:$Q$840,Ordenes!$W$2:$W$840,$B32,Ordenes!$X$2:$X$840,$C32,Ordenes!$T$2:$T$840,"Válida",Ordenes!$F$2:$F$840,"Cuadrado"),"")</f>
        <v/>
      </c>
      <c r="I32" s="20">
        <f>IFERROR(SUMIFS(Ordenes!$P$2:$P$840,Ordenes!$W$2:$W$840,$B32,Ordenes!$X$2:$X$840,$C32,Ordenes!$T$2:$T$840,"Válida",Ordenes!$F$2:$F$840,"Estrella")/SUMIFS(Ordenes!$Q$2:$Q$840,Ordenes!$W$2:$W$840,$B32,Ordenes!$X$2:$X$840,$C32,Ordenes!$T$2:$T$840,"Válida",Ordenes!$F$2:$F$840,"Estrella"),"")</f>
        <v/>
      </c>
      <c r="J32" s="20">
        <f>IFERROR(SUMIFS(Ordenes!$P$2:$P$840,Ordenes!$W$2:$W$840,$B32,Ordenes!$X$2:$X$840,$C32,Ordenes!$T$2:$T$840,"Válida",Ordenes!$F$2:$F$840,"Saferock")/SUMIFS(Ordenes!$Q$2:$Q$840,Ordenes!$W$2:$W$840,$B32,Ordenes!$X$2:$X$840,$C32,Ordenes!$T$2:$T$840,"Válida",Ordenes!$F$2:$F$840,"Saferock"),"")</f>
        <v/>
      </c>
      <c r="K32" s="20">
        <f>IFERROR(SUMIFS(Ordenes!$P$2:$P$840,Ordenes!$W$2:$W$840,$B32,Ordenes!$X$2:$X$840,$C32,Ordenes!$T$2:$T$840,"Válida",Ordenes!$F$2:$F$840,"Hexágono")/SUMIFS(Ordenes!$Q$2:$Q$840,Ordenes!$W$2:$W$840,$B32,Ordenes!$X$2:$X$840,$C32,Ordenes!$T$2:$T$840,"Válida",Ordenes!$F$2:$F$840,"Hexágono"),"")</f>
        <v/>
      </c>
      <c r="L32" s="24">
        <f>IFERROR(SUMIFS(Ordenes!$P$2:$P$840,Ordenes!$W$2:$W$840,$B32,Ordenes!$X$2:$X$840,$C32,Ordenes!$T$2:$T$840,"Válida",Ordenes!$F$2:$F$840,"*")/SUMIFS(Ordenes!$Q$2:$Q$840,Ordenes!$W$2:$W$840,$B32,Ordenes!$X$2:$X$840,$C32,Ordenes!$T$2:$T$840,"Válida",Ordenes!$F$2:$F$840,"*"),"")</f>
        <v/>
      </c>
      <c r="M32" s="20">
        <f>IFERROR(SUMIFS(Ordenes!$V$2:$V$840,Ordenes!$W$2:$W$840,$B32,Ordenes!$X$2:$X$840,$C32,Ordenes!$T$2:$T$840,"Válida")/SUMIFS(Ordenes!$Q$2:$Q$840,Ordenes!$W$2:$W$840,$B32,Ordenes!$X$2:$X$840,$C32,Ordenes!$T$2:$T$840,"Válida"),"")</f>
        <v/>
      </c>
      <c r="N32" s="21">
        <f>IFERROR((L32-M32)*100,"")</f>
        <v/>
      </c>
      <c r="O32" s="19">
        <f>SUMIFS(Ordenes!$P$2:$P$840,Ordenes!$W$2:$W$840,$B32,Ordenes!$X$2:$X$840,$C32,Ordenes!$T$2:$T$840,"Válida")</f>
        <v/>
      </c>
      <c r="P32" s="19">
        <f>SUMIFS(Ordenes!$Q$2:$Q$840,Ordenes!$W$2:$W$840,$B32,Ordenes!$X$2:$X$840,$C32,Ordenes!$T$2:$T$840,"Válida")</f>
        <v/>
      </c>
      <c r="Q32" s="18">
        <f>COUNTIFS(Ordenes!$W$2:$W$840,$B32,Ordenes!$X$2:$X$840,$C32,Ordenes!$T$2:$T$840,"Válida")</f>
        <v/>
      </c>
    </row>
    <row r="33">
      <c r="A33" s="18" t="inlineStr">
        <is>
          <t>S30 2026 (20 jul)</t>
        </is>
      </c>
      <c r="B33" s="18" t="n">
        <v>2026</v>
      </c>
      <c r="C33" s="18" t="n">
        <v>30</v>
      </c>
      <c r="D33" s="20">
        <f>IFERROR(SUMIFS(Ordenes!$P$2:$P$840,Ordenes!$W$2:$W$840,$B33,Ordenes!$X$2:$X$840,$C33,Ordenes!$T$2:$T$840,"Válida",Ordenes!$F$2:$F$840,"B Hormigón")/SUMIFS(Ordenes!$Q$2:$Q$840,Ordenes!$W$2:$W$840,$B33,Ordenes!$X$2:$X$840,$C33,Ordenes!$T$2:$T$840,"Válida",Ordenes!$F$2:$F$840,"B Hormigón"),"")</f>
        <v/>
      </c>
      <c r="E33" s="20">
        <f>IFERROR(SUMIFS(Ordenes!$P$2:$P$840,Ordenes!$W$2:$W$840,$B33,Ordenes!$X$2:$X$840,$C33,Ordenes!$T$2:$T$840,"Válida",Ordenes!$F$2:$F$840,"Redondo liso")/SUMIFS(Ordenes!$Q$2:$Q$840,Ordenes!$W$2:$W$840,$B33,Ordenes!$X$2:$X$840,$C33,Ordenes!$T$2:$T$840,"Válida",Ordenes!$F$2:$F$840,"Redondo liso"),"")</f>
        <v/>
      </c>
      <c r="F33" s="20">
        <f>IFERROR(SUMIFS(Ordenes!$P$2:$P$840,Ordenes!$W$2:$W$840,$B33,Ordenes!$X$2:$X$840,$C33,Ordenes!$T$2:$T$840,"Válida",Ordenes!$F$2:$F$840,"Plana")/SUMIFS(Ordenes!$Q$2:$Q$840,Ordenes!$W$2:$W$840,$B33,Ordenes!$X$2:$X$840,$C33,Ordenes!$T$2:$T$840,"Válida",Ordenes!$F$2:$F$840,"Plana"),"")</f>
        <v/>
      </c>
      <c r="G33" s="20">
        <f>IFERROR(SUMIFS(Ordenes!$P$2:$P$840,Ordenes!$W$2:$W$840,$B33,Ordenes!$X$2:$X$840,$C33,Ordenes!$T$2:$T$840,"Válida",Ordenes!$F$2:$F$840,"Ángulo")/SUMIFS(Ordenes!$Q$2:$Q$840,Ordenes!$W$2:$W$840,$B33,Ordenes!$X$2:$X$840,$C33,Ordenes!$T$2:$T$840,"Válida",Ordenes!$F$2:$F$840,"Ángulo"),"")</f>
        <v/>
      </c>
      <c r="H33" s="20">
        <f>IFERROR(SUMIFS(Ordenes!$P$2:$P$840,Ordenes!$W$2:$W$840,$B33,Ordenes!$X$2:$X$840,$C33,Ordenes!$T$2:$T$840,"Válida",Ordenes!$F$2:$F$840,"Cuadrado")/SUMIFS(Ordenes!$Q$2:$Q$840,Ordenes!$W$2:$W$840,$B33,Ordenes!$X$2:$X$840,$C33,Ordenes!$T$2:$T$840,"Válida",Ordenes!$F$2:$F$840,"Cuadrado"),"")</f>
        <v/>
      </c>
      <c r="I33" s="20">
        <f>IFERROR(SUMIFS(Ordenes!$P$2:$P$840,Ordenes!$W$2:$W$840,$B33,Ordenes!$X$2:$X$840,$C33,Ordenes!$T$2:$T$840,"Válida",Ordenes!$F$2:$F$840,"Estrella")/SUMIFS(Ordenes!$Q$2:$Q$840,Ordenes!$W$2:$W$840,$B33,Ordenes!$X$2:$X$840,$C33,Ordenes!$T$2:$T$840,"Válida",Ordenes!$F$2:$F$840,"Estrella"),"")</f>
        <v/>
      </c>
      <c r="J33" s="20">
        <f>IFERROR(SUMIFS(Ordenes!$P$2:$P$840,Ordenes!$W$2:$W$840,$B33,Ordenes!$X$2:$X$840,$C33,Ordenes!$T$2:$T$840,"Válida",Ordenes!$F$2:$F$840,"Saferock")/SUMIFS(Ordenes!$Q$2:$Q$840,Ordenes!$W$2:$W$840,$B33,Ordenes!$X$2:$X$840,$C33,Ordenes!$T$2:$T$840,"Válida",Ordenes!$F$2:$F$840,"Saferock"),"")</f>
        <v/>
      </c>
      <c r="K33" s="20">
        <f>IFERROR(SUMIFS(Ordenes!$P$2:$P$840,Ordenes!$W$2:$W$840,$B33,Ordenes!$X$2:$X$840,$C33,Ordenes!$T$2:$T$840,"Válida",Ordenes!$F$2:$F$840,"Hexágono")/SUMIFS(Ordenes!$Q$2:$Q$840,Ordenes!$W$2:$W$840,$B33,Ordenes!$X$2:$X$840,$C33,Ordenes!$T$2:$T$840,"Válida",Ordenes!$F$2:$F$840,"Hexágono"),"")</f>
        <v/>
      </c>
      <c r="L33" s="24">
        <f>IFERROR(SUMIFS(Ordenes!$P$2:$P$840,Ordenes!$W$2:$W$840,$B33,Ordenes!$X$2:$X$840,$C33,Ordenes!$T$2:$T$840,"Válida",Ordenes!$F$2:$F$840,"*")/SUMIFS(Ordenes!$Q$2:$Q$840,Ordenes!$W$2:$W$840,$B33,Ordenes!$X$2:$X$840,$C33,Ordenes!$T$2:$T$840,"Válida",Ordenes!$F$2:$F$840,"*"),"")</f>
        <v/>
      </c>
      <c r="M33" s="20">
        <f>IFERROR(SUMIFS(Ordenes!$V$2:$V$840,Ordenes!$W$2:$W$840,$B33,Ordenes!$X$2:$X$840,$C33,Ordenes!$T$2:$T$840,"Válida")/SUMIFS(Ordenes!$Q$2:$Q$840,Ordenes!$W$2:$W$840,$B33,Ordenes!$X$2:$X$840,$C33,Ordenes!$T$2:$T$840,"Válida"),"")</f>
        <v/>
      </c>
      <c r="N33" s="21">
        <f>IFERROR((L33-M33)*100,"")</f>
        <v/>
      </c>
      <c r="O33" s="19">
        <f>SUMIFS(Ordenes!$P$2:$P$840,Ordenes!$W$2:$W$840,$B33,Ordenes!$X$2:$X$840,$C33,Ordenes!$T$2:$T$840,"Válida")</f>
        <v/>
      </c>
      <c r="P33" s="19">
        <f>SUMIFS(Ordenes!$Q$2:$Q$840,Ordenes!$W$2:$W$840,$B33,Ordenes!$X$2:$X$840,$C33,Ordenes!$T$2:$T$840,"Válida")</f>
        <v/>
      </c>
      <c r="Q33" s="18">
        <f>COUNTIFS(Ordenes!$W$2:$W$840,$B33,Ordenes!$X$2:$X$840,$C33,Ordenes!$T$2:$T$840,"Válida")</f>
        <v/>
      </c>
    </row>
    <row r="34">
      <c r="A34" s="18" t="inlineStr">
        <is>
          <t>S31 2026 (27 jul)</t>
        </is>
      </c>
      <c r="B34" s="18" t="n">
        <v>2026</v>
      </c>
      <c r="C34" s="18" t="n">
        <v>31</v>
      </c>
      <c r="D34" s="20">
        <f>IFERROR(SUMIFS(Ordenes!$P$2:$P$840,Ordenes!$W$2:$W$840,$B34,Ordenes!$X$2:$X$840,$C34,Ordenes!$T$2:$T$840,"Válida",Ordenes!$F$2:$F$840,"B Hormigón")/SUMIFS(Ordenes!$Q$2:$Q$840,Ordenes!$W$2:$W$840,$B34,Ordenes!$X$2:$X$840,$C34,Ordenes!$T$2:$T$840,"Válida",Ordenes!$F$2:$F$840,"B Hormigón"),"")</f>
        <v/>
      </c>
      <c r="E34" s="20">
        <f>IFERROR(SUMIFS(Ordenes!$P$2:$P$840,Ordenes!$W$2:$W$840,$B34,Ordenes!$X$2:$X$840,$C34,Ordenes!$T$2:$T$840,"Válida",Ordenes!$F$2:$F$840,"Redondo liso")/SUMIFS(Ordenes!$Q$2:$Q$840,Ordenes!$W$2:$W$840,$B34,Ordenes!$X$2:$X$840,$C34,Ordenes!$T$2:$T$840,"Válida",Ordenes!$F$2:$F$840,"Redondo liso"),"")</f>
        <v/>
      </c>
      <c r="F34" s="20">
        <f>IFERROR(SUMIFS(Ordenes!$P$2:$P$840,Ordenes!$W$2:$W$840,$B34,Ordenes!$X$2:$X$840,$C34,Ordenes!$T$2:$T$840,"Válida",Ordenes!$F$2:$F$840,"Plana")/SUMIFS(Ordenes!$Q$2:$Q$840,Ordenes!$W$2:$W$840,$B34,Ordenes!$X$2:$X$840,$C34,Ordenes!$T$2:$T$840,"Válida",Ordenes!$F$2:$F$840,"Plana"),"")</f>
        <v/>
      </c>
      <c r="G34" s="20">
        <f>IFERROR(SUMIFS(Ordenes!$P$2:$P$840,Ordenes!$W$2:$W$840,$B34,Ordenes!$X$2:$X$840,$C34,Ordenes!$T$2:$T$840,"Válida",Ordenes!$F$2:$F$840,"Ángulo")/SUMIFS(Ordenes!$Q$2:$Q$840,Ordenes!$W$2:$W$840,$B34,Ordenes!$X$2:$X$840,$C34,Ordenes!$T$2:$T$840,"Válida",Ordenes!$F$2:$F$840,"Ángulo"),"")</f>
        <v/>
      </c>
      <c r="H34" s="20">
        <f>IFERROR(SUMIFS(Ordenes!$P$2:$P$840,Ordenes!$W$2:$W$840,$B34,Ordenes!$X$2:$X$840,$C34,Ordenes!$T$2:$T$840,"Válida",Ordenes!$F$2:$F$840,"Cuadrado")/SUMIFS(Ordenes!$Q$2:$Q$840,Ordenes!$W$2:$W$840,$B34,Ordenes!$X$2:$X$840,$C34,Ordenes!$T$2:$T$840,"Válida",Ordenes!$F$2:$F$840,"Cuadrado"),"")</f>
        <v/>
      </c>
      <c r="I34" s="20">
        <f>IFERROR(SUMIFS(Ordenes!$P$2:$P$840,Ordenes!$W$2:$W$840,$B34,Ordenes!$X$2:$X$840,$C34,Ordenes!$T$2:$T$840,"Válida",Ordenes!$F$2:$F$840,"Estrella")/SUMIFS(Ordenes!$Q$2:$Q$840,Ordenes!$W$2:$W$840,$B34,Ordenes!$X$2:$X$840,$C34,Ordenes!$T$2:$T$840,"Válida",Ordenes!$F$2:$F$840,"Estrella"),"")</f>
        <v/>
      </c>
      <c r="J34" s="20">
        <f>IFERROR(SUMIFS(Ordenes!$P$2:$P$840,Ordenes!$W$2:$W$840,$B34,Ordenes!$X$2:$X$840,$C34,Ordenes!$T$2:$T$840,"Válida",Ordenes!$F$2:$F$840,"Saferock")/SUMIFS(Ordenes!$Q$2:$Q$840,Ordenes!$W$2:$W$840,$B34,Ordenes!$X$2:$X$840,$C34,Ordenes!$T$2:$T$840,"Válida",Ordenes!$F$2:$F$840,"Saferock"),"")</f>
        <v/>
      </c>
      <c r="K34" s="20">
        <f>IFERROR(SUMIFS(Ordenes!$P$2:$P$840,Ordenes!$W$2:$W$840,$B34,Ordenes!$X$2:$X$840,$C34,Ordenes!$T$2:$T$840,"Válida",Ordenes!$F$2:$F$840,"Hexágono")/SUMIFS(Ordenes!$Q$2:$Q$840,Ordenes!$W$2:$W$840,$B34,Ordenes!$X$2:$X$840,$C34,Ordenes!$T$2:$T$840,"Válida",Ordenes!$F$2:$F$840,"Hexágono"),"")</f>
        <v/>
      </c>
      <c r="L34" s="24">
        <f>IFERROR(SUMIFS(Ordenes!$P$2:$P$840,Ordenes!$W$2:$W$840,$B34,Ordenes!$X$2:$X$840,$C34,Ordenes!$T$2:$T$840,"Válida",Ordenes!$F$2:$F$840,"*")/SUMIFS(Ordenes!$Q$2:$Q$840,Ordenes!$W$2:$W$840,$B34,Ordenes!$X$2:$X$840,$C34,Ordenes!$T$2:$T$840,"Válida",Ordenes!$F$2:$F$840,"*"),"")</f>
        <v/>
      </c>
      <c r="M34" s="20">
        <f>IFERROR(SUMIFS(Ordenes!$V$2:$V$840,Ordenes!$W$2:$W$840,$B34,Ordenes!$X$2:$X$840,$C34,Ordenes!$T$2:$T$840,"Válida")/SUMIFS(Ordenes!$Q$2:$Q$840,Ordenes!$W$2:$W$840,$B34,Ordenes!$X$2:$X$840,$C34,Ordenes!$T$2:$T$840,"Válida"),"")</f>
        <v/>
      </c>
      <c r="N34" s="21">
        <f>IFERROR((L34-M34)*100,"")</f>
        <v/>
      </c>
      <c r="O34" s="19">
        <f>SUMIFS(Ordenes!$P$2:$P$840,Ordenes!$W$2:$W$840,$B34,Ordenes!$X$2:$X$840,$C34,Ordenes!$T$2:$T$840,"Válida")</f>
        <v/>
      </c>
      <c r="P34" s="19">
        <f>SUMIFS(Ordenes!$Q$2:$Q$840,Ordenes!$W$2:$W$840,$B34,Ordenes!$X$2:$X$840,$C34,Ordenes!$T$2:$T$840,"Válida")</f>
        <v/>
      </c>
      <c r="Q34" s="18">
        <f>COUNTIFS(Ordenes!$W$2:$W$840,$B34,Ordenes!$X$2:$X$840,$C34,Ordenes!$T$2:$T$840,"Válida")</f>
        <v/>
      </c>
    </row>
    <row r="35">
      <c r="A35" s="18" t="inlineStr">
        <is>
          <t>S32 2026 (3 ago)</t>
        </is>
      </c>
      <c r="B35" s="18" t="n">
        <v>2026</v>
      </c>
      <c r="C35" s="18" t="n">
        <v>32</v>
      </c>
      <c r="D35" s="20">
        <f>IFERROR(SUMIFS(Ordenes!$P$2:$P$840,Ordenes!$W$2:$W$840,$B35,Ordenes!$X$2:$X$840,$C35,Ordenes!$T$2:$T$840,"Válida",Ordenes!$F$2:$F$840,"B Hormigón")/SUMIFS(Ordenes!$Q$2:$Q$840,Ordenes!$W$2:$W$840,$B35,Ordenes!$X$2:$X$840,$C35,Ordenes!$T$2:$T$840,"Válida",Ordenes!$F$2:$F$840,"B Hormigón"),"")</f>
        <v/>
      </c>
      <c r="E35" s="20">
        <f>IFERROR(SUMIFS(Ordenes!$P$2:$P$840,Ordenes!$W$2:$W$840,$B35,Ordenes!$X$2:$X$840,$C35,Ordenes!$T$2:$T$840,"Válida",Ordenes!$F$2:$F$840,"Redondo liso")/SUMIFS(Ordenes!$Q$2:$Q$840,Ordenes!$W$2:$W$840,$B35,Ordenes!$X$2:$X$840,$C35,Ordenes!$T$2:$T$840,"Válida",Ordenes!$F$2:$F$840,"Redondo liso"),"")</f>
        <v/>
      </c>
      <c r="F35" s="20">
        <f>IFERROR(SUMIFS(Ordenes!$P$2:$P$840,Ordenes!$W$2:$W$840,$B35,Ordenes!$X$2:$X$840,$C35,Ordenes!$T$2:$T$840,"Válida",Ordenes!$F$2:$F$840,"Plana")/SUMIFS(Ordenes!$Q$2:$Q$840,Ordenes!$W$2:$W$840,$B35,Ordenes!$X$2:$X$840,$C35,Ordenes!$T$2:$T$840,"Válida",Ordenes!$F$2:$F$840,"Plana"),"")</f>
        <v/>
      </c>
      <c r="G35" s="20">
        <f>IFERROR(SUMIFS(Ordenes!$P$2:$P$840,Ordenes!$W$2:$W$840,$B35,Ordenes!$X$2:$X$840,$C35,Ordenes!$T$2:$T$840,"Válida",Ordenes!$F$2:$F$840,"Ángulo")/SUMIFS(Ordenes!$Q$2:$Q$840,Ordenes!$W$2:$W$840,$B35,Ordenes!$X$2:$X$840,$C35,Ordenes!$T$2:$T$840,"Válida",Ordenes!$F$2:$F$840,"Ángulo"),"")</f>
        <v/>
      </c>
      <c r="H35" s="20">
        <f>IFERROR(SUMIFS(Ordenes!$P$2:$P$840,Ordenes!$W$2:$W$840,$B35,Ordenes!$X$2:$X$840,$C35,Ordenes!$T$2:$T$840,"Válida",Ordenes!$F$2:$F$840,"Cuadrado")/SUMIFS(Ordenes!$Q$2:$Q$840,Ordenes!$W$2:$W$840,$B35,Ordenes!$X$2:$X$840,$C35,Ordenes!$T$2:$T$840,"Válida",Ordenes!$F$2:$F$840,"Cuadrado"),"")</f>
        <v/>
      </c>
      <c r="I35" s="20">
        <f>IFERROR(SUMIFS(Ordenes!$P$2:$P$840,Ordenes!$W$2:$W$840,$B35,Ordenes!$X$2:$X$840,$C35,Ordenes!$T$2:$T$840,"Válida",Ordenes!$F$2:$F$840,"Estrella")/SUMIFS(Ordenes!$Q$2:$Q$840,Ordenes!$W$2:$W$840,$B35,Ordenes!$X$2:$X$840,$C35,Ordenes!$T$2:$T$840,"Válida",Ordenes!$F$2:$F$840,"Estrella"),"")</f>
        <v/>
      </c>
      <c r="J35" s="20">
        <f>IFERROR(SUMIFS(Ordenes!$P$2:$P$840,Ordenes!$W$2:$W$840,$B35,Ordenes!$X$2:$X$840,$C35,Ordenes!$T$2:$T$840,"Válida",Ordenes!$F$2:$F$840,"Saferock")/SUMIFS(Ordenes!$Q$2:$Q$840,Ordenes!$W$2:$W$840,$B35,Ordenes!$X$2:$X$840,$C35,Ordenes!$T$2:$T$840,"Válida",Ordenes!$F$2:$F$840,"Saferock"),"")</f>
        <v/>
      </c>
      <c r="K35" s="20">
        <f>IFERROR(SUMIFS(Ordenes!$P$2:$P$840,Ordenes!$W$2:$W$840,$B35,Ordenes!$X$2:$X$840,$C35,Ordenes!$T$2:$T$840,"Válida",Ordenes!$F$2:$F$840,"Hexágono")/SUMIFS(Ordenes!$Q$2:$Q$840,Ordenes!$W$2:$W$840,$B35,Ordenes!$X$2:$X$840,$C35,Ordenes!$T$2:$T$840,"Válida",Ordenes!$F$2:$F$840,"Hexágono"),"")</f>
        <v/>
      </c>
      <c r="L35" s="24">
        <f>IFERROR(SUMIFS(Ordenes!$P$2:$P$840,Ordenes!$W$2:$W$840,$B35,Ordenes!$X$2:$X$840,$C35,Ordenes!$T$2:$T$840,"Válida",Ordenes!$F$2:$F$840,"*")/SUMIFS(Ordenes!$Q$2:$Q$840,Ordenes!$W$2:$W$840,$B35,Ordenes!$X$2:$X$840,$C35,Ordenes!$T$2:$T$840,"Válida",Ordenes!$F$2:$F$840,"*"),"")</f>
        <v/>
      </c>
      <c r="M35" s="20">
        <f>IFERROR(SUMIFS(Ordenes!$V$2:$V$840,Ordenes!$W$2:$W$840,$B35,Ordenes!$X$2:$X$840,$C35,Ordenes!$T$2:$T$840,"Válida")/SUMIFS(Ordenes!$Q$2:$Q$840,Ordenes!$W$2:$W$840,$B35,Ordenes!$X$2:$X$840,$C35,Ordenes!$T$2:$T$840,"Válida"),"")</f>
        <v/>
      </c>
      <c r="N35" s="21">
        <f>IFERROR((L35-M35)*100,"")</f>
        <v/>
      </c>
      <c r="O35" s="19">
        <f>SUMIFS(Ordenes!$P$2:$P$840,Ordenes!$W$2:$W$840,$B35,Ordenes!$X$2:$X$840,$C35,Ordenes!$T$2:$T$840,"Válida")</f>
        <v/>
      </c>
      <c r="P35" s="19">
        <f>SUMIFS(Ordenes!$Q$2:$Q$840,Ordenes!$W$2:$W$840,$B35,Ordenes!$X$2:$X$840,$C35,Ordenes!$T$2:$T$840,"Válida")</f>
        <v/>
      </c>
      <c r="Q35" s="18">
        <f>COUNTIFS(Ordenes!$W$2:$W$840,$B35,Ordenes!$X$2:$X$840,$C35,Ordenes!$T$2:$T$840,"Válida")</f>
        <v/>
      </c>
    </row>
    <row r="36">
      <c r="A36" s="18" t="inlineStr">
        <is>
          <t>S33 2026 (10 ago)</t>
        </is>
      </c>
      <c r="B36" s="18" t="n">
        <v>2026</v>
      </c>
      <c r="C36" s="18" t="n">
        <v>33</v>
      </c>
      <c r="D36" s="20">
        <f>IFERROR(SUMIFS(Ordenes!$P$2:$P$840,Ordenes!$W$2:$W$840,$B36,Ordenes!$X$2:$X$840,$C36,Ordenes!$T$2:$T$840,"Válida",Ordenes!$F$2:$F$840,"B Hormigón")/SUMIFS(Ordenes!$Q$2:$Q$840,Ordenes!$W$2:$W$840,$B36,Ordenes!$X$2:$X$840,$C36,Ordenes!$T$2:$T$840,"Válida",Ordenes!$F$2:$F$840,"B Hormigón"),"")</f>
        <v/>
      </c>
      <c r="E36" s="20">
        <f>IFERROR(SUMIFS(Ordenes!$P$2:$P$840,Ordenes!$W$2:$W$840,$B36,Ordenes!$X$2:$X$840,$C36,Ordenes!$T$2:$T$840,"Válida",Ordenes!$F$2:$F$840,"Redondo liso")/SUMIFS(Ordenes!$Q$2:$Q$840,Ordenes!$W$2:$W$840,$B36,Ordenes!$X$2:$X$840,$C36,Ordenes!$T$2:$T$840,"Válida",Ordenes!$F$2:$F$840,"Redondo liso"),"")</f>
        <v/>
      </c>
      <c r="F36" s="20">
        <f>IFERROR(SUMIFS(Ordenes!$P$2:$P$840,Ordenes!$W$2:$W$840,$B36,Ordenes!$X$2:$X$840,$C36,Ordenes!$T$2:$T$840,"Válida",Ordenes!$F$2:$F$840,"Plana")/SUMIFS(Ordenes!$Q$2:$Q$840,Ordenes!$W$2:$W$840,$B36,Ordenes!$X$2:$X$840,$C36,Ordenes!$T$2:$T$840,"Válida",Ordenes!$F$2:$F$840,"Plana"),"")</f>
        <v/>
      </c>
      <c r="G36" s="20">
        <f>IFERROR(SUMIFS(Ordenes!$P$2:$P$840,Ordenes!$W$2:$W$840,$B36,Ordenes!$X$2:$X$840,$C36,Ordenes!$T$2:$T$840,"Válida",Ordenes!$F$2:$F$840,"Ángulo")/SUMIFS(Ordenes!$Q$2:$Q$840,Ordenes!$W$2:$W$840,$B36,Ordenes!$X$2:$X$840,$C36,Ordenes!$T$2:$T$840,"Válida",Ordenes!$F$2:$F$840,"Ángulo"),"")</f>
        <v/>
      </c>
      <c r="H36" s="20">
        <f>IFERROR(SUMIFS(Ordenes!$P$2:$P$840,Ordenes!$W$2:$W$840,$B36,Ordenes!$X$2:$X$840,$C36,Ordenes!$T$2:$T$840,"Válida",Ordenes!$F$2:$F$840,"Cuadrado")/SUMIFS(Ordenes!$Q$2:$Q$840,Ordenes!$W$2:$W$840,$B36,Ordenes!$X$2:$X$840,$C36,Ordenes!$T$2:$T$840,"Válida",Ordenes!$F$2:$F$840,"Cuadrado"),"")</f>
        <v/>
      </c>
      <c r="I36" s="20">
        <f>IFERROR(SUMIFS(Ordenes!$P$2:$P$840,Ordenes!$W$2:$W$840,$B36,Ordenes!$X$2:$X$840,$C36,Ordenes!$T$2:$T$840,"Válida",Ordenes!$F$2:$F$840,"Estrella")/SUMIFS(Ordenes!$Q$2:$Q$840,Ordenes!$W$2:$W$840,$B36,Ordenes!$X$2:$X$840,$C36,Ordenes!$T$2:$T$840,"Válida",Ordenes!$F$2:$F$840,"Estrella"),"")</f>
        <v/>
      </c>
      <c r="J36" s="20">
        <f>IFERROR(SUMIFS(Ordenes!$P$2:$P$840,Ordenes!$W$2:$W$840,$B36,Ordenes!$X$2:$X$840,$C36,Ordenes!$T$2:$T$840,"Válida",Ordenes!$F$2:$F$840,"Saferock")/SUMIFS(Ordenes!$Q$2:$Q$840,Ordenes!$W$2:$W$840,$B36,Ordenes!$X$2:$X$840,$C36,Ordenes!$T$2:$T$840,"Válida",Ordenes!$F$2:$F$840,"Saferock"),"")</f>
        <v/>
      </c>
      <c r="K36" s="20">
        <f>IFERROR(SUMIFS(Ordenes!$P$2:$P$840,Ordenes!$W$2:$W$840,$B36,Ordenes!$X$2:$X$840,$C36,Ordenes!$T$2:$T$840,"Válida",Ordenes!$F$2:$F$840,"Hexágono")/SUMIFS(Ordenes!$Q$2:$Q$840,Ordenes!$W$2:$W$840,$B36,Ordenes!$X$2:$X$840,$C36,Ordenes!$T$2:$T$840,"Válida",Ordenes!$F$2:$F$840,"Hexágono"),"")</f>
        <v/>
      </c>
      <c r="L36" s="24">
        <f>IFERROR(SUMIFS(Ordenes!$P$2:$P$840,Ordenes!$W$2:$W$840,$B36,Ordenes!$X$2:$X$840,$C36,Ordenes!$T$2:$T$840,"Válida",Ordenes!$F$2:$F$840,"*")/SUMIFS(Ordenes!$Q$2:$Q$840,Ordenes!$W$2:$W$840,$B36,Ordenes!$X$2:$X$840,$C36,Ordenes!$T$2:$T$840,"Válida",Ordenes!$F$2:$F$840,"*"),"")</f>
        <v/>
      </c>
      <c r="M36" s="20">
        <f>IFERROR(SUMIFS(Ordenes!$V$2:$V$840,Ordenes!$W$2:$W$840,$B36,Ordenes!$X$2:$X$840,$C36,Ordenes!$T$2:$T$840,"Válida")/SUMIFS(Ordenes!$Q$2:$Q$840,Ordenes!$W$2:$W$840,$B36,Ordenes!$X$2:$X$840,$C36,Ordenes!$T$2:$T$840,"Válida"),"")</f>
        <v/>
      </c>
      <c r="N36" s="21">
        <f>IFERROR((L36-M36)*100,"")</f>
        <v/>
      </c>
      <c r="O36" s="19">
        <f>SUMIFS(Ordenes!$P$2:$P$840,Ordenes!$W$2:$W$840,$B36,Ordenes!$X$2:$X$840,$C36,Ordenes!$T$2:$T$840,"Válida")</f>
        <v/>
      </c>
      <c r="P36" s="19">
        <f>SUMIFS(Ordenes!$Q$2:$Q$840,Ordenes!$W$2:$W$840,$B36,Ordenes!$X$2:$X$840,$C36,Ordenes!$T$2:$T$840,"Válida")</f>
        <v/>
      </c>
      <c r="Q36" s="18">
        <f>COUNTIFS(Ordenes!$W$2:$W$840,$B36,Ordenes!$X$2:$X$840,$C36,Ordenes!$T$2:$T$840,"Válida")</f>
        <v/>
      </c>
    </row>
    <row r="37">
      <c r="A37" s="18" t="inlineStr">
        <is>
          <t>S34 2026 (17 ago)</t>
        </is>
      </c>
      <c r="B37" s="18" t="n">
        <v>2026</v>
      </c>
      <c r="C37" s="18" t="n">
        <v>34</v>
      </c>
      <c r="D37" s="20">
        <f>IFERROR(SUMIFS(Ordenes!$P$2:$P$840,Ordenes!$W$2:$W$840,$B37,Ordenes!$X$2:$X$840,$C37,Ordenes!$T$2:$T$840,"Válida",Ordenes!$F$2:$F$840,"B Hormigón")/SUMIFS(Ordenes!$Q$2:$Q$840,Ordenes!$W$2:$W$840,$B37,Ordenes!$X$2:$X$840,$C37,Ordenes!$T$2:$T$840,"Válida",Ordenes!$F$2:$F$840,"B Hormigón"),"")</f>
        <v/>
      </c>
      <c r="E37" s="20">
        <f>IFERROR(SUMIFS(Ordenes!$P$2:$P$840,Ordenes!$W$2:$W$840,$B37,Ordenes!$X$2:$X$840,$C37,Ordenes!$T$2:$T$840,"Válida",Ordenes!$F$2:$F$840,"Redondo liso")/SUMIFS(Ordenes!$Q$2:$Q$840,Ordenes!$W$2:$W$840,$B37,Ordenes!$X$2:$X$840,$C37,Ordenes!$T$2:$T$840,"Válida",Ordenes!$F$2:$F$840,"Redondo liso"),"")</f>
        <v/>
      </c>
      <c r="F37" s="20">
        <f>IFERROR(SUMIFS(Ordenes!$P$2:$P$840,Ordenes!$W$2:$W$840,$B37,Ordenes!$X$2:$X$840,$C37,Ordenes!$T$2:$T$840,"Válida",Ordenes!$F$2:$F$840,"Plana")/SUMIFS(Ordenes!$Q$2:$Q$840,Ordenes!$W$2:$W$840,$B37,Ordenes!$X$2:$X$840,$C37,Ordenes!$T$2:$T$840,"Válida",Ordenes!$F$2:$F$840,"Plana"),"")</f>
        <v/>
      </c>
      <c r="G37" s="20">
        <f>IFERROR(SUMIFS(Ordenes!$P$2:$P$840,Ordenes!$W$2:$W$840,$B37,Ordenes!$X$2:$X$840,$C37,Ordenes!$T$2:$T$840,"Válida",Ordenes!$F$2:$F$840,"Ángulo")/SUMIFS(Ordenes!$Q$2:$Q$840,Ordenes!$W$2:$W$840,$B37,Ordenes!$X$2:$X$840,$C37,Ordenes!$T$2:$T$840,"Válida",Ordenes!$F$2:$F$840,"Ángulo"),"")</f>
        <v/>
      </c>
      <c r="H37" s="20">
        <f>IFERROR(SUMIFS(Ordenes!$P$2:$P$840,Ordenes!$W$2:$W$840,$B37,Ordenes!$X$2:$X$840,$C37,Ordenes!$T$2:$T$840,"Válida",Ordenes!$F$2:$F$840,"Cuadrado")/SUMIFS(Ordenes!$Q$2:$Q$840,Ordenes!$W$2:$W$840,$B37,Ordenes!$X$2:$X$840,$C37,Ordenes!$T$2:$T$840,"Válida",Ordenes!$F$2:$F$840,"Cuadrado"),"")</f>
        <v/>
      </c>
      <c r="I37" s="20">
        <f>IFERROR(SUMIFS(Ordenes!$P$2:$P$840,Ordenes!$W$2:$W$840,$B37,Ordenes!$X$2:$X$840,$C37,Ordenes!$T$2:$T$840,"Válida",Ordenes!$F$2:$F$840,"Estrella")/SUMIFS(Ordenes!$Q$2:$Q$840,Ordenes!$W$2:$W$840,$B37,Ordenes!$X$2:$X$840,$C37,Ordenes!$T$2:$T$840,"Válida",Ordenes!$F$2:$F$840,"Estrella"),"")</f>
        <v/>
      </c>
      <c r="J37" s="20">
        <f>IFERROR(SUMIFS(Ordenes!$P$2:$P$840,Ordenes!$W$2:$W$840,$B37,Ordenes!$X$2:$X$840,$C37,Ordenes!$T$2:$T$840,"Válida",Ordenes!$F$2:$F$840,"Saferock")/SUMIFS(Ordenes!$Q$2:$Q$840,Ordenes!$W$2:$W$840,$B37,Ordenes!$X$2:$X$840,$C37,Ordenes!$T$2:$T$840,"Válida",Ordenes!$F$2:$F$840,"Saferock"),"")</f>
        <v/>
      </c>
      <c r="K37" s="20">
        <f>IFERROR(SUMIFS(Ordenes!$P$2:$P$840,Ordenes!$W$2:$W$840,$B37,Ordenes!$X$2:$X$840,$C37,Ordenes!$T$2:$T$840,"Válida",Ordenes!$F$2:$F$840,"Hexágono")/SUMIFS(Ordenes!$Q$2:$Q$840,Ordenes!$W$2:$W$840,$B37,Ordenes!$X$2:$X$840,$C37,Ordenes!$T$2:$T$840,"Válida",Ordenes!$F$2:$F$840,"Hexágono"),"")</f>
        <v/>
      </c>
      <c r="L37" s="24">
        <f>IFERROR(SUMIFS(Ordenes!$P$2:$P$840,Ordenes!$W$2:$W$840,$B37,Ordenes!$X$2:$X$840,$C37,Ordenes!$T$2:$T$840,"Válida",Ordenes!$F$2:$F$840,"*")/SUMIFS(Ordenes!$Q$2:$Q$840,Ordenes!$W$2:$W$840,$B37,Ordenes!$X$2:$X$840,$C37,Ordenes!$T$2:$T$840,"Válida",Ordenes!$F$2:$F$840,"*"),"")</f>
        <v/>
      </c>
      <c r="M37" s="20">
        <f>IFERROR(SUMIFS(Ordenes!$V$2:$V$840,Ordenes!$W$2:$W$840,$B37,Ordenes!$X$2:$X$840,$C37,Ordenes!$T$2:$T$840,"Válida")/SUMIFS(Ordenes!$Q$2:$Q$840,Ordenes!$W$2:$W$840,$B37,Ordenes!$X$2:$X$840,$C37,Ordenes!$T$2:$T$840,"Válida"),"")</f>
        <v/>
      </c>
      <c r="N37" s="21">
        <f>IFERROR((L37-M37)*100,"")</f>
        <v/>
      </c>
      <c r="O37" s="19">
        <f>SUMIFS(Ordenes!$P$2:$P$840,Ordenes!$W$2:$W$840,$B37,Ordenes!$X$2:$X$840,$C37,Ordenes!$T$2:$T$840,"Válida")</f>
        <v/>
      </c>
      <c r="P37" s="19">
        <f>SUMIFS(Ordenes!$Q$2:$Q$840,Ordenes!$W$2:$W$840,$B37,Ordenes!$X$2:$X$840,$C37,Ordenes!$T$2:$T$840,"Válida")</f>
        <v/>
      </c>
      <c r="Q37" s="18">
        <f>COUNTIFS(Ordenes!$W$2:$W$840,$B37,Ordenes!$X$2:$X$840,$C37,Ordenes!$T$2:$T$840,"Válida")</f>
        <v/>
      </c>
    </row>
    <row r="38">
      <c r="A38" s="18" t="inlineStr">
        <is>
          <t>S35 2026 (24 ago)</t>
        </is>
      </c>
      <c r="B38" s="18" t="n">
        <v>2026</v>
      </c>
      <c r="C38" s="18" t="n">
        <v>35</v>
      </c>
      <c r="D38" s="20">
        <f>IFERROR(SUMIFS(Ordenes!$P$2:$P$840,Ordenes!$W$2:$W$840,$B38,Ordenes!$X$2:$X$840,$C38,Ordenes!$T$2:$T$840,"Válida",Ordenes!$F$2:$F$840,"B Hormigón")/SUMIFS(Ordenes!$Q$2:$Q$840,Ordenes!$W$2:$W$840,$B38,Ordenes!$X$2:$X$840,$C38,Ordenes!$T$2:$T$840,"Válida",Ordenes!$F$2:$F$840,"B Hormigón"),"")</f>
        <v/>
      </c>
      <c r="E38" s="20">
        <f>IFERROR(SUMIFS(Ordenes!$P$2:$P$840,Ordenes!$W$2:$W$840,$B38,Ordenes!$X$2:$X$840,$C38,Ordenes!$T$2:$T$840,"Válida",Ordenes!$F$2:$F$840,"Redondo liso")/SUMIFS(Ordenes!$Q$2:$Q$840,Ordenes!$W$2:$W$840,$B38,Ordenes!$X$2:$X$840,$C38,Ordenes!$T$2:$T$840,"Válida",Ordenes!$F$2:$F$840,"Redondo liso"),"")</f>
        <v/>
      </c>
      <c r="F38" s="20">
        <f>IFERROR(SUMIFS(Ordenes!$P$2:$P$840,Ordenes!$W$2:$W$840,$B38,Ordenes!$X$2:$X$840,$C38,Ordenes!$T$2:$T$840,"Válida",Ordenes!$F$2:$F$840,"Plana")/SUMIFS(Ordenes!$Q$2:$Q$840,Ordenes!$W$2:$W$840,$B38,Ordenes!$X$2:$X$840,$C38,Ordenes!$T$2:$T$840,"Válida",Ordenes!$F$2:$F$840,"Plana"),"")</f>
        <v/>
      </c>
      <c r="G38" s="20">
        <f>IFERROR(SUMIFS(Ordenes!$P$2:$P$840,Ordenes!$W$2:$W$840,$B38,Ordenes!$X$2:$X$840,$C38,Ordenes!$T$2:$T$840,"Válida",Ordenes!$F$2:$F$840,"Ángulo")/SUMIFS(Ordenes!$Q$2:$Q$840,Ordenes!$W$2:$W$840,$B38,Ordenes!$X$2:$X$840,$C38,Ordenes!$T$2:$T$840,"Válida",Ordenes!$F$2:$F$840,"Ángulo"),"")</f>
        <v/>
      </c>
      <c r="H38" s="20">
        <f>IFERROR(SUMIFS(Ordenes!$P$2:$P$840,Ordenes!$W$2:$W$840,$B38,Ordenes!$X$2:$X$840,$C38,Ordenes!$T$2:$T$840,"Válida",Ordenes!$F$2:$F$840,"Cuadrado")/SUMIFS(Ordenes!$Q$2:$Q$840,Ordenes!$W$2:$W$840,$B38,Ordenes!$X$2:$X$840,$C38,Ordenes!$T$2:$T$840,"Válida",Ordenes!$F$2:$F$840,"Cuadrado"),"")</f>
        <v/>
      </c>
      <c r="I38" s="20">
        <f>IFERROR(SUMIFS(Ordenes!$P$2:$P$840,Ordenes!$W$2:$W$840,$B38,Ordenes!$X$2:$X$840,$C38,Ordenes!$T$2:$T$840,"Válida",Ordenes!$F$2:$F$840,"Estrella")/SUMIFS(Ordenes!$Q$2:$Q$840,Ordenes!$W$2:$W$840,$B38,Ordenes!$X$2:$X$840,$C38,Ordenes!$T$2:$T$840,"Válida",Ordenes!$F$2:$F$840,"Estrella"),"")</f>
        <v/>
      </c>
      <c r="J38" s="20">
        <f>IFERROR(SUMIFS(Ordenes!$P$2:$P$840,Ordenes!$W$2:$W$840,$B38,Ordenes!$X$2:$X$840,$C38,Ordenes!$T$2:$T$840,"Válida",Ordenes!$F$2:$F$840,"Saferock")/SUMIFS(Ordenes!$Q$2:$Q$840,Ordenes!$W$2:$W$840,$B38,Ordenes!$X$2:$X$840,$C38,Ordenes!$T$2:$T$840,"Válida",Ordenes!$F$2:$F$840,"Saferock"),"")</f>
        <v/>
      </c>
      <c r="K38" s="20">
        <f>IFERROR(SUMIFS(Ordenes!$P$2:$P$840,Ordenes!$W$2:$W$840,$B38,Ordenes!$X$2:$X$840,$C38,Ordenes!$T$2:$T$840,"Válida",Ordenes!$F$2:$F$840,"Hexágono")/SUMIFS(Ordenes!$Q$2:$Q$840,Ordenes!$W$2:$W$840,$B38,Ordenes!$X$2:$X$840,$C38,Ordenes!$T$2:$T$840,"Válida",Ordenes!$F$2:$F$840,"Hexágono"),"")</f>
        <v/>
      </c>
      <c r="L38" s="24">
        <f>IFERROR(SUMIFS(Ordenes!$P$2:$P$840,Ordenes!$W$2:$W$840,$B38,Ordenes!$X$2:$X$840,$C38,Ordenes!$T$2:$T$840,"Válida",Ordenes!$F$2:$F$840,"*")/SUMIFS(Ordenes!$Q$2:$Q$840,Ordenes!$W$2:$W$840,$B38,Ordenes!$X$2:$X$840,$C38,Ordenes!$T$2:$T$840,"Válida",Ordenes!$F$2:$F$840,"*"),"")</f>
        <v/>
      </c>
      <c r="M38" s="20">
        <f>IFERROR(SUMIFS(Ordenes!$V$2:$V$840,Ordenes!$W$2:$W$840,$B38,Ordenes!$X$2:$X$840,$C38,Ordenes!$T$2:$T$840,"Válida")/SUMIFS(Ordenes!$Q$2:$Q$840,Ordenes!$W$2:$W$840,$B38,Ordenes!$X$2:$X$840,$C38,Ordenes!$T$2:$T$840,"Válida"),"")</f>
        <v/>
      </c>
      <c r="N38" s="21">
        <f>IFERROR((L38-M38)*100,"")</f>
        <v/>
      </c>
      <c r="O38" s="19">
        <f>SUMIFS(Ordenes!$P$2:$P$840,Ordenes!$W$2:$W$840,$B38,Ordenes!$X$2:$X$840,$C38,Ordenes!$T$2:$T$840,"Válida")</f>
        <v/>
      </c>
      <c r="P38" s="19">
        <f>SUMIFS(Ordenes!$Q$2:$Q$840,Ordenes!$W$2:$W$840,$B38,Ordenes!$X$2:$X$840,$C38,Ordenes!$T$2:$T$840,"Válida")</f>
        <v/>
      </c>
      <c r="Q38" s="18">
        <f>COUNTIFS(Ordenes!$W$2:$W$840,$B38,Ordenes!$X$2:$X$840,$C38,Ordenes!$T$2:$T$840,"Válida")</f>
        <v/>
      </c>
    </row>
    <row r="39">
      <c r="A39" s="18" t="inlineStr">
        <is>
          <t>S36 2026 (31 ago)</t>
        </is>
      </c>
      <c r="B39" s="18" t="n">
        <v>2026</v>
      </c>
      <c r="C39" s="18" t="n">
        <v>36</v>
      </c>
      <c r="D39" s="20">
        <f>IFERROR(SUMIFS(Ordenes!$P$2:$P$840,Ordenes!$W$2:$W$840,$B39,Ordenes!$X$2:$X$840,$C39,Ordenes!$T$2:$T$840,"Válida",Ordenes!$F$2:$F$840,"B Hormigón")/SUMIFS(Ordenes!$Q$2:$Q$840,Ordenes!$W$2:$W$840,$B39,Ordenes!$X$2:$X$840,$C39,Ordenes!$T$2:$T$840,"Válida",Ordenes!$F$2:$F$840,"B Hormigón"),"")</f>
        <v/>
      </c>
      <c r="E39" s="20">
        <f>IFERROR(SUMIFS(Ordenes!$P$2:$P$840,Ordenes!$W$2:$W$840,$B39,Ordenes!$X$2:$X$840,$C39,Ordenes!$T$2:$T$840,"Válida",Ordenes!$F$2:$F$840,"Redondo liso")/SUMIFS(Ordenes!$Q$2:$Q$840,Ordenes!$W$2:$W$840,$B39,Ordenes!$X$2:$X$840,$C39,Ordenes!$T$2:$T$840,"Válida",Ordenes!$F$2:$F$840,"Redondo liso"),"")</f>
        <v/>
      </c>
      <c r="F39" s="20">
        <f>IFERROR(SUMIFS(Ordenes!$P$2:$P$840,Ordenes!$W$2:$W$840,$B39,Ordenes!$X$2:$X$840,$C39,Ordenes!$T$2:$T$840,"Válida",Ordenes!$F$2:$F$840,"Plana")/SUMIFS(Ordenes!$Q$2:$Q$840,Ordenes!$W$2:$W$840,$B39,Ordenes!$X$2:$X$840,$C39,Ordenes!$T$2:$T$840,"Válida",Ordenes!$F$2:$F$840,"Plana"),"")</f>
        <v/>
      </c>
      <c r="G39" s="20">
        <f>IFERROR(SUMIFS(Ordenes!$P$2:$P$840,Ordenes!$W$2:$W$840,$B39,Ordenes!$X$2:$X$840,$C39,Ordenes!$T$2:$T$840,"Válida",Ordenes!$F$2:$F$840,"Ángulo")/SUMIFS(Ordenes!$Q$2:$Q$840,Ordenes!$W$2:$W$840,$B39,Ordenes!$X$2:$X$840,$C39,Ordenes!$T$2:$T$840,"Válida",Ordenes!$F$2:$F$840,"Ángulo"),"")</f>
        <v/>
      </c>
      <c r="H39" s="20">
        <f>IFERROR(SUMIFS(Ordenes!$P$2:$P$840,Ordenes!$W$2:$W$840,$B39,Ordenes!$X$2:$X$840,$C39,Ordenes!$T$2:$T$840,"Válida",Ordenes!$F$2:$F$840,"Cuadrado")/SUMIFS(Ordenes!$Q$2:$Q$840,Ordenes!$W$2:$W$840,$B39,Ordenes!$X$2:$X$840,$C39,Ordenes!$T$2:$T$840,"Válida",Ordenes!$F$2:$F$840,"Cuadrado"),"")</f>
        <v/>
      </c>
      <c r="I39" s="20">
        <f>IFERROR(SUMIFS(Ordenes!$P$2:$P$840,Ordenes!$W$2:$W$840,$B39,Ordenes!$X$2:$X$840,$C39,Ordenes!$T$2:$T$840,"Válida",Ordenes!$F$2:$F$840,"Estrella")/SUMIFS(Ordenes!$Q$2:$Q$840,Ordenes!$W$2:$W$840,$B39,Ordenes!$X$2:$X$840,$C39,Ordenes!$T$2:$T$840,"Válida",Ordenes!$F$2:$F$840,"Estrella"),"")</f>
        <v/>
      </c>
      <c r="J39" s="20">
        <f>IFERROR(SUMIFS(Ordenes!$P$2:$P$840,Ordenes!$W$2:$W$840,$B39,Ordenes!$X$2:$X$840,$C39,Ordenes!$T$2:$T$840,"Válida",Ordenes!$F$2:$F$840,"Saferock")/SUMIFS(Ordenes!$Q$2:$Q$840,Ordenes!$W$2:$W$840,$B39,Ordenes!$X$2:$X$840,$C39,Ordenes!$T$2:$T$840,"Válida",Ordenes!$F$2:$F$840,"Saferock"),"")</f>
        <v/>
      </c>
      <c r="K39" s="20">
        <f>IFERROR(SUMIFS(Ordenes!$P$2:$P$840,Ordenes!$W$2:$W$840,$B39,Ordenes!$X$2:$X$840,$C39,Ordenes!$T$2:$T$840,"Válida",Ordenes!$F$2:$F$840,"Hexágono")/SUMIFS(Ordenes!$Q$2:$Q$840,Ordenes!$W$2:$W$840,$B39,Ordenes!$X$2:$X$840,$C39,Ordenes!$T$2:$T$840,"Válida",Ordenes!$F$2:$F$840,"Hexágono"),"")</f>
        <v/>
      </c>
      <c r="L39" s="24">
        <f>IFERROR(SUMIFS(Ordenes!$P$2:$P$840,Ordenes!$W$2:$W$840,$B39,Ordenes!$X$2:$X$840,$C39,Ordenes!$T$2:$T$840,"Válida",Ordenes!$F$2:$F$840,"*")/SUMIFS(Ordenes!$Q$2:$Q$840,Ordenes!$W$2:$W$840,$B39,Ordenes!$X$2:$X$840,$C39,Ordenes!$T$2:$T$840,"Válida",Ordenes!$F$2:$F$840,"*"),"")</f>
        <v/>
      </c>
      <c r="M39" s="20">
        <f>IFERROR(SUMIFS(Ordenes!$V$2:$V$840,Ordenes!$W$2:$W$840,$B39,Ordenes!$X$2:$X$840,$C39,Ordenes!$T$2:$T$840,"Válida")/SUMIFS(Ordenes!$Q$2:$Q$840,Ordenes!$W$2:$W$840,$B39,Ordenes!$X$2:$X$840,$C39,Ordenes!$T$2:$T$840,"Válida"),"")</f>
        <v/>
      </c>
      <c r="N39" s="21">
        <f>IFERROR((L39-M39)*100,"")</f>
        <v/>
      </c>
      <c r="O39" s="19">
        <f>SUMIFS(Ordenes!$P$2:$P$840,Ordenes!$W$2:$W$840,$B39,Ordenes!$X$2:$X$840,$C39,Ordenes!$T$2:$T$840,"Válida")</f>
        <v/>
      </c>
      <c r="P39" s="19">
        <f>SUMIFS(Ordenes!$Q$2:$Q$840,Ordenes!$W$2:$W$840,$B39,Ordenes!$X$2:$X$840,$C39,Ordenes!$T$2:$T$840,"Válida")</f>
        <v/>
      </c>
      <c r="Q39" s="18">
        <f>COUNTIFS(Ordenes!$W$2:$W$840,$B39,Ordenes!$X$2:$X$840,$C39,Ordenes!$T$2:$T$840,"Válida")</f>
        <v/>
      </c>
    </row>
    <row r="40">
      <c r="A40" s="18" t="inlineStr">
        <is>
          <t>S37 2026 (7 sep)</t>
        </is>
      </c>
      <c r="B40" s="18" t="n">
        <v>2026</v>
      </c>
      <c r="C40" s="18" t="n">
        <v>37</v>
      </c>
      <c r="D40" s="20">
        <f>IFERROR(SUMIFS(Ordenes!$P$2:$P$840,Ordenes!$W$2:$W$840,$B40,Ordenes!$X$2:$X$840,$C40,Ordenes!$T$2:$T$840,"Válida",Ordenes!$F$2:$F$840,"B Hormigón")/SUMIFS(Ordenes!$Q$2:$Q$840,Ordenes!$W$2:$W$840,$B40,Ordenes!$X$2:$X$840,$C40,Ordenes!$T$2:$T$840,"Válida",Ordenes!$F$2:$F$840,"B Hormigón"),"")</f>
        <v/>
      </c>
      <c r="E40" s="20">
        <f>IFERROR(SUMIFS(Ordenes!$P$2:$P$840,Ordenes!$W$2:$W$840,$B40,Ordenes!$X$2:$X$840,$C40,Ordenes!$T$2:$T$840,"Válida",Ordenes!$F$2:$F$840,"Redondo liso")/SUMIFS(Ordenes!$Q$2:$Q$840,Ordenes!$W$2:$W$840,$B40,Ordenes!$X$2:$X$840,$C40,Ordenes!$T$2:$T$840,"Válida",Ordenes!$F$2:$F$840,"Redondo liso"),"")</f>
        <v/>
      </c>
      <c r="F40" s="20">
        <f>IFERROR(SUMIFS(Ordenes!$P$2:$P$840,Ordenes!$W$2:$W$840,$B40,Ordenes!$X$2:$X$840,$C40,Ordenes!$T$2:$T$840,"Válida",Ordenes!$F$2:$F$840,"Plana")/SUMIFS(Ordenes!$Q$2:$Q$840,Ordenes!$W$2:$W$840,$B40,Ordenes!$X$2:$X$840,$C40,Ordenes!$T$2:$T$840,"Válida",Ordenes!$F$2:$F$840,"Plana"),"")</f>
        <v/>
      </c>
      <c r="G40" s="20">
        <f>IFERROR(SUMIFS(Ordenes!$P$2:$P$840,Ordenes!$W$2:$W$840,$B40,Ordenes!$X$2:$X$840,$C40,Ordenes!$T$2:$T$840,"Válida",Ordenes!$F$2:$F$840,"Ángulo")/SUMIFS(Ordenes!$Q$2:$Q$840,Ordenes!$W$2:$W$840,$B40,Ordenes!$X$2:$X$840,$C40,Ordenes!$T$2:$T$840,"Válida",Ordenes!$F$2:$F$840,"Ángulo"),"")</f>
        <v/>
      </c>
      <c r="H40" s="20">
        <f>IFERROR(SUMIFS(Ordenes!$P$2:$P$840,Ordenes!$W$2:$W$840,$B40,Ordenes!$X$2:$X$840,$C40,Ordenes!$T$2:$T$840,"Válida",Ordenes!$F$2:$F$840,"Cuadrado")/SUMIFS(Ordenes!$Q$2:$Q$840,Ordenes!$W$2:$W$840,$B40,Ordenes!$X$2:$X$840,$C40,Ordenes!$T$2:$T$840,"Válida",Ordenes!$F$2:$F$840,"Cuadrado"),"")</f>
        <v/>
      </c>
      <c r="I40" s="20">
        <f>IFERROR(SUMIFS(Ordenes!$P$2:$P$840,Ordenes!$W$2:$W$840,$B40,Ordenes!$X$2:$X$840,$C40,Ordenes!$T$2:$T$840,"Válida",Ordenes!$F$2:$F$840,"Estrella")/SUMIFS(Ordenes!$Q$2:$Q$840,Ordenes!$W$2:$W$840,$B40,Ordenes!$X$2:$X$840,$C40,Ordenes!$T$2:$T$840,"Válida",Ordenes!$F$2:$F$840,"Estrella"),"")</f>
        <v/>
      </c>
      <c r="J40" s="20">
        <f>IFERROR(SUMIFS(Ordenes!$P$2:$P$840,Ordenes!$W$2:$W$840,$B40,Ordenes!$X$2:$X$840,$C40,Ordenes!$T$2:$T$840,"Válida",Ordenes!$F$2:$F$840,"Saferock")/SUMIFS(Ordenes!$Q$2:$Q$840,Ordenes!$W$2:$W$840,$B40,Ordenes!$X$2:$X$840,$C40,Ordenes!$T$2:$T$840,"Válida",Ordenes!$F$2:$F$840,"Saferock"),"")</f>
        <v/>
      </c>
      <c r="K40" s="20">
        <f>IFERROR(SUMIFS(Ordenes!$P$2:$P$840,Ordenes!$W$2:$W$840,$B40,Ordenes!$X$2:$X$840,$C40,Ordenes!$T$2:$T$840,"Válida",Ordenes!$F$2:$F$840,"Hexágono")/SUMIFS(Ordenes!$Q$2:$Q$840,Ordenes!$W$2:$W$840,$B40,Ordenes!$X$2:$X$840,$C40,Ordenes!$T$2:$T$840,"Válida",Ordenes!$F$2:$F$840,"Hexágono"),"")</f>
        <v/>
      </c>
      <c r="L40" s="24">
        <f>IFERROR(SUMIFS(Ordenes!$P$2:$P$840,Ordenes!$W$2:$W$840,$B40,Ordenes!$X$2:$X$840,$C40,Ordenes!$T$2:$T$840,"Válida",Ordenes!$F$2:$F$840,"*")/SUMIFS(Ordenes!$Q$2:$Q$840,Ordenes!$W$2:$W$840,$B40,Ordenes!$X$2:$X$840,$C40,Ordenes!$T$2:$T$840,"Válida",Ordenes!$F$2:$F$840,"*"),"")</f>
        <v/>
      </c>
      <c r="M40" s="20">
        <f>IFERROR(SUMIFS(Ordenes!$V$2:$V$840,Ordenes!$W$2:$W$840,$B40,Ordenes!$X$2:$X$840,$C40,Ordenes!$T$2:$T$840,"Válida")/SUMIFS(Ordenes!$Q$2:$Q$840,Ordenes!$W$2:$W$840,$B40,Ordenes!$X$2:$X$840,$C40,Ordenes!$T$2:$T$840,"Válida"),"")</f>
        <v/>
      </c>
      <c r="N40" s="21">
        <f>IFERROR((L40-M40)*100,"")</f>
        <v/>
      </c>
      <c r="O40" s="19">
        <f>SUMIFS(Ordenes!$P$2:$P$840,Ordenes!$W$2:$W$840,$B40,Ordenes!$X$2:$X$840,$C40,Ordenes!$T$2:$T$840,"Válida")</f>
        <v/>
      </c>
      <c r="P40" s="19">
        <f>SUMIFS(Ordenes!$Q$2:$Q$840,Ordenes!$W$2:$W$840,$B40,Ordenes!$X$2:$X$840,$C40,Ordenes!$T$2:$T$840,"Válida")</f>
        <v/>
      </c>
      <c r="Q40" s="18">
        <f>COUNTIFS(Ordenes!$W$2:$W$840,$B40,Ordenes!$X$2:$X$840,$C40,Ordenes!$T$2:$T$840,"Válida")</f>
        <v/>
      </c>
    </row>
    <row r="41">
      <c r="A41" s="18" t="inlineStr">
        <is>
          <t>S38 2026 (14 sep)</t>
        </is>
      </c>
      <c r="B41" s="18" t="n">
        <v>2026</v>
      </c>
      <c r="C41" s="18" t="n">
        <v>38</v>
      </c>
      <c r="D41" s="20">
        <f>IFERROR(SUMIFS(Ordenes!$P$2:$P$840,Ordenes!$W$2:$W$840,$B41,Ordenes!$X$2:$X$840,$C41,Ordenes!$T$2:$T$840,"Válida",Ordenes!$F$2:$F$840,"B Hormigón")/SUMIFS(Ordenes!$Q$2:$Q$840,Ordenes!$W$2:$W$840,$B41,Ordenes!$X$2:$X$840,$C41,Ordenes!$T$2:$T$840,"Válida",Ordenes!$F$2:$F$840,"B Hormigón"),"")</f>
        <v/>
      </c>
      <c r="E41" s="20">
        <f>IFERROR(SUMIFS(Ordenes!$P$2:$P$840,Ordenes!$W$2:$W$840,$B41,Ordenes!$X$2:$X$840,$C41,Ordenes!$T$2:$T$840,"Válida",Ordenes!$F$2:$F$840,"Redondo liso")/SUMIFS(Ordenes!$Q$2:$Q$840,Ordenes!$W$2:$W$840,$B41,Ordenes!$X$2:$X$840,$C41,Ordenes!$T$2:$T$840,"Válida",Ordenes!$F$2:$F$840,"Redondo liso"),"")</f>
        <v/>
      </c>
      <c r="F41" s="20">
        <f>IFERROR(SUMIFS(Ordenes!$P$2:$P$840,Ordenes!$W$2:$W$840,$B41,Ordenes!$X$2:$X$840,$C41,Ordenes!$T$2:$T$840,"Válida",Ordenes!$F$2:$F$840,"Plana")/SUMIFS(Ordenes!$Q$2:$Q$840,Ordenes!$W$2:$W$840,$B41,Ordenes!$X$2:$X$840,$C41,Ordenes!$T$2:$T$840,"Válida",Ordenes!$F$2:$F$840,"Plana"),"")</f>
        <v/>
      </c>
      <c r="G41" s="20">
        <f>IFERROR(SUMIFS(Ordenes!$P$2:$P$840,Ordenes!$W$2:$W$840,$B41,Ordenes!$X$2:$X$840,$C41,Ordenes!$T$2:$T$840,"Válida",Ordenes!$F$2:$F$840,"Ángulo")/SUMIFS(Ordenes!$Q$2:$Q$840,Ordenes!$W$2:$W$840,$B41,Ordenes!$X$2:$X$840,$C41,Ordenes!$T$2:$T$840,"Válida",Ordenes!$F$2:$F$840,"Ángulo"),"")</f>
        <v/>
      </c>
      <c r="H41" s="20">
        <f>IFERROR(SUMIFS(Ordenes!$P$2:$P$840,Ordenes!$W$2:$W$840,$B41,Ordenes!$X$2:$X$840,$C41,Ordenes!$T$2:$T$840,"Válida",Ordenes!$F$2:$F$840,"Cuadrado")/SUMIFS(Ordenes!$Q$2:$Q$840,Ordenes!$W$2:$W$840,$B41,Ordenes!$X$2:$X$840,$C41,Ordenes!$T$2:$T$840,"Válida",Ordenes!$F$2:$F$840,"Cuadrado"),"")</f>
        <v/>
      </c>
      <c r="I41" s="20">
        <f>IFERROR(SUMIFS(Ordenes!$P$2:$P$840,Ordenes!$W$2:$W$840,$B41,Ordenes!$X$2:$X$840,$C41,Ordenes!$T$2:$T$840,"Válida",Ordenes!$F$2:$F$840,"Estrella")/SUMIFS(Ordenes!$Q$2:$Q$840,Ordenes!$W$2:$W$840,$B41,Ordenes!$X$2:$X$840,$C41,Ordenes!$T$2:$T$840,"Válida",Ordenes!$F$2:$F$840,"Estrella"),"")</f>
        <v/>
      </c>
      <c r="J41" s="20">
        <f>IFERROR(SUMIFS(Ordenes!$P$2:$P$840,Ordenes!$W$2:$W$840,$B41,Ordenes!$X$2:$X$840,$C41,Ordenes!$T$2:$T$840,"Válida",Ordenes!$F$2:$F$840,"Saferock")/SUMIFS(Ordenes!$Q$2:$Q$840,Ordenes!$W$2:$W$840,$B41,Ordenes!$X$2:$X$840,$C41,Ordenes!$T$2:$T$840,"Válida",Ordenes!$F$2:$F$840,"Saferock"),"")</f>
        <v/>
      </c>
      <c r="K41" s="20">
        <f>IFERROR(SUMIFS(Ordenes!$P$2:$P$840,Ordenes!$W$2:$W$840,$B41,Ordenes!$X$2:$X$840,$C41,Ordenes!$T$2:$T$840,"Válida",Ordenes!$F$2:$F$840,"Hexágono")/SUMIFS(Ordenes!$Q$2:$Q$840,Ordenes!$W$2:$W$840,$B41,Ordenes!$X$2:$X$840,$C41,Ordenes!$T$2:$T$840,"Válida",Ordenes!$F$2:$F$840,"Hexágono"),"")</f>
        <v/>
      </c>
      <c r="L41" s="24">
        <f>IFERROR(SUMIFS(Ordenes!$P$2:$P$840,Ordenes!$W$2:$W$840,$B41,Ordenes!$X$2:$X$840,$C41,Ordenes!$T$2:$T$840,"Válida",Ordenes!$F$2:$F$840,"*")/SUMIFS(Ordenes!$Q$2:$Q$840,Ordenes!$W$2:$W$840,$B41,Ordenes!$X$2:$X$840,$C41,Ordenes!$T$2:$T$840,"Válida",Ordenes!$F$2:$F$840,"*"),"")</f>
        <v/>
      </c>
      <c r="M41" s="20">
        <f>IFERROR(SUMIFS(Ordenes!$V$2:$V$840,Ordenes!$W$2:$W$840,$B41,Ordenes!$X$2:$X$840,$C41,Ordenes!$T$2:$T$840,"Válida")/SUMIFS(Ordenes!$Q$2:$Q$840,Ordenes!$W$2:$W$840,$B41,Ordenes!$X$2:$X$840,$C41,Ordenes!$T$2:$T$840,"Válida"),"")</f>
        <v/>
      </c>
      <c r="N41" s="21">
        <f>IFERROR((L41-M41)*100,"")</f>
        <v/>
      </c>
      <c r="O41" s="19">
        <f>SUMIFS(Ordenes!$P$2:$P$840,Ordenes!$W$2:$W$840,$B41,Ordenes!$X$2:$X$840,$C41,Ordenes!$T$2:$T$840,"Válida")</f>
        <v/>
      </c>
      <c r="P41" s="19">
        <f>SUMIFS(Ordenes!$Q$2:$Q$840,Ordenes!$W$2:$W$840,$B41,Ordenes!$X$2:$X$840,$C41,Ordenes!$T$2:$T$840,"Válida")</f>
        <v/>
      </c>
      <c r="Q41" s="18">
        <f>COUNTIFS(Ordenes!$W$2:$W$840,$B41,Ordenes!$X$2:$X$840,$C41,Ordenes!$T$2:$T$840,"Válida")</f>
        <v/>
      </c>
    </row>
    <row r="42">
      <c r="A42" s="18" t="inlineStr">
        <is>
          <t>S39 2026 (21 sep)</t>
        </is>
      </c>
      <c r="B42" s="18" t="n">
        <v>2026</v>
      </c>
      <c r="C42" s="18" t="n">
        <v>39</v>
      </c>
      <c r="D42" s="20">
        <f>IFERROR(SUMIFS(Ordenes!$P$2:$P$840,Ordenes!$W$2:$W$840,$B42,Ordenes!$X$2:$X$840,$C42,Ordenes!$T$2:$T$840,"Válida",Ordenes!$F$2:$F$840,"B Hormigón")/SUMIFS(Ordenes!$Q$2:$Q$840,Ordenes!$W$2:$W$840,$B42,Ordenes!$X$2:$X$840,$C42,Ordenes!$T$2:$T$840,"Válida",Ordenes!$F$2:$F$840,"B Hormigón"),"")</f>
        <v/>
      </c>
      <c r="E42" s="20">
        <f>IFERROR(SUMIFS(Ordenes!$P$2:$P$840,Ordenes!$W$2:$W$840,$B42,Ordenes!$X$2:$X$840,$C42,Ordenes!$T$2:$T$840,"Válida",Ordenes!$F$2:$F$840,"Redondo liso")/SUMIFS(Ordenes!$Q$2:$Q$840,Ordenes!$W$2:$W$840,$B42,Ordenes!$X$2:$X$840,$C42,Ordenes!$T$2:$T$840,"Válida",Ordenes!$F$2:$F$840,"Redondo liso"),"")</f>
        <v/>
      </c>
      <c r="F42" s="20">
        <f>IFERROR(SUMIFS(Ordenes!$P$2:$P$840,Ordenes!$W$2:$W$840,$B42,Ordenes!$X$2:$X$840,$C42,Ordenes!$T$2:$T$840,"Válida",Ordenes!$F$2:$F$840,"Plana")/SUMIFS(Ordenes!$Q$2:$Q$840,Ordenes!$W$2:$W$840,$B42,Ordenes!$X$2:$X$840,$C42,Ordenes!$T$2:$T$840,"Válida",Ordenes!$F$2:$F$840,"Plana"),"")</f>
        <v/>
      </c>
      <c r="G42" s="20">
        <f>IFERROR(SUMIFS(Ordenes!$P$2:$P$840,Ordenes!$W$2:$W$840,$B42,Ordenes!$X$2:$X$840,$C42,Ordenes!$T$2:$T$840,"Válida",Ordenes!$F$2:$F$840,"Ángulo")/SUMIFS(Ordenes!$Q$2:$Q$840,Ordenes!$W$2:$W$840,$B42,Ordenes!$X$2:$X$840,$C42,Ordenes!$T$2:$T$840,"Válida",Ordenes!$F$2:$F$840,"Ángulo"),"")</f>
        <v/>
      </c>
      <c r="H42" s="20">
        <f>IFERROR(SUMIFS(Ordenes!$P$2:$P$840,Ordenes!$W$2:$W$840,$B42,Ordenes!$X$2:$X$840,$C42,Ordenes!$T$2:$T$840,"Válida",Ordenes!$F$2:$F$840,"Cuadrado")/SUMIFS(Ordenes!$Q$2:$Q$840,Ordenes!$W$2:$W$840,$B42,Ordenes!$X$2:$X$840,$C42,Ordenes!$T$2:$T$840,"Válida",Ordenes!$F$2:$F$840,"Cuadrado"),"")</f>
        <v/>
      </c>
      <c r="I42" s="20">
        <f>IFERROR(SUMIFS(Ordenes!$P$2:$P$840,Ordenes!$W$2:$W$840,$B42,Ordenes!$X$2:$X$840,$C42,Ordenes!$T$2:$T$840,"Válida",Ordenes!$F$2:$F$840,"Estrella")/SUMIFS(Ordenes!$Q$2:$Q$840,Ordenes!$W$2:$W$840,$B42,Ordenes!$X$2:$X$840,$C42,Ordenes!$T$2:$T$840,"Válida",Ordenes!$F$2:$F$840,"Estrella"),"")</f>
        <v/>
      </c>
      <c r="J42" s="20">
        <f>IFERROR(SUMIFS(Ordenes!$P$2:$P$840,Ordenes!$W$2:$W$840,$B42,Ordenes!$X$2:$X$840,$C42,Ordenes!$T$2:$T$840,"Válida",Ordenes!$F$2:$F$840,"Saferock")/SUMIFS(Ordenes!$Q$2:$Q$840,Ordenes!$W$2:$W$840,$B42,Ordenes!$X$2:$X$840,$C42,Ordenes!$T$2:$T$840,"Válida",Ordenes!$F$2:$F$840,"Saferock"),"")</f>
        <v/>
      </c>
      <c r="K42" s="20">
        <f>IFERROR(SUMIFS(Ordenes!$P$2:$P$840,Ordenes!$W$2:$W$840,$B42,Ordenes!$X$2:$X$840,$C42,Ordenes!$T$2:$T$840,"Válida",Ordenes!$F$2:$F$840,"Hexágono")/SUMIFS(Ordenes!$Q$2:$Q$840,Ordenes!$W$2:$W$840,$B42,Ordenes!$X$2:$X$840,$C42,Ordenes!$T$2:$T$840,"Válida",Ordenes!$F$2:$F$840,"Hexágono"),"")</f>
        <v/>
      </c>
      <c r="L42" s="24">
        <f>IFERROR(SUMIFS(Ordenes!$P$2:$P$840,Ordenes!$W$2:$W$840,$B42,Ordenes!$X$2:$X$840,$C42,Ordenes!$T$2:$T$840,"Válida",Ordenes!$F$2:$F$840,"*")/SUMIFS(Ordenes!$Q$2:$Q$840,Ordenes!$W$2:$W$840,$B42,Ordenes!$X$2:$X$840,$C42,Ordenes!$T$2:$T$840,"Válida",Ordenes!$F$2:$F$840,"*"),"")</f>
        <v/>
      </c>
      <c r="M42" s="20">
        <f>IFERROR(SUMIFS(Ordenes!$V$2:$V$840,Ordenes!$W$2:$W$840,$B42,Ordenes!$X$2:$X$840,$C42,Ordenes!$T$2:$T$840,"Válida")/SUMIFS(Ordenes!$Q$2:$Q$840,Ordenes!$W$2:$W$840,$B42,Ordenes!$X$2:$X$840,$C42,Ordenes!$T$2:$T$840,"Válida"),"")</f>
        <v/>
      </c>
      <c r="N42" s="21">
        <f>IFERROR((L42-M42)*100,"")</f>
        <v/>
      </c>
      <c r="O42" s="19">
        <f>SUMIFS(Ordenes!$P$2:$P$840,Ordenes!$W$2:$W$840,$B42,Ordenes!$X$2:$X$840,$C42,Ordenes!$T$2:$T$840,"Válida")</f>
        <v/>
      </c>
      <c r="P42" s="19">
        <f>SUMIFS(Ordenes!$Q$2:$Q$840,Ordenes!$W$2:$W$840,$B42,Ordenes!$X$2:$X$840,$C42,Ordenes!$T$2:$T$840,"Válida")</f>
        <v/>
      </c>
      <c r="Q42" s="18">
        <f>COUNTIFS(Ordenes!$W$2:$W$840,$B42,Ordenes!$X$2:$X$840,$C42,Ordenes!$T$2:$T$840,"Válida")</f>
        <v/>
      </c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3" t="inlineStr">
        <is>
          <t>Escala de color: rojo ≤ 90 %, gris 94,5 %, azul ≥ 97 %. Celda vacía = el grupo no produjo en ese período.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</sheetData>
  <conditionalFormatting sqref="D5:L42">
    <cfRule type="colorScale" priority="1">
      <colorScale>
        <cfvo type="num" val="0.9"/>
        <cfvo type="num" val="0.945"/>
        <cfvo type="num" val="0.97"/>
        <color rgb="00E34948"/>
        <color rgb="00F0EFEC"/>
        <color rgb="002A78D6"/>
      </colorScale>
    </cfRule>
  </conditionalFormatting>
  <conditionalFormatting sqref="N5:N42">
    <cfRule type="cellIs" priority="2" operator="lessThan" dxfId="2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2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11" customWidth="1" min="14" max="14"/>
    <col width="14" customWidth="1" min="15" max="15"/>
    <col width="14" customWidth="1" min="16" max="16"/>
    <col width="10" customWidth="1" min="17" max="17"/>
  </cols>
  <sheetData>
    <row r="1">
      <c r="A1" s="1" t="inlineStr">
        <is>
          <t>Rendimiento metálico por grupo y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Según la fecha de inicio de la orden. Órdenes válidas. Rend. = Σ kg producidos / Σ kg consumidos.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30" customHeight="1">
      <c r="A4" s="10" t="inlineStr">
        <is>
          <t>Período</t>
        </is>
      </c>
      <c r="B4" s="10" t="inlineStr">
        <is>
          <t>Fecha</t>
        </is>
      </c>
      <c r="C4" s="10" t="inlineStr">
        <is>
          <t>Semana</t>
        </is>
      </c>
      <c r="D4" s="10" t="inlineStr">
        <is>
          <t>Rend. B Hormigón</t>
        </is>
      </c>
      <c r="E4" s="10" t="inlineStr">
        <is>
          <t>Rend. Redondo liso</t>
        </is>
      </c>
      <c r="F4" s="10" t="inlineStr">
        <is>
          <t>Rend. Plana</t>
        </is>
      </c>
      <c r="G4" s="10" t="inlineStr">
        <is>
          <t>Rend. Ángulo</t>
        </is>
      </c>
      <c r="H4" s="10" t="inlineStr">
        <is>
          <t>Rend. Cuadrado</t>
        </is>
      </c>
      <c r="I4" s="10" t="inlineStr">
        <is>
          <t>Rend. Estrella</t>
        </is>
      </c>
      <c r="J4" s="10" t="inlineStr">
        <is>
          <t>Rend. Saferock</t>
        </is>
      </c>
      <c r="K4" s="10" t="inlineStr">
        <is>
          <t>Rend. Hexágono</t>
        </is>
      </c>
      <c r="L4" s="10" t="inlineStr">
        <is>
          <t>Rend. Total</t>
        </is>
      </c>
      <c r="M4" s="10" t="inlineStr">
        <is>
          <t>Meta total</t>
        </is>
      </c>
      <c r="N4" s="10" t="inlineStr">
        <is>
          <t>vs meta (pp)</t>
        </is>
      </c>
      <c r="O4" s="10" t="inlineStr">
        <is>
          <t>Kg producidos</t>
        </is>
      </c>
      <c r="P4" s="10" t="inlineStr">
        <is>
          <t>Kg consumidos</t>
        </is>
      </c>
      <c r="Q4" s="10" t="inlineStr">
        <is>
          <t>Órdenes válidas</t>
        </is>
      </c>
    </row>
    <row r="5">
      <c r="A5" s="18" t="inlineStr">
        <is>
          <t>Vie 2 ene 2026</t>
        </is>
      </c>
      <c r="B5" s="22" t="n">
        <v>46024</v>
      </c>
      <c r="C5" s="18" t="inlineStr">
        <is>
          <t>S01</t>
        </is>
      </c>
      <c r="D5" s="20">
        <f>IFERROR(SUMIFS(Ordenes!$P$2:$P$840,Ordenes!$C$2:$C$840,$B5,Ordenes!$T$2:$T$840,"Válida",Ordenes!$F$2:$F$840,"B Hormigón")/SUMIFS(Ordenes!$Q$2:$Q$840,Ordenes!$C$2:$C$840,$B5,Ordenes!$T$2:$T$840,"Válida",Ordenes!$F$2:$F$840,"B Hormigón"),"")</f>
        <v/>
      </c>
      <c r="E5" s="20">
        <f>IFERROR(SUMIFS(Ordenes!$P$2:$P$840,Ordenes!$C$2:$C$840,$B5,Ordenes!$T$2:$T$840,"Válida",Ordenes!$F$2:$F$840,"Redondo liso")/SUMIFS(Ordenes!$Q$2:$Q$840,Ordenes!$C$2:$C$840,$B5,Ordenes!$T$2:$T$840,"Válida",Ordenes!$F$2:$F$840,"Redondo liso"),"")</f>
        <v/>
      </c>
      <c r="F5" s="20">
        <f>IFERROR(SUMIFS(Ordenes!$P$2:$P$840,Ordenes!$C$2:$C$840,$B5,Ordenes!$T$2:$T$840,"Válida",Ordenes!$F$2:$F$840,"Plana")/SUMIFS(Ordenes!$Q$2:$Q$840,Ordenes!$C$2:$C$840,$B5,Ordenes!$T$2:$T$840,"Válida",Ordenes!$F$2:$F$840,"Plana"),"")</f>
        <v/>
      </c>
      <c r="G5" s="20">
        <f>IFERROR(SUMIFS(Ordenes!$P$2:$P$840,Ordenes!$C$2:$C$840,$B5,Ordenes!$T$2:$T$840,"Válida",Ordenes!$F$2:$F$840,"Ángulo")/SUMIFS(Ordenes!$Q$2:$Q$840,Ordenes!$C$2:$C$840,$B5,Ordenes!$T$2:$T$840,"Válida",Ordenes!$F$2:$F$840,"Ángulo"),"")</f>
        <v/>
      </c>
      <c r="H5" s="20">
        <f>IFERROR(SUMIFS(Ordenes!$P$2:$P$840,Ordenes!$C$2:$C$840,$B5,Ordenes!$T$2:$T$840,"Válida",Ordenes!$F$2:$F$840,"Cuadrado")/SUMIFS(Ordenes!$Q$2:$Q$840,Ordenes!$C$2:$C$840,$B5,Ordenes!$T$2:$T$840,"Válida",Ordenes!$F$2:$F$840,"Cuadrado"),"")</f>
        <v/>
      </c>
      <c r="I5" s="20">
        <f>IFERROR(SUMIFS(Ordenes!$P$2:$P$840,Ordenes!$C$2:$C$840,$B5,Ordenes!$T$2:$T$840,"Válida",Ordenes!$F$2:$F$840,"Estrella")/SUMIFS(Ordenes!$Q$2:$Q$840,Ordenes!$C$2:$C$840,$B5,Ordenes!$T$2:$T$840,"Válida",Ordenes!$F$2:$F$840,"Estrella"),"")</f>
        <v/>
      </c>
      <c r="J5" s="20">
        <f>IFERROR(SUMIFS(Ordenes!$P$2:$P$840,Ordenes!$C$2:$C$840,$B5,Ordenes!$T$2:$T$840,"Válida",Ordenes!$F$2:$F$840,"Saferock")/SUMIFS(Ordenes!$Q$2:$Q$840,Ordenes!$C$2:$C$840,$B5,Ordenes!$T$2:$T$840,"Válida",Ordenes!$F$2:$F$840,"Saferock"),"")</f>
        <v/>
      </c>
      <c r="K5" s="20">
        <f>IFERROR(SUMIFS(Ordenes!$P$2:$P$840,Ordenes!$C$2:$C$840,$B5,Ordenes!$T$2:$T$840,"Válida",Ordenes!$F$2:$F$840,"Hexágono")/SUMIFS(Ordenes!$Q$2:$Q$840,Ordenes!$C$2:$C$840,$B5,Ordenes!$T$2:$T$840,"Válida",Ordenes!$F$2:$F$840,"Hexágono"),"")</f>
        <v/>
      </c>
      <c r="L5" s="24">
        <f>IFERROR(SUMIFS(Ordenes!$P$2:$P$840,Ordenes!$C$2:$C$840,$B5,Ordenes!$T$2:$T$840,"Válida",Ordenes!$F$2:$F$840,"*")/SUMIFS(Ordenes!$Q$2:$Q$840,Ordenes!$C$2:$C$840,$B5,Ordenes!$T$2:$T$840,"Válida",Ordenes!$F$2:$F$840,"*"),"")</f>
        <v/>
      </c>
      <c r="M5" s="20">
        <f>IFERROR(SUMIFS(Ordenes!$V$2:$V$840,Ordenes!$C$2:$C$840,$B5,Ordenes!$T$2:$T$840,"Válida")/SUMIFS(Ordenes!$Q$2:$Q$840,Ordenes!$C$2:$C$840,$B5,Ordenes!$T$2:$T$840,"Válida"),"")</f>
        <v/>
      </c>
      <c r="N5" s="21">
        <f>IFERROR((L5-M5)*100,"")</f>
        <v/>
      </c>
      <c r="O5" s="19">
        <f>SUMIFS(Ordenes!$P$2:$P$840,Ordenes!$C$2:$C$840,$B5,Ordenes!$T$2:$T$840,"Válida")</f>
        <v/>
      </c>
      <c r="P5" s="19">
        <f>SUMIFS(Ordenes!$Q$2:$Q$840,Ordenes!$C$2:$C$840,$B5,Ordenes!$T$2:$T$840,"Válida")</f>
        <v/>
      </c>
      <c r="Q5" s="18">
        <f>COUNTIFS(Ordenes!$C$2:$C$840,$B5,Ordenes!$T$2:$T$840,"Válida")</f>
        <v/>
      </c>
    </row>
    <row r="6">
      <c r="A6" s="18" t="inlineStr">
        <is>
          <t>Sáb 3 ene 2026</t>
        </is>
      </c>
      <c r="B6" s="22" t="n">
        <v>46025</v>
      </c>
      <c r="C6" s="18" t="inlineStr">
        <is>
          <t>S01</t>
        </is>
      </c>
      <c r="D6" s="20">
        <f>IFERROR(SUMIFS(Ordenes!$P$2:$P$840,Ordenes!$C$2:$C$840,$B6,Ordenes!$T$2:$T$840,"Válida",Ordenes!$F$2:$F$840,"B Hormigón")/SUMIFS(Ordenes!$Q$2:$Q$840,Ordenes!$C$2:$C$840,$B6,Ordenes!$T$2:$T$840,"Válida",Ordenes!$F$2:$F$840,"B Hormigón"),"")</f>
        <v/>
      </c>
      <c r="E6" s="20">
        <f>IFERROR(SUMIFS(Ordenes!$P$2:$P$840,Ordenes!$C$2:$C$840,$B6,Ordenes!$T$2:$T$840,"Válida",Ordenes!$F$2:$F$840,"Redondo liso")/SUMIFS(Ordenes!$Q$2:$Q$840,Ordenes!$C$2:$C$840,$B6,Ordenes!$T$2:$T$840,"Válida",Ordenes!$F$2:$F$840,"Redondo liso"),"")</f>
        <v/>
      </c>
      <c r="F6" s="20">
        <f>IFERROR(SUMIFS(Ordenes!$P$2:$P$840,Ordenes!$C$2:$C$840,$B6,Ordenes!$T$2:$T$840,"Válida",Ordenes!$F$2:$F$840,"Plana")/SUMIFS(Ordenes!$Q$2:$Q$840,Ordenes!$C$2:$C$840,$B6,Ordenes!$T$2:$T$840,"Válida",Ordenes!$F$2:$F$840,"Plana"),"")</f>
        <v/>
      </c>
      <c r="G6" s="20">
        <f>IFERROR(SUMIFS(Ordenes!$P$2:$P$840,Ordenes!$C$2:$C$840,$B6,Ordenes!$T$2:$T$840,"Válida",Ordenes!$F$2:$F$840,"Ángulo")/SUMIFS(Ordenes!$Q$2:$Q$840,Ordenes!$C$2:$C$840,$B6,Ordenes!$T$2:$T$840,"Válida",Ordenes!$F$2:$F$840,"Ángulo"),"")</f>
        <v/>
      </c>
      <c r="H6" s="20">
        <f>IFERROR(SUMIFS(Ordenes!$P$2:$P$840,Ordenes!$C$2:$C$840,$B6,Ordenes!$T$2:$T$840,"Válida",Ordenes!$F$2:$F$840,"Cuadrado")/SUMIFS(Ordenes!$Q$2:$Q$840,Ordenes!$C$2:$C$840,$B6,Ordenes!$T$2:$T$840,"Válida",Ordenes!$F$2:$F$840,"Cuadrado"),"")</f>
        <v/>
      </c>
      <c r="I6" s="20">
        <f>IFERROR(SUMIFS(Ordenes!$P$2:$P$840,Ordenes!$C$2:$C$840,$B6,Ordenes!$T$2:$T$840,"Válida",Ordenes!$F$2:$F$840,"Estrella")/SUMIFS(Ordenes!$Q$2:$Q$840,Ordenes!$C$2:$C$840,$B6,Ordenes!$T$2:$T$840,"Válida",Ordenes!$F$2:$F$840,"Estrella"),"")</f>
        <v/>
      </c>
      <c r="J6" s="20">
        <f>IFERROR(SUMIFS(Ordenes!$P$2:$P$840,Ordenes!$C$2:$C$840,$B6,Ordenes!$T$2:$T$840,"Válida",Ordenes!$F$2:$F$840,"Saferock")/SUMIFS(Ordenes!$Q$2:$Q$840,Ordenes!$C$2:$C$840,$B6,Ordenes!$T$2:$T$840,"Válida",Ordenes!$F$2:$F$840,"Saferock"),"")</f>
        <v/>
      </c>
      <c r="K6" s="20">
        <f>IFERROR(SUMIFS(Ordenes!$P$2:$P$840,Ordenes!$C$2:$C$840,$B6,Ordenes!$T$2:$T$840,"Válida",Ordenes!$F$2:$F$840,"Hexágono")/SUMIFS(Ordenes!$Q$2:$Q$840,Ordenes!$C$2:$C$840,$B6,Ordenes!$T$2:$T$840,"Válida",Ordenes!$F$2:$F$840,"Hexágono"),"")</f>
        <v/>
      </c>
      <c r="L6" s="24">
        <f>IFERROR(SUMIFS(Ordenes!$P$2:$P$840,Ordenes!$C$2:$C$840,$B6,Ordenes!$T$2:$T$840,"Válida",Ordenes!$F$2:$F$840,"*")/SUMIFS(Ordenes!$Q$2:$Q$840,Ordenes!$C$2:$C$840,$B6,Ordenes!$T$2:$T$840,"Válida",Ordenes!$F$2:$F$840,"*"),"")</f>
        <v/>
      </c>
      <c r="M6" s="20">
        <f>IFERROR(SUMIFS(Ordenes!$V$2:$V$840,Ordenes!$C$2:$C$840,$B6,Ordenes!$T$2:$T$840,"Válida")/SUMIFS(Ordenes!$Q$2:$Q$840,Ordenes!$C$2:$C$840,$B6,Ordenes!$T$2:$T$840,"Válida"),"")</f>
        <v/>
      </c>
      <c r="N6" s="21">
        <f>IFERROR((L6-M6)*100,"")</f>
        <v/>
      </c>
      <c r="O6" s="19">
        <f>SUMIFS(Ordenes!$P$2:$P$840,Ordenes!$C$2:$C$840,$B6,Ordenes!$T$2:$T$840,"Válida")</f>
        <v/>
      </c>
      <c r="P6" s="19">
        <f>SUMIFS(Ordenes!$Q$2:$Q$840,Ordenes!$C$2:$C$840,$B6,Ordenes!$T$2:$T$840,"Válida")</f>
        <v/>
      </c>
      <c r="Q6" s="18">
        <f>COUNTIFS(Ordenes!$C$2:$C$840,$B6,Ordenes!$T$2:$T$840,"Válida")</f>
        <v/>
      </c>
    </row>
    <row r="7">
      <c r="A7" s="18" t="inlineStr">
        <is>
          <t>Lun 5 ene 2026</t>
        </is>
      </c>
      <c r="B7" s="22" t="n">
        <v>46027</v>
      </c>
      <c r="C7" s="18" t="inlineStr">
        <is>
          <t>S02</t>
        </is>
      </c>
      <c r="D7" s="20">
        <f>IFERROR(SUMIFS(Ordenes!$P$2:$P$840,Ordenes!$C$2:$C$840,$B7,Ordenes!$T$2:$T$840,"Válida",Ordenes!$F$2:$F$840,"B Hormigón")/SUMIFS(Ordenes!$Q$2:$Q$840,Ordenes!$C$2:$C$840,$B7,Ordenes!$T$2:$T$840,"Válida",Ordenes!$F$2:$F$840,"B Hormigón"),"")</f>
        <v/>
      </c>
      <c r="E7" s="20">
        <f>IFERROR(SUMIFS(Ordenes!$P$2:$P$840,Ordenes!$C$2:$C$840,$B7,Ordenes!$T$2:$T$840,"Válida",Ordenes!$F$2:$F$840,"Redondo liso")/SUMIFS(Ordenes!$Q$2:$Q$840,Ordenes!$C$2:$C$840,$B7,Ordenes!$T$2:$T$840,"Válida",Ordenes!$F$2:$F$840,"Redondo liso"),"")</f>
        <v/>
      </c>
      <c r="F7" s="20">
        <f>IFERROR(SUMIFS(Ordenes!$P$2:$P$840,Ordenes!$C$2:$C$840,$B7,Ordenes!$T$2:$T$840,"Válida",Ordenes!$F$2:$F$840,"Plana")/SUMIFS(Ordenes!$Q$2:$Q$840,Ordenes!$C$2:$C$840,$B7,Ordenes!$T$2:$T$840,"Válida",Ordenes!$F$2:$F$840,"Plana"),"")</f>
        <v/>
      </c>
      <c r="G7" s="20">
        <f>IFERROR(SUMIFS(Ordenes!$P$2:$P$840,Ordenes!$C$2:$C$840,$B7,Ordenes!$T$2:$T$840,"Válida",Ordenes!$F$2:$F$840,"Ángulo")/SUMIFS(Ordenes!$Q$2:$Q$840,Ordenes!$C$2:$C$840,$B7,Ordenes!$T$2:$T$840,"Válida",Ordenes!$F$2:$F$840,"Ángulo"),"")</f>
        <v/>
      </c>
      <c r="H7" s="20">
        <f>IFERROR(SUMIFS(Ordenes!$P$2:$P$840,Ordenes!$C$2:$C$840,$B7,Ordenes!$T$2:$T$840,"Válida",Ordenes!$F$2:$F$840,"Cuadrado")/SUMIFS(Ordenes!$Q$2:$Q$840,Ordenes!$C$2:$C$840,$B7,Ordenes!$T$2:$T$840,"Válida",Ordenes!$F$2:$F$840,"Cuadrado"),"")</f>
        <v/>
      </c>
      <c r="I7" s="20">
        <f>IFERROR(SUMIFS(Ordenes!$P$2:$P$840,Ordenes!$C$2:$C$840,$B7,Ordenes!$T$2:$T$840,"Válida",Ordenes!$F$2:$F$840,"Estrella")/SUMIFS(Ordenes!$Q$2:$Q$840,Ordenes!$C$2:$C$840,$B7,Ordenes!$T$2:$T$840,"Válida",Ordenes!$F$2:$F$840,"Estrella"),"")</f>
        <v/>
      </c>
      <c r="J7" s="20">
        <f>IFERROR(SUMIFS(Ordenes!$P$2:$P$840,Ordenes!$C$2:$C$840,$B7,Ordenes!$T$2:$T$840,"Válida",Ordenes!$F$2:$F$840,"Saferock")/SUMIFS(Ordenes!$Q$2:$Q$840,Ordenes!$C$2:$C$840,$B7,Ordenes!$T$2:$T$840,"Válida",Ordenes!$F$2:$F$840,"Saferock"),"")</f>
        <v/>
      </c>
      <c r="K7" s="20">
        <f>IFERROR(SUMIFS(Ordenes!$P$2:$P$840,Ordenes!$C$2:$C$840,$B7,Ordenes!$T$2:$T$840,"Válida",Ordenes!$F$2:$F$840,"Hexágono")/SUMIFS(Ordenes!$Q$2:$Q$840,Ordenes!$C$2:$C$840,$B7,Ordenes!$T$2:$T$840,"Válida",Ordenes!$F$2:$F$840,"Hexágono"),"")</f>
        <v/>
      </c>
      <c r="L7" s="24">
        <f>IFERROR(SUMIFS(Ordenes!$P$2:$P$840,Ordenes!$C$2:$C$840,$B7,Ordenes!$T$2:$T$840,"Válida",Ordenes!$F$2:$F$840,"*")/SUMIFS(Ordenes!$Q$2:$Q$840,Ordenes!$C$2:$C$840,$B7,Ordenes!$T$2:$T$840,"Válida",Ordenes!$F$2:$F$840,"*"),"")</f>
        <v/>
      </c>
      <c r="M7" s="20">
        <f>IFERROR(SUMIFS(Ordenes!$V$2:$V$840,Ordenes!$C$2:$C$840,$B7,Ordenes!$T$2:$T$840,"Válida")/SUMIFS(Ordenes!$Q$2:$Q$840,Ordenes!$C$2:$C$840,$B7,Ordenes!$T$2:$T$840,"Válida"),"")</f>
        <v/>
      </c>
      <c r="N7" s="21">
        <f>IFERROR((L7-M7)*100,"")</f>
        <v/>
      </c>
      <c r="O7" s="19">
        <f>SUMIFS(Ordenes!$P$2:$P$840,Ordenes!$C$2:$C$840,$B7,Ordenes!$T$2:$T$840,"Válida")</f>
        <v/>
      </c>
      <c r="P7" s="19">
        <f>SUMIFS(Ordenes!$Q$2:$Q$840,Ordenes!$C$2:$C$840,$B7,Ordenes!$T$2:$T$840,"Válida")</f>
        <v/>
      </c>
      <c r="Q7" s="18">
        <f>COUNTIFS(Ordenes!$C$2:$C$840,$B7,Ordenes!$T$2:$T$840,"Válida")</f>
        <v/>
      </c>
    </row>
    <row r="8">
      <c r="A8" s="18" t="inlineStr">
        <is>
          <t>Mar 6 ene 2026</t>
        </is>
      </c>
      <c r="B8" s="22" t="n">
        <v>46028</v>
      </c>
      <c r="C8" s="18" t="inlineStr">
        <is>
          <t>S02</t>
        </is>
      </c>
      <c r="D8" s="20">
        <f>IFERROR(SUMIFS(Ordenes!$P$2:$P$840,Ordenes!$C$2:$C$840,$B8,Ordenes!$T$2:$T$840,"Válida",Ordenes!$F$2:$F$840,"B Hormigón")/SUMIFS(Ordenes!$Q$2:$Q$840,Ordenes!$C$2:$C$840,$B8,Ordenes!$T$2:$T$840,"Válida",Ordenes!$F$2:$F$840,"B Hormigón"),"")</f>
        <v/>
      </c>
      <c r="E8" s="20">
        <f>IFERROR(SUMIFS(Ordenes!$P$2:$P$840,Ordenes!$C$2:$C$840,$B8,Ordenes!$T$2:$T$840,"Válida",Ordenes!$F$2:$F$840,"Redondo liso")/SUMIFS(Ordenes!$Q$2:$Q$840,Ordenes!$C$2:$C$840,$B8,Ordenes!$T$2:$T$840,"Válida",Ordenes!$F$2:$F$840,"Redondo liso"),"")</f>
        <v/>
      </c>
      <c r="F8" s="20">
        <f>IFERROR(SUMIFS(Ordenes!$P$2:$P$840,Ordenes!$C$2:$C$840,$B8,Ordenes!$T$2:$T$840,"Válida",Ordenes!$F$2:$F$840,"Plana")/SUMIFS(Ordenes!$Q$2:$Q$840,Ordenes!$C$2:$C$840,$B8,Ordenes!$T$2:$T$840,"Válida",Ordenes!$F$2:$F$840,"Plana"),"")</f>
        <v/>
      </c>
      <c r="G8" s="20">
        <f>IFERROR(SUMIFS(Ordenes!$P$2:$P$840,Ordenes!$C$2:$C$840,$B8,Ordenes!$T$2:$T$840,"Válida",Ordenes!$F$2:$F$840,"Ángulo")/SUMIFS(Ordenes!$Q$2:$Q$840,Ordenes!$C$2:$C$840,$B8,Ordenes!$T$2:$T$840,"Válida",Ordenes!$F$2:$F$840,"Ángulo"),"")</f>
        <v/>
      </c>
      <c r="H8" s="20">
        <f>IFERROR(SUMIFS(Ordenes!$P$2:$P$840,Ordenes!$C$2:$C$840,$B8,Ordenes!$T$2:$T$840,"Válida",Ordenes!$F$2:$F$840,"Cuadrado")/SUMIFS(Ordenes!$Q$2:$Q$840,Ordenes!$C$2:$C$840,$B8,Ordenes!$T$2:$T$840,"Válida",Ordenes!$F$2:$F$840,"Cuadrado"),"")</f>
        <v/>
      </c>
      <c r="I8" s="20">
        <f>IFERROR(SUMIFS(Ordenes!$P$2:$P$840,Ordenes!$C$2:$C$840,$B8,Ordenes!$T$2:$T$840,"Válida",Ordenes!$F$2:$F$840,"Estrella")/SUMIFS(Ordenes!$Q$2:$Q$840,Ordenes!$C$2:$C$840,$B8,Ordenes!$T$2:$T$840,"Válida",Ordenes!$F$2:$F$840,"Estrella"),"")</f>
        <v/>
      </c>
      <c r="J8" s="20">
        <f>IFERROR(SUMIFS(Ordenes!$P$2:$P$840,Ordenes!$C$2:$C$840,$B8,Ordenes!$T$2:$T$840,"Válida",Ordenes!$F$2:$F$840,"Saferock")/SUMIFS(Ordenes!$Q$2:$Q$840,Ordenes!$C$2:$C$840,$B8,Ordenes!$T$2:$T$840,"Válida",Ordenes!$F$2:$F$840,"Saferock"),"")</f>
        <v/>
      </c>
      <c r="K8" s="20">
        <f>IFERROR(SUMIFS(Ordenes!$P$2:$P$840,Ordenes!$C$2:$C$840,$B8,Ordenes!$T$2:$T$840,"Válida",Ordenes!$F$2:$F$840,"Hexágono")/SUMIFS(Ordenes!$Q$2:$Q$840,Ordenes!$C$2:$C$840,$B8,Ordenes!$T$2:$T$840,"Válida",Ordenes!$F$2:$F$840,"Hexágono"),"")</f>
        <v/>
      </c>
      <c r="L8" s="24">
        <f>IFERROR(SUMIFS(Ordenes!$P$2:$P$840,Ordenes!$C$2:$C$840,$B8,Ordenes!$T$2:$T$840,"Válida",Ordenes!$F$2:$F$840,"*")/SUMIFS(Ordenes!$Q$2:$Q$840,Ordenes!$C$2:$C$840,$B8,Ordenes!$T$2:$T$840,"Válida",Ordenes!$F$2:$F$840,"*"),"")</f>
        <v/>
      </c>
      <c r="M8" s="20">
        <f>IFERROR(SUMIFS(Ordenes!$V$2:$V$840,Ordenes!$C$2:$C$840,$B8,Ordenes!$T$2:$T$840,"Válida")/SUMIFS(Ordenes!$Q$2:$Q$840,Ordenes!$C$2:$C$840,$B8,Ordenes!$T$2:$T$840,"Válida"),"")</f>
        <v/>
      </c>
      <c r="N8" s="21">
        <f>IFERROR((L8-M8)*100,"")</f>
        <v/>
      </c>
      <c r="O8" s="19">
        <f>SUMIFS(Ordenes!$P$2:$P$840,Ordenes!$C$2:$C$840,$B8,Ordenes!$T$2:$T$840,"Válida")</f>
        <v/>
      </c>
      <c r="P8" s="19">
        <f>SUMIFS(Ordenes!$Q$2:$Q$840,Ordenes!$C$2:$C$840,$B8,Ordenes!$T$2:$T$840,"Válida")</f>
        <v/>
      </c>
      <c r="Q8" s="18">
        <f>COUNTIFS(Ordenes!$C$2:$C$840,$B8,Ordenes!$T$2:$T$840,"Válida")</f>
        <v/>
      </c>
    </row>
    <row r="9">
      <c r="A9" s="18" t="inlineStr">
        <is>
          <t>Mié 7 ene 2026</t>
        </is>
      </c>
      <c r="B9" s="22" t="n">
        <v>46029</v>
      </c>
      <c r="C9" s="18" t="inlineStr">
        <is>
          <t>S02</t>
        </is>
      </c>
      <c r="D9" s="20">
        <f>IFERROR(SUMIFS(Ordenes!$P$2:$P$840,Ordenes!$C$2:$C$840,$B9,Ordenes!$T$2:$T$840,"Válida",Ordenes!$F$2:$F$840,"B Hormigón")/SUMIFS(Ordenes!$Q$2:$Q$840,Ordenes!$C$2:$C$840,$B9,Ordenes!$T$2:$T$840,"Válida",Ordenes!$F$2:$F$840,"B Hormigón"),"")</f>
        <v/>
      </c>
      <c r="E9" s="20">
        <f>IFERROR(SUMIFS(Ordenes!$P$2:$P$840,Ordenes!$C$2:$C$840,$B9,Ordenes!$T$2:$T$840,"Válida",Ordenes!$F$2:$F$840,"Redondo liso")/SUMIFS(Ordenes!$Q$2:$Q$840,Ordenes!$C$2:$C$840,$B9,Ordenes!$T$2:$T$840,"Válida",Ordenes!$F$2:$F$840,"Redondo liso"),"")</f>
        <v/>
      </c>
      <c r="F9" s="20">
        <f>IFERROR(SUMIFS(Ordenes!$P$2:$P$840,Ordenes!$C$2:$C$840,$B9,Ordenes!$T$2:$T$840,"Válida",Ordenes!$F$2:$F$840,"Plana")/SUMIFS(Ordenes!$Q$2:$Q$840,Ordenes!$C$2:$C$840,$B9,Ordenes!$T$2:$T$840,"Válida",Ordenes!$F$2:$F$840,"Plana"),"")</f>
        <v/>
      </c>
      <c r="G9" s="20">
        <f>IFERROR(SUMIFS(Ordenes!$P$2:$P$840,Ordenes!$C$2:$C$840,$B9,Ordenes!$T$2:$T$840,"Válida",Ordenes!$F$2:$F$840,"Ángulo")/SUMIFS(Ordenes!$Q$2:$Q$840,Ordenes!$C$2:$C$840,$B9,Ordenes!$T$2:$T$840,"Válida",Ordenes!$F$2:$F$840,"Ángulo"),"")</f>
        <v/>
      </c>
      <c r="H9" s="20">
        <f>IFERROR(SUMIFS(Ordenes!$P$2:$P$840,Ordenes!$C$2:$C$840,$B9,Ordenes!$T$2:$T$840,"Válida",Ordenes!$F$2:$F$840,"Cuadrado")/SUMIFS(Ordenes!$Q$2:$Q$840,Ordenes!$C$2:$C$840,$B9,Ordenes!$T$2:$T$840,"Válida",Ordenes!$F$2:$F$840,"Cuadrado"),"")</f>
        <v/>
      </c>
      <c r="I9" s="20">
        <f>IFERROR(SUMIFS(Ordenes!$P$2:$P$840,Ordenes!$C$2:$C$840,$B9,Ordenes!$T$2:$T$840,"Válida",Ordenes!$F$2:$F$840,"Estrella")/SUMIFS(Ordenes!$Q$2:$Q$840,Ordenes!$C$2:$C$840,$B9,Ordenes!$T$2:$T$840,"Válida",Ordenes!$F$2:$F$840,"Estrella"),"")</f>
        <v/>
      </c>
      <c r="J9" s="20">
        <f>IFERROR(SUMIFS(Ordenes!$P$2:$P$840,Ordenes!$C$2:$C$840,$B9,Ordenes!$T$2:$T$840,"Válida",Ordenes!$F$2:$F$840,"Saferock")/SUMIFS(Ordenes!$Q$2:$Q$840,Ordenes!$C$2:$C$840,$B9,Ordenes!$T$2:$T$840,"Válida",Ordenes!$F$2:$F$840,"Saferock"),"")</f>
        <v/>
      </c>
      <c r="K9" s="20">
        <f>IFERROR(SUMIFS(Ordenes!$P$2:$P$840,Ordenes!$C$2:$C$840,$B9,Ordenes!$T$2:$T$840,"Válida",Ordenes!$F$2:$F$840,"Hexágono")/SUMIFS(Ordenes!$Q$2:$Q$840,Ordenes!$C$2:$C$840,$B9,Ordenes!$T$2:$T$840,"Válida",Ordenes!$F$2:$F$840,"Hexágono"),"")</f>
        <v/>
      </c>
      <c r="L9" s="24">
        <f>IFERROR(SUMIFS(Ordenes!$P$2:$P$840,Ordenes!$C$2:$C$840,$B9,Ordenes!$T$2:$T$840,"Válida",Ordenes!$F$2:$F$840,"*")/SUMIFS(Ordenes!$Q$2:$Q$840,Ordenes!$C$2:$C$840,$B9,Ordenes!$T$2:$T$840,"Válida",Ordenes!$F$2:$F$840,"*"),"")</f>
        <v/>
      </c>
      <c r="M9" s="20">
        <f>IFERROR(SUMIFS(Ordenes!$V$2:$V$840,Ordenes!$C$2:$C$840,$B9,Ordenes!$T$2:$T$840,"Válida")/SUMIFS(Ordenes!$Q$2:$Q$840,Ordenes!$C$2:$C$840,$B9,Ordenes!$T$2:$T$840,"Válida"),"")</f>
        <v/>
      </c>
      <c r="N9" s="21">
        <f>IFERROR((L9-M9)*100,"")</f>
        <v/>
      </c>
      <c r="O9" s="19">
        <f>SUMIFS(Ordenes!$P$2:$P$840,Ordenes!$C$2:$C$840,$B9,Ordenes!$T$2:$T$840,"Válida")</f>
        <v/>
      </c>
      <c r="P9" s="19">
        <f>SUMIFS(Ordenes!$Q$2:$Q$840,Ordenes!$C$2:$C$840,$B9,Ordenes!$T$2:$T$840,"Válida")</f>
        <v/>
      </c>
      <c r="Q9" s="18">
        <f>COUNTIFS(Ordenes!$C$2:$C$840,$B9,Ordenes!$T$2:$T$840,"Válida")</f>
        <v/>
      </c>
    </row>
    <row r="10">
      <c r="A10" s="18" t="inlineStr">
        <is>
          <t>Jue 8 ene 2026</t>
        </is>
      </c>
      <c r="B10" s="22" t="n">
        <v>46030</v>
      </c>
      <c r="C10" s="18" t="inlineStr">
        <is>
          <t>S02</t>
        </is>
      </c>
      <c r="D10" s="20">
        <f>IFERROR(SUMIFS(Ordenes!$P$2:$P$840,Ordenes!$C$2:$C$840,$B10,Ordenes!$T$2:$T$840,"Válida",Ordenes!$F$2:$F$840,"B Hormigón")/SUMIFS(Ordenes!$Q$2:$Q$840,Ordenes!$C$2:$C$840,$B10,Ordenes!$T$2:$T$840,"Válida",Ordenes!$F$2:$F$840,"B Hormigón"),"")</f>
        <v/>
      </c>
      <c r="E10" s="20">
        <f>IFERROR(SUMIFS(Ordenes!$P$2:$P$840,Ordenes!$C$2:$C$840,$B10,Ordenes!$T$2:$T$840,"Válida",Ordenes!$F$2:$F$840,"Redondo liso")/SUMIFS(Ordenes!$Q$2:$Q$840,Ordenes!$C$2:$C$840,$B10,Ordenes!$T$2:$T$840,"Válida",Ordenes!$F$2:$F$840,"Redondo liso"),"")</f>
        <v/>
      </c>
      <c r="F10" s="20">
        <f>IFERROR(SUMIFS(Ordenes!$P$2:$P$840,Ordenes!$C$2:$C$840,$B10,Ordenes!$T$2:$T$840,"Válida",Ordenes!$F$2:$F$840,"Plana")/SUMIFS(Ordenes!$Q$2:$Q$840,Ordenes!$C$2:$C$840,$B10,Ordenes!$T$2:$T$840,"Válida",Ordenes!$F$2:$F$840,"Plana"),"")</f>
        <v/>
      </c>
      <c r="G10" s="20">
        <f>IFERROR(SUMIFS(Ordenes!$P$2:$P$840,Ordenes!$C$2:$C$840,$B10,Ordenes!$T$2:$T$840,"Válida",Ordenes!$F$2:$F$840,"Ángulo")/SUMIFS(Ordenes!$Q$2:$Q$840,Ordenes!$C$2:$C$840,$B10,Ordenes!$T$2:$T$840,"Válida",Ordenes!$F$2:$F$840,"Ángulo"),"")</f>
        <v/>
      </c>
      <c r="H10" s="20">
        <f>IFERROR(SUMIFS(Ordenes!$P$2:$P$840,Ordenes!$C$2:$C$840,$B10,Ordenes!$T$2:$T$840,"Válida",Ordenes!$F$2:$F$840,"Cuadrado")/SUMIFS(Ordenes!$Q$2:$Q$840,Ordenes!$C$2:$C$840,$B10,Ordenes!$T$2:$T$840,"Válida",Ordenes!$F$2:$F$840,"Cuadrado"),"")</f>
        <v/>
      </c>
      <c r="I10" s="20">
        <f>IFERROR(SUMIFS(Ordenes!$P$2:$P$840,Ordenes!$C$2:$C$840,$B10,Ordenes!$T$2:$T$840,"Válida",Ordenes!$F$2:$F$840,"Estrella")/SUMIFS(Ordenes!$Q$2:$Q$840,Ordenes!$C$2:$C$840,$B10,Ordenes!$T$2:$T$840,"Válida",Ordenes!$F$2:$F$840,"Estrella"),"")</f>
        <v/>
      </c>
      <c r="J10" s="20">
        <f>IFERROR(SUMIFS(Ordenes!$P$2:$P$840,Ordenes!$C$2:$C$840,$B10,Ordenes!$T$2:$T$840,"Válida",Ordenes!$F$2:$F$840,"Saferock")/SUMIFS(Ordenes!$Q$2:$Q$840,Ordenes!$C$2:$C$840,$B10,Ordenes!$T$2:$T$840,"Válida",Ordenes!$F$2:$F$840,"Saferock"),"")</f>
        <v/>
      </c>
      <c r="K10" s="20">
        <f>IFERROR(SUMIFS(Ordenes!$P$2:$P$840,Ordenes!$C$2:$C$840,$B10,Ordenes!$T$2:$T$840,"Válida",Ordenes!$F$2:$F$840,"Hexágono")/SUMIFS(Ordenes!$Q$2:$Q$840,Ordenes!$C$2:$C$840,$B10,Ordenes!$T$2:$T$840,"Válida",Ordenes!$F$2:$F$840,"Hexágono"),"")</f>
        <v/>
      </c>
      <c r="L10" s="24">
        <f>IFERROR(SUMIFS(Ordenes!$P$2:$P$840,Ordenes!$C$2:$C$840,$B10,Ordenes!$T$2:$T$840,"Válida",Ordenes!$F$2:$F$840,"*")/SUMIFS(Ordenes!$Q$2:$Q$840,Ordenes!$C$2:$C$840,$B10,Ordenes!$T$2:$T$840,"Válida",Ordenes!$F$2:$F$840,"*"),"")</f>
        <v/>
      </c>
      <c r="M10" s="20">
        <f>IFERROR(SUMIFS(Ordenes!$V$2:$V$840,Ordenes!$C$2:$C$840,$B10,Ordenes!$T$2:$T$840,"Válida")/SUMIFS(Ordenes!$Q$2:$Q$840,Ordenes!$C$2:$C$840,$B10,Ordenes!$T$2:$T$840,"Válida"),"")</f>
        <v/>
      </c>
      <c r="N10" s="21">
        <f>IFERROR((L10-M10)*100,"")</f>
        <v/>
      </c>
      <c r="O10" s="19">
        <f>SUMIFS(Ordenes!$P$2:$P$840,Ordenes!$C$2:$C$840,$B10,Ordenes!$T$2:$T$840,"Válida")</f>
        <v/>
      </c>
      <c r="P10" s="19">
        <f>SUMIFS(Ordenes!$Q$2:$Q$840,Ordenes!$C$2:$C$840,$B10,Ordenes!$T$2:$T$840,"Válida")</f>
        <v/>
      </c>
      <c r="Q10" s="18">
        <f>COUNTIFS(Ordenes!$C$2:$C$840,$B10,Ordenes!$T$2:$T$840,"Válida")</f>
        <v/>
      </c>
    </row>
    <row r="11">
      <c r="A11" s="18" t="inlineStr">
        <is>
          <t>Vie 9 ene 2026</t>
        </is>
      </c>
      <c r="B11" s="22" t="n">
        <v>46031</v>
      </c>
      <c r="C11" s="18" t="inlineStr">
        <is>
          <t>S02</t>
        </is>
      </c>
      <c r="D11" s="20">
        <f>IFERROR(SUMIFS(Ordenes!$P$2:$P$840,Ordenes!$C$2:$C$840,$B11,Ordenes!$T$2:$T$840,"Válida",Ordenes!$F$2:$F$840,"B Hormigón")/SUMIFS(Ordenes!$Q$2:$Q$840,Ordenes!$C$2:$C$840,$B11,Ordenes!$T$2:$T$840,"Válida",Ordenes!$F$2:$F$840,"B Hormigón"),"")</f>
        <v/>
      </c>
      <c r="E11" s="20">
        <f>IFERROR(SUMIFS(Ordenes!$P$2:$P$840,Ordenes!$C$2:$C$840,$B11,Ordenes!$T$2:$T$840,"Válida",Ordenes!$F$2:$F$840,"Redondo liso")/SUMIFS(Ordenes!$Q$2:$Q$840,Ordenes!$C$2:$C$840,$B11,Ordenes!$T$2:$T$840,"Válida",Ordenes!$F$2:$F$840,"Redondo liso"),"")</f>
        <v/>
      </c>
      <c r="F11" s="20">
        <f>IFERROR(SUMIFS(Ordenes!$P$2:$P$840,Ordenes!$C$2:$C$840,$B11,Ordenes!$T$2:$T$840,"Válida",Ordenes!$F$2:$F$840,"Plana")/SUMIFS(Ordenes!$Q$2:$Q$840,Ordenes!$C$2:$C$840,$B11,Ordenes!$T$2:$T$840,"Válida",Ordenes!$F$2:$F$840,"Plana"),"")</f>
        <v/>
      </c>
      <c r="G11" s="20">
        <f>IFERROR(SUMIFS(Ordenes!$P$2:$P$840,Ordenes!$C$2:$C$840,$B11,Ordenes!$T$2:$T$840,"Válida",Ordenes!$F$2:$F$840,"Ángulo")/SUMIFS(Ordenes!$Q$2:$Q$840,Ordenes!$C$2:$C$840,$B11,Ordenes!$T$2:$T$840,"Válida",Ordenes!$F$2:$F$840,"Ángulo"),"")</f>
        <v/>
      </c>
      <c r="H11" s="20">
        <f>IFERROR(SUMIFS(Ordenes!$P$2:$P$840,Ordenes!$C$2:$C$840,$B11,Ordenes!$T$2:$T$840,"Válida",Ordenes!$F$2:$F$840,"Cuadrado")/SUMIFS(Ordenes!$Q$2:$Q$840,Ordenes!$C$2:$C$840,$B11,Ordenes!$T$2:$T$840,"Válida",Ordenes!$F$2:$F$840,"Cuadrado"),"")</f>
        <v/>
      </c>
      <c r="I11" s="20">
        <f>IFERROR(SUMIFS(Ordenes!$P$2:$P$840,Ordenes!$C$2:$C$840,$B11,Ordenes!$T$2:$T$840,"Válida",Ordenes!$F$2:$F$840,"Estrella")/SUMIFS(Ordenes!$Q$2:$Q$840,Ordenes!$C$2:$C$840,$B11,Ordenes!$T$2:$T$840,"Válida",Ordenes!$F$2:$F$840,"Estrella"),"")</f>
        <v/>
      </c>
      <c r="J11" s="20">
        <f>IFERROR(SUMIFS(Ordenes!$P$2:$P$840,Ordenes!$C$2:$C$840,$B11,Ordenes!$T$2:$T$840,"Válida",Ordenes!$F$2:$F$840,"Saferock")/SUMIFS(Ordenes!$Q$2:$Q$840,Ordenes!$C$2:$C$840,$B11,Ordenes!$T$2:$T$840,"Válida",Ordenes!$F$2:$F$840,"Saferock"),"")</f>
        <v/>
      </c>
      <c r="K11" s="20">
        <f>IFERROR(SUMIFS(Ordenes!$P$2:$P$840,Ordenes!$C$2:$C$840,$B11,Ordenes!$T$2:$T$840,"Válida",Ordenes!$F$2:$F$840,"Hexágono")/SUMIFS(Ordenes!$Q$2:$Q$840,Ordenes!$C$2:$C$840,$B11,Ordenes!$T$2:$T$840,"Válida",Ordenes!$F$2:$F$840,"Hexágono"),"")</f>
        <v/>
      </c>
      <c r="L11" s="24">
        <f>IFERROR(SUMIFS(Ordenes!$P$2:$P$840,Ordenes!$C$2:$C$840,$B11,Ordenes!$T$2:$T$840,"Válida",Ordenes!$F$2:$F$840,"*")/SUMIFS(Ordenes!$Q$2:$Q$840,Ordenes!$C$2:$C$840,$B11,Ordenes!$T$2:$T$840,"Válida",Ordenes!$F$2:$F$840,"*"),"")</f>
        <v/>
      </c>
      <c r="M11" s="20">
        <f>IFERROR(SUMIFS(Ordenes!$V$2:$V$840,Ordenes!$C$2:$C$840,$B11,Ordenes!$T$2:$T$840,"Válida")/SUMIFS(Ordenes!$Q$2:$Q$840,Ordenes!$C$2:$C$840,$B11,Ordenes!$T$2:$T$840,"Válida"),"")</f>
        <v/>
      </c>
      <c r="N11" s="21">
        <f>IFERROR((L11-M11)*100,"")</f>
        <v/>
      </c>
      <c r="O11" s="19">
        <f>SUMIFS(Ordenes!$P$2:$P$840,Ordenes!$C$2:$C$840,$B11,Ordenes!$T$2:$T$840,"Válida")</f>
        <v/>
      </c>
      <c r="P11" s="19">
        <f>SUMIFS(Ordenes!$Q$2:$Q$840,Ordenes!$C$2:$C$840,$B11,Ordenes!$T$2:$T$840,"Válida")</f>
        <v/>
      </c>
      <c r="Q11" s="18">
        <f>COUNTIFS(Ordenes!$C$2:$C$840,$B11,Ordenes!$T$2:$T$840,"Válida")</f>
        <v/>
      </c>
    </row>
    <row r="12">
      <c r="A12" s="18" t="inlineStr">
        <is>
          <t>Sáb 10 ene 2026</t>
        </is>
      </c>
      <c r="B12" s="22" t="n">
        <v>46032</v>
      </c>
      <c r="C12" s="18" t="inlineStr">
        <is>
          <t>S02</t>
        </is>
      </c>
      <c r="D12" s="20">
        <f>IFERROR(SUMIFS(Ordenes!$P$2:$P$840,Ordenes!$C$2:$C$840,$B12,Ordenes!$T$2:$T$840,"Válida",Ordenes!$F$2:$F$840,"B Hormigón")/SUMIFS(Ordenes!$Q$2:$Q$840,Ordenes!$C$2:$C$840,$B12,Ordenes!$T$2:$T$840,"Válida",Ordenes!$F$2:$F$840,"B Hormigón"),"")</f>
        <v/>
      </c>
      <c r="E12" s="20">
        <f>IFERROR(SUMIFS(Ordenes!$P$2:$P$840,Ordenes!$C$2:$C$840,$B12,Ordenes!$T$2:$T$840,"Válida",Ordenes!$F$2:$F$840,"Redondo liso")/SUMIFS(Ordenes!$Q$2:$Q$840,Ordenes!$C$2:$C$840,$B12,Ordenes!$T$2:$T$840,"Válida",Ordenes!$F$2:$F$840,"Redondo liso"),"")</f>
        <v/>
      </c>
      <c r="F12" s="20">
        <f>IFERROR(SUMIFS(Ordenes!$P$2:$P$840,Ordenes!$C$2:$C$840,$B12,Ordenes!$T$2:$T$840,"Válida",Ordenes!$F$2:$F$840,"Plana")/SUMIFS(Ordenes!$Q$2:$Q$840,Ordenes!$C$2:$C$840,$B12,Ordenes!$T$2:$T$840,"Válida",Ordenes!$F$2:$F$840,"Plana"),"")</f>
        <v/>
      </c>
      <c r="G12" s="20">
        <f>IFERROR(SUMIFS(Ordenes!$P$2:$P$840,Ordenes!$C$2:$C$840,$B12,Ordenes!$T$2:$T$840,"Válida",Ordenes!$F$2:$F$840,"Ángulo")/SUMIFS(Ordenes!$Q$2:$Q$840,Ordenes!$C$2:$C$840,$B12,Ordenes!$T$2:$T$840,"Válida",Ordenes!$F$2:$F$840,"Ángulo"),"")</f>
        <v/>
      </c>
      <c r="H12" s="20">
        <f>IFERROR(SUMIFS(Ordenes!$P$2:$P$840,Ordenes!$C$2:$C$840,$B12,Ordenes!$T$2:$T$840,"Válida",Ordenes!$F$2:$F$840,"Cuadrado")/SUMIFS(Ordenes!$Q$2:$Q$840,Ordenes!$C$2:$C$840,$B12,Ordenes!$T$2:$T$840,"Válida",Ordenes!$F$2:$F$840,"Cuadrado"),"")</f>
        <v/>
      </c>
      <c r="I12" s="20">
        <f>IFERROR(SUMIFS(Ordenes!$P$2:$P$840,Ordenes!$C$2:$C$840,$B12,Ordenes!$T$2:$T$840,"Válida",Ordenes!$F$2:$F$840,"Estrella")/SUMIFS(Ordenes!$Q$2:$Q$840,Ordenes!$C$2:$C$840,$B12,Ordenes!$T$2:$T$840,"Válida",Ordenes!$F$2:$F$840,"Estrella"),"")</f>
        <v/>
      </c>
      <c r="J12" s="20">
        <f>IFERROR(SUMIFS(Ordenes!$P$2:$P$840,Ordenes!$C$2:$C$840,$B12,Ordenes!$T$2:$T$840,"Válida",Ordenes!$F$2:$F$840,"Saferock")/SUMIFS(Ordenes!$Q$2:$Q$840,Ordenes!$C$2:$C$840,$B12,Ordenes!$T$2:$T$840,"Válida",Ordenes!$F$2:$F$840,"Saferock"),"")</f>
        <v/>
      </c>
      <c r="K12" s="20">
        <f>IFERROR(SUMIFS(Ordenes!$P$2:$P$840,Ordenes!$C$2:$C$840,$B12,Ordenes!$T$2:$T$840,"Válida",Ordenes!$F$2:$F$840,"Hexágono")/SUMIFS(Ordenes!$Q$2:$Q$840,Ordenes!$C$2:$C$840,$B12,Ordenes!$T$2:$T$840,"Válida",Ordenes!$F$2:$F$840,"Hexágono"),"")</f>
        <v/>
      </c>
      <c r="L12" s="24">
        <f>IFERROR(SUMIFS(Ordenes!$P$2:$P$840,Ordenes!$C$2:$C$840,$B12,Ordenes!$T$2:$T$840,"Válida",Ordenes!$F$2:$F$840,"*")/SUMIFS(Ordenes!$Q$2:$Q$840,Ordenes!$C$2:$C$840,$B12,Ordenes!$T$2:$T$840,"Válida",Ordenes!$F$2:$F$840,"*"),"")</f>
        <v/>
      </c>
      <c r="M12" s="20">
        <f>IFERROR(SUMIFS(Ordenes!$V$2:$V$840,Ordenes!$C$2:$C$840,$B12,Ordenes!$T$2:$T$840,"Válida")/SUMIFS(Ordenes!$Q$2:$Q$840,Ordenes!$C$2:$C$840,$B12,Ordenes!$T$2:$T$840,"Válida"),"")</f>
        <v/>
      </c>
      <c r="N12" s="21">
        <f>IFERROR((L12-M12)*100,"")</f>
        <v/>
      </c>
      <c r="O12" s="19">
        <f>SUMIFS(Ordenes!$P$2:$P$840,Ordenes!$C$2:$C$840,$B12,Ordenes!$T$2:$T$840,"Válida")</f>
        <v/>
      </c>
      <c r="P12" s="19">
        <f>SUMIFS(Ordenes!$Q$2:$Q$840,Ordenes!$C$2:$C$840,$B12,Ordenes!$T$2:$T$840,"Válida")</f>
        <v/>
      </c>
      <c r="Q12" s="18">
        <f>COUNTIFS(Ordenes!$C$2:$C$840,$B12,Ordenes!$T$2:$T$840,"Válida")</f>
        <v/>
      </c>
    </row>
    <row r="13">
      <c r="A13" s="18" t="inlineStr">
        <is>
          <t>Lun 12 ene 2026</t>
        </is>
      </c>
      <c r="B13" s="22" t="n">
        <v>46034</v>
      </c>
      <c r="C13" s="18" t="inlineStr">
        <is>
          <t>S03</t>
        </is>
      </c>
      <c r="D13" s="20">
        <f>IFERROR(SUMIFS(Ordenes!$P$2:$P$840,Ordenes!$C$2:$C$840,$B13,Ordenes!$T$2:$T$840,"Válida",Ordenes!$F$2:$F$840,"B Hormigón")/SUMIFS(Ordenes!$Q$2:$Q$840,Ordenes!$C$2:$C$840,$B13,Ordenes!$T$2:$T$840,"Válida",Ordenes!$F$2:$F$840,"B Hormigón"),"")</f>
        <v/>
      </c>
      <c r="E13" s="20">
        <f>IFERROR(SUMIFS(Ordenes!$P$2:$P$840,Ordenes!$C$2:$C$840,$B13,Ordenes!$T$2:$T$840,"Válida",Ordenes!$F$2:$F$840,"Redondo liso")/SUMIFS(Ordenes!$Q$2:$Q$840,Ordenes!$C$2:$C$840,$B13,Ordenes!$T$2:$T$840,"Válida",Ordenes!$F$2:$F$840,"Redondo liso"),"")</f>
        <v/>
      </c>
      <c r="F13" s="20">
        <f>IFERROR(SUMIFS(Ordenes!$P$2:$P$840,Ordenes!$C$2:$C$840,$B13,Ordenes!$T$2:$T$840,"Válida",Ordenes!$F$2:$F$840,"Plana")/SUMIFS(Ordenes!$Q$2:$Q$840,Ordenes!$C$2:$C$840,$B13,Ordenes!$T$2:$T$840,"Válida",Ordenes!$F$2:$F$840,"Plana"),"")</f>
        <v/>
      </c>
      <c r="G13" s="20">
        <f>IFERROR(SUMIFS(Ordenes!$P$2:$P$840,Ordenes!$C$2:$C$840,$B13,Ordenes!$T$2:$T$840,"Válida",Ordenes!$F$2:$F$840,"Ángulo")/SUMIFS(Ordenes!$Q$2:$Q$840,Ordenes!$C$2:$C$840,$B13,Ordenes!$T$2:$T$840,"Válida",Ordenes!$F$2:$F$840,"Ángulo"),"")</f>
        <v/>
      </c>
      <c r="H13" s="20">
        <f>IFERROR(SUMIFS(Ordenes!$P$2:$P$840,Ordenes!$C$2:$C$840,$B13,Ordenes!$T$2:$T$840,"Válida",Ordenes!$F$2:$F$840,"Cuadrado")/SUMIFS(Ordenes!$Q$2:$Q$840,Ordenes!$C$2:$C$840,$B13,Ordenes!$T$2:$T$840,"Válida",Ordenes!$F$2:$F$840,"Cuadrado"),"")</f>
        <v/>
      </c>
      <c r="I13" s="20">
        <f>IFERROR(SUMIFS(Ordenes!$P$2:$P$840,Ordenes!$C$2:$C$840,$B13,Ordenes!$T$2:$T$840,"Válida",Ordenes!$F$2:$F$840,"Estrella")/SUMIFS(Ordenes!$Q$2:$Q$840,Ordenes!$C$2:$C$840,$B13,Ordenes!$T$2:$T$840,"Válida",Ordenes!$F$2:$F$840,"Estrella"),"")</f>
        <v/>
      </c>
      <c r="J13" s="20">
        <f>IFERROR(SUMIFS(Ordenes!$P$2:$P$840,Ordenes!$C$2:$C$840,$B13,Ordenes!$T$2:$T$840,"Válida",Ordenes!$F$2:$F$840,"Saferock")/SUMIFS(Ordenes!$Q$2:$Q$840,Ordenes!$C$2:$C$840,$B13,Ordenes!$T$2:$T$840,"Válida",Ordenes!$F$2:$F$840,"Saferock"),"")</f>
        <v/>
      </c>
      <c r="K13" s="20">
        <f>IFERROR(SUMIFS(Ordenes!$P$2:$P$840,Ordenes!$C$2:$C$840,$B13,Ordenes!$T$2:$T$840,"Válida",Ordenes!$F$2:$F$840,"Hexágono")/SUMIFS(Ordenes!$Q$2:$Q$840,Ordenes!$C$2:$C$840,$B13,Ordenes!$T$2:$T$840,"Válida",Ordenes!$F$2:$F$840,"Hexágono"),"")</f>
        <v/>
      </c>
      <c r="L13" s="24">
        <f>IFERROR(SUMIFS(Ordenes!$P$2:$P$840,Ordenes!$C$2:$C$840,$B13,Ordenes!$T$2:$T$840,"Válida",Ordenes!$F$2:$F$840,"*")/SUMIFS(Ordenes!$Q$2:$Q$840,Ordenes!$C$2:$C$840,$B13,Ordenes!$T$2:$T$840,"Válida",Ordenes!$F$2:$F$840,"*"),"")</f>
        <v/>
      </c>
      <c r="M13" s="20">
        <f>IFERROR(SUMIFS(Ordenes!$V$2:$V$840,Ordenes!$C$2:$C$840,$B13,Ordenes!$T$2:$T$840,"Válida")/SUMIFS(Ordenes!$Q$2:$Q$840,Ordenes!$C$2:$C$840,$B13,Ordenes!$T$2:$T$840,"Válida"),"")</f>
        <v/>
      </c>
      <c r="N13" s="21">
        <f>IFERROR((L13-M13)*100,"")</f>
        <v/>
      </c>
      <c r="O13" s="19">
        <f>SUMIFS(Ordenes!$P$2:$P$840,Ordenes!$C$2:$C$840,$B13,Ordenes!$T$2:$T$840,"Válida")</f>
        <v/>
      </c>
      <c r="P13" s="19">
        <f>SUMIFS(Ordenes!$Q$2:$Q$840,Ordenes!$C$2:$C$840,$B13,Ordenes!$T$2:$T$840,"Válida")</f>
        <v/>
      </c>
      <c r="Q13" s="18">
        <f>COUNTIFS(Ordenes!$C$2:$C$840,$B13,Ordenes!$T$2:$T$840,"Válida")</f>
        <v/>
      </c>
    </row>
    <row r="14">
      <c r="A14" s="18" t="inlineStr">
        <is>
          <t>Mar 13 ene 2026</t>
        </is>
      </c>
      <c r="B14" s="22" t="n">
        <v>46035</v>
      </c>
      <c r="C14" s="18" t="inlineStr">
        <is>
          <t>S03</t>
        </is>
      </c>
      <c r="D14" s="20">
        <f>IFERROR(SUMIFS(Ordenes!$P$2:$P$840,Ordenes!$C$2:$C$840,$B14,Ordenes!$T$2:$T$840,"Válida",Ordenes!$F$2:$F$840,"B Hormigón")/SUMIFS(Ordenes!$Q$2:$Q$840,Ordenes!$C$2:$C$840,$B14,Ordenes!$T$2:$T$840,"Válida",Ordenes!$F$2:$F$840,"B Hormigón"),"")</f>
        <v/>
      </c>
      <c r="E14" s="20">
        <f>IFERROR(SUMIFS(Ordenes!$P$2:$P$840,Ordenes!$C$2:$C$840,$B14,Ordenes!$T$2:$T$840,"Válida",Ordenes!$F$2:$F$840,"Redondo liso")/SUMIFS(Ordenes!$Q$2:$Q$840,Ordenes!$C$2:$C$840,$B14,Ordenes!$T$2:$T$840,"Válida",Ordenes!$F$2:$F$840,"Redondo liso"),"")</f>
        <v/>
      </c>
      <c r="F14" s="20">
        <f>IFERROR(SUMIFS(Ordenes!$P$2:$P$840,Ordenes!$C$2:$C$840,$B14,Ordenes!$T$2:$T$840,"Válida",Ordenes!$F$2:$F$840,"Plana")/SUMIFS(Ordenes!$Q$2:$Q$840,Ordenes!$C$2:$C$840,$B14,Ordenes!$T$2:$T$840,"Válida",Ordenes!$F$2:$F$840,"Plana"),"")</f>
        <v/>
      </c>
      <c r="G14" s="20">
        <f>IFERROR(SUMIFS(Ordenes!$P$2:$P$840,Ordenes!$C$2:$C$840,$B14,Ordenes!$T$2:$T$840,"Válida",Ordenes!$F$2:$F$840,"Ángulo")/SUMIFS(Ordenes!$Q$2:$Q$840,Ordenes!$C$2:$C$840,$B14,Ordenes!$T$2:$T$840,"Válida",Ordenes!$F$2:$F$840,"Ángulo"),"")</f>
        <v/>
      </c>
      <c r="H14" s="20">
        <f>IFERROR(SUMIFS(Ordenes!$P$2:$P$840,Ordenes!$C$2:$C$840,$B14,Ordenes!$T$2:$T$840,"Válida",Ordenes!$F$2:$F$840,"Cuadrado")/SUMIFS(Ordenes!$Q$2:$Q$840,Ordenes!$C$2:$C$840,$B14,Ordenes!$T$2:$T$840,"Válida",Ordenes!$F$2:$F$840,"Cuadrado"),"")</f>
        <v/>
      </c>
      <c r="I14" s="20">
        <f>IFERROR(SUMIFS(Ordenes!$P$2:$P$840,Ordenes!$C$2:$C$840,$B14,Ordenes!$T$2:$T$840,"Válida",Ordenes!$F$2:$F$840,"Estrella")/SUMIFS(Ordenes!$Q$2:$Q$840,Ordenes!$C$2:$C$840,$B14,Ordenes!$T$2:$T$840,"Válida",Ordenes!$F$2:$F$840,"Estrella"),"")</f>
        <v/>
      </c>
      <c r="J14" s="20">
        <f>IFERROR(SUMIFS(Ordenes!$P$2:$P$840,Ordenes!$C$2:$C$840,$B14,Ordenes!$T$2:$T$840,"Válida",Ordenes!$F$2:$F$840,"Saferock")/SUMIFS(Ordenes!$Q$2:$Q$840,Ordenes!$C$2:$C$840,$B14,Ordenes!$T$2:$T$840,"Válida",Ordenes!$F$2:$F$840,"Saferock"),"")</f>
        <v/>
      </c>
      <c r="K14" s="20">
        <f>IFERROR(SUMIFS(Ordenes!$P$2:$P$840,Ordenes!$C$2:$C$840,$B14,Ordenes!$T$2:$T$840,"Válida",Ordenes!$F$2:$F$840,"Hexágono")/SUMIFS(Ordenes!$Q$2:$Q$840,Ordenes!$C$2:$C$840,$B14,Ordenes!$T$2:$T$840,"Válida",Ordenes!$F$2:$F$840,"Hexágono"),"")</f>
        <v/>
      </c>
      <c r="L14" s="24">
        <f>IFERROR(SUMIFS(Ordenes!$P$2:$P$840,Ordenes!$C$2:$C$840,$B14,Ordenes!$T$2:$T$840,"Válida",Ordenes!$F$2:$F$840,"*")/SUMIFS(Ordenes!$Q$2:$Q$840,Ordenes!$C$2:$C$840,$B14,Ordenes!$T$2:$T$840,"Válida",Ordenes!$F$2:$F$840,"*"),"")</f>
        <v/>
      </c>
      <c r="M14" s="20">
        <f>IFERROR(SUMIFS(Ordenes!$V$2:$V$840,Ordenes!$C$2:$C$840,$B14,Ordenes!$T$2:$T$840,"Válida")/SUMIFS(Ordenes!$Q$2:$Q$840,Ordenes!$C$2:$C$840,$B14,Ordenes!$T$2:$T$840,"Válida"),"")</f>
        <v/>
      </c>
      <c r="N14" s="21">
        <f>IFERROR((L14-M14)*100,"")</f>
        <v/>
      </c>
      <c r="O14" s="19">
        <f>SUMIFS(Ordenes!$P$2:$P$840,Ordenes!$C$2:$C$840,$B14,Ordenes!$T$2:$T$840,"Válida")</f>
        <v/>
      </c>
      <c r="P14" s="19">
        <f>SUMIFS(Ordenes!$Q$2:$Q$840,Ordenes!$C$2:$C$840,$B14,Ordenes!$T$2:$T$840,"Válida")</f>
        <v/>
      </c>
      <c r="Q14" s="18">
        <f>COUNTIFS(Ordenes!$C$2:$C$840,$B14,Ordenes!$T$2:$T$840,"Válida")</f>
        <v/>
      </c>
    </row>
    <row r="15">
      <c r="A15" s="18" t="inlineStr">
        <is>
          <t>Mié 14 ene 2026</t>
        </is>
      </c>
      <c r="B15" s="22" t="n">
        <v>46036</v>
      </c>
      <c r="C15" s="18" t="inlineStr">
        <is>
          <t>S03</t>
        </is>
      </c>
      <c r="D15" s="20">
        <f>IFERROR(SUMIFS(Ordenes!$P$2:$P$840,Ordenes!$C$2:$C$840,$B15,Ordenes!$T$2:$T$840,"Válida",Ordenes!$F$2:$F$840,"B Hormigón")/SUMIFS(Ordenes!$Q$2:$Q$840,Ordenes!$C$2:$C$840,$B15,Ordenes!$T$2:$T$840,"Válida",Ordenes!$F$2:$F$840,"B Hormigón"),"")</f>
        <v/>
      </c>
      <c r="E15" s="20">
        <f>IFERROR(SUMIFS(Ordenes!$P$2:$P$840,Ordenes!$C$2:$C$840,$B15,Ordenes!$T$2:$T$840,"Válida",Ordenes!$F$2:$F$840,"Redondo liso")/SUMIFS(Ordenes!$Q$2:$Q$840,Ordenes!$C$2:$C$840,$B15,Ordenes!$T$2:$T$840,"Válida",Ordenes!$F$2:$F$840,"Redondo liso"),"")</f>
        <v/>
      </c>
      <c r="F15" s="20">
        <f>IFERROR(SUMIFS(Ordenes!$P$2:$P$840,Ordenes!$C$2:$C$840,$B15,Ordenes!$T$2:$T$840,"Válida",Ordenes!$F$2:$F$840,"Plana")/SUMIFS(Ordenes!$Q$2:$Q$840,Ordenes!$C$2:$C$840,$B15,Ordenes!$T$2:$T$840,"Válida",Ordenes!$F$2:$F$840,"Plana"),"")</f>
        <v/>
      </c>
      <c r="G15" s="20">
        <f>IFERROR(SUMIFS(Ordenes!$P$2:$P$840,Ordenes!$C$2:$C$840,$B15,Ordenes!$T$2:$T$840,"Válida",Ordenes!$F$2:$F$840,"Ángulo")/SUMIFS(Ordenes!$Q$2:$Q$840,Ordenes!$C$2:$C$840,$B15,Ordenes!$T$2:$T$840,"Válida",Ordenes!$F$2:$F$840,"Ángulo"),"")</f>
        <v/>
      </c>
      <c r="H15" s="20">
        <f>IFERROR(SUMIFS(Ordenes!$P$2:$P$840,Ordenes!$C$2:$C$840,$B15,Ordenes!$T$2:$T$840,"Válida",Ordenes!$F$2:$F$840,"Cuadrado")/SUMIFS(Ordenes!$Q$2:$Q$840,Ordenes!$C$2:$C$840,$B15,Ordenes!$T$2:$T$840,"Válida",Ordenes!$F$2:$F$840,"Cuadrado"),"")</f>
        <v/>
      </c>
      <c r="I15" s="20">
        <f>IFERROR(SUMIFS(Ordenes!$P$2:$P$840,Ordenes!$C$2:$C$840,$B15,Ordenes!$T$2:$T$840,"Válida",Ordenes!$F$2:$F$840,"Estrella")/SUMIFS(Ordenes!$Q$2:$Q$840,Ordenes!$C$2:$C$840,$B15,Ordenes!$T$2:$T$840,"Válida",Ordenes!$F$2:$F$840,"Estrella"),"")</f>
        <v/>
      </c>
      <c r="J15" s="20">
        <f>IFERROR(SUMIFS(Ordenes!$P$2:$P$840,Ordenes!$C$2:$C$840,$B15,Ordenes!$T$2:$T$840,"Válida",Ordenes!$F$2:$F$840,"Saferock")/SUMIFS(Ordenes!$Q$2:$Q$840,Ordenes!$C$2:$C$840,$B15,Ordenes!$T$2:$T$840,"Válida",Ordenes!$F$2:$F$840,"Saferock"),"")</f>
        <v/>
      </c>
      <c r="K15" s="20">
        <f>IFERROR(SUMIFS(Ordenes!$P$2:$P$840,Ordenes!$C$2:$C$840,$B15,Ordenes!$T$2:$T$840,"Válida",Ordenes!$F$2:$F$840,"Hexágono")/SUMIFS(Ordenes!$Q$2:$Q$840,Ordenes!$C$2:$C$840,$B15,Ordenes!$T$2:$T$840,"Válida",Ordenes!$F$2:$F$840,"Hexágono"),"")</f>
        <v/>
      </c>
      <c r="L15" s="24">
        <f>IFERROR(SUMIFS(Ordenes!$P$2:$P$840,Ordenes!$C$2:$C$840,$B15,Ordenes!$T$2:$T$840,"Válida",Ordenes!$F$2:$F$840,"*")/SUMIFS(Ordenes!$Q$2:$Q$840,Ordenes!$C$2:$C$840,$B15,Ordenes!$T$2:$T$840,"Válida",Ordenes!$F$2:$F$840,"*"),"")</f>
        <v/>
      </c>
      <c r="M15" s="20">
        <f>IFERROR(SUMIFS(Ordenes!$V$2:$V$840,Ordenes!$C$2:$C$840,$B15,Ordenes!$T$2:$T$840,"Válida")/SUMIFS(Ordenes!$Q$2:$Q$840,Ordenes!$C$2:$C$840,$B15,Ordenes!$T$2:$T$840,"Válida"),"")</f>
        <v/>
      </c>
      <c r="N15" s="21">
        <f>IFERROR((L15-M15)*100,"")</f>
        <v/>
      </c>
      <c r="O15" s="19">
        <f>SUMIFS(Ordenes!$P$2:$P$840,Ordenes!$C$2:$C$840,$B15,Ordenes!$T$2:$T$840,"Válida")</f>
        <v/>
      </c>
      <c r="P15" s="19">
        <f>SUMIFS(Ordenes!$Q$2:$Q$840,Ordenes!$C$2:$C$840,$B15,Ordenes!$T$2:$T$840,"Válida")</f>
        <v/>
      </c>
      <c r="Q15" s="18">
        <f>COUNTIFS(Ordenes!$C$2:$C$840,$B15,Ordenes!$T$2:$T$840,"Válida")</f>
        <v/>
      </c>
    </row>
    <row r="16">
      <c r="A16" s="18" t="inlineStr">
        <is>
          <t>Jue 15 ene 2026</t>
        </is>
      </c>
      <c r="B16" s="22" t="n">
        <v>46037</v>
      </c>
      <c r="C16" s="18" t="inlineStr">
        <is>
          <t>S03</t>
        </is>
      </c>
      <c r="D16" s="20">
        <f>IFERROR(SUMIFS(Ordenes!$P$2:$P$840,Ordenes!$C$2:$C$840,$B16,Ordenes!$T$2:$T$840,"Válida",Ordenes!$F$2:$F$840,"B Hormigón")/SUMIFS(Ordenes!$Q$2:$Q$840,Ordenes!$C$2:$C$840,$B16,Ordenes!$T$2:$T$840,"Válida",Ordenes!$F$2:$F$840,"B Hormigón"),"")</f>
        <v/>
      </c>
      <c r="E16" s="20">
        <f>IFERROR(SUMIFS(Ordenes!$P$2:$P$840,Ordenes!$C$2:$C$840,$B16,Ordenes!$T$2:$T$840,"Válida",Ordenes!$F$2:$F$840,"Redondo liso")/SUMIFS(Ordenes!$Q$2:$Q$840,Ordenes!$C$2:$C$840,$B16,Ordenes!$T$2:$T$840,"Válida",Ordenes!$F$2:$F$840,"Redondo liso"),"")</f>
        <v/>
      </c>
      <c r="F16" s="20">
        <f>IFERROR(SUMIFS(Ordenes!$P$2:$P$840,Ordenes!$C$2:$C$840,$B16,Ordenes!$T$2:$T$840,"Válida",Ordenes!$F$2:$F$840,"Plana")/SUMIFS(Ordenes!$Q$2:$Q$840,Ordenes!$C$2:$C$840,$B16,Ordenes!$T$2:$T$840,"Válida",Ordenes!$F$2:$F$840,"Plana"),"")</f>
        <v/>
      </c>
      <c r="G16" s="20">
        <f>IFERROR(SUMIFS(Ordenes!$P$2:$P$840,Ordenes!$C$2:$C$840,$B16,Ordenes!$T$2:$T$840,"Válida",Ordenes!$F$2:$F$840,"Ángulo")/SUMIFS(Ordenes!$Q$2:$Q$840,Ordenes!$C$2:$C$840,$B16,Ordenes!$T$2:$T$840,"Válida",Ordenes!$F$2:$F$840,"Ángulo"),"")</f>
        <v/>
      </c>
      <c r="H16" s="20">
        <f>IFERROR(SUMIFS(Ordenes!$P$2:$P$840,Ordenes!$C$2:$C$840,$B16,Ordenes!$T$2:$T$840,"Válida",Ordenes!$F$2:$F$840,"Cuadrado")/SUMIFS(Ordenes!$Q$2:$Q$840,Ordenes!$C$2:$C$840,$B16,Ordenes!$T$2:$T$840,"Válida",Ordenes!$F$2:$F$840,"Cuadrado"),"")</f>
        <v/>
      </c>
      <c r="I16" s="20">
        <f>IFERROR(SUMIFS(Ordenes!$P$2:$P$840,Ordenes!$C$2:$C$840,$B16,Ordenes!$T$2:$T$840,"Válida",Ordenes!$F$2:$F$840,"Estrella")/SUMIFS(Ordenes!$Q$2:$Q$840,Ordenes!$C$2:$C$840,$B16,Ordenes!$T$2:$T$840,"Válida",Ordenes!$F$2:$F$840,"Estrella"),"")</f>
        <v/>
      </c>
      <c r="J16" s="20">
        <f>IFERROR(SUMIFS(Ordenes!$P$2:$P$840,Ordenes!$C$2:$C$840,$B16,Ordenes!$T$2:$T$840,"Válida",Ordenes!$F$2:$F$840,"Saferock")/SUMIFS(Ordenes!$Q$2:$Q$840,Ordenes!$C$2:$C$840,$B16,Ordenes!$T$2:$T$840,"Válida",Ordenes!$F$2:$F$840,"Saferock"),"")</f>
        <v/>
      </c>
      <c r="K16" s="20">
        <f>IFERROR(SUMIFS(Ordenes!$P$2:$P$840,Ordenes!$C$2:$C$840,$B16,Ordenes!$T$2:$T$840,"Válida",Ordenes!$F$2:$F$840,"Hexágono")/SUMIFS(Ordenes!$Q$2:$Q$840,Ordenes!$C$2:$C$840,$B16,Ordenes!$T$2:$T$840,"Válida",Ordenes!$F$2:$F$840,"Hexágono"),"")</f>
        <v/>
      </c>
      <c r="L16" s="24">
        <f>IFERROR(SUMIFS(Ordenes!$P$2:$P$840,Ordenes!$C$2:$C$840,$B16,Ordenes!$T$2:$T$840,"Válida",Ordenes!$F$2:$F$840,"*")/SUMIFS(Ordenes!$Q$2:$Q$840,Ordenes!$C$2:$C$840,$B16,Ordenes!$T$2:$T$840,"Válida",Ordenes!$F$2:$F$840,"*"),"")</f>
        <v/>
      </c>
      <c r="M16" s="20">
        <f>IFERROR(SUMIFS(Ordenes!$V$2:$V$840,Ordenes!$C$2:$C$840,$B16,Ordenes!$T$2:$T$840,"Válida")/SUMIFS(Ordenes!$Q$2:$Q$840,Ordenes!$C$2:$C$840,$B16,Ordenes!$T$2:$T$840,"Válida"),"")</f>
        <v/>
      </c>
      <c r="N16" s="21">
        <f>IFERROR((L16-M16)*100,"")</f>
        <v/>
      </c>
      <c r="O16" s="19">
        <f>SUMIFS(Ordenes!$P$2:$P$840,Ordenes!$C$2:$C$840,$B16,Ordenes!$T$2:$T$840,"Válida")</f>
        <v/>
      </c>
      <c r="P16" s="19">
        <f>SUMIFS(Ordenes!$Q$2:$Q$840,Ordenes!$C$2:$C$840,$B16,Ordenes!$T$2:$T$840,"Válida")</f>
        <v/>
      </c>
      <c r="Q16" s="18">
        <f>COUNTIFS(Ordenes!$C$2:$C$840,$B16,Ordenes!$T$2:$T$840,"Válida")</f>
        <v/>
      </c>
    </row>
    <row r="17">
      <c r="A17" s="18" t="inlineStr">
        <is>
          <t>Vie 16 ene 2026</t>
        </is>
      </c>
      <c r="B17" s="22" t="n">
        <v>46038</v>
      </c>
      <c r="C17" s="18" t="inlineStr">
        <is>
          <t>S03</t>
        </is>
      </c>
      <c r="D17" s="20">
        <f>IFERROR(SUMIFS(Ordenes!$P$2:$P$840,Ordenes!$C$2:$C$840,$B17,Ordenes!$T$2:$T$840,"Válida",Ordenes!$F$2:$F$840,"B Hormigón")/SUMIFS(Ordenes!$Q$2:$Q$840,Ordenes!$C$2:$C$840,$B17,Ordenes!$T$2:$T$840,"Válida",Ordenes!$F$2:$F$840,"B Hormigón"),"")</f>
        <v/>
      </c>
      <c r="E17" s="20">
        <f>IFERROR(SUMIFS(Ordenes!$P$2:$P$840,Ordenes!$C$2:$C$840,$B17,Ordenes!$T$2:$T$840,"Válida",Ordenes!$F$2:$F$840,"Redondo liso")/SUMIFS(Ordenes!$Q$2:$Q$840,Ordenes!$C$2:$C$840,$B17,Ordenes!$T$2:$T$840,"Válida",Ordenes!$F$2:$F$840,"Redondo liso"),"")</f>
        <v/>
      </c>
      <c r="F17" s="20">
        <f>IFERROR(SUMIFS(Ordenes!$P$2:$P$840,Ordenes!$C$2:$C$840,$B17,Ordenes!$T$2:$T$840,"Válida",Ordenes!$F$2:$F$840,"Plana")/SUMIFS(Ordenes!$Q$2:$Q$840,Ordenes!$C$2:$C$840,$B17,Ordenes!$T$2:$T$840,"Válida",Ordenes!$F$2:$F$840,"Plana"),"")</f>
        <v/>
      </c>
      <c r="G17" s="20">
        <f>IFERROR(SUMIFS(Ordenes!$P$2:$P$840,Ordenes!$C$2:$C$840,$B17,Ordenes!$T$2:$T$840,"Válida",Ordenes!$F$2:$F$840,"Ángulo")/SUMIFS(Ordenes!$Q$2:$Q$840,Ordenes!$C$2:$C$840,$B17,Ordenes!$T$2:$T$840,"Válida",Ordenes!$F$2:$F$840,"Ángulo"),"")</f>
        <v/>
      </c>
      <c r="H17" s="20">
        <f>IFERROR(SUMIFS(Ordenes!$P$2:$P$840,Ordenes!$C$2:$C$840,$B17,Ordenes!$T$2:$T$840,"Válida",Ordenes!$F$2:$F$840,"Cuadrado")/SUMIFS(Ordenes!$Q$2:$Q$840,Ordenes!$C$2:$C$840,$B17,Ordenes!$T$2:$T$840,"Válida",Ordenes!$F$2:$F$840,"Cuadrado"),"")</f>
        <v/>
      </c>
      <c r="I17" s="20">
        <f>IFERROR(SUMIFS(Ordenes!$P$2:$P$840,Ordenes!$C$2:$C$840,$B17,Ordenes!$T$2:$T$840,"Válida",Ordenes!$F$2:$F$840,"Estrella")/SUMIFS(Ordenes!$Q$2:$Q$840,Ordenes!$C$2:$C$840,$B17,Ordenes!$T$2:$T$840,"Válida",Ordenes!$F$2:$F$840,"Estrella"),"")</f>
        <v/>
      </c>
      <c r="J17" s="20">
        <f>IFERROR(SUMIFS(Ordenes!$P$2:$P$840,Ordenes!$C$2:$C$840,$B17,Ordenes!$T$2:$T$840,"Válida",Ordenes!$F$2:$F$840,"Saferock")/SUMIFS(Ordenes!$Q$2:$Q$840,Ordenes!$C$2:$C$840,$B17,Ordenes!$T$2:$T$840,"Válida",Ordenes!$F$2:$F$840,"Saferock"),"")</f>
        <v/>
      </c>
      <c r="K17" s="20">
        <f>IFERROR(SUMIFS(Ordenes!$P$2:$P$840,Ordenes!$C$2:$C$840,$B17,Ordenes!$T$2:$T$840,"Válida",Ordenes!$F$2:$F$840,"Hexágono")/SUMIFS(Ordenes!$Q$2:$Q$840,Ordenes!$C$2:$C$840,$B17,Ordenes!$T$2:$T$840,"Válida",Ordenes!$F$2:$F$840,"Hexágono"),"")</f>
        <v/>
      </c>
      <c r="L17" s="24">
        <f>IFERROR(SUMIFS(Ordenes!$P$2:$P$840,Ordenes!$C$2:$C$840,$B17,Ordenes!$T$2:$T$840,"Válida",Ordenes!$F$2:$F$840,"*")/SUMIFS(Ordenes!$Q$2:$Q$840,Ordenes!$C$2:$C$840,$B17,Ordenes!$T$2:$T$840,"Válida",Ordenes!$F$2:$F$840,"*"),"")</f>
        <v/>
      </c>
      <c r="M17" s="20">
        <f>IFERROR(SUMIFS(Ordenes!$V$2:$V$840,Ordenes!$C$2:$C$840,$B17,Ordenes!$T$2:$T$840,"Válida")/SUMIFS(Ordenes!$Q$2:$Q$840,Ordenes!$C$2:$C$840,$B17,Ordenes!$T$2:$T$840,"Válida"),"")</f>
        <v/>
      </c>
      <c r="N17" s="21">
        <f>IFERROR((L17-M17)*100,"")</f>
        <v/>
      </c>
      <c r="O17" s="19">
        <f>SUMIFS(Ordenes!$P$2:$P$840,Ordenes!$C$2:$C$840,$B17,Ordenes!$T$2:$T$840,"Válida")</f>
        <v/>
      </c>
      <c r="P17" s="19">
        <f>SUMIFS(Ordenes!$Q$2:$Q$840,Ordenes!$C$2:$C$840,$B17,Ordenes!$T$2:$T$840,"Válida")</f>
        <v/>
      </c>
      <c r="Q17" s="18">
        <f>COUNTIFS(Ordenes!$C$2:$C$840,$B17,Ordenes!$T$2:$T$840,"Válida")</f>
        <v/>
      </c>
    </row>
    <row r="18">
      <c r="A18" s="18" t="inlineStr">
        <is>
          <t>Sáb 17 ene 2026</t>
        </is>
      </c>
      <c r="B18" s="22" t="n">
        <v>46039</v>
      </c>
      <c r="C18" s="18" t="inlineStr">
        <is>
          <t>S03</t>
        </is>
      </c>
      <c r="D18" s="20">
        <f>IFERROR(SUMIFS(Ordenes!$P$2:$P$840,Ordenes!$C$2:$C$840,$B18,Ordenes!$T$2:$T$840,"Válida",Ordenes!$F$2:$F$840,"B Hormigón")/SUMIFS(Ordenes!$Q$2:$Q$840,Ordenes!$C$2:$C$840,$B18,Ordenes!$T$2:$T$840,"Válida",Ordenes!$F$2:$F$840,"B Hormigón"),"")</f>
        <v/>
      </c>
      <c r="E18" s="20">
        <f>IFERROR(SUMIFS(Ordenes!$P$2:$P$840,Ordenes!$C$2:$C$840,$B18,Ordenes!$T$2:$T$840,"Válida",Ordenes!$F$2:$F$840,"Redondo liso")/SUMIFS(Ordenes!$Q$2:$Q$840,Ordenes!$C$2:$C$840,$B18,Ordenes!$T$2:$T$840,"Válida",Ordenes!$F$2:$F$840,"Redondo liso"),"")</f>
        <v/>
      </c>
      <c r="F18" s="20">
        <f>IFERROR(SUMIFS(Ordenes!$P$2:$P$840,Ordenes!$C$2:$C$840,$B18,Ordenes!$T$2:$T$840,"Válida",Ordenes!$F$2:$F$840,"Plana")/SUMIFS(Ordenes!$Q$2:$Q$840,Ordenes!$C$2:$C$840,$B18,Ordenes!$T$2:$T$840,"Válida",Ordenes!$F$2:$F$840,"Plana"),"")</f>
        <v/>
      </c>
      <c r="G18" s="20">
        <f>IFERROR(SUMIFS(Ordenes!$P$2:$P$840,Ordenes!$C$2:$C$840,$B18,Ordenes!$T$2:$T$840,"Válida",Ordenes!$F$2:$F$840,"Ángulo")/SUMIFS(Ordenes!$Q$2:$Q$840,Ordenes!$C$2:$C$840,$B18,Ordenes!$T$2:$T$840,"Válida",Ordenes!$F$2:$F$840,"Ángulo"),"")</f>
        <v/>
      </c>
      <c r="H18" s="20">
        <f>IFERROR(SUMIFS(Ordenes!$P$2:$P$840,Ordenes!$C$2:$C$840,$B18,Ordenes!$T$2:$T$840,"Válida",Ordenes!$F$2:$F$840,"Cuadrado")/SUMIFS(Ordenes!$Q$2:$Q$840,Ordenes!$C$2:$C$840,$B18,Ordenes!$T$2:$T$840,"Válida",Ordenes!$F$2:$F$840,"Cuadrado"),"")</f>
        <v/>
      </c>
      <c r="I18" s="20">
        <f>IFERROR(SUMIFS(Ordenes!$P$2:$P$840,Ordenes!$C$2:$C$840,$B18,Ordenes!$T$2:$T$840,"Válida",Ordenes!$F$2:$F$840,"Estrella")/SUMIFS(Ordenes!$Q$2:$Q$840,Ordenes!$C$2:$C$840,$B18,Ordenes!$T$2:$T$840,"Válida",Ordenes!$F$2:$F$840,"Estrella"),"")</f>
        <v/>
      </c>
      <c r="J18" s="20">
        <f>IFERROR(SUMIFS(Ordenes!$P$2:$P$840,Ordenes!$C$2:$C$840,$B18,Ordenes!$T$2:$T$840,"Válida",Ordenes!$F$2:$F$840,"Saferock")/SUMIFS(Ordenes!$Q$2:$Q$840,Ordenes!$C$2:$C$840,$B18,Ordenes!$T$2:$T$840,"Válida",Ordenes!$F$2:$F$840,"Saferock"),"")</f>
        <v/>
      </c>
      <c r="K18" s="20">
        <f>IFERROR(SUMIFS(Ordenes!$P$2:$P$840,Ordenes!$C$2:$C$840,$B18,Ordenes!$T$2:$T$840,"Válida",Ordenes!$F$2:$F$840,"Hexágono")/SUMIFS(Ordenes!$Q$2:$Q$840,Ordenes!$C$2:$C$840,$B18,Ordenes!$T$2:$T$840,"Válida",Ordenes!$F$2:$F$840,"Hexágono"),"")</f>
        <v/>
      </c>
      <c r="L18" s="24">
        <f>IFERROR(SUMIFS(Ordenes!$P$2:$P$840,Ordenes!$C$2:$C$840,$B18,Ordenes!$T$2:$T$840,"Válida",Ordenes!$F$2:$F$840,"*")/SUMIFS(Ordenes!$Q$2:$Q$840,Ordenes!$C$2:$C$840,$B18,Ordenes!$T$2:$T$840,"Válida",Ordenes!$F$2:$F$840,"*"),"")</f>
        <v/>
      </c>
      <c r="M18" s="20">
        <f>IFERROR(SUMIFS(Ordenes!$V$2:$V$840,Ordenes!$C$2:$C$840,$B18,Ordenes!$T$2:$T$840,"Válida")/SUMIFS(Ordenes!$Q$2:$Q$840,Ordenes!$C$2:$C$840,$B18,Ordenes!$T$2:$T$840,"Válida"),"")</f>
        <v/>
      </c>
      <c r="N18" s="21">
        <f>IFERROR((L18-M18)*100,"")</f>
        <v/>
      </c>
      <c r="O18" s="19">
        <f>SUMIFS(Ordenes!$P$2:$P$840,Ordenes!$C$2:$C$840,$B18,Ordenes!$T$2:$T$840,"Válida")</f>
        <v/>
      </c>
      <c r="P18" s="19">
        <f>SUMIFS(Ordenes!$Q$2:$Q$840,Ordenes!$C$2:$C$840,$B18,Ordenes!$T$2:$T$840,"Válida")</f>
        <v/>
      </c>
      <c r="Q18" s="18">
        <f>COUNTIFS(Ordenes!$C$2:$C$840,$B18,Ordenes!$T$2:$T$840,"Válida")</f>
        <v/>
      </c>
    </row>
    <row r="19">
      <c r="A19" s="18" t="inlineStr">
        <is>
          <t>Lun 19 ene 2026</t>
        </is>
      </c>
      <c r="B19" s="22" t="n">
        <v>46041</v>
      </c>
      <c r="C19" s="18" t="inlineStr">
        <is>
          <t>S04</t>
        </is>
      </c>
      <c r="D19" s="20">
        <f>IFERROR(SUMIFS(Ordenes!$P$2:$P$840,Ordenes!$C$2:$C$840,$B19,Ordenes!$T$2:$T$840,"Válida",Ordenes!$F$2:$F$840,"B Hormigón")/SUMIFS(Ordenes!$Q$2:$Q$840,Ordenes!$C$2:$C$840,$B19,Ordenes!$T$2:$T$840,"Válida",Ordenes!$F$2:$F$840,"B Hormigón"),"")</f>
        <v/>
      </c>
      <c r="E19" s="20">
        <f>IFERROR(SUMIFS(Ordenes!$P$2:$P$840,Ordenes!$C$2:$C$840,$B19,Ordenes!$T$2:$T$840,"Válida",Ordenes!$F$2:$F$840,"Redondo liso")/SUMIFS(Ordenes!$Q$2:$Q$840,Ordenes!$C$2:$C$840,$B19,Ordenes!$T$2:$T$840,"Válida",Ordenes!$F$2:$F$840,"Redondo liso"),"")</f>
        <v/>
      </c>
      <c r="F19" s="20">
        <f>IFERROR(SUMIFS(Ordenes!$P$2:$P$840,Ordenes!$C$2:$C$840,$B19,Ordenes!$T$2:$T$840,"Válida",Ordenes!$F$2:$F$840,"Plana")/SUMIFS(Ordenes!$Q$2:$Q$840,Ordenes!$C$2:$C$840,$B19,Ordenes!$T$2:$T$840,"Válida",Ordenes!$F$2:$F$840,"Plana"),"")</f>
        <v/>
      </c>
      <c r="G19" s="20">
        <f>IFERROR(SUMIFS(Ordenes!$P$2:$P$840,Ordenes!$C$2:$C$840,$B19,Ordenes!$T$2:$T$840,"Válida",Ordenes!$F$2:$F$840,"Ángulo")/SUMIFS(Ordenes!$Q$2:$Q$840,Ordenes!$C$2:$C$840,$B19,Ordenes!$T$2:$T$840,"Válida",Ordenes!$F$2:$F$840,"Ángulo"),"")</f>
        <v/>
      </c>
      <c r="H19" s="20">
        <f>IFERROR(SUMIFS(Ordenes!$P$2:$P$840,Ordenes!$C$2:$C$840,$B19,Ordenes!$T$2:$T$840,"Válida",Ordenes!$F$2:$F$840,"Cuadrado")/SUMIFS(Ordenes!$Q$2:$Q$840,Ordenes!$C$2:$C$840,$B19,Ordenes!$T$2:$T$840,"Válida",Ordenes!$F$2:$F$840,"Cuadrado"),"")</f>
        <v/>
      </c>
      <c r="I19" s="20">
        <f>IFERROR(SUMIFS(Ordenes!$P$2:$P$840,Ordenes!$C$2:$C$840,$B19,Ordenes!$T$2:$T$840,"Válida",Ordenes!$F$2:$F$840,"Estrella")/SUMIFS(Ordenes!$Q$2:$Q$840,Ordenes!$C$2:$C$840,$B19,Ordenes!$T$2:$T$840,"Válida",Ordenes!$F$2:$F$840,"Estrella"),"")</f>
        <v/>
      </c>
      <c r="J19" s="20">
        <f>IFERROR(SUMIFS(Ordenes!$P$2:$P$840,Ordenes!$C$2:$C$840,$B19,Ordenes!$T$2:$T$840,"Válida",Ordenes!$F$2:$F$840,"Saferock")/SUMIFS(Ordenes!$Q$2:$Q$840,Ordenes!$C$2:$C$840,$B19,Ordenes!$T$2:$T$840,"Válida",Ordenes!$F$2:$F$840,"Saferock"),"")</f>
        <v/>
      </c>
      <c r="K19" s="20">
        <f>IFERROR(SUMIFS(Ordenes!$P$2:$P$840,Ordenes!$C$2:$C$840,$B19,Ordenes!$T$2:$T$840,"Válida",Ordenes!$F$2:$F$840,"Hexágono")/SUMIFS(Ordenes!$Q$2:$Q$840,Ordenes!$C$2:$C$840,$B19,Ordenes!$T$2:$T$840,"Válida",Ordenes!$F$2:$F$840,"Hexágono"),"")</f>
        <v/>
      </c>
      <c r="L19" s="24">
        <f>IFERROR(SUMIFS(Ordenes!$P$2:$P$840,Ordenes!$C$2:$C$840,$B19,Ordenes!$T$2:$T$840,"Válida",Ordenes!$F$2:$F$840,"*")/SUMIFS(Ordenes!$Q$2:$Q$840,Ordenes!$C$2:$C$840,$B19,Ordenes!$T$2:$T$840,"Válida",Ordenes!$F$2:$F$840,"*"),"")</f>
        <v/>
      </c>
      <c r="M19" s="20">
        <f>IFERROR(SUMIFS(Ordenes!$V$2:$V$840,Ordenes!$C$2:$C$840,$B19,Ordenes!$T$2:$T$840,"Válida")/SUMIFS(Ordenes!$Q$2:$Q$840,Ordenes!$C$2:$C$840,$B19,Ordenes!$T$2:$T$840,"Válida"),"")</f>
        <v/>
      </c>
      <c r="N19" s="21">
        <f>IFERROR((L19-M19)*100,"")</f>
        <v/>
      </c>
      <c r="O19" s="19">
        <f>SUMIFS(Ordenes!$P$2:$P$840,Ordenes!$C$2:$C$840,$B19,Ordenes!$T$2:$T$840,"Válida")</f>
        <v/>
      </c>
      <c r="P19" s="19">
        <f>SUMIFS(Ordenes!$Q$2:$Q$840,Ordenes!$C$2:$C$840,$B19,Ordenes!$T$2:$T$840,"Válida")</f>
        <v/>
      </c>
      <c r="Q19" s="18">
        <f>COUNTIFS(Ordenes!$C$2:$C$840,$B19,Ordenes!$T$2:$T$840,"Válida")</f>
        <v/>
      </c>
    </row>
    <row r="20">
      <c r="A20" s="18" t="inlineStr">
        <is>
          <t>Mar 20 ene 2026</t>
        </is>
      </c>
      <c r="B20" s="22" t="n">
        <v>46042</v>
      </c>
      <c r="C20" s="18" t="inlineStr">
        <is>
          <t>S04</t>
        </is>
      </c>
      <c r="D20" s="20">
        <f>IFERROR(SUMIFS(Ordenes!$P$2:$P$840,Ordenes!$C$2:$C$840,$B20,Ordenes!$T$2:$T$840,"Válida",Ordenes!$F$2:$F$840,"B Hormigón")/SUMIFS(Ordenes!$Q$2:$Q$840,Ordenes!$C$2:$C$840,$B20,Ordenes!$T$2:$T$840,"Válida",Ordenes!$F$2:$F$840,"B Hormigón"),"")</f>
        <v/>
      </c>
      <c r="E20" s="20">
        <f>IFERROR(SUMIFS(Ordenes!$P$2:$P$840,Ordenes!$C$2:$C$840,$B20,Ordenes!$T$2:$T$840,"Válida",Ordenes!$F$2:$F$840,"Redondo liso")/SUMIFS(Ordenes!$Q$2:$Q$840,Ordenes!$C$2:$C$840,$B20,Ordenes!$T$2:$T$840,"Válida",Ordenes!$F$2:$F$840,"Redondo liso"),"")</f>
        <v/>
      </c>
      <c r="F20" s="20">
        <f>IFERROR(SUMIFS(Ordenes!$P$2:$P$840,Ordenes!$C$2:$C$840,$B20,Ordenes!$T$2:$T$840,"Válida",Ordenes!$F$2:$F$840,"Plana")/SUMIFS(Ordenes!$Q$2:$Q$840,Ordenes!$C$2:$C$840,$B20,Ordenes!$T$2:$T$840,"Válida",Ordenes!$F$2:$F$840,"Plana"),"")</f>
        <v/>
      </c>
      <c r="G20" s="20">
        <f>IFERROR(SUMIFS(Ordenes!$P$2:$P$840,Ordenes!$C$2:$C$840,$B20,Ordenes!$T$2:$T$840,"Válida",Ordenes!$F$2:$F$840,"Ángulo")/SUMIFS(Ordenes!$Q$2:$Q$840,Ordenes!$C$2:$C$840,$B20,Ordenes!$T$2:$T$840,"Válida",Ordenes!$F$2:$F$840,"Ángulo"),"")</f>
        <v/>
      </c>
      <c r="H20" s="20">
        <f>IFERROR(SUMIFS(Ordenes!$P$2:$P$840,Ordenes!$C$2:$C$840,$B20,Ordenes!$T$2:$T$840,"Válida",Ordenes!$F$2:$F$840,"Cuadrado")/SUMIFS(Ordenes!$Q$2:$Q$840,Ordenes!$C$2:$C$840,$B20,Ordenes!$T$2:$T$840,"Válida",Ordenes!$F$2:$F$840,"Cuadrado"),"")</f>
        <v/>
      </c>
      <c r="I20" s="20">
        <f>IFERROR(SUMIFS(Ordenes!$P$2:$P$840,Ordenes!$C$2:$C$840,$B20,Ordenes!$T$2:$T$840,"Válida",Ordenes!$F$2:$F$840,"Estrella")/SUMIFS(Ordenes!$Q$2:$Q$840,Ordenes!$C$2:$C$840,$B20,Ordenes!$T$2:$T$840,"Válida",Ordenes!$F$2:$F$840,"Estrella"),"")</f>
        <v/>
      </c>
      <c r="J20" s="20">
        <f>IFERROR(SUMIFS(Ordenes!$P$2:$P$840,Ordenes!$C$2:$C$840,$B20,Ordenes!$T$2:$T$840,"Válida",Ordenes!$F$2:$F$840,"Saferock")/SUMIFS(Ordenes!$Q$2:$Q$840,Ordenes!$C$2:$C$840,$B20,Ordenes!$T$2:$T$840,"Válida",Ordenes!$F$2:$F$840,"Saferock"),"")</f>
        <v/>
      </c>
      <c r="K20" s="20">
        <f>IFERROR(SUMIFS(Ordenes!$P$2:$P$840,Ordenes!$C$2:$C$840,$B20,Ordenes!$T$2:$T$840,"Válida",Ordenes!$F$2:$F$840,"Hexágono")/SUMIFS(Ordenes!$Q$2:$Q$840,Ordenes!$C$2:$C$840,$B20,Ordenes!$T$2:$T$840,"Válida",Ordenes!$F$2:$F$840,"Hexágono"),"")</f>
        <v/>
      </c>
      <c r="L20" s="24">
        <f>IFERROR(SUMIFS(Ordenes!$P$2:$P$840,Ordenes!$C$2:$C$840,$B20,Ordenes!$T$2:$T$840,"Válida",Ordenes!$F$2:$F$840,"*")/SUMIFS(Ordenes!$Q$2:$Q$840,Ordenes!$C$2:$C$840,$B20,Ordenes!$T$2:$T$840,"Válida",Ordenes!$F$2:$F$840,"*"),"")</f>
        <v/>
      </c>
      <c r="M20" s="20">
        <f>IFERROR(SUMIFS(Ordenes!$V$2:$V$840,Ordenes!$C$2:$C$840,$B20,Ordenes!$T$2:$T$840,"Válida")/SUMIFS(Ordenes!$Q$2:$Q$840,Ordenes!$C$2:$C$840,$B20,Ordenes!$T$2:$T$840,"Válida"),"")</f>
        <v/>
      </c>
      <c r="N20" s="21">
        <f>IFERROR((L20-M20)*100,"")</f>
        <v/>
      </c>
      <c r="O20" s="19">
        <f>SUMIFS(Ordenes!$P$2:$P$840,Ordenes!$C$2:$C$840,$B20,Ordenes!$T$2:$T$840,"Válida")</f>
        <v/>
      </c>
      <c r="P20" s="19">
        <f>SUMIFS(Ordenes!$Q$2:$Q$840,Ordenes!$C$2:$C$840,$B20,Ordenes!$T$2:$T$840,"Válida")</f>
        <v/>
      </c>
      <c r="Q20" s="18">
        <f>COUNTIFS(Ordenes!$C$2:$C$840,$B20,Ordenes!$T$2:$T$840,"Válida")</f>
        <v/>
      </c>
    </row>
    <row r="21">
      <c r="A21" s="18" t="inlineStr">
        <is>
          <t>Mié 21 ene 2026</t>
        </is>
      </c>
      <c r="B21" s="22" t="n">
        <v>46043</v>
      </c>
      <c r="C21" s="18" t="inlineStr">
        <is>
          <t>S04</t>
        </is>
      </c>
      <c r="D21" s="20">
        <f>IFERROR(SUMIFS(Ordenes!$P$2:$P$840,Ordenes!$C$2:$C$840,$B21,Ordenes!$T$2:$T$840,"Válida",Ordenes!$F$2:$F$840,"B Hormigón")/SUMIFS(Ordenes!$Q$2:$Q$840,Ordenes!$C$2:$C$840,$B21,Ordenes!$T$2:$T$840,"Válida",Ordenes!$F$2:$F$840,"B Hormigón"),"")</f>
        <v/>
      </c>
      <c r="E21" s="20">
        <f>IFERROR(SUMIFS(Ordenes!$P$2:$P$840,Ordenes!$C$2:$C$840,$B21,Ordenes!$T$2:$T$840,"Válida",Ordenes!$F$2:$F$840,"Redondo liso")/SUMIFS(Ordenes!$Q$2:$Q$840,Ordenes!$C$2:$C$840,$B21,Ordenes!$T$2:$T$840,"Válida",Ordenes!$F$2:$F$840,"Redondo liso"),"")</f>
        <v/>
      </c>
      <c r="F21" s="20">
        <f>IFERROR(SUMIFS(Ordenes!$P$2:$P$840,Ordenes!$C$2:$C$840,$B21,Ordenes!$T$2:$T$840,"Válida",Ordenes!$F$2:$F$840,"Plana")/SUMIFS(Ordenes!$Q$2:$Q$840,Ordenes!$C$2:$C$840,$B21,Ordenes!$T$2:$T$840,"Válida",Ordenes!$F$2:$F$840,"Plana"),"")</f>
        <v/>
      </c>
      <c r="G21" s="20">
        <f>IFERROR(SUMIFS(Ordenes!$P$2:$P$840,Ordenes!$C$2:$C$840,$B21,Ordenes!$T$2:$T$840,"Válida",Ordenes!$F$2:$F$840,"Ángulo")/SUMIFS(Ordenes!$Q$2:$Q$840,Ordenes!$C$2:$C$840,$B21,Ordenes!$T$2:$T$840,"Válida",Ordenes!$F$2:$F$840,"Ángulo"),"")</f>
        <v/>
      </c>
      <c r="H21" s="20">
        <f>IFERROR(SUMIFS(Ordenes!$P$2:$P$840,Ordenes!$C$2:$C$840,$B21,Ordenes!$T$2:$T$840,"Válida",Ordenes!$F$2:$F$840,"Cuadrado")/SUMIFS(Ordenes!$Q$2:$Q$840,Ordenes!$C$2:$C$840,$B21,Ordenes!$T$2:$T$840,"Válida",Ordenes!$F$2:$F$840,"Cuadrado"),"")</f>
        <v/>
      </c>
      <c r="I21" s="20">
        <f>IFERROR(SUMIFS(Ordenes!$P$2:$P$840,Ordenes!$C$2:$C$840,$B21,Ordenes!$T$2:$T$840,"Válida",Ordenes!$F$2:$F$840,"Estrella")/SUMIFS(Ordenes!$Q$2:$Q$840,Ordenes!$C$2:$C$840,$B21,Ordenes!$T$2:$T$840,"Válida",Ordenes!$F$2:$F$840,"Estrella"),"")</f>
        <v/>
      </c>
      <c r="J21" s="20">
        <f>IFERROR(SUMIFS(Ordenes!$P$2:$P$840,Ordenes!$C$2:$C$840,$B21,Ordenes!$T$2:$T$840,"Válida",Ordenes!$F$2:$F$840,"Saferock")/SUMIFS(Ordenes!$Q$2:$Q$840,Ordenes!$C$2:$C$840,$B21,Ordenes!$T$2:$T$840,"Válida",Ordenes!$F$2:$F$840,"Saferock"),"")</f>
        <v/>
      </c>
      <c r="K21" s="20">
        <f>IFERROR(SUMIFS(Ordenes!$P$2:$P$840,Ordenes!$C$2:$C$840,$B21,Ordenes!$T$2:$T$840,"Válida",Ordenes!$F$2:$F$840,"Hexágono")/SUMIFS(Ordenes!$Q$2:$Q$840,Ordenes!$C$2:$C$840,$B21,Ordenes!$T$2:$T$840,"Válida",Ordenes!$F$2:$F$840,"Hexágono"),"")</f>
        <v/>
      </c>
      <c r="L21" s="24">
        <f>IFERROR(SUMIFS(Ordenes!$P$2:$P$840,Ordenes!$C$2:$C$840,$B21,Ordenes!$T$2:$T$840,"Válida",Ordenes!$F$2:$F$840,"*")/SUMIFS(Ordenes!$Q$2:$Q$840,Ordenes!$C$2:$C$840,$B21,Ordenes!$T$2:$T$840,"Válida",Ordenes!$F$2:$F$840,"*"),"")</f>
        <v/>
      </c>
      <c r="M21" s="20">
        <f>IFERROR(SUMIFS(Ordenes!$V$2:$V$840,Ordenes!$C$2:$C$840,$B21,Ordenes!$T$2:$T$840,"Válida")/SUMIFS(Ordenes!$Q$2:$Q$840,Ordenes!$C$2:$C$840,$B21,Ordenes!$T$2:$T$840,"Válida"),"")</f>
        <v/>
      </c>
      <c r="N21" s="21">
        <f>IFERROR((L21-M21)*100,"")</f>
        <v/>
      </c>
      <c r="O21" s="19">
        <f>SUMIFS(Ordenes!$P$2:$P$840,Ordenes!$C$2:$C$840,$B21,Ordenes!$T$2:$T$840,"Válida")</f>
        <v/>
      </c>
      <c r="P21" s="19">
        <f>SUMIFS(Ordenes!$Q$2:$Q$840,Ordenes!$C$2:$C$840,$B21,Ordenes!$T$2:$T$840,"Válida")</f>
        <v/>
      </c>
      <c r="Q21" s="18">
        <f>COUNTIFS(Ordenes!$C$2:$C$840,$B21,Ordenes!$T$2:$T$840,"Válida")</f>
        <v/>
      </c>
    </row>
    <row r="22">
      <c r="A22" s="18" t="inlineStr">
        <is>
          <t>Jue 22 ene 2026</t>
        </is>
      </c>
      <c r="B22" s="22" t="n">
        <v>46044</v>
      </c>
      <c r="C22" s="18" t="inlineStr">
        <is>
          <t>S04</t>
        </is>
      </c>
      <c r="D22" s="20">
        <f>IFERROR(SUMIFS(Ordenes!$P$2:$P$840,Ordenes!$C$2:$C$840,$B22,Ordenes!$T$2:$T$840,"Válida",Ordenes!$F$2:$F$840,"B Hormigón")/SUMIFS(Ordenes!$Q$2:$Q$840,Ordenes!$C$2:$C$840,$B22,Ordenes!$T$2:$T$840,"Válida",Ordenes!$F$2:$F$840,"B Hormigón"),"")</f>
        <v/>
      </c>
      <c r="E22" s="20">
        <f>IFERROR(SUMIFS(Ordenes!$P$2:$P$840,Ordenes!$C$2:$C$840,$B22,Ordenes!$T$2:$T$840,"Válida",Ordenes!$F$2:$F$840,"Redondo liso")/SUMIFS(Ordenes!$Q$2:$Q$840,Ordenes!$C$2:$C$840,$B22,Ordenes!$T$2:$T$840,"Válida",Ordenes!$F$2:$F$840,"Redondo liso"),"")</f>
        <v/>
      </c>
      <c r="F22" s="20">
        <f>IFERROR(SUMIFS(Ordenes!$P$2:$P$840,Ordenes!$C$2:$C$840,$B22,Ordenes!$T$2:$T$840,"Válida",Ordenes!$F$2:$F$840,"Plana")/SUMIFS(Ordenes!$Q$2:$Q$840,Ordenes!$C$2:$C$840,$B22,Ordenes!$T$2:$T$840,"Válida",Ordenes!$F$2:$F$840,"Plana"),"")</f>
        <v/>
      </c>
      <c r="G22" s="20">
        <f>IFERROR(SUMIFS(Ordenes!$P$2:$P$840,Ordenes!$C$2:$C$840,$B22,Ordenes!$T$2:$T$840,"Válida",Ordenes!$F$2:$F$840,"Ángulo")/SUMIFS(Ordenes!$Q$2:$Q$840,Ordenes!$C$2:$C$840,$B22,Ordenes!$T$2:$T$840,"Válida",Ordenes!$F$2:$F$840,"Ángulo"),"")</f>
        <v/>
      </c>
      <c r="H22" s="20">
        <f>IFERROR(SUMIFS(Ordenes!$P$2:$P$840,Ordenes!$C$2:$C$840,$B22,Ordenes!$T$2:$T$840,"Válida",Ordenes!$F$2:$F$840,"Cuadrado")/SUMIFS(Ordenes!$Q$2:$Q$840,Ordenes!$C$2:$C$840,$B22,Ordenes!$T$2:$T$840,"Válida",Ordenes!$F$2:$F$840,"Cuadrado"),"")</f>
        <v/>
      </c>
      <c r="I22" s="20">
        <f>IFERROR(SUMIFS(Ordenes!$P$2:$P$840,Ordenes!$C$2:$C$840,$B22,Ordenes!$T$2:$T$840,"Válida",Ordenes!$F$2:$F$840,"Estrella")/SUMIFS(Ordenes!$Q$2:$Q$840,Ordenes!$C$2:$C$840,$B22,Ordenes!$T$2:$T$840,"Válida",Ordenes!$F$2:$F$840,"Estrella"),"")</f>
        <v/>
      </c>
      <c r="J22" s="20">
        <f>IFERROR(SUMIFS(Ordenes!$P$2:$P$840,Ordenes!$C$2:$C$840,$B22,Ordenes!$T$2:$T$840,"Válida",Ordenes!$F$2:$F$840,"Saferock")/SUMIFS(Ordenes!$Q$2:$Q$840,Ordenes!$C$2:$C$840,$B22,Ordenes!$T$2:$T$840,"Válida",Ordenes!$F$2:$F$840,"Saferock"),"")</f>
        <v/>
      </c>
      <c r="K22" s="20">
        <f>IFERROR(SUMIFS(Ordenes!$P$2:$P$840,Ordenes!$C$2:$C$840,$B22,Ordenes!$T$2:$T$840,"Válida",Ordenes!$F$2:$F$840,"Hexágono")/SUMIFS(Ordenes!$Q$2:$Q$840,Ordenes!$C$2:$C$840,$B22,Ordenes!$T$2:$T$840,"Válida",Ordenes!$F$2:$F$840,"Hexágono"),"")</f>
        <v/>
      </c>
      <c r="L22" s="24">
        <f>IFERROR(SUMIFS(Ordenes!$P$2:$P$840,Ordenes!$C$2:$C$840,$B22,Ordenes!$T$2:$T$840,"Válida",Ordenes!$F$2:$F$840,"*")/SUMIFS(Ordenes!$Q$2:$Q$840,Ordenes!$C$2:$C$840,$B22,Ordenes!$T$2:$T$840,"Válida",Ordenes!$F$2:$F$840,"*"),"")</f>
        <v/>
      </c>
      <c r="M22" s="20">
        <f>IFERROR(SUMIFS(Ordenes!$V$2:$V$840,Ordenes!$C$2:$C$840,$B22,Ordenes!$T$2:$T$840,"Válida")/SUMIFS(Ordenes!$Q$2:$Q$840,Ordenes!$C$2:$C$840,$B22,Ordenes!$T$2:$T$840,"Válida"),"")</f>
        <v/>
      </c>
      <c r="N22" s="21">
        <f>IFERROR((L22-M22)*100,"")</f>
        <v/>
      </c>
      <c r="O22" s="19">
        <f>SUMIFS(Ordenes!$P$2:$P$840,Ordenes!$C$2:$C$840,$B22,Ordenes!$T$2:$T$840,"Válida")</f>
        <v/>
      </c>
      <c r="P22" s="19">
        <f>SUMIFS(Ordenes!$Q$2:$Q$840,Ordenes!$C$2:$C$840,$B22,Ordenes!$T$2:$T$840,"Válida")</f>
        <v/>
      </c>
      <c r="Q22" s="18">
        <f>COUNTIFS(Ordenes!$C$2:$C$840,$B22,Ordenes!$T$2:$T$840,"Válida")</f>
        <v/>
      </c>
    </row>
    <row r="23">
      <c r="A23" s="18" t="inlineStr">
        <is>
          <t>Vie 23 ene 2026</t>
        </is>
      </c>
      <c r="B23" s="22" t="n">
        <v>46045</v>
      </c>
      <c r="C23" s="18" t="inlineStr">
        <is>
          <t>S04</t>
        </is>
      </c>
      <c r="D23" s="20">
        <f>IFERROR(SUMIFS(Ordenes!$P$2:$P$840,Ordenes!$C$2:$C$840,$B23,Ordenes!$T$2:$T$840,"Válida",Ordenes!$F$2:$F$840,"B Hormigón")/SUMIFS(Ordenes!$Q$2:$Q$840,Ordenes!$C$2:$C$840,$B23,Ordenes!$T$2:$T$840,"Válida",Ordenes!$F$2:$F$840,"B Hormigón"),"")</f>
        <v/>
      </c>
      <c r="E23" s="20">
        <f>IFERROR(SUMIFS(Ordenes!$P$2:$P$840,Ordenes!$C$2:$C$840,$B23,Ordenes!$T$2:$T$840,"Válida",Ordenes!$F$2:$F$840,"Redondo liso")/SUMIFS(Ordenes!$Q$2:$Q$840,Ordenes!$C$2:$C$840,$B23,Ordenes!$T$2:$T$840,"Válida",Ordenes!$F$2:$F$840,"Redondo liso"),"")</f>
        <v/>
      </c>
      <c r="F23" s="20">
        <f>IFERROR(SUMIFS(Ordenes!$P$2:$P$840,Ordenes!$C$2:$C$840,$B23,Ordenes!$T$2:$T$840,"Válida",Ordenes!$F$2:$F$840,"Plana")/SUMIFS(Ordenes!$Q$2:$Q$840,Ordenes!$C$2:$C$840,$B23,Ordenes!$T$2:$T$840,"Válida",Ordenes!$F$2:$F$840,"Plana"),"")</f>
        <v/>
      </c>
      <c r="G23" s="20">
        <f>IFERROR(SUMIFS(Ordenes!$P$2:$P$840,Ordenes!$C$2:$C$840,$B23,Ordenes!$T$2:$T$840,"Válida",Ordenes!$F$2:$F$840,"Ángulo")/SUMIFS(Ordenes!$Q$2:$Q$840,Ordenes!$C$2:$C$840,$B23,Ordenes!$T$2:$T$840,"Válida",Ordenes!$F$2:$F$840,"Ángulo"),"")</f>
        <v/>
      </c>
      <c r="H23" s="20">
        <f>IFERROR(SUMIFS(Ordenes!$P$2:$P$840,Ordenes!$C$2:$C$840,$B23,Ordenes!$T$2:$T$840,"Válida",Ordenes!$F$2:$F$840,"Cuadrado")/SUMIFS(Ordenes!$Q$2:$Q$840,Ordenes!$C$2:$C$840,$B23,Ordenes!$T$2:$T$840,"Válida",Ordenes!$F$2:$F$840,"Cuadrado"),"")</f>
        <v/>
      </c>
      <c r="I23" s="20">
        <f>IFERROR(SUMIFS(Ordenes!$P$2:$P$840,Ordenes!$C$2:$C$840,$B23,Ordenes!$T$2:$T$840,"Válida",Ordenes!$F$2:$F$840,"Estrella")/SUMIFS(Ordenes!$Q$2:$Q$840,Ordenes!$C$2:$C$840,$B23,Ordenes!$T$2:$T$840,"Válida",Ordenes!$F$2:$F$840,"Estrella"),"")</f>
        <v/>
      </c>
      <c r="J23" s="20">
        <f>IFERROR(SUMIFS(Ordenes!$P$2:$P$840,Ordenes!$C$2:$C$840,$B23,Ordenes!$T$2:$T$840,"Válida",Ordenes!$F$2:$F$840,"Saferock")/SUMIFS(Ordenes!$Q$2:$Q$840,Ordenes!$C$2:$C$840,$B23,Ordenes!$T$2:$T$840,"Válida",Ordenes!$F$2:$F$840,"Saferock"),"")</f>
        <v/>
      </c>
      <c r="K23" s="20">
        <f>IFERROR(SUMIFS(Ordenes!$P$2:$P$840,Ordenes!$C$2:$C$840,$B23,Ordenes!$T$2:$T$840,"Válida",Ordenes!$F$2:$F$840,"Hexágono")/SUMIFS(Ordenes!$Q$2:$Q$840,Ordenes!$C$2:$C$840,$B23,Ordenes!$T$2:$T$840,"Válida",Ordenes!$F$2:$F$840,"Hexágono"),"")</f>
        <v/>
      </c>
      <c r="L23" s="24">
        <f>IFERROR(SUMIFS(Ordenes!$P$2:$P$840,Ordenes!$C$2:$C$840,$B23,Ordenes!$T$2:$T$840,"Válida",Ordenes!$F$2:$F$840,"*")/SUMIFS(Ordenes!$Q$2:$Q$840,Ordenes!$C$2:$C$840,$B23,Ordenes!$T$2:$T$840,"Válida",Ordenes!$F$2:$F$840,"*"),"")</f>
        <v/>
      </c>
      <c r="M23" s="20">
        <f>IFERROR(SUMIFS(Ordenes!$V$2:$V$840,Ordenes!$C$2:$C$840,$B23,Ordenes!$T$2:$T$840,"Válida")/SUMIFS(Ordenes!$Q$2:$Q$840,Ordenes!$C$2:$C$840,$B23,Ordenes!$T$2:$T$840,"Válida"),"")</f>
        <v/>
      </c>
      <c r="N23" s="21">
        <f>IFERROR((L23-M23)*100,"")</f>
        <v/>
      </c>
      <c r="O23" s="19">
        <f>SUMIFS(Ordenes!$P$2:$P$840,Ordenes!$C$2:$C$840,$B23,Ordenes!$T$2:$T$840,"Válida")</f>
        <v/>
      </c>
      <c r="P23" s="19">
        <f>SUMIFS(Ordenes!$Q$2:$Q$840,Ordenes!$C$2:$C$840,$B23,Ordenes!$T$2:$T$840,"Válida")</f>
        <v/>
      </c>
      <c r="Q23" s="18">
        <f>COUNTIFS(Ordenes!$C$2:$C$840,$B23,Ordenes!$T$2:$T$840,"Válida")</f>
        <v/>
      </c>
    </row>
    <row r="24">
      <c r="A24" s="18" t="inlineStr">
        <is>
          <t>Lun 26 ene 2026</t>
        </is>
      </c>
      <c r="B24" s="22" t="n">
        <v>46048</v>
      </c>
      <c r="C24" s="18" t="inlineStr">
        <is>
          <t>S05</t>
        </is>
      </c>
      <c r="D24" s="20">
        <f>IFERROR(SUMIFS(Ordenes!$P$2:$P$840,Ordenes!$C$2:$C$840,$B24,Ordenes!$T$2:$T$840,"Válida",Ordenes!$F$2:$F$840,"B Hormigón")/SUMIFS(Ordenes!$Q$2:$Q$840,Ordenes!$C$2:$C$840,$B24,Ordenes!$T$2:$T$840,"Válida",Ordenes!$F$2:$F$840,"B Hormigón"),"")</f>
        <v/>
      </c>
      <c r="E24" s="20">
        <f>IFERROR(SUMIFS(Ordenes!$P$2:$P$840,Ordenes!$C$2:$C$840,$B24,Ordenes!$T$2:$T$840,"Válida",Ordenes!$F$2:$F$840,"Redondo liso")/SUMIFS(Ordenes!$Q$2:$Q$840,Ordenes!$C$2:$C$840,$B24,Ordenes!$T$2:$T$840,"Válida",Ordenes!$F$2:$F$840,"Redondo liso"),"")</f>
        <v/>
      </c>
      <c r="F24" s="20">
        <f>IFERROR(SUMIFS(Ordenes!$P$2:$P$840,Ordenes!$C$2:$C$840,$B24,Ordenes!$T$2:$T$840,"Válida",Ordenes!$F$2:$F$840,"Plana")/SUMIFS(Ordenes!$Q$2:$Q$840,Ordenes!$C$2:$C$840,$B24,Ordenes!$T$2:$T$840,"Válida",Ordenes!$F$2:$F$840,"Plana"),"")</f>
        <v/>
      </c>
      <c r="G24" s="20">
        <f>IFERROR(SUMIFS(Ordenes!$P$2:$P$840,Ordenes!$C$2:$C$840,$B24,Ordenes!$T$2:$T$840,"Válida",Ordenes!$F$2:$F$840,"Ángulo")/SUMIFS(Ordenes!$Q$2:$Q$840,Ordenes!$C$2:$C$840,$B24,Ordenes!$T$2:$T$840,"Válida",Ordenes!$F$2:$F$840,"Ángulo"),"")</f>
        <v/>
      </c>
      <c r="H24" s="20">
        <f>IFERROR(SUMIFS(Ordenes!$P$2:$P$840,Ordenes!$C$2:$C$840,$B24,Ordenes!$T$2:$T$840,"Válida",Ordenes!$F$2:$F$840,"Cuadrado")/SUMIFS(Ordenes!$Q$2:$Q$840,Ordenes!$C$2:$C$840,$B24,Ordenes!$T$2:$T$840,"Válida",Ordenes!$F$2:$F$840,"Cuadrado"),"")</f>
        <v/>
      </c>
      <c r="I24" s="20">
        <f>IFERROR(SUMIFS(Ordenes!$P$2:$P$840,Ordenes!$C$2:$C$840,$B24,Ordenes!$T$2:$T$840,"Válida",Ordenes!$F$2:$F$840,"Estrella")/SUMIFS(Ordenes!$Q$2:$Q$840,Ordenes!$C$2:$C$840,$B24,Ordenes!$T$2:$T$840,"Válida",Ordenes!$F$2:$F$840,"Estrella"),"")</f>
        <v/>
      </c>
      <c r="J24" s="20">
        <f>IFERROR(SUMIFS(Ordenes!$P$2:$P$840,Ordenes!$C$2:$C$840,$B24,Ordenes!$T$2:$T$840,"Válida",Ordenes!$F$2:$F$840,"Saferock")/SUMIFS(Ordenes!$Q$2:$Q$840,Ordenes!$C$2:$C$840,$B24,Ordenes!$T$2:$T$840,"Válida",Ordenes!$F$2:$F$840,"Saferock"),"")</f>
        <v/>
      </c>
      <c r="K24" s="20">
        <f>IFERROR(SUMIFS(Ordenes!$P$2:$P$840,Ordenes!$C$2:$C$840,$B24,Ordenes!$T$2:$T$840,"Válida",Ordenes!$F$2:$F$840,"Hexágono")/SUMIFS(Ordenes!$Q$2:$Q$840,Ordenes!$C$2:$C$840,$B24,Ordenes!$T$2:$T$840,"Válida",Ordenes!$F$2:$F$840,"Hexágono"),"")</f>
        <v/>
      </c>
      <c r="L24" s="24">
        <f>IFERROR(SUMIFS(Ordenes!$P$2:$P$840,Ordenes!$C$2:$C$840,$B24,Ordenes!$T$2:$T$840,"Válida",Ordenes!$F$2:$F$840,"*")/SUMIFS(Ordenes!$Q$2:$Q$840,Ordenes!$C$2:$C$840,$B24,Ordenes!$T$2:$T$840,"Válida",Ordenes!$F$2:$F$840,"*"),"")</f>
        <v/>
      </c>
      <c r="M24" s="20">
        <f>IFERROR(SUMIFS(Ordenes!$V$2:$V$840,Ordenes!$C$2:$C$840,$B24,Ordenes!$T$2:$T$840,"Válida")/SUMIFS(Ordenes!$Q$2:$Q$840,Ordenes!$C$2:$C$840,$B24,Ordenes!$T$2:$T$840,"Válida"),"")</f>
        <v/>
      </c>
      <c r="N24" s="21">
        <f>IFERROR((L24-M24)*100,"")</f>
        <v/>
      </c>
      <c r="O24" s="19">
        <f>SUMIFS(Ordenes!$P$2:$P$840,Ordenes!$C$2:$C$840,$B24,Ordenes!$T$2:$T$840,"Válida")</f>
        <v/>
      </c>
      <c r="P24" s="19">
        <f>SUMIFS(Ordenes!$Q$2:$Q$840,Ordenes!$C$2:$C$840,$B24,Ordenes!$T$2:$T$840,"Válida")</f>
        <v/>
      </c>
      <c r="Q24" s="18">
        <f>COUNTIFS(Ordenes!$C$2:$C$840,$B24,Ordenes!$T$2:$T$840,"Válida")</f>
        <v/>
      </c>
    </row>
    <row r="25">
      <c r="A25" s="18" t="inlineStr">
        <is>
          <t>Mar 27 ene 2026</t>
        </is>
      </c>
      <c r="B25" s="22" t="n">
        <v>46049</v>
      </c>
      <c r="C25" s="18" t="inlineStr">
        <is>
          <t>S05</t>
        </is>
      </c>
      <c r="D25" s="20">
        <f>IFERROR(SUMIFS(Ordenes!$P$2:$P$840,Ordenes!$C$2:$C$840,$B25,Ordenes!$T$2:$T$840,"Válida",Ordenes!$F$2:$F$840,"B Hormigón")/SUMIFS(Ordenes!$Q$2:$Q$840,Ordenes!$C$2:$C$840,$B25,Ordenes!$T$2:$T$840,"Válida",Ordenes!$F$2:$F$840,"B Hormigón"),"")</f>
        <v/>
      </c>
      <c r="E25" s="20">
        <f>IFERROR(SUMIFS(Ordenes!$P$2:$P$840,Ordenes!$C$2:$C$840,$B25,Ordenes!$T$2:$T$840,"Válida",Ordenes!$F$2:$F$840,"Redondo liso")/SUMIFS(Ordenes!$Q$2:$Q$840,Ordenes!$C$2:$C$840,$B25,Ordenes!$T$2:$T$840,"Válida",Ordenes!$F$2:$F$840,"Redondo liso"),"")</f>
        <v/>
      </c>
      <c r="F25" s="20">
        <f>IFERROR(SUMIFS(Ordenes!$P$2:$P$840,Ordenes!$C$2:$C$840,$B25,Ordenes!$T$2:$T$840,"Válida",Ordenes!$F$2:$F$840,"Plana")/SUMIFS(Ordenes!$Q$2:$Q$840,Ordenes!$C$2:$C$840,$B25,Ordenes!$T$2:$T$840,"Válida",Ordenes!$F$2:$F$840,"Plana"),"")</f>
        <v/>
      </c>
      <c r="G25" s="20">
        <f>IFERROR(SUMIFS(Ordenes!$P$2:$P$840,Ordenes!$C$2:$C$840,$B25,Ordenes!$T$2:$T$840,"Válida",Ordenes!$F$2:$F$840,"Ángulo")/SUMIFS(Ordenes!$Q$2:$Q$840,Ordenes!$C$2:$C$840,$B25,Ordenes!$T$2:$T$840,"Válida",Ordenes!$F$2:$F$840,"Ángulo"),"")</f>
        <v/>
      </c>
      <c r="H25" s="20">
        <f>IFERROR(SUMIFS(Ordenes!$P$2:$P$840,Ordenes!$C$2:$C$840,$B25,Ordenes!$T$2:$T$840,"Válida",Ordenes!$F$2:$F$840,"Cuadrado")/SUMIFS(Ordenes!$Q$2:$Q$840,Ordenes!$C$2:$C$840,$B25,Ordenes!$T$2:$T$840,"Válida",Ordenes!$F$2:$F$840,"Cuadrado"),"")</f>
        <v/>
      </c>
      <c r="I25" s="20">
        <f>IFERROR(SUMIFS(Ordenes!$P$2:$P$840,Ordenes!$C$2:$C$840,$B25,Ordenes!$T$2:$T$840,"Válida",Ordenes!$F$2:$F$840,"Estrella")/SUMIFS(Ordenes!$Q$2:$Q$840,Ordenes!$C$2:$C$840,$B25,Ordenes!$T$2:$T$840,"Válida",Ordenes!$F$2:$F$840,"Estrella"),"")</f>
        <v/>
      </c>
      <c r="J25" s="20">
        <f>IFERROR(SUMIFS(Ordenes!$P$2:$P$840,Ordenes!$C$2:$C$840,$B25,Ordenes!$T$2:$T$840,"Válida",Ordenes!$F$2:$F$840,"Saferock")/SUMIFS(Ordenes!$Q$2:$Q$840,Ordenes!$C$2:$C$840,$B25,Ordenes!$T$2:$T$840,"Válida",Ordenes!$F$2:$F$840,"Saferock"),"")</f>
        <v/>
      </c>
      <c r="K25" s="20">
        <f>IFERROR(SUMIFS(Ordenes!$P$2:$P$840,Ordenes!$C$2:$C$840,$B25,Ordenes!$T$2:$T$840,"Válida",Ordenes!$F$2:$F$840,"Hexágono")/SUMIFS(Ordenes!$Q$2:$Q$840,Ordenes!$C$2:$C$840,$B25,Ordenes!$T$2:$T$840,"Válida",Ordenes!$F$2:$F$840,"Hexágono"),"")</f>
        <v/>
      </c>
      <c r="L25" s="24">
        <f>IFERROR(SUMIFS(Ordenes!$P$2:$P$840,Ordenes!$C$2:$C$840,$B25,Ordenes!$T$2:$T$840,"Válida",Ordenes!$F$2:$F$840,"*")/SUMIFS(Ordenes!$Q$2:$Q$840,Ordenes!$C$2:$C$840,$B25,Ordenes!$T$2:$T$840,"Válida",Ordenes!$F$2:$F$840,"*"),"")</f>
        <v/>
      </c>
      <c r="M25" s="20">
        <f>IFERROR(SUMIFS(Ordenes!$V$2:$V$840,Ordenes!$C$2:$C$840,$B25,Ordenes!$T$2:$T$840,"Válida")/SUMIFS(Ordenes!$Q$2:$Q$840,Ordenes!$C$2:$C$840,$B25,Ordenes!$T$2:$T$840,"Válida"),"")</f>
        <v/>
      </c>
      <c r="N25" s="21">
        <f>IFERROR((L25-M25)*100,"")</f>
        <v/>
      </c>
      <c r="O25" s="19">
        <f>SUMIFS(Ordenes!$P$2:$P$840,Ordenes!$C$2:$C$840,$B25,Ordenes!$T$2:$T$840,"Válida")</f>
        <v/>
      </c>
      <c r="P25" s="19">
        <f>SUMIFS(Ordenes!$Q$2:$Q$840,Ordenes!$C$2:$C$840,$B25,Ordenes!$T$2:$T$840,"Válida")</f>
        <v/>
      </c>
      <c r="Q25" s="18">
        <f>COUNTIFS(Ordenes!$C$2:$C$840,$B25,Ordenes!$T$2:$T$840,"Válida")</f>
        <v/>
      </c>
    </row>
    <row r="26">
      <c r="A26" s="18" t="inlineStr">
        <is>
          <t>Mié 28 ene 2026</t>
        </is>
      </c>
      <c r="B26" s="22" t="n">
        <v>46050</v>
      </c>
      <c r="C26" s="18" t="inlineStr">
        <is>
          <t>S05</t>
        </is>
      </c>
      <c r="D26" s="20">
        <f>IFERROR(SUMIFS(Ordenes!$P$2:$P$840,Ordenes!$C$2:$C$840,$B26,Ordenes!$T$2:$T$840,"Válida",Ordenes!$F$2:$F$840,"B Hormigón")/SUMIFS(Ordenes!$Q$2:$Q$840,Ordenes!$C$2:$C$840,$B26,Ordenes!$T$2:$T$840,"Válida",Ordenes!$F$2:$F$840,"B Hormigón"),"")</f>
        <v/>
      </c>
      <c r="E26" s="20">
        <f>IFERROR(SUMIFS(Ordenes!$P$2:$P$840,Ordenes!$C$2:$C$840,$B26,Ordenes!$T$2:$T$840,"Válida",Ordenes!$F$2:$F$840,"Redondo liso")/SUMIFS(Ordenes!$Q$2:$Q$840,Ordenes!$C$2:$C$840,$B26,Ordenes!$T$2:$T$840,"Válida",Ordenes!$F$2:$F$840,"Redondo liso"),"")</f>
        <v/>
      </c>
      <c r="F26" s="20">
        <f>IFERROR(SUMIFS(Ordenes!$P$2:$P$840,Ordenes!$C$2:$C$840,$B26,Ordenes!$T$2:$T$840,"Válida",Ordenes!$F$2:$F$840,"Plana")/SUMIFS(Ordenes!$Q$2:$Q$840,Ordenes!$C$2:$C$840,$B26,Ordenes!$T$2:$T$840,"Válida",Ordenes!$F$2:$F$840,"Plana"),"")</f>
        <v/>
      </c>
      <c r="G26" s="20">
        <f>IFERROR(SUMIFS(Ordenes!$P$2:$P$840,Ordenes!$C$2:$C$840,$B26,Ordenes!$T$2:$T$840,"Válida",Ordenes!$F$2:$F$840,"Ángulo")/SUMIFS(Ordenes!$Q$2:$Q$840,Ordenes!$C$2:$C$840,$B26,Ordenes!$T$2:$T$840,"Válida",Ordenes!$F$2:$F$840,"Ángulo"),"")</f>
        <v/>
      </c>
      <c r="H26" s="20">
        <f>IFERROR(SUMIFS(Ordenes!$P$2:$P$840,Ordenes!$C$2:$C$840,$B26,Ordenes!$T$2:$T$840,"Válida",Ordenes!$F$2:$F$840,"Cuadrado")/SUMIFS(Ordenes!$Q$2:$Q$840,Ordenes!$C$2:$C$840,$B26,Ordenes!$T$2:$T$840,"Válida",Ordenes!$F$2:$F$840,"Cuadrado"),"")</f>
        <v/>
      </c>
      <c r="I26" s="20">
        <f>IFERROR(SUMIFS(Ordenes!$P$2:$P$840,Ordenes!$C$2:$C$840,$B26,Ordenes!$T$2:$T$840,"Válida",Ordenes!$F$2:$F$840,"Estrella")/SUMIFS(Ordenes!$Q$2:$Q$840,Ordenes!$C$2:$C$840,$B26,Ordenes!$T$2:$T$840,"Válida",Ordenes!$F$2:$F$840,"Estrella"),"")</f>
        <v/>
      </c>
      <c r="J26" s="20">
        <f>IFERROR(SUMIFS(Ordenes!$P$2:$P$840,Ordenes!$C$2:$C$840,$B26,Ordenes!$T$2:$T$840,"Válida",Ordenes!$F$2:$F$840,"Saferock")/SUMIFS(Ordenes!$Q$2:$Q$840,Ordenes!$C$2:$C$840,$B26,Ordenes!$T$2:$T$840,"Válida",Ordenes!$F$2:$F$840,"Saferock"),"")</f>
        <v/>
      </c>
      <c r="K26" s="20">
        <f>IFERROR(SUMIFS(Ordenes!$P$2:$P$840,Ordenes!$C$2:$C$840,$B26,Ordenes!$T$2:$T$840,"Válida",Ordenes!$F$2:$F$840,"Hexágono")/SUMIFS(Ordenes!$Q$2:$Q$840,Ordenes!$C$2:$C$840,$B26,Ordenes!$T$2:$T$840,"Válida",Ordenes!$F$2:$F$840,"Hexágono"),"")</f>
        <v/>
      </c>
      <c r="L26" s="24">
        <f>IFERROR(SUMIFS(Ordenes!$P$2:$P$840,Ordenes!$C$2:$C$840,$B26,Ordenes!$T$2:$T$840,"Válida",Ordenes!$F$2:$F$840,"*")/SUMIFS(Ordenes!$Q$2:$Q$840,Ordenes!$C$2:$C$840,$B26,Ordenes!$T$2:$T$840,"Válida",Ordenes!$F$2:$F$840,"*"),"")</f>
        <v/>
      </c>
      <c r="M26" s="20">
        <f>IFERROR(SUMIFS(Ordenes!$V$2:$V$840,Ordenes!$C$2:$C$840,$B26,Ordenes!$T$2:$T$840,"Válida")/SUMIFS(Ordenes!$Q$2:$Q$840,Ordenes!$C$2:$C$840,$B26,Ordenes!$T$2:$T$840,"Válida"),"")</f>
        <v/>
      </c>
      <c r="N26" s="21">
        <f>IFERROR((L26-M26)*100,"")</f>
        <v/>
      </c>
      <c r="O26" s="19">
        <f>SUMIFS(Ordenes!$P$2:$P$840,Ordenes!$C$2:$C$840,$B26,Ordenes!$T$2:$T$840,"Válida")</f>
        <v/>
      </c>
      <c r="P26" s="19">
        <f>SUMIFS(Ordenes!$Q$2:$Q$840,Ordenes!$C$2:$C$840,$B26,Ordenes!$T$2:$T$840,"Válida")</f>
        <v/>
      </c>
      <c r="Q26" s="18">
        <f>COUNTIFS(Ordenes!$C$2:$C$840,$B26,Ordenes!$T$2:$T$840,"Válida")</f>
        <v/>
      </c>
    </row>
    <row r="27">
      <c r="A27" s="18" t="inlineStr">
        <is>
          <t>Jue 29 ene 2026</t>
        </is>
      </c>
      <c r="B27" s="22" t="n">
        <v>46051</v>
      </c>
      <c r="C27" s="18" t="inlineStr">
        <is>
          <t>S05</t>
        </is>
      </c>
      <c r="D27" s="20">
        <f>IFERROR(SUMIFS(Ordenes!$P$2:$P$840,Ordenes!$C$2:$C$840,$B27,Ordenes!$T$2:$T$840,"Válida",Ordenes!$F$2:$F$840,"B Hormigón")/SUMIFS(Ordenes!$Q$2:$Q$840,Ordenes!$C$2:$C$840,$B27,Ordenes!$T$2:$T$840,"Válida",Ordenes!$F$2:$F$840,"B Hormigón"),"")</f>
        <v/>
      </c>
      <c r="E27" s="20">
        <f>IFERROR(SUMIFS(Ordenes!$P$2:$P$840,Ordenes!$C$2:$C$840,$B27,Ordenes!$T$2:$T$840,"Válida",Ordenes!$F$2:$F$840,"Redondo liso")/SUMIFS(Ordenes!$Q$2:$Q$840,Ordenes!$C$2:$C$840,$B27,Ordenes!$T$2:$T$840,"Válida",Ordenes!$F$2:$F$840,"Redondo liso"),"")</f>
        <v/>
      </c>
      <c r="F27" s="20">
        <f>IFERROR(SUMIFS(Ordenes!$P$2:$P$840,Ordenes!$C$2:$C$840,$B27,Ordenes!$T$2:$T$840,"Válida",Ordenes!$F$2:$F$840,"Plana")/SUMIFS(Ordenes!$Q$2:$Q$840,Ordenes!$C$2:$C$840,$B27,Ordenes!$T$2:$T$840,"Válida",Ordenes!$F$2:$F$840,"Plana"),"")</f>
        <v/>
      </c>
      <c r="G27" s="20">
        <f>IFERROR(SUMIFS(Ordenes!$P$2:$P$840,Ordenes!$C$2:$C$840,$B27,Ordenes!$T$2:$T$840,"Válida",Ordenes!$F$2:$F$840,"Ángulo")/SUMIFS(Ordenes!$Q$2:$Q$840,Ordenes!$C$2:$C$840,$B27,Ordenes!$T$2:$T$840,"Válida",Ordenes!$F$2:$F$840,"Ángulo"),"")</f>
        <v/>
      </c>
      <c r="H27" s="20">
        <f>IFERROR(SUMIFS(Ordenes!$P$2:$P$840,Ordenes!$C$2:$C$840,$B27,Ordenes!$T$2:$T$840,"Válida",Ordenes!$F$2:$F$840,"Cuadrado")/SUMIFS(Ordenes!$Q$2:$Q$840,Ordenes!$C$2:$C$840,$B27,Ordenes!$T$2:$T$840,"Válida",Ordenes!$F$2:$F$840,"Cuadrado"),"")</f>
        <v/>
      </c>
      <c r="I27" s="20">
        <f>IFERROR(SUMIFS(Ordenes!$P$2:$P$840,Ordenes!$C$2:$C$840,$B27,Ordenes!$T$2:$T$840,"Válida",Ordenes!$F$2:$F$840,"Estrella")/SUMIFS(Ordenes!$Q$2:$Q$840,Ordenes!$C$2:$C$840,$B27,Ordenes!$T$2:$T$840,"Válida",Ordenes!$F$2:$F$840,"Estrella"),"")</f>
        <v/>
      </c>
      <c r="J27" s="20">
        <f>IFERROR(SUMIFS(Ordenes!$P$2:$P$840,Ordenes!$C$2:$C$840,$B27,Ordenes!$T$2:$T$840,"Válida",Ordenes!$F$2:$F$840,"Saferock")/SUMIFS(Ordenes!$Q$2:$Q$840,Ordenes!$C$2:$C$840,$B27,Ordenes!$T$2:$T$840,"Válida",Ordenes!$F$2:$F$840,"Saferock"),"")</f>
        <v/>
      </c>
      <c r="K27" s="20">
        <f>IFERROR(SUMIFS(Ordenes!$P$2:$P$840,Ordenes!$C$2:$C$840,$B27,Ordenes!$T$2:$T$840,"Válida",Ordenes!$F$2:$F$840,"Hexágono")/SUMIFS(Ordenes!$Q$2:$Q$840,Ordenes!$C$2:$C$840,$B27,Ordenes!$T$2:$T$840,"Válida",Ordenes!$F$2:$F$840,"Hexágono"),"")</f>
        <v/>
      </c>
      <c r="L27" s="24">
        <f>IFERROR(SUMIFS(Ordenes!$P$2:$P$840,Ordenes!$C$2:$C$840,$B27,Ordenes!$T$2:$T$840,"Válida",Ordenes!$F$2:$F$840,"*")/SUMIFS(Ordenes!$Q$2:$Q$840,Ordenes!$C$2:$C$840,$B27,Ordenes!$T$2:$T$840,"Válida",Ordenes!$F$2:$F$840,"*"),"")</f>
        <v/>
      </c>
      <c r="M27" s="20">
        <f>IFERROR(SUMIFS(Ordenes!$V$2:$V$840,Ordenes!$C$2:$C$840,$B27,Ordenes!$T$2:$T$840,"Válida")/SUMIFS(Ordenes!$Q$2:$Q$840,Ordenes!$C$2:$C$840,$B27,Ordenes!$T$2:$T$840,"Válida"),"")</f>
        <v/>
      </c>
      <c r="N27" s="21">
        <f>IFERROR((L27-M27)*100,"")</f>
        <v/>
      </c>
      <c r="O27" s="19">
        <f>SUMIFS(Ordenes!$P$2:$P$840,Ordenes!$C$2:$C$840,$B27,Ordenes!$T$2:$T$840,"Válida")</f>
        <v/>
      </c>
      <c r="P27" s="19">
        <f>SUMIFS(Ordenes!$Q$2:$Q$840,Ordenes!$C$2:$C$840,$B27,Ordenes!$T$2:$T$840,"Válida")</f>
        <v/>
      </c>
      <c r="Q27" s="18">
        <f>COUNTIFS(Ordenes!$C$2:$C$840,$B27,Ordenes!$T$2:$T$840,"Válida")</f>
        <v/>
      </c>
    </row>
    <row r="28">
      <c r="A28" s="18" t="inlineStr">
        <is>
          <t>Vie 30 ene 2026</t>
        </is>
      </c>
      <c r="B28" s="22" t="n">
        <v>46052</v>
      </c>
      <c r="C28" s="18" t="inlineStr">
        <is>
          <t>S05</t>
        </is>
      </c>
      <c r="D28" s="20">
        <f>IFERROR(SUMIFS(Ordenes!$P$2:$P$840,Ordenes!$C$2:$C$840,$B28,Ordenes!$T$2:$T$840,"Válida",Ordenes!$F$2:$F$840,"B Hormigón")/SUMIFS(Ordenes!$Q$2:$Q$840,Ordenes!$C$2:$C$840,$B28,Ordenes!$T$2:$T$840,"Válida",Ordenes!$F$2:$F$840,"B Hormigón"),"")</f>
        <v/>
      </c>
      <c r="E28" s="20">
        <f>IFERROR(SUMIFS(Ordenes!$P$2:$P$840,Ordenes!$C$2:$C$840,$B28,Ordenes!$T$2:$T$840,"Válida",Ordenes!$F$2:$F$840,"Redondo liso")/SUMIFS(Ordenes!$Q$2:$Q$840,Ordenes!$C$2:$C$840,$B28,Ordenes!$T$2:$T$840,"Válida",Ordenes!$F$2:$F$840,"Redondo liso"),"")</f>
        <v/>
      </c>
      <c r="F28" s="20">
        <f>IFERROR(SUMIFS(Ordenes!$P$2:$P$840,Ordenes!$C$2:$C$840,$B28,Ordenes!$T$2:$T$840,"Válida",Ordenes!$F$2:$F$840,"Plana")/SUMIFS(Ordenes!$Q$2:$Q$840,Ordenes!$C$2:$C$840,$B28,Ordenes!$T$2:$T$840,"Válida",Ordenes!$F$2:$F$840,"Plana"),"")</f>
        <v/>
      </c>
      <c r="G28" s="20">
        <f>IFERROR(SUMIFS(Ordenes!$P$2:$P$840,Ordenes!$C$2:$C$840,$B28,Ordenes!$T$2:$T$840,"Válida",Ordenes!$F$2:$F$840,"Ángulo")/SUMIFS(Ordenes!$Q$2:$Q$840,Ordenes!$C$2:$C$840,$B28,Ordenes!$T$2:$T$840,"Válida",Ordenes!$F$2:$F$840,"Ángulo"),"")</f>
        <v/>
      </c>
      <c r="H28" s="20">
        <f>IFERROR(SUMIFS(Ordenes!$P$2:$P$840,Ordenes!$C$2:$C$840,$B28,Ordenes!$T$2:$T$840,"Válida",Ordenes!$F$2:$F$840,"Cuadrado")/SUMIFS(Ordenes!$Q$2:$Q$840,Ordenes!$C$2:$C$840,$B28,Ordenes!$T$2:$T$840,"Válida",Ordenes!$F$2:$F$840,"Cuadrado"),"")</f>
        <v/>
      </c>
      <c r="I28" s="20">
        <f>IFERROR(SUMIFS(Ordenes!$P$2:$P$840,Ordenes!$C$2:$C$840,$B28,Ordenes!$T$2:$T$840,"Válida",Ordenes!$F$2:$F$840,"Estrella")/SUMIFS(Ordenes!$Q$2:$Q$840,Ordenes!$C$2:$C$840,$B28,Ordenes!$T$2:$T$840,"Válida",Ordenes!$F$2:$F$840,"Estrella"),"")</f>
        <v/>
      </c>
      <c r="J28" s="20">
        <f>IFERROR(SUMIFS(Ordenes!$P$2:$P$840,Ordenes!$C$2:$C$840,$B28,Ordenes!$T$2:$T$840,"Válida",Ordenes!$F$2:$F$840,"Saferock")/SUMIFS(Ordenes!$Q$2:$Q$840,Ordenes!$C$2:$C$840,$B28,Ordenes!$T$2:$T$840,"Válida",Ordenes!$F$2:$F$840,"Saferock"),"")</f>
        <v/>
      </c>
      <c r="K28" s="20">
        <f>IFERROR(SUMIFS(Ordenes!$P$2:$P$840,Ordenes!$C$2:$C$840,$B28,Ordenes!$T$2:$T$840,"Válida",Ordenes!$F$2:$F$840,"Hexágono")/SUMIFS(Ordenes!$Q$2:$Q$840,Ordenes!$C$2:$C$840,$B28,Ordenes!$T$2:$T$840,"Válida",Ordenes!$F$2:$F$840,"Hexágono"),"")</f>
        <v/>
      </c>
      <c r="L28" s="24">
        <f>IFERROR(SUMIFS(Ordenes!$P$2:$P$840,Ordenes!$C$2:$C$840,$B28,Ordenes!$T$2:$T$840,"Válida",Ordenes!$F$2:$F$840,"*")/SUMIFS(Ordenes!$Q$2:$Q$840,Ordenes!$C$2:$C$840,$B28,Ordenes!$T$2:$T$840,"Válida",Ordenes!$F$2:$F$840,"*"),"")</f>
        <v/>
      </c>
      <c r="M28" s="20">
        <f>IFERROR(SUMIFS(Ordenes!$V$2:$V$840,Ordenes!$C$2:$C$840,$B28,Ordenes!$T$2:$T$840,"Válida")/SUMIFS(Ordenes!$Q$2:$Q$840,Ordenes!$C$2:$C$840,$B28,Ordenes!$T$2:$T$840,"Válida"),"")</f>
        <v/>
      </c>
      <c r="N28" s="21">
        <f>IFERROR((L28-M28)*100,"")</f>
        <v/>
      </c>
      <c r="O28" s="19">
        <f>SUMIFS(Ordenes!$P$2:$P$840,Ordenes!$C$2:$C$840,$B28,Ordenes!$T$2:$T$840,"Válida")</f>
        <v/>
      </c>
      <c r="P28" s="19">
        <f>SUMIFS(Ordenes!$Q$2:$Q$840,Ordenes!$C$2:$C$840,$B28,Ordenes!$T$2:$T$840,"Válida")</f>
        <v/>
      </c>
      <c r="Q28" s="18">
        <f>COUNTIFS(Ordenes!$C$2:$C$840,$B28,Ordenes!$T$2:$T$840,"Válida")</f>
        <v/>
      </c>
    </row>
    <row r="29">
      <c r="A29" s="18" t="inlineStr">
        <is>
          <t>Sáb 31 ene 2026</t>
        </is>
      </c>
      <c r="B29" s="22" t="n">
        <v>46053</v>
      </c>
      <c r="C29" s="18" t="inlineStr">
        <is>
          <t>S05</t>
        </is>
      </c>
      <c r="D29" s="20">
        <f>IFERROR(SUMIFS(Ordenes!$P$2:$P$840,Ordenes!$C$2:$C$840,$B29,Ordenes!$T$2:$T$840,"Válida",Ordenes!$F$2:$F$840,"B Hormigón")/SUMIFS(Ordenes!$Q$2:$Q$840,Ordenes!$C$2:$C$840,$B29,Ordenes!$T$2:$T$840,"Válida",Ordenes!$F$2:$F$840,"B Hormigón"),"")</f>
        <v/>
      </c>
      <c r="E29" s="20">
        <f>IFERROR(SUMIFS(Ordenes!$P$2:$P$840,Ordenes!$C$2:$C$840,$B29,Ordenes!$T$2:$T$840,"Válida",Ordenes!$F$2:$F$840,"Redondo liso")/SUMIFS(Ordenes!$Q$2:$Q$840,Ordenes!$C$2:$C$840,$B29,Ordenes!$T$2:$T$840,"Válida",Ordenes!$F$2:$F$840,"Redondo liso"),"")</f>
        <v/>
      </c>
      <c r="F29" s="20">
        <f>IFERROR(SUMIFS(Ordenes!$P$2:$P$840,Ordenes!$C$2:$C$840,$B29,Ordenes!$T$2:$T$840,"Válida",Ordenes!$F$2:$F$840,"Plana")/SUMIFS(Ordenes!$Q$2:$Q$840,Ordenes!$C$2:$C$840,$B29,Ordenes!$T$2:$T$840,"Válida",Ordenes!$F$2:$F$840,"Plana"),"")</f>
        <v/>
      </c>
      <c r="G29" s="20">
        <f>IFERROR(SUMIFS(Ordenes!$P$2:$P$840,Ordenes!$C$2:$C$840,$B29,Ordenes!$T$2:$T$840,"Válida",Ordenes!$F$2:$F$840,"Ángulo")/SUMIFS(Ordenes!$Q$2:$Q$840,Ordenes!$C$2:$C$840,$B29,Ordenes!$T$2:$T$840,"Válida",Ordenes!$F$2:$F$840,"Ángulo"),"")</f>
        <v/>
      </c>
      <c r="H29" s="20">
        <f>IFERROR(SUMIFS(Ordenes!$P$2:$P$840,Ordenes!$C$2:$C$840,$B29,Ordenes!$T$2:$T$840,"Válida",Ordenes!$F$2:$F$840,"Cuadrado")/SUMIFS(Ordenes!$Q$2:$Q$840,Ordenes!$C$2:$C$840,$B29,Ordenes!$T$2:$T$840,"Válida",Ordenes!$F$2:$F$840,"Cuadrado"),"")</f>
        <v/>
      </c>
      <c r="I29" s="20">
        <f>IFERROR(SUMIFS(Ordenes!$P$2:$P$840,Ordenes!$C$2:$C$840,$B29,Ordenes!$T$2:$T$840,"Válida",Ordenes!$F$2:$F$840,"Estrella")/SUMIFS(Ordenes!$Q$2:$Q$840,Ordenes!$C$2:$C$840,$B29,Ordenes!$T$2:$T$840,"Válida",Ordenes!$F$2:$F$840,"Estrella"),"")</f>
        <v/>
      </c>
      <c r="J29" s="20">
        <f>IFERROR(SUMIFS(Ordenes!$P$2:$P$840,Ordenes!$C$2:$C$840,$B29,Ordenes!$T$2:$T$840,"Válida",Ordenes!$F$2:$F$840,"Saferock")/SUMIFS(Ordenes!$Q$2:$Q$840,Ordenes!$C$2:$C$840,$B29,Ordenes!$T$2:$T$840,"Válida",Ordenes!$F$2:$F$840,"Saferock"),"")</f>
        <v/>
      </c>
      <c r="K29" s="20">
        <f>IFERROR(SUMIFS(Ordenes!$P$2:$P$840,Ordenes!$C$2:$C$840,$B29,Ordenes!$T$2:$T$840,"Válida",Ordenes!$F$2:$F$840,"Hexágono")/SUMIFS(Ordenes!$Q$2:$Q$840,Ordenes!$C$2:$C$840,$B29,Ordenes!$T$2:$T$840,"Válida",Ordenes!$F$2:$F$840,"Hexágono"),"")</f>
        <v/>
      </c>
      <c r="L29" s="24">
        <f>IFERROR(SUMIFS(Ordenes!$P$2:$P$840,Ordenes!$C$2:$C$840,$B29,Ordenes!$T$2:$T$840,"Válida",Ordenes!$F$2:$F$840,"*")/SUMIFS(Ordenes!$Q$2:$Q$840,Ordenes!$C$2:$C$840,$B29,Ordenes!$T$2:$T$840,"Válida",Ordenes!$F$2:$F$840,"*"),"")</f>
        <v/>
      </c>
      <c r="M29" s="20">
        <f>IFERROR(SUMIFS(Ordenes!$V$2:$V$840,Ordenes!$C$2:$C$840,$B29,Ordenes!$T$2:$T$840,"Válida")/SUMIFS(Ordenes!$Q$2:$Q$840,Ordenes!$C$2:$C$840,$B29,Ordenes!$T$2:$T$840,"Válida"),"")</f>
        <v/>
      </c>
      <c r="N29" s="21">
        <f>IFERROR((L29-M29)*100,"")</f>
        <v/>
      </c>
      <c r="O29" s="19">
        <f>SUMIFS(Ordenes!$P$2:$P$840,Ordenes!$C$2:$C$840,$B29,Ordenes!$T$2:$T$840,"Válida")</f>
        <v/>
      </c>
      <c r="P29" s="19">
        <f>SUMIFS(Ordenes!$Q$2:$Q$840,Ordenes!$C$2:$C$840,$B29,Ordenes!$T$2:$T$840,"Válida")</f>
        <v/>
      </c>
      <c r="Q29" s="18">
        <f>COUNTIFS(Ordenes!$C$2:$C$840,$B29,Ordenes!$T$2:$T$840,"Válida")</f>
        <v/>
      </c>
    </row>
    <row r="30">
      <c r="A30" s="18" t="inlineStr">
        <is>
          <t>Lun 2 feb 2026</t>
        </is>
      </c>
      <c r="B30" s="22" t="n">
        <v>46055</v>
      </c>
      <c r="C30" s="18" t="inlineStr">
        <is>
          <t>S06</t>
        </is>
      </c>
      <c r="D30" s="20">
        <f>IFERROR(SUMIFS(Ordenes!$P$2:$P$840,Ordenes!$C$2:$C$840,$B30,Ordenes!$T$2:$T$840,"Válida",Ordenes!$F$2:$F$840,"B Hormigón")/SUMIFS(Ordenes!$Q$2:$Q$840,Ordenes!$C$2:$C$840,$B30,Ordenes!$T$2:$T$840,"Válida",Ordenes!$F$2:$F$840,"B Hormigón"),"")</f>
        <v/>
      </c>
      <c r="E30" s="20">
        <f>IFERROR(SUMIFS(Ordenes!$P$2:$P$840,Ordenes!$C$2:$C$840,$B30,Ordenes!$T$2:$T$840,"Válida",Ordenes!$F$2:$F$840,"Redondo liso")/SUMIFS(Ordenes!$Q$2:$Q$840,Ordenes!$C$2:$C$840,$B30,Ordenes!$T$2:$T$840,"Válida",Ordenes!$F$2:$F$840,"Redondo liso"),"")</f>
        <v/>
      </c>
      <c r="F30" s="20">
        <f>IFERROR(SUMIFS(Ordenes!$P$2:$P$840,Ordenes!$C$2:$C$840,$B30,Ordenes!$T$2:$T$840,"Válida",Ordenes!$F$2:$F$840,"Plana")/SUMIFS(Ordenes!$Q$2:$Q$840,Ordenes!$C$2:$C$840,$B30,Ordenes!$T$2:$T$840,"Válida",Ordenes!$F$2:$F$840,"Plana"),"")</f>
        <v/>
      </c>
      <c r="G30" s="20">
        <f>IFERROR(SUMIFS(Ordenes!$P$2:$P$840,Ordenes!$C$2:$C$840,$B30,Ordenes!$T$2:$T$840,"Válida",Ordenes!$F$2:$F$840,"Ángulo")/SUMIFS(Ordenes!$Q$2:$Q$840,Ordenes!$C$2:$C$840,$B30,Ordenes!$T$2:$T$840,"Válida",Ordenes!$F$2:$F$840,"Ángulo"),"")</f>
        <v/>
      </c>
      <c r="H30" s="20">
        <f>IFERROR(SUMIFS(Ordenes!$P$2:$P$840,Ordenes!$C$2:$C$840,$B30,Ordenes!$T$2:$T$840,"Válida",Ordenes!$F$2:$F$840,"Cuadrado")/SUMIFS(Ordenes!$Q$2:$Q$840,Ordenes!$C$2:$C$840,$B30,Ordenes!$T$2:$T$840,"Válida",Ordenes!$F$2:$F$840,"Cuadrado"),"")</f>
        <v/>
      </c>
      <c r="I30" s="20">
        <f>IFERROR(SUMIFS(Ordenes!$P$2:$P$840,Ordenes!$C$2:$C$840,$B30,Ordenes!$T$2:$T$840,"Válida",Ordenes!$F$2:$F$840,"Estrella")/SUMIFS(Ordenes!$Q$2:$Q$840,Ordenes!$C$2:$C$840,$B30,Ordenes!$T$2:$T$840,"Válida",Ordenes!$F$2:$F$840,"Estrella"),"")</f>
        <v/>
      </c>
      <c r="J30" s="20">
        <f>IFERROR(SUMIFS(Ordenes!$P$2:$P$840,Ordenes!$C$2:$C$840,$B30,Ordenes!$T$2:$T$840,"Válida",Ordenes!$F$2:$F$840,"Saferock")/SUMIFS(Ordenes!$Q$2:$Q$840,Ordenes!$C$2:$C$840,$B30,Ordenes!$T$2:$T$840,"Válida",Ordenes!$F$2:$F$840,"Saferock"),"")</f>
        <v/>
      </c>
      <c r="K30" s="20">
        <f>IFERROR(SUMIFS(Ordenes!$P$2:$P$840,Ordenes!$C$2:$C$840,$B30,Ordenes!$T$2:$T$840,"Válida",Ordenes!$F$2:$F$840,"Hexágono")/SUMIFS(Ordenes!$Q$2:$Q$840,Ordenes!$C$2:$C$840,$B30,Ordenes!$T$2:$T$840,"Válida",Ordenes!$F$2:$F$840,"Hexágono"),"")</f>
        <v/>
      </c>
      <c r="L30" s="24">
        <f>IFERROR(SUMIFS(Ordenes!$P$2:$P$840,Ordenes!$C$2:$C$840,$B30,Ordenes!$T$2:$T$840,"Válida",Ordenes!$F$2:$F$840,"*")/SUMIFS(Ordenes!$Q$2:$Q$840,Ordenes!$C$2:$C$840,$B30,Ordenes!$T$2:$T$840,"Válida",Ordenes!$F$2:$F$840,"*"),"")</f>
        <v/>
      </c>
      <c r="M30" s="20">
        <f>IFERROR(SUMIFS(Ordenes!$V$2:$V$840,Ordenes!$C$2:$C$840,$B30,Ordenes!$T$2:$T$840,"Válida")/SUMIFS(Ordenes!$Q$2:$Q$840,Ordenes!$C$2:$C$840,$B30,Ordenes!$T$2:$T$840,"Válida"),"")</f>
        <v/>
      </c>
      <c r="N30" s="21">
        <f>IFERROR((L30-M30)*100,"")</f>
        <v/>
      </c>
      <c r="O30" s="19">
        <f>SUMIFS(Ordenes!$P$2:$P$840,Ordenes!$C$2:$C$840,$B30,Ordenes!$T$2:$T$840,"Válida")</f>
        <v/>
      </c>
      <c r="P30" s="19">
        <f>SUMIFS(Ordenes!$Q$2:$Q$840,Ordenes!$C$2:$C$840,$B30,Ordenes!$T$2:$T$840,"Válida")</f>
        <v/>
      </c>
      <c r="Q30" s="18">
        <f>COUNTIFS(Ordenes!$C$2:$C$840,$B30,Ordenes!$T$2:$T$840,"Válida")</f>
        <v/>
      </c>
    </row>
    <row r="31">
      <c r="A31" s="18" t="inlineStr">
        <is>
          <t>Mar 3 feb 2026</t>
        </is>
      </c>
      <c r="B31" s="22" t="n">
        <v>46056</v>
      </c>
      <c r="C31" s="18" t="inlineStr">
        <is>
          <t>S06</t>
        </is>
      </c>
      <c r="D31" s="20">
        <f>IFERROR(SUMIFS(Ordenes!$P$2:$P$840,Ordenes!$C$2:$C$840,$B31,Ordenes!$T$2:$T$840,"Válida",Ordenes!$F$2:$F$840,"B Hormigón")/SUMIFS(Ordenes!$Q$2:$Q$840,Ordenes!$C$2:$C$840,$B31,Ordenes!$T$2:$T$840,"Válida",Ordenes!$F$2:$F$840,"B Hormigón"),"")</f>
        <v/>
      </c>
      <c r="E31" s="20">
        <f>IFERROR(SUMIFS(Ordenes!$P$2:$P$840,Ordenes!$C$2:$C$840,$B31,Ordenes!$T$2:$T$840,"Válida",Ordenes!$F$2:$F$840,"Redondo liso")/SUMIFS(Ordenes!$Q$2:$Q$840,Ordenes!$C$2:$C$840,$B31,Ordenes!$T$2:$T$840,"Válida",Ordenes!$F$2:$F$840,"Redondo liso"),"")</f>
        <v/>
      </c>
      <c r="F31" s="20">
        <f>IFERROR(SUMIFS(Ordenes!$P$2:$P$840,Ordenes!$C$2:$C$840,$B31,Ordenes!$T$2:$T$840,"Válida",Ordenes!$F$2:$F$840,"Plana")/SUMIFS(Ordenes!$Q$2:$Q$840,Ordenes!$C$2:$C$840,$B31,Ordenes!$T$2:$T$840,"Válida",Ordenes!$F$2:$F$840,"Plana"),"")</f>
        <v/>
      </c>
      <c r="G31" s="20">
        <f>IFERROR(SUMIFS(Ordenes!$P$2:$P$840,Ordenes!$C$2:$C$840,$B31,Ordenes!$T$2:$T$840,"Válida",Ordenes!$F$2:$F$840,"Ángulo")/SUMIFS(Ordenes!$Q$2:$Q$840,Ordenes!$C$2:$C$840,$B31,Ordenes!$T$2:$T$840,"Válida",Ordenes!$F$2:$F$840,"Ángulo"),"")</f>
        <v/>
      </c>
      <c r="H31" s="20">
        <f>IFERROR(SUMIFS(Ordenes!$P$2:$P$840,Ordenes!$C$2:$C$840,$B31,Ordenes!$T$2:$T$840,"Válida",Ordenes!$F$2:$F$840,"Cuadrado")/SUMIFS(Ordenes!$Q$2:$Q$840,Ordenes!$C$2:$C$840,$B31,Ordenes!$T$2:$T$840,"Válida",Ordenes!$F$2:$F$840,"Cuadrado"),"")</f>
        <v/>
      </c>
      <c r="I31" s="20">
        <f>IFERROR(SUMIFS(Ordenes!$P$2:$P$840,Ordenes!$C$2:$C$840,$B31,Ordenes!$T$2:$T$840,"Válida",Ordenes!$F$2:$F$840,"Estrella")/SUMIFS(Ordenes!$Q$2:$Q$840,Ordenes!$C$2:$C$840,$B31,Ordenes!$T$2:$T$840,"Válida",Ordenes!$F$2:$F$840,"Estrella"),"")</f>
        <v/>
      </c>
      <c r="J31" s="20">
        <f>IFERROR(SUMIFS(Ordenes!$P$2:$P$840,Ordenes!$C$2:$C$840,$B31,Ordenes!$T$2:$T$840,"Válida",Ordenes!$F$2:$F$840,"Saferock")/SUMIFS(Ordenes!$Q$2:$Q$840,Ordenes!$C$2:$C$840,$B31,Ordenes!$T$2:$T$840,"Válida",Ordenes!$F$2:$F$840,"Saferock"),"")</f>
        <v/>
      </c>
      <c r="K31" s="20">
        <f>IFERROR(SUMIFS(Ordenes!$P$2:$P$840,Ordenes!$C$2:$C$840,$B31,Ordenes!$T$2:$T$840,"Válida",Ordenes!$F$2:$F$840,"Hexágono")/SUMIFS(Ordenes!$Q$2:$Q$840,Ordenes!$C$2:$C$840,$B31,Ordenes!$T$2:$T$840,"Válida",Ordenes!$F$2:$F$840,"Hexágono"),"")</f>
        <v/>
      </c>
      <c r="L31" s="24">
        <f>IFERROR(SUMIFS(Ordenes!$P$2:$P$840,Ordenes!$C$2:$C$840,$B31,Ordenes!$T$2:$T$840,"Válida",Ordenes!$F$2:$F$840,"*")/SUMIFS(Ordenes!$Q$2:$Q$840,Ordenes!$C$2:$C$840,$B31,Ordenes!$T$2:$T$840,"Válida",Ordenes!$F$2:$F$840,"*"),"")</f>
        <v/>
      </c>
      <c r="M31" s="20">
        <f>IFERROR(SUMIFS(Ordenes!$V$2:$V$840,Ordenes!$C$2:$C$840,$B31,Ordenes!$T$2:$T$840,"Válida")/SUMIFS(Ordenes!$Q$2:$Q$840,Ordenes!$C$2:$C$840,$B31,Ordenes!$T$2:$T$840,"Válida"),"")</f>
        <v/>
      </c>
      <c r="N31" s="21">
        <f>IFERROR((L31-M31)*100,"")</f>
        <v/>
      </c>
      <c r="O31" s="19">
        <f>SUMIFS(Ordenes!$P$2:$P$840,Ordenes!$C$2:$C$840,$B31,Ordenes!$T$2:$T$840,"Válida")</f>
        <v/>
      </c>
      <c r="P31" s="19">
        <f>SUMIFS(Ordenes!$Q$2:$Q$840,Ordenes!$C$2:$C$840,$B31,Ordenes!$T$2:$T$840,"Válida")</f>
        <v/>
      </c>
      <c r="Q31" s="18">
        <f>COUNTIFS(Ordenes!$C$2:$C$840,$B31,Ordenes!$T$2:$T$840,"Válida")</f>
        <v/>
      </c>
    </row>
    <row r="32">
      <c r="A32" s="18" t="inlineStr">
        <is>
          <t>Mié 4 feb 2026</t>
        </is>
      </c>
      <c r="B32" s="22" t="n">
        <v>46057</v>
      </c>
      <c r="C32" s="18" t="inlineStr">
        <is>
          <t>S06</t>
        </is>
      </c>
      <c r="D32" s="20">
        <f>IFERROR(SUMIFS(Ordenes!$P$2:$P$840,Ordenes!$C$2:$C$840,$B32,Ordenes!$T$2:$T$840,"Válida",Ordenes!$F$2:$F$840,"B Hormigón")/SUMIFS(Ordenes!$Q$2:$Q$840,Ordenes!$C$2:$C$840,$B32,Ordenes!$T$2:$T$840,"Válida",Ordenes!$F$2:$F$840,"B Hormigón"),"")</f>
        <v/>
      </c>
      <c r="E32" s="20">
        <f>IFERROR(SUMIFS(Ordenes!$P$2:$P$840,Ordenes!$C$2:$C$840,$B32,Ordenes!$T$2:$T$840,"Válida",Ordenes!$F$2:$F$840,"Redondo liso")/SUMIFS(Ordenes!$Q$2:$Q$840,Ordenes!$C$2:$C$840,$B32,Ordenes!$T$2:$T$840,"Válida",Ordenes!$F$2:$F$840,"Redondo liso"),"")</f>
        <v/>
      </c>
      <c r="F32" s="20">
        <f>IFERROR(SUMIFS(Ordenes!$P$2:$P$840,Ordenes!$C$2:$C$840,$B32,Ordenes!$T$2:$T$840,"Válida",Ordenes!$F$2:$F$840,"Plana")/SUMIFS(Ordenes!$Q$2:$Q$840,Ordenes!$C$2:$C$840,$B32,Ordenes!$T$2:$T$840,"Válida",Ordenes!$F$2:$F$840,"Plana"),"")</f>
        <v/>
      </c>
      <c r="G32" s="20">
        <f>IFERROR(SUMIFS(Ordenes!$P$2:$P$840,Ordenes!$C$2:$C$840,$B32,Ordenes!$T$2:$T$840,"Válida",Ordenes!$F$2:$F$840,"Ángulo")/SUMIFS(Ordenes!$Q$2:$Q$840,Ordenes!$C$2:$C$840,$B32,Ordenes!$T$2:$T$840,"Válida",Ordenes!$F$2:$F$840,"Ángulo"),"")</f>
        <v/>
      </c>
      <c r="H32" s="20">
        <f>IFERROR(SUMIFS(Ordenes!$P$2:$P$840,Ordenes!$C$2:$C$840,$B32,Ordenes!$T$2:$T$840,"Válida",Ordenes!$F$2:$F$840,"Cuadrado")/SUMIFS(Ordenes!$Q$2:$Q$840,Ordenes!$C$2:$C$840,$B32,Ordenes!$T$2:$T$840,"Válida",Ordenes!$F$2:$F$840,"Cuadrado"),"")</f>
        <v/>
      </c>
      <c r="I32" s="20">
        <f>IFERROR(SUMIFS(Ordenes!$P$2:$P$840,Ordenes!$C$2:$C$840,$B32,Ordenes!$T$2:$T$840,"Válida",Ordenes!$F$2:$F$840,"Estrella")/SUMIFS(Ordenes!$Q$2:$Q$840,Ordenes!$C$2:$C$840,$B32,Ordenes!$T$2:$T$840,"Válida",Ordenes!$F$2:$F$840,"Estrella"),"")</f>
        <v/>
      </c>
      <c r="J32" s="20">
        <f>IFERROR(SUMIFS(Ordenes!$P$2:$P$840,Ordenes!$C$2:$C$840,$B32,Ordenes!$T$2:$T$840,"Válida",Ordenes!$F$2:$F$840,"Saferock")/SUMIFS(Ordenes!$Q$2:$Q$840,Ordenes!$C$2:$C$840,$B32,Ordenes!$T$2:$T$840,"Válida",Ordenes!$F$2:$F$840,"Saferock"),"")</f>
        <v/>
      </c>
      <c r="K32" s="20">
        <f>IFERROR(SUMIFS(Ordenes!$P$2:$P$840,Ordenes!$C$2:$C$840,$B32,Ordenes!$T$2:$T$840,"Válida",Ordenes!$F$2:$F$840,"Hexágono")/SUMIFS(Ordenes!$Q$2:$Q$840,Ordenes!$C$2:$C$840,$B32,Ordenes!$T$2:$T$840,"Válida",Ordenes!$F$2:$F$840,"Hexágono"),"")</f>
        <v/>
      </c>
      <c r="L32" s="24">
        <f>IFERROR(SUMIFS(Ordenes!$P$2:$P$840,Ordenes!$C$2:$C$840,$B32,Ordenes!$T$2:$T$840,"Válida",Ordenes!$F$2:$F$840,"*")/SUMIFS(Ordenes!$Q$2:$Q$840,Ordenes!$C$2:$C$840,$B32,Ordenes!$T$2:$T$840,"Válida",Ordenes!$F$2:$F$840,"*"),"")</f>
        <v/>
      </c>
      <c r="M32" s="20">
        <f>IFERROR(SUMIFS(Ordenes!$V$2:$V$840,Ordenes!$C$2:$C$840,$B32,Ordenes!$T$2:$T$840,"Válida")/SUMIFS(Ordenes!$Q$2:$Q$840,Ordenes!$C$2:$C$840,$B32,Ordenes!$T$2:$T$840,"Válida"),"")</f>
        <v/>
      </c>
      <c r="N32" s="21">
        <f>IFERROR((L32-M32)*100,"")</f>
        <v/>
      </c>
      <c r="O32" s="19">
        <f>SUMIFS(Ordenes!$P$2:$P$840,Ordenes!$C$2:$C$840,$B32,Ordenes!$T$2:$T$840,"Válida")</f>
        <v/>
      </c>
      <c r="P32" s="19">
        <f>SUMIFS(Ordenes!$Q$2:$Q$840,Ordenes!$C$2:$C$840,$B32,Ordenes!$T$2:$T$840,"Válida")</f>
        <v/>
      </c>
      <c r="Q32" s="18">
        <f>COUNTIFS(Ordenes!$C$2:$C$840,$B32,Ordenes!$T$2:$T$840,"Válida")</f>
        <v/>
      </c>
    </row>
    <row r="33">
      <c r="A33" s="18" t="inlineStr">
        <is>
          <t>Jue 5 feb 2026</t>
        </is>
      </c>
      <c r="B33" s="22" t="n">
        <v>46058</v>
      </c>
      <c r="C33" s="18" t="inlineStr">
        <is>
          <t>S06</t>
        </is>
      </c>
      <c r="D33" s="20">
        <f>IFERROR(SUMIFS(Ordenes!$P$2:$P$840,Ordenes!$C$2:$C$840,$B33,Ordenes!$T$2:$T$840,"Válida",Ordenes!$F$2:$F$840,"B Hormigón")/SUMIFS(Ordenes!$Q$2:$Q$840,Ordenes!$C$2:$C$840,$B33,Ordenes!$T$2:$T$840,"Válida",Ordenes!$F$2:$F$840,"B Hormigón"),"")</f>
        <v/>
      </c>
      <c r="E33" s="20">
        <f>IFERROR(SUMIFS(Ordenes!$P$2:$P$840,Ordenes!$C$2:$C$840,$B33,Ordenes!$T$2:$T$840,"Válida",Ordenes!$F$2:$F$840,"Redondo liso")/SUMIFS(Ordenes!$Q$2:$Q$840,Ordenes!$C$2:$C$840,$B33,Ordenes!$T$2:$T$840,"Válida",Ordenes!$F$2:$F$840,"Redondo liso"),"")</f>
        <v/>
      </c>
      <c r="F33" s="20">
        <f>IFERROR(SUMIFS(Ordenes!$P$2:$P$840,Ordenes!$C$2:$C$840,$B33,Ordenes!$T$2:$T$840,"Válida",Ordenes!$F$2:$F$840,"Plana")/SUMIFS(Ordenes!$Q$2:$Q$840,Ordenes!$C$2:$C$840,$B33,Ordenes!$T$2:$T$840,"Válida",Ordenes!$F$2:$F$840,"Plana"),"")</f>
        <v/>
      </c>
      <c r="G33" s="20">
        <f>IFERROR(SUMIFS(Ordenes!$P$2:$P$840,Ordenes!$C$2:$C$840,$B33,Ordenes!$T$2:$T$840,"Válida",Ordenes!$F$2:$F$840,"Ángulo")/SUMIFS(Ordenes!$Q$2:$Q$840,Ordenes!$C$2:$C$840,$B33,Ordenes!$T$2:$T$840,"Válida",Ordenes!$F$2:$F$840,"Ángulo"),"")</f>
        <v/>
      </c>
      <c r="H33" s="20">
        <f>IFERROR(SUMIFS(Ordenes!$P$2:$P$840,Ordenes!$C$2:$C$840,$B33,Ordenes!$T$2:$T$840,"Válida",Ordenes!$F$2:$F$840,"Cuadrado")/SUMIFS(Ordenes!$Q$2:$Q$840,Ordenes!$C$2:$C$840,$B33,Ordenes!$T$2:$T$840,"Válida",Ordenes!$F$2:$F$840,"Cuadrado"),"")</f>
        <v/>
      </c>
      <c r="I33" s="20">
        <f>IFERROR(SUMIFS(Ordenes!$P$2:$P$840,Ordenes!$C$2:$C$840,$B33,Ordenes!$T$2:$T$840,"Válida",Ordenes!$F$2:$F$840,"Estrella")/SUMIFS(Ordenes!$Q$2:$Q$840,Ordenes!$C$2:$C$840,$B33,Ordenes!$T$2:$T$840,"Válida",Ordenes!$F$2:$F$840,"Estrella"),"")</f>
        <v/>
      </c>
      <c r="J33" s="20">
        <f>IFERROR(SUMIFS(Ordenes!$P$2:$P$840,Ordenes!$C$2:$C$840,$B33,Ordenes!$T$2:$T$840,"Válida",Ordenes!$F$2:$F$840,"Saferock")/SUMIFS(Ordenes!$Q$2:$Q$840,Ordenes!$C$2:$C$840,$B33,Ordenes!$T$2:$T$840,"Válida",Ordenes!$F$2:$F$840,"Saferock"),"")</f>
        <v/>
      </c>
      <c r="K33" s="20">
        <f>IFERROR(SUMIFS(Ordenes!$P$2:$P$840,Ordenes!$C$2:$C$840,$B33,Ordenes!$T$2:$T$840,"Válida",Ordenes!$F$2:$F$840,"Hexágono")/SUMIFS(Ordenes!$Q$2:$Q$840,Ordenes!$C$2:$C$840,$B33,Ordenes!$T$2:$T$840,"Válida",Ordenes!$F$2:$F$840,"Hexágono"),"")</f>
        <v/>
      </c>
      <c r="L33" s="24">
        <f>IFERROR(SUMIFS(Ordenes!$P$2:$P$840,Ordenes!$C$2:$C$840,$B33,Ordenes!$T$2:$T$840,"Válida",Ordenes!$F$2:$F$840,"*")/SUMIFS(Ordenes!$Q$2:$Q$840,Ordenes!$C$2:$C$840,$B33,Ordenes!$T$2:$T$840,"Válida",Ordenes!$F$2:$F$840,"*"),"")</f>
        <v/>
      </c>
      <c r="M33" s="20">
        <f>IFERROR(SUMIFS(Ordenes!$V$2:$V$840,Ordenes!$C$2:$C$840,$B33,Ordenes!$T$2:$T$840,"Válida")/SUMIFS(Ordenes!$Q$2:$Q$840,Ordenes!$C$2:$C$840,$B33,Ordenes!$T$2:$T$840,"Válida"),"")</f>
        <v/>
      </c>
      <c r="N33" s="21">
        <f>IFERROR((L33-M33)*100,"")</f>
        <v/>
      </c>
      <c r="O33" s="19">
        <f>SUMIFS(Ordenes!$P$2:$P$840,Ordenes!$C$2:$C$840,$B33,Ordenes!$T$2:$T$840,"Válida")</f>
        <v/>
      </c>
      <c r="P33" s="19">
        <f>SUMIFS(Ordenes!$Q$2:$Q$840,Ordenes!$C$2:$C$840,$B33,Ordenes!$T$2:$T$840,"Válida")</f>
        <v/>
      </c>
      <c r="Q33" s="18">
        <f>COUNTIFS(Ordenes!$C$2:$C$840,$B33,Ordenes!$T$2:$T$840,"Válida")</f>
        <v/>
      </c>
    </row>
    <row r="34">
      <c r="A34" s="18" t="inlineStr">
        <is>
          <t>Vie 6 feb 2026</t>
        </is>
      </c>
      <c r="B34" s="22" t="n">
        <v>46059</v>
      </c>
      <c r="C34" s="18" t="inlineStr">
        <is>
          <t>S06</t>
        </is>
      </c>
      <c r="D34" s="20">
        <f>IFERROR(SUMIFS(Ordenes!$P$2:$P$840,Ordenes!$C$2:$C$840,$B34,Ordenes!$T$2:$T$840,"Válida",Ordenes!$F$2:$F$840,"B Hormigón")/SUMIFS(Ordenes!$Q$2:$Q$840,Ordenes!$C$2:$C$840,$B34,Ordenes!$T$2:$T$840,"Válida",Ordenes!$F$2:$F$840,"B Hormigón"),"")</f>
        <v/>
      </c>
      <c r="E34" s="20">
        <f>IFERROR(SUMIFS(Ordenes!$P$2:$P$840,Ordenes!$C$2:$C$840,$B34,Ordenes!$T$2:$T$840,"Válida",Ordenes!$F$2:$F$840,"Redondo liso")/SUMIFS(Ordenes!$Q$2:$Q$840,Ordenes!$C$2:$C$840,$B34,Ordenes!$T$2:$T$840,"Válida",Ordenes!$F$2:$F$840,"Redondo liso"),"")</f>
        <v/>
      </c>
      <c r="F34" s="20">
        <f>IFERROR(SUMIFS(Ordenes!$P$2:$P$840,Ordenes!$C$2:$C$840,$B34,Ordenes!$T$2:$T$840,"Válida",Ordenes!$F$2:$F$840,"Plana")/SUMIFS(Ordenes!$Q$2:$Q$840,Ordenes!$C$2:$C$840,$B34,Ordenes!$T$2:$T$840,"Válida",Ordenes!$F$2:$F$840,"Plana"),"")</f>
        <v/>
      </c>
      <c r="G34" s="20">
        <f>IFERROR(SUMIFS(Ordenes!$P$2:$P$840,Ordenes!$C$2:$C$840,$B34,Ordenes!$T$2:$T$840,"Válida",Ordenes!$F$2:$F$840,"Ángulo")/SUMIFS(Ordenes!$Q$2:$Q$840,Ordenes!$C$2:$C$840,$B34,Ordenes!$T$2:$T$840,"Válida",Ordenes!$F$2:$F$840,"Ángulo"),"")</f>
        <v/>
      </c>
      <c r="H34" s="20">
        <f>IFERROR(SUMIFS(Ordenes!$P$2:$P$840,Ordenes!$C$2:$C$840,$B34,Ordenes!$T$2:$T$840,"Válida",Ordenes!$F$2:$F$840,"Cuadrado")/SUMIFS(Ordenes!$Q$2:$Q$840,Ordenes!$C$2:$C$840,$B34,Ordenes!$T$2:$T$840,"Válida",Ordenes!$F$2:$F$840,"Cuadrado"),"")</f>
        <v/>
      </c>
      <c r="I34" s="20">
        <f>IFERROR(SUMIFS(Ordenes!$P$2:$P$840,Ordenes!$C$2:$C$840,$B34,Ordenes!$T$2:$T$840,"Válida",Ordenes!$F$2:$F$840,"Estrella")/SUMIFS(Ordenes!$Q$2:$Q$840,Ordenes!$C$2:$C$840,$B34,Ordenes!$T$2:$T$840,"Válida",Ordenes!$F$2:$F$840,"Estrella"),"")</f>
        <v/>
      </c>
      <c r="J34" s="20">
        <f>IFERROR(SUMIFS(Ordenes!$P$2:$P$840,Ordenes!$C$2:$C$840,$B34,Ordenes!$T$2:$T$840,"Válida",Ordenes!$F$2:$F$840,"Saferock")/SUMIFS(Ordenes!$Q$2:$Q$840,Ordenes!$C$2:$C$840,$B34,Ordenes!$T$2:$T$840,"Válida",Ordenes!$F$2:$F$840,"Saferock"),"")</f>
        <v/>
      </c>
      <c r="K34" s="20">
        <f>IFERROR(SUMIFS(Ordenes!$P$2:$P$840,Ordenes!$C$2:$C$840,$B34,Ordenes!$T$2:$T$840,"Válida",Ordenes!$F$2:$F$840,"Hexágono")/SUMIFS(Ordenes!$Q$2:$Q$840,Ordenes!$C$2:$C$840,$B34,Ordenes!$T$2:$T$840,"Válida",Ordenes!$F$2:$F$840,"Hexágono"),"")</f>
        <v/>
      </c>
      <c r="L34" s="24">
        <f>IFERROR(SUMIFS(Ordenes!$P$2:$P$840,Ordenes!$C$2:$C$840,$B34,Ordenes!$T$2:$T$840,"Válida",Ordenes!$F$2:$F$840,"*")/SUMIFS(Ordenes!$Q$2:$Q$840,Ordenes!$C$2:$C$840,$B34,Ordenes!$T$2:$T$840,"Válida",Ordenes!$F$2:$F$840,"*"),"")</f>
        <v/>
      </c>
      <c r="M34" s="20">
        <f>IFERROR(SUMIFS(Ordenes!$V$2:$V$840,Ordenes!$C$2:$C$840,$B34,Ordenes!$T$2:$T$840,"Válida")/SUMIFS(Ordenes!$Q$2:$Q$840,Ordenes!$C$2:$C$840,$B34,Ordenes!$T$2:$T$840,"Válida"),"")</f>
        <v/>
      </c>
      <c r="N34" s="21">
        <f>IFERROR((L34-M34)*100,"")</f>
        <v/>
      </c>
      <c r="O34" s="19">
        <f>SUMIFS(Ordenes!$P$2:$P$840,Ordenes!$C$2:$C$840,$B34,Ordenes!$T$2:$T$840,"Válida")</f>
        <v/>
      </c>
      <c r="P34" s="19">
        <f>SUMIFS(Ordenes!$Q$2:$Q$840,Ordenes!$C$2:$C$840,$B34,Ordenes!$T$2:$T$840,"Válida")</f>
        <v/>
      </c>
      <c r="Q34" s="18">
        <f>COUNTIFS(Ordenes!$C$2:$C$840,$B34,Ordenes!$T$2:$T$840,"Válida")</f>
        <v/>
      </c>
    </row>
    <row r="35">
      <c r="A35" s="18" t="inlineStr">
        <is>
          <t>Sáb 7 feb 2026</t>
        </is>
      </c>
      <c r="B35" s="22" t="n">
        <v>46060</v>
      </c>
      <c r="C35" s="18" t="inlineStr">
        <is>
          <t>S06</t>
        </is>
      </c>
      <c r="D35" s="20">
        <f>IFERROR(SUMIFS(Ordenes!$P$2:$P$840,Ordenes!$C$2:$C$840,$B35,Ordenes!$T$2:$T$840,"Válida",Ordenes!$F$2:$F$840,"B Hormigón")/SUMIFS(Ordenes!$Q$2:$Q$840,Ordenes!$C$2:$C$840,$B35,Ordenes!$T$2:$T$840,"Válida",Ordenes!$F$2:$F$840,"B Hormigón"),"")</f>
        <v/>
      </c>
      <c r="E35" s="20">
        <f>IFERROR(SUMIFS(Ordenes!$P$2:$P$840,Ordenes!$C$2:$C$840,$B35,Ordenes!$T$2:$T$840,"Válida",Ordenes!$F$2:$F$840,"Redondo liso")/SUMIFS(Ordenes!$Q$2:$Q$840,Ordenes!$C$2:$C$840,$B35,Ordenes!$T$2:$T$840,"Válida",Ordenes!$F$2:$F$840,"Redondo liso"),"")</f>
        <v/>
      </c>
      <c r="F35" s="20">
        <f>IFERROR(SUMIFS(Ordenes!$P$2:$P$840,Ordenes!$C$2:$C$840,$B35,Ordenes!$T$2:$T$840,"Válida",Ordenes!$F$2:$F$840,"Plana")/SUMIFS(Ordenes!$Q$2:$Q$840,Ordenes!$C$2:$C$840,$B35,Ordenes!$T$2:$T$840,"Válida",Ordenes!$F$2:$F$840,"Plana"),"")</f>
        <v/>
      </c>
      <c r="G35" s="20">
        <f>IFERROR(SUMIFS(Ordenes!$P$2:$P$840,Ordenes!$C$2:$C$840,$B35,Ordenes!$T$2:$T$840,"Válida",Ordenes!$F$2:$F$840,"Ángulo")/SUMIFS(Ordenes!$Q$2:$Q$840,Ordenes!$C$2:$C$840,$B35,Ordenes!$T$2:$T$840,"Válida",Ordenes!$F$2:$F$840,"Ángulo"),"")</f>
        <v/>
      </c>
      <c r="H35" s="20">
        <f>IFERROR(SUMIFS(Ordenes!$P$2:$P$840,Ordenes!$C$2:$C$840,$B35,Ordenes!$T$2:$T$840,"Válida",Ordenes!$F$2:$F$840,"Cuadrado")/SUMIFS(Ordenes!$Q$2:$Q$840,Ordenes!$C$2:$C$840,$B35,Ordenes!$T$2:$T$840,"Válida",Ordenes!$F$2:$F$840,"Cuadrado"),"")</f>
        <v/>
      </c>
      <c r="I35" s="20">
        <f>IFERROR(SUMIFS(Ordenes!$P$2:$P$840,Ordenes!$C$2:$C$840,$B35,Ordenes!$T$2:$T$840,"Válida",Ordenes!$F$2:$F$840,"Estrella")/SUMIFS(Ordenes!$Q$2:$Q$840,Ordenes!$C$2:$C$840,$B35,Ordenes!$T$2:$T$840,"Válida",Ordenes!$F$2:$F$840,"Estrella"),"")</f>
        <v/>
      </c>
      <c r="J35" s="20">
        <f>IFERROR(SUMIFS(Ordenes!$P$2:$P$840,Ordenes!$C$2:$C$840,$B35,Ordenes!$T$2:$T$840,"Válida",Ordenes!$F$2:$F$840,"Saferock")/SUMIFS(Ordenes!$Q$2:$Q$840,Ordenes!$C$2:$C$840,$B35,Ordenes!$T$2:$T$840,"Válida",Ordenes!$F$2:$F$840,"Saferock"),"")</f>
        <v/>
      </c>
      <c r="K35" s="20">
        <f>IFERROR(SUMIFS(Ordenes!$P$2:$P$840,Ordenes!$C$2:$C$840,$B35,Ordenes!$T$2:$T$840,"Válida",Ordenes!$F$2:$F$840,"Hexágono")/SUMIFS(Ordenes!$Q$2:$Q$840,Ordenes!$C$2:$C$840,$B35,Ordenes!$T$2:$T$840,"Válida",Ordenes!$F$2:$F$840,"Hexágono"),"")</f>
        <v/>
      </c>
      <c r="L35" s="24">
        <f>IFERROR(SUMIFS(Ordenes!$P$2:$P$840,Ordenes!$C$2:$C$840,$B35,Ordenes!$T$2:$T$840,"Válida",Ordenes!$F$2:$F$840,"*")/SUMIFS(Ordenes!$Q$2:$Q$840,Ordenes!$C$2:$C$840,$B35,Ordenes!$T$2:$T$840,"Válida",Ordenes!$F$2:$F$840,"*"),"")</f>
        <v/>
      </c>
      <c r="M35" s="20">
        <f>IFERROR(SUMIFS(Ordenes!$V$2:$V$840,Ordenes!$C$2:$C$840,$B35,Ordenes!$T$2:$T$840,"Válida")/SUMIFS(Ordenes!$Q$2:$Q$840,Ordenes!$C$2:$C$840,$B35,Ordenes!$T$2:$T$840,"Válida"),"")</f>
        <v/>
      </c>
      <c r="N35" s="21">
        <f>IFERROR((L35-M35)*100,"")</f>
        <v/>
      </c>
      <c r="O35" s="19">
        <f>SUMIFS(Ordenes!$P$2:$P$840,Ordenes!$C$2:$C$840,$B35,Ordenes!$T$2:$T$840,"Válida")</f>
        <v/>
      </c>
      <c r="P35" s="19">
        <f>SUMIFS(Ordenes!$Q$2:$Q$840,Ordenes!$C$2:$C$840,$B35,Ordenes!$T$2:$T$840,"Válida")</f>
        <v/>
      </c>
      <c r="Q35" s="18">
        <f>COUNTIFS(Ordenes!$C$2:$C$840,$B35,Ordenes!$T$2:$T$840,"Válida")</f>
        <v/>
      </c>
    </row>
    <row r="36">
      <c r="A36" s="18" t="inlineStr">
        <is>
          <t>Lun 9 feb 2026</t>
        </is>
      </c>
      <c r="B36" s="22" t="n">
        <v>46062</v>
      </c>
      <c r="C36" s="18" t="inlineStr">
        <is>
          <t>S07</t>
        </is>
      </c>
      <c r="D36" s="20">
        <f>IFERROR(SUMIFS(Ordenes!$P$2:$P$840,Ordenes!$C$2:$C$840,$B36,Ordenes!$T$2:$T$840,"Válida",Ordenes!$F$2:$F$840,"B Hormigón")/SUMIFS(Ordenes!$Q$2:$Q$840,Ordenes!$C$2:$C$840,$B36,Ordenes!$T$2:$T$840,"Válida",Ordenes!$F$2:$F$840,"B Hormigón"),"")</f>
        <v/>
      </c>
      <c r="E36" s="20">
        <f>IFERROR(SUMIFS(Ordenes!$P$2:$P$840,Ordenes!$C$2:$C$840,$B36,Ordenes!$T$2:$T$840,"Válida",Ordenes!$F$2:$F$840,"Redondo liso")/SUMIFS(Ordenes!$Q$2:$Q$840,Ordenes!$C$2:$C$840,$B36,Ordenes!$T$2:$T$840,"Válida",Ordenes!$F$2:$F$840,"Redondo liso"),"")</f>
        <v/>
      </c>
      <c r="F36" s="20">
        <f>IFERROR(SUMIFS(Ordenes!$P$2:$P$840,Ordenes!$C$2:$C$840,$B36,Ordenes!$T$2:$T$840,"Válida",Ordenes!$F$2:$F$840,"Plana")/SUMIFS(Ordenes!$Q$2:$Q$840,Ordenes!$C$2:$C$840,$B36,Ordenes!$T$2:$T$840,"Válida",Ordenes!$F$2:$F$840,"Plana"),"")</f>
        <v/>
      </c>
      <c r="G36" s="20">
        <f>IFERROR(SUMIFS(Ordenes!$P$2:$P$840,Ordenes!$C$2:$C$840,$B36,Ordenes!$T$2:$T$840,"Válida",Ordenes!$F$2:$F$840,"Ángulo")/SUMIFS(Ordenes!$Q$2:$Q$840,Ordenes!$C$2:$C$840,$B36,Ordenes!$T$2:$T$840,"Válida",Ordenes!$F$2:$F$840,"Ángulo"),"")</f>
        <v/>
      </c>
      <c r="H36" s="20">
        <f>IFERROR(SUMIFS(Ordenes!$P$2:$P$840,Ordenes!$C$2:$C$840,$B36,Ordenes!$T$2:$T$840,"Válida",Ordenes!$F$2:$F$840,"Cuadrado")/SUMIFS(Ordenes!$Q$2:$Q$840,Ordenes!$C$2:$C$840,$B36,Ordenes!$T$2:$T$840,"Válida",Ordenes!$F$2:$F$840,"Cuadrado"),"")</f>
        <v/>
      </c>
      <c r="I36" s="20">
        <f>IFERROR(SUMIFS(Ordenes!$P$2:$P$840,Ordenes!$C$2:$C$840,$B36,Ordenes!$T$2:$T$840,"Válida",Ordenes!$F$2:$F$840,"Estrella")/SUMIFS(Ordenes!$Q$2:$Q$840,Ordenes!$C$2:$C$840,$B36,Ordenes!$T$2:$T$840,"Válida",Ordenes!$F$2:$F$840,"Estrella"),"")</f>
        <v/>
      </c>
      <c r="J36" s="20">
        <f>IFERROR(SUMIFS(Ordenes!$P$2:$P$840,Ordenes!$C$2:$C$840,$B36,Ordenes!$T$2:$T$840,"Válida",Ordenes!$F$2:$F$840,"Saferock")/SUMIFS(Ordenes!$Q$2:$Q$840,Ordenes!$C$2:$C$840,$B36,Ordenes!$T$2:$T$840,"Válida",Ordenes!$F$2:$F$840,"Saferock"),"")</f>
        <v/>
      </c>
      <c r="K36" s="20">
        <f>IFERROR(SUMIFS(Ordenes!$P$2:$P$840,Ordenes!$C$2:$C$840,$B36,Ordenes!$T$2:$T$840,"Válida",Ordenes!$F$2:$F$840,"Hexágono")/SUMIFS(Ordenes!$Q$2:$Q$840,Ordenes!$C$2:$C$840,$B36,Ordenes!$T$2:$T$840,"Válida",Ordenes!$F$2:$F$840,"Hexágono"),"")</f>
        <v/>
      </c>
      <c r="L36" s="24">
        <f>IFERROR(SUMIFS(Ordenes!$P$2:$P$840,Ordenes!$C$2:$C$840,$B36,Ordenes!$T$2:$T$840,"Válida",Ordenes!$F$2:$F$840,"*")/SUMIFS(Ordenes!$Q$2:$Q$840,Ordenes!$C$2:$C$840,$B36,Ordenes!$T$2:$T$840,"Válida",Ordenes!$F$2:$F$840,"*"),"")</f>
        <v/>
      </c>
      <c r="M36" s="20">
        <f>IFERROR(SUMIFS(Ordenes!$V$2:$V$840,Ordenes!$C$2:$C$840,$B36,Ordenes!$T$2:$T$840,"Válida")/SUMIFS(Ordenes!$Q$2:$Q$840,Ordenes!$C$2:$C$840,$B36,Ordenes!$T$2:$T$840,"Válida"),"")</f>
        <v/>
      </c>
      <c r="N36" s="21">
        <f>IFERROR((L36-M36)*100,"")</f>
        <v/>
      </c>
      <c r="O36" s="19">
        <f>SUMIFS(Ordenes!$P$2:$P$840,Ordenes!$C$2:$C$840,$B36,Ordenes!$T$2:$T$840,"Válida")</f>
        <v/>
      </c>
      <c r="P36" s="19">
        <f>SUMIFS(Ordenes!$Q$2:$Q$840,Ordenes!$C$2:$C$840,$B36,Ordenes!$T$2:$T$840,"Válida")</f>
        <v/>
      </c>
      <c r="Q36" s="18">
        <f>COUNTIFS(Ordenes!$C$2:$C$840,$B36,Ordenes!$T$2:$T$840,"Válida")</f>
        <v/>
      </c>
    </row>
    <row r="37">
      <c r="A37" s="18" t="inlineStr">
        <is>
          <t>Mar 10 feb 2026</t>
        </is>
      </c>
      <c r="B37" s="22" t="n">
        <v>46063</v>
      </c>
      <c r="C37" s="18" t="inlineStr">
        <is>
          <t>S07</t>
        </is>
      </c>
      <c r="D37" s="20">
        <f>IFERROR(SUMIFS(Ordenes!$P$2:$P$840,Ordenes!$C$2:$C$840,$B37,Ordenes!$T$2:$T$840,"Válida",Ordenes!$F$2:$F$840,"B Hormigón")/SUMIFS(Ordenes!$Q$2:$Q$840,Ordenes!$C$2:$C$840,$B37,Ordenes!$T$2:$T$840,"Válida",Ordenes!$F$2:$F$840,"B Hormigón"),"")</f>
        <v/>
      </c>
      <c r="E37" s="20">
        <f>IFERROR(SUMIFS(Ordenes!$P$2:$P$840,Ordenes!$C$2:$C$840,$B37,Ordenes!$T$2:$T$840,"Válida",Ordenes!$F$2:$F$840,"Redondo liso")/SUMIFS(Ordenes!$Q$2:$Q$840,Ordenes!$C$2:$C$840,$B37,Ordenes!$T$2:$T$840,"Válida",Ordenes!$F$2:$F$840,"Redondo liso"),"")</f>
        <v/>
      </c>
      <c r="F37" s="20">
        <f>IFERROR(SUMIFS(Ordenes!$P$2:$P$840,Ordenes!$C$2:$C$840,$B37,Ordenes!$T$2:$T$840,"Válida",Ordenes!$F$2:$F$840,"Plana")/SUMIFS(Ordenes!$Q$2:$Q$840,Ordenes!$C$2:$C$840,$B37,Ordenes!$T$2:$T$840,"Válida",Ordenes!$F$2:$F$840,"Plana"),"")</f>
        <v/>
      </c>
      <c r="G37" s="20">
        <f>IFERROR(SUMIFS(Ordenes!$P$2:$P$840,Ordenes!$C$2:$C$840,$B37,Ordenes!$T$2:$T$840,"Válida",Ordenes!$F$2:$F$840,"Ángulo")/SUMIFS(Ordenes!$Q$2:$Q$840,Ordenes!$C$2:$C$840,$B37,Ordenes!$T$2:$T$840,"Válida",Ordenes!$F$2:$F$840,"Ángulo"),"")</f>
        <v/>
      </c>
      <c r="H37" s="20">
        <f>IFERROR(SUMIFS(Ordenes!$P$2:$P$840,Ordenes!$C$2:$C$840,$B37,Ordenes!$T$2:$T$840,"Válida",Ordenes!$F$2:$F$840,"Cuadrado")/SUMIFS(Ordenes!$Q$2:$Q$840,Ordenes!$C$2:$C$840,$B37,Ordenes!$T$2:$T$840,"Válida",Ordenes!$F$2:$F$840,"Cuadrado"),"")</f>
        <v/>
      </c>
      <c r="I37" s="20">
        <f>IFERROR(SUMIFS(Ordenes!$P$2:$P$840,Ordenes!$C$2:$C$840,$B37,Ordenes!$T$2:$T$840,"Válida",Ordenes!$F$2:$F$840,"Estrella")/SUMIFS(Ordenes!$Q$2:$Q$840,Ordenes!$C$2:$C$840,$B37,Ordenes!$T$2:$T$840,"Válida",Ordenes!$F$2:$F$840,"Estrella"),"")</f>
        <v/>
      </c>
      <c r="J37" s="20">
        <f>IFERROR(SUMIFS(Ordenes!$P$2:$P$840,Ordenes!$C$2:$C$840,$B37,Ordenes!$T$2:$T$840,"Válida",Ordenes!$F$2:$F$840,"Saferock")/SUMIFS(Ordenes!$Q$2:$Q$840,Ordenes!$C$2:$C$840,$B37,Ordenes!$T$2:$T$840,"Válida",Ordenes!$F$2:$F$840,"Saferock"),"")</f>
        <v/>
      </c>
      <c r="K37" s="20">
        <f>IFERROR(SUMIFS(Ordenes!$P$2:$P$840,Ordenes!$C$2:$C$840,$B37,Ordenes!$T$2:$T$840,"Válida",Ordenes!$F$2:$F$840,"Hexágono")/SUMIFS(Ordenes!$Q$2:$Q$840,Ordenes!$C$2:$C$840,$B37,Ordenes!$T$2:$T$840,"Válida",Ordenes!$F$2:$F$840,"Hexágono"),"")</f>
        <v/>
      </c>
      <c r="L37" s="24">
        <f>IFERROR(SUMIFS(Ordenes!$P$2:$P$840,Ordenes!$C$2:$C$840,$B37,Ordenes!$T$2:$T$840,"Válida",Ordenes!$F$2:$F$840,"*")/SUMIFS(Ordenes!$Q$2:$Q$840,Ordenes!$C$2:$C$840,$B37,Ordenes!$T$2:$T$840,"Válida",Ordenes!$F$2:$F$840,"*"),"")</f>
        <v/>
      </c>
      <c r="M37" s="20">
        <f>IFERROR(SUMIFS(Ordenes!$V$2:$V$840,Ordenes!$C$2:$C$840,$B37,Ordenes!$T$2:$T$840,"Válida")/SUMIFS(Ordenes!$Q$2:$Q$840,Ordenes!$C$2:$C$840,$B37,Ordenes!$T$2:$T$840,"Válida"),"")</f>
        <v/>
      </c>
      <c r="N37" s="21">
        <f>IFERROR((L37-M37)*100,"")</f>
        <v/>
      </c>
      <c r="O37" s="19">
        <f>SUMIFS(Ordenes!$P$2:$P$840,Ordenes!$C$2:$C$840,$B37,Ordenes!$T$2:$T$840,"Válida")</f>
        <v/>
      </c>
      <c r="P37" s="19">
        <f>SUMIFS(Ordenes!$Q$2:$Q$840,Ordenes!$C$2:$C$840,$B37,Ordenes!$T$2:$T$840,"Válida")</f>
        <v/>
      </c>
      <c r="Q37" s="18">
        <f>COUNTIFS(Ordenes!$C$2:$C$840,$B37,Ordenes!$T$2:$T$840,"Válida")</f>
        <v/>
      </c>
    </row>
    <row r="38">
      <c r="A38" s="18" t="inlineStr">
        <is>
          <t>Mié 11 feb 2026</t>
        </is>
      </c>
      <c r="B38" s="22" t="n">
        <v>46064</v>
      </c>
      <c r="C38" s="18" t="inlineStr">
        <is>
          <t>S07</t>
        </is>
      </c>
      <c r="D38" s="20">
        <f>IFERROR(SUMIFS(Ordenes!$P$2:$P$840,Ordenes!$C$2:$C$840,$B38,Ordenes!$T$2:$T$840,"Válida",Ordenes!$F$2:$F$840,"B Hormigón")/SUMIFS(Ordenes!$Q$2:$Q$840,Ordenes!$C$2:$C$840,$B38,Ordenes!$T$2:$T$840,"Válida",Ordenes!$F$2:$F$840,"B Hormigón"),"")</f>
        <v/>
      </c>
      <c r="E38" s="20">
        <f>IFERROR(SUMIFS(Ordenes!$P$2:$P$840,Ordenes!$C$2:$C$840,$B38,Ordenes!$T$2:$T$840,"Válida",Ordenes!$F$2:$F$840,"Redondo liso")/SUMIFS(Ordenes!$Q$2:$Q$840,Ordenes!$C$2:$C$840,$B38,Ordenes!$T$2:$T$840,"Válida",Ordenes!$F$2:$F$840,"Redondo liso"),"")</f>
        <v/>
      </c>
      <c r="F38" s="20">
        <f>IFERROR(SUMIFS(Ordenes!$P$2:$P$840,Ordenes!$C$2:$C$840,$B38,Ordenes!$T$2:$T$840,"Válida",Ordenes!$F$2:$F$840,"Plana")/SUMIFS(Ordenes!$Q$2:$Q$840,Ordenes!$C$2:$C$840,$B38,Ordenes!$T$2:$T$840,"Válida",Ordenes!$F$2:$F$840,"Plana"),"")</f>
        <v/>
      </c>
      <c r="G38" s="20">
        <f>IFERROR(SUMIFS(Ordenes!$P$2:$P$840,Ordenes!$C$2:$C$840,$B38,Ordenes!$T$2:$T$840,"Válida",Ordenes!$F$2:$F$840,"Ángulo")/SUMIFS(Ordenes!$Q$2:$Q$840,Ordenes!$C$2:$C$840,$B38,Ordenes!$T$2:$T$840,"Válida",Ordenes!$F$2:$F$840,"Ángulo"),"")</f>
        <v/>
      </c>
      <c r="H38" s="20">
        <f>IFERROR(SUMIFS(Ordenes!$P$2:$P$840,Ordenes!$C$2:$C$840,$B38,Ordenes!$T$2:$T$840,"Válida",Ordenes!$F$2:$F$840,"Cuadrado")/SUMIFS(Ordenes!$Q$2:$Q$840,Ordenes!$C$2:$C$840,$B38,Ordenes!$T$2:$T$840,"Válida",Ordenes!$F$2:$F$840,"Cuadrado"),"")</f>
        <v/>
      </c>
      <c r="I38" s="20">
        <f>IFERROR(SUMIFS(Ordenes!$P$2:$P$840,Ordenes!$C$2:$C$840,$B38,Ordenes!$T$2:$T$840,"Válida",Ordenes!$F$2:$F$840,"Estrella")/SUMIFS(Ordenes!$Q$2:$Q$840,Ordenes!$C$2:$C$840,$B38,Ordenes!$T$2:$T$840,"Válida",Ordenes!$F$2:$F$840,"Estrella"),"")</f>
        <v/>
      </c>
      <c r="J38" s="20">
        <f>IFERROR(SUMIFS(Ordenes!$P$2:$P$840,Ordenes!$C$2:$C$840,$B38,Ordenes!$T$2:$T$840,"Válida",Ordenes!$F$2:$F$840,"Saferock")/SUMIFS(Ordenes!$Q$2:$Q$840,Ordenes!$C$2:$C$840,$B38,Ordenes!$T$2:$T$840,"Válida",Ordenes!$F$2:$F$840,"Saferock"),"")</f>
        <v/>
      </c>
      <c r="K38" s="20">
        <f>IFERROR(SUMIFS(Ordenes!$P$2:$P$840,Ordenes!$C$2:$C$840,$B38,Ordenes!$T$2:$T$840,"Válida",Ordenes!$F$2:$F$840,"Hexágono")/SUMIFS(Ordenes!$Q$2:$Q$840,Ordenes!$C$2:$C$840,$B38,Ordenes!$T$2:$T$840,"Válida",Ordenes!$F$2:$F$840,"Hexágono"),"")</f>
        <v/>
      </c>
      <c r="L38" s="24">
        <f>IFERROR(SUMIFS(Ordenes!$P$2:$P$840,Ordenes!$C$2:$C$840,$B38,Ordenes!$T$2:$T$840,"Válida",Ordenes!$F$2:$F$840,"*")/SUMIFS(Ordenes!$Q$2:$Q$840,Ordenes!$C$2:$C$840,$B38,Ordenes!$T$2:$T$840,"Válida",Ordenes!$F$2:$F$840,"*"),"")</f>
        <v/>
      </c>
      <c r="M38" s="20">
        <f>IFERROR(SUMIFS(Ordenes!$V$2:$V$840,Ordenes!$C$2:$C$840,$B38,Ordenes!$T$2:$T$840,"Válida")/SUMIFS(Ordenes!$Q$2:$Q$840,Ordenes!$C$2:$C$840,$B38,Ordenes!$T$2:$T$840,"Válida"),"")</f>
        <v/>
      </c>
      <c r="N38" s="21">
        <f>IFERROR((L38-M38)*100,"")</f>
        <v/>
      </c>
      <c r="O38" s="19">
        <f>SUMIFS(Ordenes!$P$2:$P$840,Ordenes!$C$2:$C$840,$B38,Ordenes!$T$2:$T$840,"Válida")</f>
        <v/>
      </c>
      <c r="P38" s="19">
        <f>SUMIFS(Ordenes!$Q$2:$Q$840,Ordenes!$C$2:$C$840,$B38,Ordenes!$T$2:$T$840,"Válida")</f>
        <v/>
      </c>
      <c r="Q38" s="18">
        <f>COUNTIFS(Ordenes!$C$2:$C$840,$B38,Ordenes!$T$2:$T$840,"Válida")</f>
        <v/>
      </c>
    </row>
    <row r="39">
      <c r="A39" s="18" t="inlineStr">
        <is>
          <t>Jue 12 feb 2026</t>
        </is>
      </c>
      <c r="B39" s="22" t="n">
        <v>46065</v>
      </c>
      <c r="C39" s="18" t="inlineStr">
        <is>
          <t>S07</t>
        </is>
      </c>
      <c r="D39" s="20">
        <f>IFERROR(SUMIFS(Ordenes!$P$2:$P$840,Ordenes!$C$2:$C$840,$B39,Ordenes!$T$2:$T$840,"Válida",Ordenes!$F$2:$F$840,"B Hormigón")/SUMIFS(Ordenes!$Q$2:$Q$840,Ordenes!$C$2:$C$840,$B39,Ordenes!$T$2:$T$840,"Válida",Ordenes!$F$2:$F$840,"B Hormigón"),"")</f>
        <v/>
      </c>
      <c r="E39" s="20">
        <f>IFERROR(SUMIFS(Ordenes!$P$2:$P$840,Ordenes!$C$2:$C$840,$B39,Ordenes!$T$2:$T$840,"Válida",Ordenes!$F$2:$F$840,"Redondo liso")/SUMIFS(Ordenes!$Q$2:$Q$840,Ordenes!$C$2:$C$840,$B39,Ordenes!$T$2:$T$840,"Válida",Ordenes!$F$2:$F$840,"Redondo liso"),"")</f>
        <v/>
      </c>
      <c r="F39" s="20">
        <f>IFERROR(SUMIFS(Ordenes!$P$2:$P$840,Ordenes!$C$2:$C$840,$B39,Ordenes!$T$2:$T$840,"Válida",Ordenes!$F$2:$F$840,"Plana")/SUMIFS(Ordenes!$Q$2:$Q$840,Ordenes!$C$2:$C$840,$B39,Ordenes!$T$2:$T$840,"Válida",Ordenes!$F$2:$F$840,"Plana"),"")</f>
        <v/>
      </c>
      <c r="G39" s="20">
        <f>IFERROR(SUMIFS(Ordenes!$P$2:$P$840,Ordenes!$C$2:$C$840,$B39,Ordenes!$T$2:$T$840,"Válida",Ordenes!$F$2:$F$840,"Ángulo")/SUMIFS(Ordenes!$Q$2:$Q$840,Ordenes!$C$2:$C$840,$B39,Ordenes!$T$2:$T$840,"Válida",Ordenes!$F$2:$F$840,"Ángulo"),"")</f>
        <v/>
      </c>
      <c r="H39" s="20">
        <f>IFERROR(SUMIFS(Ordenes!$P$2:$P$840,Ordenes!$C$2:$C$840,$B39,Ordenes!$T$2:$T$840,"Válida",Ordenes!$F$2:$F$840,"Cuadrado")/SUMIFS(Ordenes!$Q$2:$Q$840,Ordenes!$C$2:$C$840,$B39,Ordenes!$T$2:$T$840,"Válida",Ordenes!$F$2:$F$840,"Cuadrado"),"")</f>
        <v/>
      </c>
      <c r="I39" s="20">
        <f>IFERROR(SUMIFS(Ordenes!$P$2:$P$840,Ordenes!$C$2:$C$840,$B39,Ordenes!$T$2:$T$840,"Válida",Ordenes!$F$2:$F$840,"Estrella")/SUMIFS(Ordenes!$Q$2:$Q$840,Ordenes!$C$2:$C$840,$B39,Ordenes!$T$2:$T$840,"Válida",Ordenes!$F$2:$F$840,"Estrella"),"")</f>
        <v/>
      </c>
      <c r="J39" s="20">
        <f>IFERROR(SUMIFS(Ordenes!$P$2:$P$840,Ordenes!$C$2:$C$840,$B39,Ordenes!$T$2:$T$840,"Válida",Ordenes!$F$2:$F$840,"Saferock")/SUMIFS(Ordenes!$Q$2:$Q$840,Ordenes!$C$2:$C$840,$B39,Ordenes!$T$2:$T$840,"Válida",Ordenes!$F$2:$F$840,"Saferock"),"")</f>
        <v/>
      </c>
      <c r="K39" s="20">
        <f>IFERROR(SUMIFS(Ordenes!$P$2:$P$840,Ordenes!$C$2:$C$840,$B39,Ordenes!$T$2:$T$840,"Válida",Ordenes!$F$2:$F$840,"Hexágono")/SUMIFS(Ordenes!$Q$2:$Q$840,Ordenes!$C$2:$C$840,$B39,Ordenes!$T$2:$T$840,"Válida",Ordenes!$F$2:$F$840,"Hexágono"),"")</f>
        <v/>
      </c>
      <c r="L39" s="24">
        <f>IFERROR(SUMIFS(Ordenes!$P$2:$P$840,Ordenes!$C$2:$C$840,$B39,Ordenes!$T$2:$T$840,"Válida",Ordenes!$F$2:$F$840,"*")/SUMIFS(Ordenes!$Q$2:$Q$840,Ordenes!$C$2:$C$840,$B39,Ordenes!$T$2:$T$840,"Válida",Ordenes!$F$2:$F$840,"*"),"")</f>
        <v/>
      </c>
      <c r="M39" s="20">
        <f>IFERROR(SUMIFS(Ordenes!$V$2:$V$840,Ordenes!$C$2:$C$840,$B39,Ordenes!$T$2:$T$840,"Válida")/SUMIFS(Ordenes!$Q$2:$Q$840,Ordenes!$C$2:$C$840,$B39,Ordenes!$T$2:$T$840,"Válida"),"")</f>
        <v/>
      </c>
      <c r="N39" s="21">
        <f>IFERROR((L39-M39)*100,"")</f>
        <v/>
      </c>
      <c r="O39" s="19">
        <f>SUMIFS(Ordenes!$P$2:$P$840,Ordenes!$C$2:$C$840,$B39,Ordenes!$T$2:$T$840,"Válida")</f>
        <v/>
      </c>
      <c r="P39" s="19">
        <f>SUMIFS(Ordenes!$Q$2:$Q$840,Ordenes!$C$2:$C$840,$B39,Ordenes!$T$2:$T$840,"Válida")</f>
        <v/>
      </c>
      <c r="Q39" s="18">
        <f>COUNTIFS(Ordenes!$C$2:$C$840,$B39,Ordenes!$T$2:$T$840,"Válida")</f>
        <v/>
      </c>
    </row>
    <row r="40">
      <c r="A40" s="18" t="inlineStr">
        <is>
          <t>Vie 13 feb 2026</t>
        </is>
      </c>
      <c r="B40" s="22" t="n">
        <v>46066</v>
      </c>
      <c r="C40" s="18" t="inlineStr">
        <is>
          <t>S07</t>
        </is>
      </c>
      <c r="D40" s="20">
        <f>IFERROR(SUMIFS(Ordenes!$P$2:$P$840,Ordenes!$C$2:$C$840,$B40,Ordenes!$T$2:$T$840,"Válida",Ordenes!$F$2:$F$840,"B Hormigón")/SUMIFS(Ordenes!$Q$2:$Q$840,Ordenes!$C$2:$C$840,$B40,Ordenes!$T$2:$T$840,"Válida",Ordenes!$F$2:$F$840,"B Hormigón"),"")</f>
        <v/>
      </c>
      <c r="E40" s="20">
        <f>IFERROR(SUMIFS(Ordenes!$P$2:$P$840,Ordenes!$C$2:$C$840,$B40,Ordenes!$T$2:$T$840,"Válida",Ordenes!$F$2:$F$840,"Redondo liso")/SUMIFS(Ordenes!$Q$2:$Q$840,Ordenes!$C$2:$C$840,$B40,Ordenes!$T$2:$T$840,"Válida",Ordenes!$F$2:$F$840,"Redondo liso"),"")</f>
        <v/>
      </c>
      <c r="F40" s="20">
        <f>IFERROR(SUMIFS(Ordenes!$P$2:$P$840,Ordenes!$C$2:$C$840,$B40,Ordenes!$T$2:$T$840,"Válida",Ordenes!$F$2:$F$840,"Plana")/SUMIFS(Ordenes!$Q$2:$Q$840,Ordenes!$C$2:$C$840,$B40,Ordenes!$T$2:$T$840,"Válida",Ordenes!$F$2:$F$840,"Plana"),"")</f>
        <v/>
      </c>
      <c r="G40" s="20">
        <f>IFERROR(SUMIFS(Ordenes!$P$2:$P$840,Ordenes!$C$2:$C$840,$B40,Ordenes!$T$2:$T$840,"Válida",Ordenes!$F$2:$F$840,"Ángulo")/SUMIFS(Ordenes!$Q$2:$Q$840,Ordenes!$C$2:$C$840,$B40,Ordenes!$T$2:$T$840,"Válida",Ordenes!$F$2:$F$840,"Ángulo"),"")</f>
        <v/>
      </c>
      <c r="H40" s="20">
        <f>IFERROR(SUMIFS(Ordenes!$P$2:$P$840,Ordenes!$C$2:$C$840,$B40,Ordenes!$T$2:$T$840,"Válida",Ordenes!$F$2:$F$840,"Cuadrado")/SUMIFS(Ordenes!$Q$2:$Q$840,Ordenes!$C$2:$C$840,$B40,Ordenes!$T$2:$T$840,"Válida",Ordenes!$F$2:$F$840,"Cuadrado"),"")</f>
        <v/>
      </c>
      <c r="I40" s="20">
        <f>IFERROR(SUMIFS(Ordenes!$P$2:$P$840,Ordenes!$C$2:$C$840,$B40,Ordenes!$T$2:$T$840,"Válida",Ordenes!$F$2:$F$840,"Estrella")/SUMIFS(Ordenes!$Q$2:$Q$840,Ordenes!$C$2:$C$840,$B40,Ordenes!$T$2:$T$840,"Válida",Ordenes!$F$2:$F$840,"Estrella"),"")</f>
        <v/>
      </c>
      <c r="J40" s="20">
        <f>IFERROR(SUMIFS(Ordenes!$P$2:$P$840,Ordenes!$C$2:$C$840,$B40,Ordenes!$T$2:$T$840,"Válida",Ordenes!$F$2:$F$840,"Saferock")/SUMIFS(Ordenes!$Q$2:$Q$840,Ordenes!$C$2:$C$840,$B40,Ordenes!$T$2:$T$840,"Válida",Ordenes!$F$2:$F$840,"Saferock"),"")</f>
        <v/>
      </c>
      <c r="K40" s="20">
        <f>IFERROR(SUMIFS(Ordenes!$P$2:$P$840,Ordenes!$C$2:$C$840,$B40,Ordenes!$T$2:$T$840,"Válida",Ordenes!$F$2:$F$840,"Hexágono")/SUMIFS(Ordenes!$Q$2:$Q$840,Ordenes!$C$2:$C$840,$B40,Ordenes!$T$2:$T$840,"Válida",Ordenes!$F$2:$F$840,"Hexágono"),"")</f>
        <v/>
      </c>
      <c r="L40" s="24">
        <f>IFERROR(SUMIFS(Ordenes!$P$2:$P$840,Ordenes!$C$2:$C$840,$B40,Ordenes!$T$2:$T$840,"Válida",Ordenes!$F$2:$F$840,"*")/SUMIFS(Ordenes!$Q$2:$Q$840,Ordenes!$C$2:$C$840,$B40,Ordenes!$T$2:$T$840,"Válida",Ordenes!$F$2:$F$840,"*"),"")</f>
        <v/>
      </c>
      <c r="M40" s="20">
        <f>IFERROR(SUMIFS(Ordenes!$V$2:$V$840,Ordenes!$C$2:$C$840,$B40,Ordenes!$T$2:$T$840,"Válida")/SUMIFS(Ordenes!$Q$2:$Q$840,Ordenes!$C$2:$C$840,$B40,Ordenes!$T$2:$T$840,"Válida"),"")</f>
        <v/>
      </c>
      <c r="N40" s="21">
        <f>IFERROR((L40-M40)*100,"")</f>
        <v/>
      </c>
      <c r="O40" s="19">
        <f>SUMIFS(Ordenes!$P$2:$P$840,Ordenes!$C$2:$C$840,$B40,Ordenes!$T$2:$T$840,"Válida")</f>
        <v/>
      </c>
      <c r="P40" s="19">
        <f>SUMIFS(Ordenes!$Q$2:$Q$840,Ordenes!$C$2:$C$840,$B40,Ordenes!$T$2:$T$840,"Válida")</f>
        <v/>
      </c>
      <c r="Q40" s="18">
        <f>COUNTIFS(Ordenes!$C$2:$C$840,$B40,Ordenes!$T$2:$T$840,"Válida")</f>
        <v/>
      </c>
    </row>
    <row r="41">
      <c r="A41" s="18" t="inlineStr">
        <is>
          <t>Sáb 14 feb 2026</t>
        </is>
      </c>
      <c r="B41" s="22" t="n">
        <v>46067</v>
      </c>
      <c r="C41" s="18" t="inlineStr">
        <is>
          <t>S07</t>
        </is>
      </c>
      <c r="D41" s="20">
        <f>IFERROR(SUMIFS(Ordenes!$P$2:$P$840,Ordenes!$C$2:$C$840,$B41,Ordenes!$T$2:$T$840,"Válida",Ordenes!$F$2:$F$840,"B Hormigón")/SUMIFS(Ordenes!$Q$2:$Q$840,Ordenes!$C$2:$C$840,$B41,Ordenes!$T$2:$T$840,"Válida",Ordenes!$F$2:$F$840,"B Hormigón"),"")</f>
        <v/>
      </c>
      <c r="E41" s="20">
        <f>IFERROR(SUMIFS(Ordenes!$P$2:$P$840,Ordenes!$C$2:$C$840,$B41,Ordenes!$T$2:$T$840,"Válida",Ordenes!$F$2:$F$840,"Redondo liso")/SUMIFS(Ordenes!$Q$2:$Q$840,Ordenes!$C$2:$C$840,$B41,Ordenes!$T$2:$T$840,"Válida",Ordenes!$F$2:$F$840,"Redondo liso"),"")</f>
        <v/>
      </c>
      <c r="F41" s="20">
        <f>IFERROR(SUMIFS(Ordenes!$P$2:$P$840,Ordenes!$C$2:$C$840,$B41,Ordenes!$T$2:$T$840,"Válida",Ordenes!$F$2:$F$840,"Plana")/SUMIFS(Ordenes!$Q$2:$Q$840,Ordenes!$C$2:$C$840,$B41,Ordenes!$T$2:$T$840,"Válida",Ordenes!$F$2:$F$840,"Plana"),"")</f>
        <v/>
      </c>
      <c r="G41" s="20">
        <f>IFERROR(SUMIFS(Ordenes!$P$2:$P$840,Ordenes!$C$2:$C$840,$B41,Ordenes!$T$2:$T$840,"Válida",Ordenes!$F$2:$F$840,"Ángulo")/SUMIFS(Ordenes!$Q$2:$Q$840,Ordenes!$C$2:$C$840,$B41,Ordenes!$T$2:$T$840,"Válida",Ordenes!$F$2:$F$840,"Ángulo"),"")</f>
        <v/>
      </c>
      <c r="H41" s="20">
        <f>IFERROR(SUMIFS(Ordenes!$P$2:$P$840,Ordenes!$C$2:$C$840,$B41,Ordenes!$T$2:$T$840,"Válida",Ordenes!$F$2:$F$840,"Cuadrado")/SUMIFS(Ordenes!$Q$2:$Q$840,Ordenes!$C$2:$C$840,$B41,Ordenes!$T$2:$T$840,"Válida",Ordenes!$F$2:$F$840,"Cuadrado"),"")</f>
        <v/>
      </c>
      <c r="I41" s="20">
        <f>IFERROR(SUMIFS(Ordenes!$P$2:$P$840,Ordenes!$C$2:$C$840,$B41,Ordenes!$T$2:$T$840,"Válida",Ordenes!$F$2:$F$840,"Estrella")/SUMIFS(Ordenes!$Q$2:$Q$840,Ordenes!$C$2:$C$840,$B41,Ordenes!$T$2:$T$840,"Válida",Ordenes!$F$2:$F$840,"Estrella"),"")</f>
        <v/>
      </c>
      <c r="J41" s="20">
        <f>IFERROR(SUMIFS(Ordenes!$P$2:$P$840,Ordenes!$C$2:$C$840,$B41,Ordenes!$T$2:$T$840,"Válida",Ordenes!$F$2:$F$840,"Saferock")/SUMIFS(Ordenes!$Q$2:$Q$840,Ordenes!$C$2:$C$840,$B41,Ordenes!$T$2:$T$840,"Válida",Ordenes!$F$2:$F$840,"Saferock"),"")</f>
        <v/>
      </c>
      <c r="K41" s="20">
        <f>IFERROR(SUMIFS(Ordenes!$P$2:$P$840,Ordenes!$C$2:$C$840,$B41,Ordenes!$T$2:$T$840,"Válida",Ordenes!$F$2:$F$840,"Hexágono")/SUMIFS(Ordenes!$Q$2:$Q$840,Ordenes!$C$2:$C$840,$B41,Ordenes!$T$2:$T$840,"Válida",Ordenes!$F$2:$F$840,"Hexágono"),"")</f>
        <v/>
      </c>
      <c r="L41" s="24">
        <f>IFERROR(SUMIFS(Ordenes!$P$2:$P$840,Ordenes!$C$2:$C$840,$B41,Ordenes!$T$2:$T$840,"Válida",Ordenes!$F$2:$F$840,"*")/SUMIFS(Ordenes!$Q$2:$Q$840,Ordenes!$C$2:$C$840,$B41,Ordenes!$T$2:$T$840,"Válida",Ordenes!$F$2:$F$840,"*"),"")</f>
        <v/>
      </c>
      <c r="M41" s="20">
        <f>IFERROR(SUMIFS(Ordenes!$V$2:$V$840,Ordenes!$C$2:$C$840,$B41,Ordenes!$T$2:$T$840,"Válida")/SUMIFS(Ordenes!$Q$2:$Q$840,Ordenes!$C$2:$C$840,$B41,Ordenes!$T$2:$T$840,"Válida"),"")</f>
        <v/>
      </c>
      <c r="N41" s="21">
        <f>IFERROR((L41-M41)*100,"")</f>
        <v/>
      </c>
      <c r="O41" s="19">
        <f>SUMIFS(Ordenes!$P$2:$P$840,Ordenes!$C$2:$C$840,$B41,Ordenes!$T$2:$T$840,"Válida")</f>
        <v/>
      </c>
      <c r="P41" s="19">
        <f>SUMIFS(Ordenes!$Q$2:$Q$840,Ordenes!$C$2:$C$840,$B41,Ordenes!$T$2:$T$840,"Válida")</f>
        <v/>
      </c>
      <c r="Q41" s="18">
        <f>COUNTIFS(Ordenes!$C$2:$C$840,$B41,Ordenes!$T$2:$T$840,"Válida")</f>
        <v/>
      </c>
    </row>
    <row r="42">
      <c r="A42" s="18" t="inlineStr">
        <is>
          <t>Lun 16 feb 2026</t>
        </is>
      </c>
      <c r="B42" s="22" t="n">
        <v>46069</v>
      </c>
      <c r="C42" s="18" t="inlineStr">
        <is>
          <t>S08</t>
        </is>
      </c>
      <c r="D42" s="20">
        <f>IFERROR(SUMIFS(Ordenes!$P$2:$P$840,Ordenes!$C$2:$C$840,$B42,Ordenes!$T$2:$T$840,"Válida",Ordenes!$F$2:$F$840,"B Hormigón")/SUMIFS(Ordenes!$Q$2:$Q$840,Ordenes!$C$2:$C$840,$B42,Ordenes!$T$2:$T$840,"Válida",Ordenes!$F$2:$F$840,"B Hormigón"),"")</f>
        <v/>
      </c>
      <c r="E42" s="20">
        <f>IFERROR(SUMIFS(Ordenes!$P$2:$P$840,Ordenes!$C$2:$C$840,$B42,Ordenes!$T$2:$T$840,"Válida",Ordenes!$F$2:$F$840,"Redondo liso")/SUMIFS(Ordenes!$Q$2:$Q$840,Ordenes!$C$2:$C$840,$B42,Ordenes!$T$2:$T$840,"Válida",Ordenes!$F$2:$F$840,"Redondo liso"),"")</f>
        <v/>
      </c>
      <c r="F42" s="20">
        <f>IFERROR(SUMIFS(Ordenes!$P$2:$P$840,Ordenes!$C$2:$C$840,$B42,Ordenes!$T$2:$T$840,"Válida",Ordenes!$F$2:$F$840,"Plana")/SUMIFS(Ordenes!$Q$2:$Q$840,Ordenes!$C$2:$C$840,$B42,Ordenes!$T$2:$T$840,"Válida",Ordenes!$F$2:$F$840,"Plana"),"")</f>
        <v/>
      </c>
      <c r="G42" s="20">
        <f>IFERROR(SUMIFS(Ordenes!$P$2:$P$840,Ordenes!$C$2:$C$840,$B42,Ordenes!$T$2:$T$840,"Válida",Ordenes!$F$2:$F$840,"Ángulo")/SUMIFS(Ordenes!$Q$2:$Q$840,Ordenes!$C$2:$C$840,$B42,Ordenes!$T$2:$T$840,"Válida",Ordenes!$F$2:$F$840,"Ángulo"),"")</f>
        <v/>
      </c>
      <c r="H42" s="20">
        <f>IFERROR(SUMIFS(Ordenes!$P$2:$P$840,Ordenes!$C$2:$C$840,$B42,Ordenes!$T$2:$T$840,"Válida",Ordenes!$F$2:$F$840,"Cuadrado")/SUMIFS(Ordenes!$Q$2:$Q$840,Ordenes!$C$2:$C$840,$B42,Ordenes!$T$2:$T$840,"Válida",Ordenes!$F$2:$F$840,"Cuadrado"),"")</f>
        <v/>
      </c>
      <c r="I42" s="20">
        <f>IFERROR(SUMIFS(Ordenes!$P$2:$P$840,Ordenes!$C$2:$C$840,$B42,Ordenes!$T$2:$T$840,"Válida",Ordenes!$F$2:$F$840,"Estrella")/SUMIFS(Ordenes!$Q$2:$Q$840,Ordenes!$C$2:$C$840,$B42,Ordenes!$T$2:$T$840,"Válida",Ordenes!$F$2:$F$840,"Estrella"),"")</f>
        <v/>
      </c>
      <c r="J42" s="20">
        <f>IFERROR(SUMIFS(Ordenes!$P$2:$P$840,Ordenes!$C$2:$C$840,$B42,Ordenes!$T$2:$T$840,"Válida",Ordenes!$F$2:$F$840,"Saferock")/SUMIFS(Ordenes!$Q$2:$Q$840,Ordenes!$C$2:$C$840,$B42,Ordenes!$T$2:$T$840,"Válida",Ordenes!$F$2:$F$840,"Saferock"),"")</f>
        <v/>
      </c>
      <c r="K42" s="20">
        <f>IFERROR(SUMIFS(Ordenes!$P$2:$P$840,Ordenes!$C$2:$C$840,$B42,Ordenes!$T$2:$T$840,"Válida",Ordenes!$F$2:$F$840,"Hexágono")/SUMIFS(Ordenes!$Q$2:$Q$840,Ordenes!$C$2:$C$840,$B42,Ordenes!$T$2:$T$840,"Válida",Ordenes!$F$2:$F$840,"Hexágono"),"")</f>
        <v/>
      </c>
      <c r="L42" s="24">
        <f>IFERROR(SUMIFS(Ordenes!$P$2:$P$840,Ordenes!$C$2:$C$840,$B42,Ordenes!$T$2:$T$840,"Válida",Ordenes!$F$2:$F$840,"*")/SUMIFS(Ordenes!$Q$2:$Q$840,Ordenes!$C$2:$C$840,$B42,Ordenes!$T$2:$T$840,"Válida",Ordenes!$F$2:$F$840,"*"),"")</f>
        <v/>
      </c>
      <c r="M42" s="20">
        <f>IFERROR(SUMIFS(Ordenes!$V$2:$V$840,Ordenes!$C$2:$C$840,$B42,Ordenes!$T$2:$T$840,"Válida")/SUMIFS(Ordenes!$Q$2:$Q$840,Ordenes!$C$2:$C$840,$B42,Ordenes!$T$2:$T$840,"Válida"),"")</f>
        <v/>
      </c>
      <c r="N42" s="21">
        <f>IFERROR((L42-M42)*100,"")</f>
        <v/>
      </c>
      <c r="O42" s="19">
        <f>SUMIFS(Ordenes!$P$2:$P$840,Ordenes!$C$2:$C$840,$B42,Ordenes!$T$2:$T$840,"Válida")</f>
        <v/>
      </c>
      <c r="P42" s="19">
        <f>SUMIFS(Ordenes!$Q$2:$Q$840,Ordenes!$C$2:$C$840,$B42,Ordenes!$T$2:$T$840,"Válida")</f>
        <v/>
      </c>
      <c r="Q42" s="18">
        <f>COUNTIFS(Ordenes!$C$2:$C$840,$B42,Ordenes!$T$2:$T$840,"Válida")</f>
        <v/>
      </c>
    </row>
    <row r="43">
      <c r="A43" s="18" t="inlineStr">
        <is>
          <t>Mar 17 feb 2026</t>
        </is>
      </c>
      <c r="B43" s="22" t="n">
        <v>46070</v>
      </c>
      <c r="C43" s="18" t="inlineStr">
        <is>
          <t>S08</t>
        </is>
      </c>
      <c r="D43" s="20">
        <f>IFERROR(SUMIFS(Ordenes!$P$2:$P$840,Ordenes!$C$2:$C$840,$B43,Ordenes!$T$2:$T$840,"Válida",Ordenes!$F$2:$F$840,"B Hormigón")/SUMIFS(Ordenes!$Q$2:$Q$840,Ordenes!$C$2:$C$840,$B43,Ordenes!$T$2:$T$840,"Válida",Ordenes!$F$2:$F$840,"B Hormigón"),"")</f>
        <v/>
      </c>
      <c r="E43" s="20">
        <f>IFERROR(SUMIFS(Ordenes!$P$2:$P$840,Ordenes!$C$2:$C$840,$B43,Ordenes!$T$2:$T$840,"Válida",Ordenes!$F$2:$F$840,"Redondo liso")/SUMIFS(Ordenes!$Q$2:$Q$840,Ordenes!$C$2:$C$840,$B43,Ordenes!$T$2:$T$840,"Válida",Ordenes!$F$2:$F$840,"Redondo liso"),"")</f>
        <v/>
      </c>
      <c r="F43" s="20">
        <f>IFERROR(SUMIFS(Ordenes!$P$2:$P$840,Ordenes!$C$2:$C$840,$B43,Ordenes!$T$2:$T$840,"Válida",Ordenes!$F$2:$F$840,"Plana")/SUMIFS(Ordenes!$Q$2:$Q$840,Ordenes!$C$2:$C$840,$B43,Ordenes!$T$2:$T$840,"Válida",Ordenes!$F$2:$F$840,"Plana"),"")</f>
        <v/>
      </c>
      <c r="G43" s="20">
        <f>IFERROR(SUMIFS(Ordenes!$P$2:$P$840,Ordenes!$C$2:$C$840,$B43,Ordenes!$T$2:$T$840,"Válida",Ordenes!$F$2:$F$840,"Ángulo")/SUMIFS(Ordenes!$Q$2:$Q$840,Ordenes!$C$2:$C$840,$B43,Ordenes!$T$2:$T$840,"Válida",Ordenes!$F$2:$F$840,"Ángulo"),"")</f>
        <v/>
      </c>
      <c r="H43" s="20">
        <f>IFERROR(SUMIFS(Ordenes!$P$2:$P$840,Ordenes!$C$2:$C$840,$B43,Ordenes!$T$2:$T$840,"Válida",Ordenes!$F$2:$F$840,"Cuadrado")/SUMIFS(Ordenes!$Q$2:$Q$840,Ordenes!$C$2:$C$840,$B43,Ordenes!$T$2:$T$840,"Válida",Ordenes!$F$2:$F$840,"Cuadrado"),"")</f>
        <v/>
      </c>
      <c r="I43" s="20">
        <f>IFERROR(SUMIFS(Ordenes!$P$2:$P$840,Ordenes!$C$2:$C$840,$B43,Ordenes!$T$2:$T$840,"Válida",Ordenes!$F$2:$F$840,"Estrella")/SUMIFS(Ordenes!$Q$2:$Q$840,Ordenes!$C$2:$C$840,$B43,Ordenes!$T$2:$T$840,"Válida",Ordenes!$F$2:$F$840,"Estrella"),"")</f>
        <v/>
      </c>
      <c r="J43" s="20">
        <f>IFERROR(SUMIFS(Ordenes!$P$2:$P$840,Ordenes!$C$2:$C$840,$B43,Ordenes!$T$2:$T$840,"Válida",Ordenes!$F$2:$F$840,"Saferock")/SUMIFS(Ordenes!$Q$2:$Q$840,Ordenes!$C$2:$C$840,$B43,Ordenes!$T$2:$T$840,"Válida",Ordenes!$F$2:$F$840,"Saferock"),"")</f>
        <v/>
      </c>
      <c r="K43" s="20">
        <f>IFERROR(SUMIFS(Ordenes!$P$2:$P$840,Ordenes!$C$2:$C$840,$B43,Ordenes!$T$2:$T$840,"Válida",Ordenes!$F$2:$F$840,"Hexágono")/SUMIFS(Ordenes!$Q$2:$Q$840,Ordenes!$C$2:$C$840,$B43,Ordenes!$T$2:$T$840,"Válida",Ordenes!$F$2:$F$840,"Hexágono"),"")</f>
        <v/>
      </c>
      <c r="L43" s="24">
        <f>IFERROR(SUMIFS(Ordenes!$P$2:$P$840,Ordenes!$C$2:$C$840,$B43,Ordenes!$T$2:$T$840,"Válida",Ordenes!$F$2:$F$840,"*")/SUMIFS(Ordenes!$Q$2:$Q$840,Ordenes!$C$2:$C$840,$B43,Ordenes!$T$2:$T$840,"Válida",Ordenes!$F$2:$F$840,"*"),"")</f>
        <v/>
      </c>
      <c r="M43" s="20">
        <f>IFERROR(SUMIFS(Ordenes!$V$2:$V$840,Ordenes!$C$2:$C$840,$B43,Ordenes!$T$2:$T$840,"Válida")/SUMIFS(Ordenes!$Q$2:$Q$840,Ordenes!$C$2:$C$840,$B43,Ordenes!$T$2:$T$840,"Válida"),"")</f>
        <v/>
      </c>
      <c r="N43" s="21">
        <f>IFERROR((L43-M43)*100,"")</f>
        <v/>
      </c>
      <c r="O43" s="19">
        <f>SUMIFS(Ordenes!$P$2:$P$840,Ordenes!$C$2:$C$840,$B43,Ordenes!$T$2:$T$840,"Válida")</f>
        <v/>
      </c>
      <c r="P43" s="19">
        <f>SUMIFS(Ordenes!$Q$2:$Q$840,Ordenes!$C$2:$C$840,$B43,Ordenes!$T$2:$T$840,"Válida")</f>
        <v/>
      </c>
      <c r="Q43" s="18">
        <f>COUNTIFS(Ordenes!$C$2:$C$840,$B43,Ordenes!$T$2:$T$840,"Válida")</f>
        <v/>
      </c>
    </row>
    <row r="44">
      <c r="A44" s="18" t="inlineStr">
        <is>
          <t>Mié 18 feb 2026</t>
        </is>
      </c>
      <c r="B44" s="22" t="n">
        <v>46071</v>
      </c>
      <c r="C44" s="18" t="inlineStr">
        <is>
          <t>S08</t>
        </is>
      </c>
      <c r="D44" s="20">
        <f>IFERROR(SUMIFS(Ordenes!$P$2:$P$840,Ordenes!$C$2:$C$840,$B44,Ordenes!$T$2:$T$840,"Válida",Ordenes!$F$2:$F$840,"B Hormigón")/SUMIFS(Ordenes!$Q$2:$Q$840,Ordenes!$C$2:$C$840,$B44,Ordenes!$T$2:$T$840,"Válida",Ordenes!$F$2:$F$840,"B Hormigón"),"")</f>
        <v/>
      </c>
      <c r="E44" s="20">
        <f>IFERROR(SUMIFS(Ordenes!$P$2:$P$840,Ordenes!$C$2:$C$840,$B44,Ordenes!$T$2:$T$840,"Válida",Ordenes!$F$2:$F$840,"Redondo liso")/SUMIFS(Ordenes!$Q$2:$Q$840,Ordenes!$C$2:$C$840,$B44,Ordenes!$T$2:$T$840,"Válida",Ordenes!$F$2:$F$840,"Redondo liso"),"")</f>
        <v/>
      </c>
      <c r="F44" s="20">
        <f>IFERROR(SUMIFS(Ordenes!$P$2:$P$840,Ordenes!$C$2:$C$840,$B44,Ordenes!$T$2:$T$840,"Válida",Ordenes!$F$2:$F$840,"Plana")/SUMIFS(Ordenes!$Q$2:$Q$840,Ordenes!$C$2:$C$840,$B44,Ordenes!$T$2:$T$840,"Válida",Ordenes!$F$2:$F$840,"Plana"),"")</f>
        <v/>
      </c>
      <c r="G44" s="20">
        <f>IFERROR(SUMIFS(Ordenes!$P$2:$P$840,Ordenes!$C$2:$C$840,$B44,Ordenes!$T$2:$T$840,"Válida",Ordenes!$F$2:$F$840,"Ángulo")/SUMIFS(Ordenes!$Q$2:$Q$840,Ordenes!$C$2:$C$840,$B44,Ordenes!$T$2:$T$840,"Válida",Ordenes!$F$2:$F$840,"Ángulo"),"")</f>
        <v/>
      </c>
      <c r="H44" s="20">
        <f>IFERROR(SUMIFS(Ordenes!$P$2:$P$840,Ordenes!$C$2:$C$840,$B44,Ordenes!$T$2:$T$840,"Válida",Ordenes!$F$2:$F$840,"Cuadrado")/SUMIFS(Ordenes!$Q$2:$Q$840,Ordenes!$C$2:$C$840,$B44,Ordenes!$T$2:$T$840,"Válida",Ordenes!$F$2:$F$840,"Cuadrado"),"")</f>
        <v/>
      </c>
      <c r="I44" s="20">
        <f>IFERROR(SUMIFS(Ordenes!$P$2:$P$840,Ordenes!$C$2:$C$840,$B44,Ordenes!$T$2:$T$840,"Válida",Ordenes!$F$2:$F$840,"Estrella")/SUMIFS(Ordenes!$Q$2:$Q$840,Ordenes!$C$2:$C$840,$B44,Ordenes!$T$2:$T$840,"Válida",Ordenes!$F$2:$F$840,"Estrella"),"")</f>
        <v/>
      </c>
      <c r="J44" s="20">
        <f>IFERROR(SUMIFS(Ordenes!$P$2:$P$840,Ordenes!$C$2:$C$840,$B44,Ordenes!$T$2:$T$840,"Válida",Ordenes!$F$2:$F$840,"Saferock")/SUMIFS(Ordenes!$Q$2:$Q$840,Ordenes!$C$2:$C$840,$B44,Ordenes!$T$2:$T$840,"Válida",Ordenes!$F$2:$F$840,"Saferock"),"")</f>
        <v/>
      </c>
      <c r="K44" s="20">
        <f>IFERROR(SUMIFS(Ordenes!$P$2:$P$840,Ordenes!$C$2:$C$840,$B44,Ordenes!$T$2:$T$840,"Válida",Ordenes!$F$2:$F$840,"Hexágono")/SUMIFS(Ordenes!$Q$2:$Q$840,Ordenes!$C$2:$C$840,$B44,Ordenes!$T$2:$T$840,"Válida",Ordenes!$F$2:$F$840,"Hexágono"),"")</f>
        <v/>
      </c>
      <c r="L44" s="24">
        <f>IFERROR(SUMIFS(Ordenes!$P$2:$P$840,Ordenes!$C$2:$C$840,$B44,Ordenes!$T$2:$T$840,"Válida",Ordenes!$F$2:$F$840,"*")/SUMIFS(Ordenes!$Q$2:$Q$840,Ordenes!$C$2:$C$840,$B44,Ordenes!$T$2:$T$840,"Válida",Ordenes!$F$2:$F$840,"*"),"")</f>
        <v/>
      </c>
      <c r="M44" s="20">
        <f>IFERROR(SUMIFS(Ordenes!$V$2:$V$840,Ordenes!$C$2:$C$840,$B44,Ordenes!$T$2:$T$840,"Válida")/SUMIFS(Ordenes!$Q$2:$Q$840,Ordenes!$C$2:$C$840,$B44,Ordenes!$T$2:$T$840,"Válida"),"")</f>
        <v/>
      </c>
      <c r="N44" s="21">
        <f>IFERROR((L44-M44)*100,"")</f>
        <v/>
      </c>
      <c r="O44" s="19">
        <f>SUMIFS(Ordenes!$P$2:$P$840,Ordenes!$C$2:$C$840,$B44,Ordenes!$T$2:$T$840,"Válida")</f>
        <v/>
      </c>
      <c r="P44" s="19">
        <f>SUMIFS(Ordenes!$Q$2:$Q$840,Ordenes!$C$2:$C$840,$B44,Ordenes!$T$2:$T$840,"Válida")</f>
        <v/>
      </c>
      <c r="Q44" s="18">
        <f>COUNTIFS(Ordenes!$C$2:$C$840,$B44,Ordenes!$T$2:$T$840,"Válida")</f>
        <v/>
      </c>
    </row>
    <row r="45">
      <c r="A45" s="18" t="inlineStr">
        <is>
          <t>Jue 19 feb 2026</t>
        </is>
      </c>
      <c r="B45" s="22" t="n">
        <v>46072</v>
      </c>
      <c r="C45" s="18" t="inlineStr">
        <is>
          <t>S08</t>
        </is>
      </c>
      <c r="D45" s="20">
        <f>IFERROR(SUMIFS(Ordenes!$P$2:$P$840,Ordenes!$C$2:$C$840,$B45,Ordenes!$T$2:$T$840,"Válida",Ordenes!$F$2:$F$840,"B Hormigón")/SUMIFS(Ordenes!$Q$2:$Q$840,Ordenes!$C$2:$C$840,$B45,Ordenes!$T$2:$T$840,"Válida",Ordenes!$F$2:$F$840,"B Hormigón"),"")</f>
        <v/>
      </c>
      <c r="E45" s="20">
        <f>IFERROR(SUMIFS(Ordenes!$P$2:$P$840,Ordenes!$C$2:$C$840,$B45,Ordenes!$T$2:$T$840,"Válida",Ordenes!$F$2:$F$840,"Redondo liso")/SUMIFS(Ordenes!$Q$2:$Q$840,Ordenes!$C$2:$C$840,$B45,Ordenes!$T$2:$T$840,"Válida",Ordenes!$F$2:$F$840,"Redondo liso"),"")</f>
        <v/>
      </c>
      <c r="F45" s="20">
        <f>IFERROR(SUMIFS(Ordenes!$P$2:$P$840,Ordenes!$C$2:$C$840,$B45,Ordenes!$T$2:$T$840,"Válida",Ordenes!$F$2:$F$840,"Plana")/SUMIFS(Ordenes!$Q$2:$Q$840,Ordenes!$C$2:$C$840,$B45,Ordenes!$T$2:$T$840,"Válida",Ordenes!$F$2:$F$840,"Plana"),"")</f>
        <v/>
      </c>
      <c r="G45" s="20">
        <f>IFERROR(SUMIFS(Ordenes!$P$2:$P$840,Ordenes!$C$2:$C$840,$B45,Ordenes!$T$2:$T$840,"Válida",Ordenes!$F$2:$F$840,"Ángulo")/SUMIFS(Ordenes!$Q$2:$Q$840,Ordenes!$C$2:$C$840,$B45,Ordenes!$T$2:$T$840,"Válida",Ordenes!$F$2:$F$840,"Ángulo"),"")</f>
        <v/>
      </c>
      <c r="H45" s="20">
        <f>IFERROR(SUMIFS(Ordenes!$P$2:$P$840,Ordenes!$C$2:$C$840,$B45,Ordenes!$T$2:$T$840,"Válida",Ordenes!$F$2:$F$840,"Cuadrado")/SUMIFS(Ordenes!$Q$2:$Q$840,Ordenes!$C$2:$C$840,$B45,Ordenes!$T$2:$T$840,"Válida",Ordenes!$F$2:$F$840,"Cuadrado"),"")</f>
        <v/>
      </c>
      <c r="I45" s="20">
        <f>IFERROR(SUMIFS(Ordenes!$P$2:$P$840,Ordenes!$C$2:$C$840,$B45,Ordenes!$T$2:$T$840,"Válida",Ordenes!$F$2:$F$840,"Estrella")/SUMIFS(Ordenes!$Q$2:$Q$840,Ordenes!$C$2:$C$840,$B45,Ordenes!$T$2:$T$840,"Válida",Ordenes!$F$2:$F$840,"Estrella"),"")</f>
        <v/>
      </c>
      <c r="J45" s="20">
        <f>IFERROR(SUMIFS(Ordenes!$P$2:$P$840,Ordenes!$C$2:$C$840,$B45,Ordenes!$T$2:$T$840,"Válida",Ordenes!$F$2:$F$840,"Saferock")/SUMIFS(Ordenes!$Q$2:$Q$840,Ordenes!$C$2:$C$840,$B45,Ordenes!$T$2:$T$840,"Válida",Ordenes!$F$2:$F$840,"Saferock"),"")</f>
        <v/>
      </c>
      <c r="K45" s="20">
        <f>IFERROR(SUMIFS(Ordenes!$P$2:$P$840,Ordenes!$C$2:$C$840,$B45,Ordenes!$T$2:$T$840,"Válida",Ordenes!$F$2:$F$840,"Hexágono")/SUMIFS(Ordenes!$Q$2:$Q$840,Ordenes!$C$2:$C$840,$B45,Ordenes!$T$2:$T$840,"Válida",Ordenes!$F$2:$F$840,"Hexágono"),"")</f>
        <v/>
      </c>
      <c r="L45" s="24">
        <f>IFERROR(SUMIFS(Ordenes!$P$2:$P$840,Ordenes!$C$2:$C$840,$B45,Ordenes!$T$2:$T$840,"Válida",Ordenes!$F$2:$F$840,"*")/SUMIFS(Ordenes!$Q$2:$Q$840,Ordenes!$C$2:$C$840,$B45,Ordenes!$T$2:$T$840,"Válida",Ordenes!$F$2:$F$840,"*"),"")</f>
        <v/>
      </c>
      <c r="M45" s="20">
        <f>IFERROR(SUMIFS(Ordenes!$V$2:$V$840,Ordenes!$C$2:$C$840,$B45,Ordenes!$T$2:$T$840,"Válida")/SUMIFS(Ordenes!$Q$2:$Q$840,Ordenes!$C$2:$C$840,$B45,Ordenes!$T$2:$T$840,"Válida"),"")</f>
        <v/>
      </c>
      <c r="N45" s="21">
        <f>IFERROR((L45-M45)*100,"")</f>
        <v/>
      </c>
      <c r="O45" s="19">
        <f>SUMIFS(Ordenes!$P$2:$P$840,Ordenes!$C$2:$C$840,$B45,Ordenes!$T$2:$T$840,"Válida")</f>
        <v/>
      </c>
      <c r="P45" s="19">
        <f>SUMIFS(Ordenes!$Q$2:$Q$840,Ordenes!$C$2:$C$840,$B45,Ordenes!$T$2:$T$840,"Válida")</f>
        <v/>
      </c>
      <c r="Q45" s="18">
        <f>COUNTIFS(Ordenes!$C$2:$C$840,$B45,Ordenes!$T$2:$T$840,"Válida")</f>
        <v/>
      </c>
    </row>
    <row r="46">
      <c r="A46" s="18" t="inlineStr">
        <is>
          <t>Vie 20 feb 2026</t>
        </is>
      </c>
      <c r="B46" s="22" t="n">
        <v>46073</v>
      </c>
      <c r="C46" s="18" t="inlineStr">
        <is>
          <t>S08</t>
        </is>
      </c>
      <c r="D46" s="20">
        <f>IFERROR(SUMIFS(Ordenes!$P$2:$P$840,Ordenes!$C$2:$C$840,$B46,Ordenes!$T$2:$T$840,"Válida",Ordenes!$F$2:$F$840,"B Hormigón")/SUMIFS(Ordenes!$Q$2:$Q$840,Ordenes!$C$2:$C$840,$B46,Ordenes!$T$2:$T$840,"Válida",Ordenes!$F$2:$F$840,"B Hormigón"),"")</f>
        <v/>
      </c>
      <c r="E46" s="20">
        <f>IFERROR(SUMIFS(Ordenes!$P$2:$P$840,Ordenes!$C$2:$C$840,$B46,Ordenes!$T$2:$T$840,"Válida",Ordenes!$F$2:$F$840,"Redondo liso")/SUMIFS(Ordenes!$Q$2:$Q$840,Ordenes!$C$2:$C$840,$B46,Ordenes!$T$2:$T$840,"Válida",Ordenes!$F$2:$F$840,"Redondo liso"),"")</f>
        <v/>
      </c>
      <c r="F46" s="20">
        <f>IFERROR(SUMIFS(Ordenes!$P$2:$P$840,Ordenes!$C$2:$C$840,$B46,Ordenes!$T$2:$T$840,"Válida",Ordenes!$F$2:$F$840,"Plana")/SUMIFS(Ordenes!$Q$2:$Q$840,Ordenes!$C$2:$C$840,$B46,Ordenes!$T$2:$T$840,"Válida",Ordenes!$F$2:$F$840,"Plana"),"")</f>
        <v/>
      </c>
      <c r="G46" s="20">
        <f>IFERROR(SUMIFS(Ordenes!$P$2:$P$840,Ordenes!$C$2:$C$840,$B46,Ordenes!$T$2:$T$840,"Válida",Ordenes!$F$2:$F$840,"Ángulo")/SUMIFS(Ordenes!$Q$2:$Q$840,Ordenes!$C$2:$C$840,$B46,Ordenes!$T$2:$T$840,"Válida",Ordenes!$F$2:$F$840,"Ángulo"),"")</f>
        <v/>
      </c>
      <c r="H46" s="20">
        <f>IFERROR(SUMIFS(Ordenes!$P$2:$P$840,Ordenes!$C$2:$C$840,$B46,Ordenes!$T$2:$T$840,"Válida",Ordenes!$F$2:$F$840,"Cuadrado")/SUMIFS(Ordenes!$Q$2:$Q$840,Ordenes!$C$2:$C$840,$B46,Ordenes!$T$2:$T$840,"Válida",Ordenes!$F$2:$F$840,"Cuadrado"),"")</f>
        <v/>
      </c>
      <c r="I46" s="20">
        <f>IFERROR(SUMIFS(Ordenes!$P$2:$P$840,Ordenes!$C$2:$C$840,$B46,Ordenes!$T$2:$T$840,"Válida",Ordenes!$F$2:$F$840,"Estrella")/SUMIFS(Ordenes!$Q$2:$Q$840,Ordenes!$C$2:$C$840,$B46,Ordenes!$T$2:$T$840,"Válida",Ordenes!$F$2:$F$840,"Estrella"),"")</f>
        <v/>
      </c>
      <c r="J46" s="20">
        <f>IFERROR(SUMIFS(Ordenes!$P$2:$P$840,Ordenes!$C$2:$C$840,$B46,Ordenes!$T$2:$T$840,"Válida",Ordenes!$F$2:$F$840,"Saferock")/SUMIFS(Ordenes!$Q$2:$Q$840,Ordenes!$C$2:$C$840,$B46,Ordenes!$T$2:$T$840,"Válida",Ordenes!$F$2:$F$840,"Saferock"),"")</f>
        <v/>
      </c>
      <c r="K46" s="20">
        <f>IFERROR(SUMIFS(Ordenes!$P$2:$P$840,Ordenes!$C$2:$C$840,$B46,Ordenes!$T$2:$T$840,"Válida",Ordenes!$F$2:$F$840,"Hexágono")/SUMIFS(Ordenes!$Q$2:$Q$840,Ordenes!$C$2:$C$840,$B46,Ordenes!$T$2:$T$840,"Válida",Ordenes!$F$2:$F$840,"Hexágono"),"")</f>
        <v/>
      </c>
      <c r="L46" s="24">
        <f>IFERROR(SUMIFS(Ordenes!$P$2:$P$840,Ordenes!$C$2:$C$840,$B46,Ordenes!$T$2:$T$840,"Válida",Ordenes!$F$2:$F$840,"*")/SUMIFS(Ordenes!$Q$2:$Q$840,Ordenes!$C$2:$C$840,$B46,Ordenes!$T$2:$T$840,"Válida",Ordenes!$F$2:$F$840,"*"),"")</f>
        <v/>
      </c>
      <c r="M46" s="20">
        <f>IFERROR(SUMIFS(Ordenes!$V$2:$V$840,Ordenes!$C$2:$C$840,$B46,Ordenes!$T$2:$T$840,"Válida")/SUMIFS(Ordenes!$Q$2:$Q$840,Ordenes!$C$2:$C$840,$B46,Ordenes!$T$2:$T$840,"Válida"),"")</f>
        <v/>
      </c>
      <c r="N46" s="21">
        <f>IFERROR((L46-M46)*100,"")</f>
        <v/>
      </c>
      <c r="O46" s="19">
        <f>SUMIFS(Ordenes!$P$2:$P$840,Ordenes!$C$2:$C$840,$B46,Ordenes!$T$2:$T$840,"Válida")</f>
        <v/>
      </c>
      <c r="P46" s="19">
        <f>SUMIFS(Ordenes!$Q$2:$Q$840,Ordenes!$C$2:$C$840,$B46,Ordenes!$T$2:$T$840,"Válida")</f>
        <v/>
      </c>
      <c r="Q46" s="18">
        <f>COUNTIFS(Ordenes!$C$2:$C$840,$B46,Ordenes!$T$2:$T$840,"Válida")</f>
        <v/>
      </c>
    </row>
    <row r="47">
      <c r="A47" s="18" t="inlineStr">
        <is>
          <t>Sáb 21 feb 2026</t>
        </is>
      </c>
      <c r="B47" s="22" t="n">
        <v>46074</v>
      </c>
      <c r="C47" s="18" t="inlineStr">
        <is>
          <t>S08</t>
        </is>
      </c>
      <c r="D47" s="20">
        <f>IFERROR(SUMIFS(Ordenes!$P$2:$P$840,Ordenes!$C$2:$C$840,$B47,Ordenes!$T$2:$T$840,"Válida",Ordenes!$F$2:$F$840,"B Hormigón")/SUMIFS(Ordenes!$Q$2:$Q$840,Ordenes!$C$2:$C$840,$B47,Ordenes!$T$2:$T$840,"Válida",Ordenes!$F$2:$F$840,"B Hormigón"),"")</f>
        <v/>
      </c>
      <c r="E47" s="20">
        <f>IFERROR(SUMIFS(Ordenes!$P$2:$P$840,Ordenes!$C$2:$C$840,$B47,Ordenes!$T$2:$T$840,"Válida",Ordenes!$F$2:$F$840,"Redondo liso")/SUMIFS(Ordenes!$Q$2:$Q$840,Ordenes!$C$2:$C$840,$B47,Ordenes!$T$2:$T$840,"Válida",Ordenes!$F$2:$F$840,"Redondo liso"),"")</f>
        <v/>
      </c>
      <c r="F47" s="20">
        <f>IFERROR(SUMIFS(Ordenes!$P$2:$P$840,Ordenes!$C$2:$C$840,$B47,Ordenes!$T$2:$T$840,"Válida",Ordenes!$F$2:$F$840,"Plana")/SUMIFS(Ordenes!$Q$2:$Q$840,Ordenes!$C$2:$C$840,$B47,Ordenes!$T$2:$T$840,"Válida",Ordenes!$F$2:$F$840,"Plana"),"")</f>
        <v/>
      </c>
      <c r="G47" s="20">
        <f>IFERROR(SUMIFS(Ordenes!$P$2:$P$840,Ordenes!$C$2:$C$840,$B47,Ordenes!$T$2:$T$840,"Válida",Ordenes!$F$2:$F$840,"Ángulo")/SUMIFS(Ordenes!$Q$2:$Q$840,Ordenes!$C$2:$C$840,$B47,Ordenes!$T$2:$T$840,"Válida",Ordenes!$F$2:$F$840,"Ángulo"),"")</f>
        <v/>
      </c>
      <c r="H47" s="20">
        <f>IFERROR(SUMIFS(Ordenes!$P$2:$P$840,Ordenes!$C$2:$C$840,$B47,Ordenes!$T$2:$T$840,"Válida",Ordenes!$F$2:$F$840,"Cuadrado")/SUMIFS(Ordenes!$Q$2:$Q$840,Ordenes!$C$2:$C$840,$B47,Ordenes!$T$2:$T$840,"Válida",Ordenes!$F$2:$F$840,"Cuadrado"),"")</f>
        <v/>
      </c>
      <c r="I47" s="20">
        <f>IFERROR(SUMIFS(Ordenes!$P$2:$P$840,Ordenes!$C$2:$C$840,$B47,Ordenes!$T$2:$T$840,"Válida",Ordenes!$F$2:$F$840,"Estrella")/SUMIFS(Ordenes!$Q$2:$Q$840,Ordenes!$C$2:$C$840,$B47,Ordenes!$T$2:$T$840,"Válida",Ordenes!$F$2:$F$840,"Estrella"),"")</f>
        <v/>
      </c>
      <c r="J47" s="20">
        <f>IFERROR(SUMIFS(Ordenes!$P$2:$P$840,Ordenes!$C$2:$C$840,$B47,Ordenes!$T$2:$T$840,"Válida",Ordenes!$F$2:$F$840,"Saferock")/SUMIFS(Ordenes!$Q$2:$Q$840,Ordenes!$C$2:$C$840,$B47,Ordenes!$T$2:$T$840,"Válida",Ordenes!$F$2:$F$840,"Saferock"),"")</f>
        <v/>
      </c>
      <c r="K47" s="20">
        <f>IFERROR(SUMIFS(Ordenes!$P$2:$P$840,Ordenes!$C$2:$C$840,$B47,Ordenes!$T$2:$T$840,"Válida",Ordenes!$F$2:$F$840,"Hexágono")/SUMIFS(Ordenes!$Q$2:$Q$840,Ordenes!$C$2:$C$840,$B47,Ordenes!$T$2:$T$840,"Válida",Ordenes!$F$2:$F$840,"Hexágono"),"")</f>
        <v/>
      </c>
      <c r="L47" s="24">
        <f>IFERROR(SUMIFS(Ordenes!$P$2:$P$840,Ordenes!$C$2:$C$840,$B47,Ordenes!$T$2:$T$840,"Válida",Ordenes!$F$2:$F$840,"*")/SUMIFS(Ordenes!$Q$2:$Q$840,Ordenes!$C$2:$C$840,$B47,Ordenes!$T$2:$T$840,"Válida",Ordenes!$F$2:$F$840,"*"),"")</f>
        <v/>
      </c>
      <c r="M47" s="20">
        <f>IFERROR(SUMIFS(Ordenes!$V$2:$V$840,Ordenes!$C$2:$C$840,$B47,Ordenes!$T$2:$T$840,"Válida")/SUMIFS(Ordenes!$Q$2:$Q$840,Ordenes!$C$2:$C$840,$B47,Ordenes!$T$2:$T$840,"Válida"),"")</f>
        <v/>
      </c>
      <c r="N47" s="21">
        <f>IFERROR((L47-M47)*100,"")</f>
        <v/>
      </c>
      <c r="O47" s="19">
        <f>SUMIFS(Ordenes!$P$2:$P$840,Ordenes!$C$2:$C$840,$B47,Ordenes!$T$2:$T$840,"Válida")</f>
        <v/>
      </c>
      <c r="P47" s="19">
        <f>SUMIFS(Ordenes!$Q$2:$Q$840,Ordenes!$C$2:$C$840,$B47,Ordenes!$T$2:$T$840,"Válida")</f>
        <v/>
      </c>
      <c r="Q47" s="18">
        <f>COUNTIFS(Ordenes!$C$2:$C$840,$B47,Ordenes!$T$2:$T$840,"Válida")</f>
        <v/>
      </c>
    </row>
    <row r="48">
      <c r="A48" s="18" t="inlineStr">
        <is>
          <t>Lun 23 feb 2026</t>
        </is>
      </c>
      <c r="B48" s="22" t="n">
        <v>46076</v>
      </c>
      <c r="C48" s="18" t="inlineStr">
        <is>
          <t>S09</t>
        </is>
      </c>
      <c r="D48" s="20">
        <f>IFERROR(SUMIFS(Ordenes!$P$2:$P$840,Ordenes!$C$2:$C$840,$B48,Ordenes!$T$2:$T$840,"Válida",Ordenes!$F$2:$F$840,"B Hormigón")/SUMIFS(Ordenes!$Q$2:$Q$840,Ordenes!$C$2:$C$840,$B48,Ordenes!$T$2:$T$840,"Válida",Ordenes!$F$2:$F$840,"B Hormigón"),"")</f>
        <v/>
      </c>
      <c r="E48" s="20">
        <f>IFERROR(SUMIFS(Ordenes!$P$2:$P$840,Ordenes!$C$2:$C$840,$B48,Ordenes!$T$2:$T$840,"Válida",Ordenes!$F$2:$F$840,"Redondo liso")/SUMIFS(Ordenes!$Q$2:$Q$840,Ordenes!$C$2:$C$840,$B48,Ordenes!$T$2:$T$840,"Válida",Ordenes!$F$2:$F$840,"Redondo liso"),"")</f>
        <v/>
      </c>
      <c r="F48" s="20">
        <f>IFERROR(SUMIFS(Ordenes!$P$2:$P$840,Ordenes!$C$2:$C$840,$B48,Ordenes!$T$2:$T$840,"Válida",Ordenes!$F$2:$F$840,"Plana")/SUMIFS(Ordenes!$Q$2:$Q$840,Ordenes!$C$2:$C$840,$B48,Ordenes!$T$2:$T$840,"Válida",Ordenes!$F$2:$F$840,"Plana"),"")</f>
        <v/>
      </c>
      <c r="G48" s="20">
        <f>IFERROR(SUMIFS(Ordenes!$P$2:$P$840,Ordenes!$C$2:$C$840,$B48,Ordenes!$T$2:$T$840,"Válida",Ordenes!$F$2:$F$840,"Ángulo")/SUMIFS(Ordenes!$Q$2:$Q$840,Ordenes!$C$2:$C$840,$B48,Ordenes!$T$2:$T$840,"Válida",Ordenes!$F$2:$F$840,"Ángulo"),"")</f>
        <v/>
      </c>
      <c r="H48" s="20">
        <f>IFERROR(SUMIFS(Ordenes!$P$2:$P$840,Ordenes!$C$2:$C$840,$B48,Ordenes!$T$2:$T$840,"Válida",Ordenes!$F$2:$F$840,"Cuadrado")/SUMIFS(Ordenes!$Q$2:$Q$840,Ordenes!$C$2:$C$840,$B48,Ordenes!$T$2:$T$840,"Válida",Ordenes!$F$2:$F$840,"Cuadrado"),"")</f>
        <v/>
      </c>
      <c r="I48" s="20">
        <f>IFERROR(SUMIFS(Ordenes!$P$2:$P$840,Ordenes!$C$2:$C$840,$B48,Ordenes!$T$2:$T$840,"Válida",Ordenes!$F$2:$F$840,"Estrella")/SUMIFS(Ordenes!$Q$2:$Q$840,Ordenes!$C$2:$C$840,$B48,Ordenes!$T$2:$T$840,"Válida",Ordenes!$F$2:$F$840,"Estrella"),"")</f>
        <v/>
      </c>
      <c r="J48" s="20">
        <f>IFERROR(SUMIFS(Ordenes!$P$2:$P$840,Ordenes!$C$2:$C$840,$B48,Ordenes!$T$2:$T$840,"Válida",Ordenes!$F$2:$F$840,"Saferock")/SUMIFS(Ordenes!$Q$2:$Q$840,Ordenes!$C$2:$C$840,$B48,Ordenes!$T$2:$T$840,"Válida",Ordenes!$F$2:$F$840,"Saferock"),"")</f>
        <v/>
      </c>
      <c r="K48" s="20">
        <f>IFERROR(SUMIFS(Ordenes!$P$2:$P$840,Ordenes!$C$2:$C$840,$B48,Ordenes!$T$2:$T$840,"Válida",Ordenes!$F$2:$F$840,"Hexágono")/SUMIFS(Ordenes!$Q$2:$Q$840,Ordenes!$C$2:$C$840,$B48,Ordenes!$T$2:$T$840,"Válida",Ordenes!$F$2:$F$840,"Hexágono"),"")</f>
        <v/>
      </c>
      <c r="L48" s="24">
        <f>IFERROR(SUMIFS(Ordenes!$P$2:$P$840,Ordenes!$C$2:$C$840,$B48,Ordenes!$T$2:$T$840,"Válida",Ordenes!$F$2:$F$840,"*")/SUMIFS(Ordenes!$Q$2:$Q$840,Ordenes!$C$2:$C$840,$B48,Ordenes!$T$2:$T$840,"Válida",Ordenes!$F$2:$F$840,"*"),"")</f>
        <v/>
      </c>
      <c r="M48" s="20">
        <f>IFERROR(SUMIFS(Ordenes!$V$2:$V$840,Ordenes!$C$2:$C$840,$B48,Ordenes!$T$2:$T$840,"Válida")/SUMIFS(Ordenes!$Q$2:$Q$840,Ordenes!$C$2:$C$840,$B48,Ordenes!$T$2:$T$840,"Válida"),"")</f>
        <v/>
      </c>
      <c r="N48" s="21">
        <f>IFERROR((L48-M48)*100,"")</f>
        <v/>
      </c>
      <c r="O48" s="19">
        <f>SUMIFS(Ordenes!$P$2:$P$840,Ordenes!$C$2:$C$840,$B48,Ordenes!$T$2:$T$840,"Válida")</f>
        <v/>
      </c>
      <c r="P48" s="19">
        <f>SUMIFS(Ordenes!$Q$2:$Q$840,Ordenes!$C$2:$C$840,$B48,Ordenes!$T$2:$T$840,"Válida")</f>
        <v/>
      </c>
      <c r="Q48" s="18">
        <f>COUNTIFS(Ordenes!$C$2:$C$840,$B48,Ordenes!$T$2:$T$840,"Válida")</f>
        <v/>
      </c>
    </row>
    <row r="49">
      <c r="A49" s="18" t="inlineStr">
        <is>
          <t>Mar 24 feb 2026</t>
        </is>
      </c>
      <c r="B49" s="22" t="n">
        <v>46077</v>
      </c>
      <c r="C49" s="18" t="inlineStr">
        <is>
          <t>S09</t>
        </is>
      </c>
      <c r="D49" s="20">
        <f>IFERROR(SUMIFS(Ordenes!$P$2:$P$840,Ordenes!$C$2:$C$840,$B49,Ordenes!$T$2:$T$840,"Válida",Ordenes!$F$2:$F$840,"B Hormigón")/SUMIFS(Ordenes!$Q$2:$Q$840,Ordenes!$C$2:$C$840,$B49,Ordenes!$T$2:$T$840,"Válida",Ordenes!$F$2:$F$840,"B Hormigón"),"")</f>
        <v/>
      </c>
      <c r="E49" s="20">
        <f>IFERROR(SUMIFS(Ordenes!$P$2:$P$840,Ordenes!$C$2:$C$840,$B49,Ordenes!$T$2:$T$840,"Válida",Ordenes!$F$2:$F$840,"Redondo liso")/SUMIFS(Ordenes!$Q$2:$Q$840,Ordenes!$C$2:$C$840,$B49,Ordenes!$T$2:$T$840,"Válida",Ordenes!$F$2:$F$840,"Redondo liso"),"")</f>
        <v/>
      </c>
      <c r="F49" s="20">
        <f>IFERROR(SUMIFS(Ordenes!$P$2:$P$840,Ordenes!$C$2:$C$840,$B49,Ordenes!$T$2:$T$840,"Válida",Ordenes!$F$2:$F$840,"Plana")/SUMIFS(Ordenes!$Q$2:$Q$840,Ordenes!$C$2:$C$840,$B49,Ordenes!$T$2:$T$840,"Válida",Ordenes!$F$2:$F$840,"Plana"),"")</f>
        <v/>
      </c>
      <c r="G49" s="20">
        <f>IFERROR(SUMIFS(Ordenes!$P$2:$P$840,Ordenes!$C$2:$C$840,$B49,Ordenes!$T$2:$T$840,"Válida",Ordenes!$F$2:$F$840,"Ángulo")/SUMIFS(Ordenes!$Q$2:$Q$840,Ordenes!$C$2:$C$840,$B49,Ordenes!$T$2:$T$840,"Válida",Ordenes!$F$2:$F$840,"Ángulo"),"")</f>
        <v/>
      </c>
      <c r="H49" s="20">
        <f>IFERROR(SUMIFS(Ordenes!$P$2:$P$840,Ordenes!$C$2:$C$840,$B49,Ordenes!$T$2:$T$840,"Válida",Ordenes!$F$2:$F$840,"Cuadrado")/SUMIFS(Ordenes!$Q$2:$Q$840,Ordenes!$C$2:$C$840,$B49,Ordenes!$T$2:$T$840,"Válida",Ordenes!$F$2:$F$840,"Cuadrado"),"")</f>
        <v/>
      </c>
      <c r="I49" s="20">
        <f>IFERROR(SUMIFS(Ordenes!$P$2:$P$840,Ordenes!$C$2:$C$840,$B49,Ordenes!$T$2:$T$840,"Válida",Ordenes!$F$2:$F$840,"Estrella")/SUMIFS(Ordenes!$Q$2:$Q$840,Ordenes!$C$2:$C$840,$B49,Ordenes!$T$2:$T$840,"Válida",Ordenes!$F$2:$F$840,"Estrella"),"")</f>
        <v/>
      </c>
      <c r="J49" s="20">
        <f>IFERROR(SUMIFS(Ordenes!$P$2:$P$840,Ordenes!$C$2:$C$840,$B49,Ordenes!$T$2:$T$840,"Válida",Ordenes!$F$2:$F$840,"Saferock")/SUMIFS(Ordenes!$Q$2:$Q$840,Ordenes!$C$2:$C$840,$B49,Ordenes!$T$2:$T$840,"Válida",Ordenes!$F$2:$F$840,"Saferock"),"")</f>
        <v/>
      </c>
      <c r="K49" s="20">
        <f>IFERROR(SUMIFS(Ordenes!$P$2:$P$840,Ordenes!$C$2:$C$840,$B49,Ordenes!$T$2:$T$840,"Válida",Ordenes!$F$2:$F$840,"Hexágono")/SUMIFS(Ordenes!$Q$2:$Q$840,Ordenes!$C$2:$C$840,$B49,Ordenes!$T$2:$T$840,"Válida",Ordenes!$F$2:$F$840,"Hexágono"),"")</f>
        <v/>
      </c>
      <c r="L49" s="24">
        <f>IFERROR(SUMIFS(Ordenes!$P$2:$P$840,Ordenes!$C$2:$C$840,$B49,Ordenes!$T$2:$T$840,"Válida",Ordenes!$F$2:$F$840,"*")/SUMIFS(Ordenes!$Q$2:$Q$840,Ordenes!$C$2:$C$840,$B49,Ordenes!$T$2:$T$840,"Válida",Ordenes!$F$2:$F$840,"*"),"")</f>
        <v/>
      </c>
      <c r="M49" s="20">
        <f>IFERROR(SUMIFS(Ordenes!$V$2:$V$840,Ordenes!$C$2:$C$840,$B49,Ordenes!$T$2:$T$840,"Válida")/SUMIFS(Ordenes!$Q$2:$Q$840,Ordenes!$C$2:$C$840,$B49,Ordenes!$T$2:$T$840,"Válida"),"")</f>
        <v/>
      </c>
      <c r="N49" s="21">
        <f>IFERROR((L49-M49)*100,"")</f>
        <v/>
      </c>
      <c r="O49" s="19">
        <f>SUMIFS(Ordenes!$P$2:$P$840,Ordenes!$C$2:$C$840,$B49,Ordenes!$T$2:$T$840,"Válida")</f>
        <v/>
      </c>
      <c r="P49" s="19">
        <f>SUMIFS(Ordenes!$Q$2:$Q$840,Ordenes!$C$2:$C$840,$B49,Ordenes!$T$2:$T$840,"Válida")</f>
        <v/>
      </c>
      <c r="Q49" s="18">
        <f>COUNTIFS(Ordenes!$C$2:$C$840,$B49,Ordenes!$T$2:$T$840,"Válida")</f>
        <v/>
      </c>
    </row>
    <row r="50">
      <c r="A50" s="18" t="inlineStr">
        <is>
          <t>Mié 25 feb 2026</t>
        </is>
      </c>
      <c r="B50" s="22" t="n">
        <v>46078</v>
      </c>
      <c r="C50" s="18" t="inlineStr">
        <is>
          <t>S09</t>
        </is>
      </c>
      <c r="D50" s="20">
        <f>IFERROR(SUMIFS(Ordenes!$P$2:$P$840,Ordenes!$C$2:$C$840,$B50,Ordenes!$T$2:$T$840,"Válida",Ordenes!$F$2:$F$840,"B Hormigón")/SUMIFS(Ordenes!$Q$2:$Q$840,Ordenes!$C$2:$C$840,$B50,Ordenes!$T$2:$T$840,"Válida",Ordenes!$F$2:$F$840,"B Hormigón"),"")</f>
        <v/>
      </c>
      <c r="E50" s="20">
        <f>IFERROR(SUMIFS(Ordenes!$P$2:$P$840,Ordenes!$C$2:$C$840,$B50,Ordenes!$T$2:$T$840,"Válida",Ordenes!$F$2:$F$840,"Redondo liso")/SUMIFS(Ordenes!$Q$2:$Q$840,Ordenes!$C$2:$C$840,$B50,Ordenes!$T$2:$T$840,"Válida",Ordenes!$F$2:$F$840,"Redondo liso"),"")</f>
        <v/>
      </c>
      <c r="F50" s="20">
        <f>IFERROR(SUMIFS(Ordenes!$P$2:$P$840,Ordenes!$C$2:$C$840,$B50,Ordenes!$T$2:$T$840,"Válida",Ordenes!$F$2:$F$840,"Plana")/SUMIFS(Ordenes!$Q$2:$Q$840,Ordenes!$C$2:$C$840,$B50,Ordenes!$T$2:$T$840,"Válida",Ordenes!$F$2:$F$840,"Plana"),"")</f>
        <v/>
      </c>
      <c r="G50" s="20">
        <f>IFERROR(SUMIFS(Ordenes!$P$2:$P$840,Ordenes!$C$2:$C$840,$B50,Ordenes!$T$2:$T$840,"Válida",Ordenes!$F$2:$F$840,"Ángulo")/SUMIFS(Ordenes!$Q$2:$Q$840,Ordenes!$C$2:$C$840,$B50,Ordenes!$T$2:$T$840,"Válida",Ordenes!$F$2:$F$840,"Ángulo"),"")</f>
        <v/>
      </c>
      <c r="H50" s="20">
        <f>IFERROR(SUMIFS(Ordenes!$P$2:$P$840,Ordenes!$C$2:$C$840,$B50,Ordenes!$T$2:$T$840,"Válida",Ordenes!$F$2:$F$840,"Cuadrado")/SUMIFS(Ordenes!$Q$2:$Q$840,Ordenes!$C$2:$C$840,$B50,Ordenes!$T$2:$T$840,"Válida",Ordenes!$F$2:$F$840,"Cuadrado"),"")</f>
        <v/>
      </c>
      <c r="I50" s="20">
        <f>IFERROR(SUMIFS(Ordenes!$P$2:$P$840,Ordenes!$C$2:$C$840,$B50,Ordenes!$T$2:$T$840,"Válida",Ordenes!$F$2:$F$840,"Estrella")/SUMIFS(Ordenes!$Q$2:$Q$840,Ordenes!$C$2:$C$840,$B50,Ordenes!$T$2:$T$840,"Válida",Ordenes!$F$2:$F$840,"Estrella"),"")</f>
        <v/>
      </c>
      <c r="J50" s="20">
        <f>IFERROR(SUMIFS(Ordenes!$P$2:$P$840,Ordenes!$C$2:$C$840,$B50,Ordenes!$T$2:$T$840,"Válida",Ordenes!$F$2:$F$840,"Saferock")/SUMIFS(Ordenes!$Q$2:$Q$840,Ordenes!$C$2:$C$840,$B50,Ordenes!$T$2:$T$840,"Válida",Ordenes!$F$2:$F$840,"Saferock"),"")</f>
        <v/>
      </c>
      <c r="K50" s="20">
        <f>IFERROR(SUMIFS(Ordenes!$P$2:$P$840,Ordenes!$C$2:$C$840,$B50,Ordenes!$T$2:$T$840,"Válida",Ordenes!$F$2:$F$840,"Hexágono")/SUMIFS(Ordenes!$Q$2:$Q$840,Ordenes!$C$2:$C$840,$B50,Ordenes!$T$2:$T$840,"Válida",Ordenes!$F$2:$F$840,"Hexágono"),"")</f>
        <v/>
      </c>
      <c r="L50" s="24">
        <f>IFERROR(SUMIFS(Ordenes!$P$2:$P$840,Ordenes!$C$2:$C$840,$B50,Ordenes!$T$2:$T$840,"Válida",Ordenes!$F$2:$F$840,"*")/SUMIFS(Ordenes!$Q$2:$Q$840,Ordenes!$C$2:$C$840,$B50,Ordenes!$T$2:$T$840,"Válida",Ordenes!$F$2:$F$840,"*"),"")</f>
        <v/>
      </c>
      <c r="M50" s="20">
        <f>IFERROR(SUMIFS(Ordenes!$V$2:$V$840,Ordenes!$C$2:$C$840,$B50,Ordenes!$T$2:$T$840,"Válida")/SUMIFS(Ordenes!$Q$2:$Q$840,Ordenes!$C$2:$C$840,$B50,Ordenes!$T$2:$T$840,"Válida"),"")</f>
        <v/>
      </c>
      <c r="N50" s="21">
        <f>IFERROR((L50-M50)*100,"")</f>
        <v/>
      </c>
      <c r="O50" s="19">
        <f>SUMIFS(Ordenes!$P$2:$P$840,Ordenes!$C$2:$C$840,$B50,Ordenes!$T$2:$T$840,"Válida")</f>
        <v/>
      </c>
      <c r="P50" s="19">
        <f>SUMIFS(Ordenes!$Q$2:$Q$840,Ordenes!$C$2:$C$840,$B50,Ordenes!$T$2:$T$840,"Válida")</f>
        <v/>
      </c>
      <c r="Q50" s="18">
        <f>COUNTIFS(Ordenes!$C$2:$C$840,$B50,Ordenes!$T$2:$T$840,"Válida")</f>
        <v/>
      </c>
    </row>
    <row r="51">
      <c r="A51" s="18" t="inlineStr">
        <is>
          <t>Jue 26 feb 2026</t>
        </is>
      </c>
      <c r="B51" s="22" t="n">
        <v>46079</v>
      </c>
      <c r="C51" s="18" t="inlineStr">
        <is>
          <t>S09</t>
        </is>
      </c>
      <c r="D51" s="20">
        <f>IFERROR(SUMIFS(Ordenes!$P$2:$P$840,Ordenes!$C$2:$C$840,$B51,Ordenes!$T$2:$T$840,"Válida",Ordenes!$F$2:$F$840,"B Hormigón")/SUMIFS(Ordenes!$Q$2:$Q$840,Ordenes!$C$2:$C$840,$B51,Ordenes!$T$2:$T$840,"Válida",Ordenes!$F$2:$F$840,"B Hormigón"),"")</f>
        <v/>
      </c>
      <c r="E51" s="20">
        <f>IFERROR(SUMIFS(Ordenes!$P$2:$P$840,Ordenes!$C$2:$C$840,$B51,Ordenes!$T$2:$T$840,"Válida",Ordenes!$F$2:$F$840,"Redondo liso")/SUMIFS(Ordenes!$Q$2:$Q$840,Ordenes!$C$2:$C$840,$B51,Ordenes!$T$2:$T$840,"Válida",Ordenes!$F$2:$F$840,"Redondo liso"),"")</f>
        <v/>
      </c>
      <c r="F51" s="20">
        <f>IFERROR(SUMIFS(Ordenes!$P$2:$P$840,Ordenes!$C$2:$C$840,$B51,Ordenes!$T$2:$T$840,"Válida",Ordenes!$F$2:$F$840,"Plana")/SUMIFS(Ordenes!$Q$2:$Q$840,Ordenes!$C$2:$C$840,$B51,Ordenes!$T$2:$T$840,"Válida",Ordenes!$F$2:$F$840,"Plana"),"")</f>
        <v/>
      </c>
      <c r="G51" s="20">
        <f>IFERROR(SUMIFS(Ordenes!$P$2:$P$840,Ordenes!$C$2:$C$840,$B51,Ordenes!$T$2:$T$840,"Válida",Ordenes!$F$2:$F$840,"Ángulo")/SUMIFS(Ordenes!$Q$2:$Q$840,Ordenes!$C$2:$C$840,$B51,Ordenes!$T$2:$T$840,"Válida",Ordenes!$F$2:$F$840,"Ángulo"),"")</f>
        <v/>
      </c>
      <c r="H51" s="20">
        <f>IFERROR(SUMIFS(Ordenes!$P$2:$P$840,Ordenes!$C$2:$C$840,$B51,Ordenes!$T$2:$T$840,"Válida",Ordenes!$F$2:$F$840,"Cuadrado")/SUMIFS(Ordenes!$Q$2:$Q$840,Ordenes!$C$2:$C$840,$B51,Ordenes!$T$2:$T$840,"Válida",Ordenes!$F$2:$F$840,"Cuadrado"),"")</f>
        <v/>
      </c>
      <c r="I51" s="20">
        <f>IFERROR(SUMIFS(Ordenes!$P$2:$P$840,Ordenes!$C$2:$C$840,$B51,Ordenes!$T$2:$T$840,"Válida",Ordenes!$F$2:$F$840,"Estrella")/SUMIFS(Ordenes!$Q$2:$Q$840,Ordenes!$C$2:$C$840,$B51,Ordenes!$T$2:$T$840,"Válida",Ordenes!$F$2:$F$840,"Estrella"),"")</f>
        <v/>
      </c>
      <c r="J51" s="20">
        <f>IFERROR(SUMIFS(Ordenes!$P$2:$P$840,Ordenes!$C$2:$C$840,$B51,Ordenes!$T$2:$T$840,"Válida",Ordenes!$F$2:$F$840,"Saferock")/SUMIFS(Ordenes!$Q$2:$Q$840,Ordenes!$C$2:$C$840,$B51,Ordenes!$T$2:$T$840,"Válida",Ordenes!$F$2:$F$840,"Saferock"),"")</f>
        <v/>
      </c>
      <c r="K51" s="20">
        <f>IFERROR(SUMIFS(Ordenes!$P$2:$P$840,Ordenes!$C$2:$C$840,$B51,Ordenes!$T$2:$T$840,"Válida",Ordenes!$F$2:$F$840,"Hexágono")/SUMIFS(Ordenes!$Q$2:$Q$840,Ordenes!$C$2:$C$840,$B51,Ordenes!$T$2:$T$840,"Válida",Ordenes!$F$2:$F$840,"Hexágono"),"")</f>
        <v/>
      </c>
      <c r="L51" s="24">
        <f>IFERROR(SUMIFS(Ordenes!$P$2:$P$840,Ordenes!$C$2:$C$840,$B51,Ordenes!$T$2:$T$840,"Válida",Ordenes!$F$2:$F$840,"*")/SUMIFS(Ordenes!$Q$2:$Q$840,Ordenes!$C$2:$C$840,$B51,Ordenes!$T$2:$T$840,"Válida",Ordenes!$F$2:$F$840,"*"),"")</f>
        <v/>
      </c>
      <c r="M51" s="20">
        <f>IFERROR(SUMIFS(Ordenes!$V$2:$V$840,Ordenes!$C$2:$C$840,$B51,Ordenes!$T$2:$T$840,"Válida")/SUMIFS(Ordenes!$Q$2:$Q$840,Ordenes!$C$2:$C$840,$B51,Ordenes!$T$2:$T$840,"Válida"),"")</f>
        <v/>
      </c>
      <c r="N51" s="21">
        <f>IFERROR((L51-M51)*100,"")</f>
        <v/>
      </c>
      <c r="O51" s="19">
        <f>SUMIFS(Ordenes!$P$2:$P$840,Ordenes!$C$2:$C$840,$B51,Ordenes!$T$2:$T$840,"Válida")</f>
        <v/>
      </c>
      <c r="P51" s="19">
        <f>SUMIFS(Ordenes!$Q$2:$Q$840,Ordenes!$C$2:$C$840,$B51,Ordenes!$T$2:$T$840,"Válida")</f>
        <v/>
      </c>
      <c r="Q51" s="18">
        <f>COUNTIFS(Ordenes!$C$2:$C$840,$B51,Ordenes!$T$2:$T$840,"Válida")</f>
        <v/>
      </c>
    </row>
    <row r="52">
      <c r="A52" s="18" t="inlineStr">
        <is>
          <t>Vie 27 feb 2026</t>
        </is>
      </c>
      <c r="B52" s="22" t="n">
        <v>46080</v>
      </c>
      <c r="C52" s="18" t="inlineStr">
        <is>
          <t>S09</t>
        </is>
      </c>
      <c r="D52" s="20">
        <f>IFERROR(SUMIFS(Ordenes!$P$2:$P$840,Ordenes!$C$2:$C$840,$B52,Ordenes!$T$2:$T$840,"Válida",Ordenes!$F$2:$F$840,"B Hormigón")/SUMIFS(Ordenes!$Q$2:$Q$840,Ordenes!$C$2:$C$840,$B52,Ordenes!$T$2:$T$840,"Válida",Ordenes!$F$2:$F$840,"B Hormigón"),"")</f>
        <v/>
      </c>
      <c r="E52" s="20">
        <f>IFERROR(SUMIFS(Ordenes!$P$2:$P$840,Ordenes!$C$2:$C$840,$B52,Ordenes!$T$2:$T$840,"Válida",Ordenes!$F$2:$F$840,"Redondo liso")/SUMIFS(Ordenes!$Q$2:$Q$840,Ordenes!$C$2:$C$840,$B52,Ordenes!$T$2:$T$840,"Válida",Ordenes!$F$2:$F$840,"Redondo liso"),"")</f>
        <v/>
      </c>
      <c r="F52" s="20">
        <f>IFERROR(SUMIFS(Ordenes!$P$2:$P$840,Ordenes!$C$2:$C$840,$B52,Ordenes!$T$2:$T$840,"Válida",Ordenes!$F$2:$F$840,"Plana")/SUMIFS(Ordenes!$Q$2:$Q$840,Ordenes!$C$2:$C$840,$B52,Ordenes!$T$2:$T$840,"Válida",Ordenes!$F$2:$F$840,"Plana"),"")</f>
        <v/>
      </c>
      <c r="G52" s="20">
        <f>IFERROR(SUMIFS(Ordenes!$P$2:$P$840,Ordenes!$C$2:$C$840,$B52,Ordenes!$T$2:$T$840,"Válida",Ordenes!$F$2:$F$840,"Ángulo")/SUMIFS(Ordenes!$Q$2:$Q$840,Ordenes!$C$2:$C$840,$B52,Ordenes!$T$2:$T$840,"Válida",Ordenes!$F$2:$F$840,"Ángulo"),"")</f>
        <v/>
      </c>
      <c r="H52" s="20">
        <f>IFERROR(SUMIFS(Ordenes!$P$2:$P$840,Ordenes!$C$2:$C$840,$B52,Ordenes!$T$2:$T$840,"Válida",Ordenes!$F$2:$F$840,"Cuadrado")/SUMIFS(Ordenes!$Q$2:$Q$840,Ordenes!$C$2:$C$840,$B52,Ordenes!$T$2:$T$840,"Válida",Ordenes!$F$2:$F$840,"Cuadrado"),"")</f>
        <v/>
      </c>
      <c r="I52" s="20">
        <f>IFERROR(SUMIFS(Ordenes!$P$2:$P$840,Ordenes!$C$2:$C$840,$B52,Ordenes!$T$2:$T$840,"Válida",Ordenes!$F$2:$F$840,"Estrella")/SUMIFS(Ordenes!$Q$2:$Q$840,Ordenes!$C$2:$C$840,$B52,Ordenes!$T$2:$T$840,"Válida",Ordenes!$F$2:$F$840,"Estrella"),"")</f>
        <v/>
      </c>
      <c r="J52" s="20">
        <f>IFERROR(SUMIFS(Ordenes!$P$2:$P$840,Ordenes!$C$2:$C$840,$B52,Ordenes!$T$2:$T$840,"Válida",Ordenes!$F$2:$F$840,"Saferock")/SUMIFS(Ordenes!$Q$2:$Q$840,Ordenes!$C$2:$C$840,$B52,Ordenes!$T$2:$T$840,"Válida",Ordenes!$F$2:$F$840,"Saferock"),"")</f>
        <v/>
      </c>
      <c r="K52" s="20">
        <f>IFERROR(SUMIFS(Ordenes!$P$2:$P$840,Ordenes!$C$2:$C$840,$B52,Ordenes!$T$2:$T$840,"Válida",Ordenes!$F$2:$F$840,"Hexágono")/SUMIFS(Ordenes!$Q$2:$Q$840,Ordenes!$C$2:$C$840,$B52,Ordenes!$T$2:$T$840,"Válida",Ordenes!$F$2:$F$840,"Hexágono"),"")</f>
        <v/>
      </c>
      <c r="L52" s="24">
        <f>IFERROR(SUMIFS(Ordenes!$P$2:$P$840,Ordenes!$C$2:$C$840,$B52,Ordenes!$T$2:$T$840,"Válida",Ordenes!$F$2:$F$840,"*")/SUMIFS(Ordenes!$Q$2:$Q$840,Ordenes!$C$2:$C$840,$B52,Ordenes!$T$2:$T$840,"Válida",Ordenes!$F$2:$F$840,"*"),"")</f>
        <v/>
      </c>
      <c r="M52" s="20">
        <f>IFERROR(SUMIFS(Ordenes!$V$2:$V$840,Ordenes!$C$2:$C$840,$B52,Ordenes!$T$2:$T$840,"Válida")/SUMIFS(Ordenes!$Q$2:$Q$840,Ordenes!$C$2:$C$840,$B52,Ordenes!$T$2:$T$840,"Válida"),"")</f>
        <v/>
      </c>
      <c r="N52" s="21">
        <f>IFERROR((L52-M52)*100,"")</f>
        <v/>
      </c>
      <c r="O52" s="19">
        <f>SUMIFS(Ordenes!$P$2:$P$840,Ordenes!$C$2:$C$840,$B52,Ordenes!$T$2:$T$840,"Válida")</f>
        <v/>
      </c>
      <c r="P52" s="19">
        <f>SUMIFS(Ordenes!$Q$2:$Q$840,Ordenes!$C$2:$C$840,$B52,Ordenes!$T$2:$T$840,"Válida")</f>
        <v/>
      </c>
      <c r="Q52" s="18">
        <f>COUNTIFS(Ordenes!$C$2:$C$840,$B52,Ordenes!$T$2:$T$840,"Válida")</f>
        <v/>
      </c>
    </row>
    <row r="53">
      <c r="A53" s="18" t="inlineStr">
        <is>
          <t>Sáb 28 feb 2026</t>
        </is>
      </c>
      <c r="B53" s="22" t="n">
        <v>46081</v>
      </c>
      <c r="C53" s="18" t="inlineStr">
        <is>
          <t>S09</t>
        </is>
      </c>
      <c r="D53" s="20">
        <f>IFERROR(SUMIFS(Ordenes!$P$2:$P$840,Ordenes!$C$2:$C$840,$B53,Ordenes!$T$2:$T$840,"Válida",Ordenes!$F$2:$F$840,"B Hormigón")/SUMIFS(Ordenes!$Q$2:$Q$840,Ordenes!$C$2:$C$840,$B53,Ordenes!$T$2:$T$840,"Válida",Ordenes!$F$2:$F$840,"B Hormigón"),"")</f>
        <v/>
      </c>
      <c r="E53" s="20">
        <f>IFERROR(SUMIFS(Ordenes!$P$2:$P$840,Ordenes!$C$2:$C$840,$B53,Ordenes!$T$2:$T$840,"Válida",Ordenes!$F$2:$F$840,"Redondo liso")/SUMIFS(Ordenes!$Q$2:$Q$840,Ordenes!$C$2:$C$840,$B53,Ordenes!$T$2:$T$840,"Válida",Ordenes!$F$2:$F$840,"Redondo liso"),"")</f>
        <v/>
      </c>
      <c r="F53" s="20">
        <f>IFERROR(SUMIFS(Ordenes!$P$2:$P$840,Ordenes!$C$2:$C$840,$B53,Ordenes!$T$2:$T$840,"Válida",Ordenes!$F$2:$F$840,"Plana")/SUMIFS(Ordenes!$Q$2:$Q$840,Ordenes!$C$2:$C$840,$B53,Ordenes!$T$2:$T$840,"Válida",Ordenes!$F$2:$F$840,"Plana"),"")</f>
        <v/>
      </c>
      <c r="G53" s="20">
        <f>IFERROR(SUMIFS(Ordenes!$P$2:$P$840,Ordenes!$C$2:$C$840,$B53,Ordenes!$T$2:$T$840,"Válida",Ordenes!$F$2:$F$840,"Ángulo")/SUMIFS(Ordenes!$Q$2:$Q$840,Ordenes!$C$2:$C$840,$B53,Ordenes!$T$2:$T$840,"Válida",Ordenes!$F$2:$F$840,"Ángulo"),"")</f>
        <v/>
      </c>
      <c r="H53" s="20">
        <f>IFERROR(SUMIFS(Ordenes!$P$2:$P$840,Ordenes!$C$2:$C$840,$B53,Ordenes!$T$2:$T$840,"Válida",Ordenes!$F$2:$F$840,"Cuadrado")/SUMIFS(Ordenes!$Q$2:$Q$840,Ordenes!$C$2:$C$840,$B53,Ordenes!$T$2:$T$840,"Válida",Ordenes!$F$2:$F$840,"Cuadrado"),"")</f>
        <v/>
      </c>
      <c r="I53" s="20">
        <f>IFERROR(SUMIFS(Ordenes!$P$2:$P$840,Ordenes!$C$2:$C$840,$B53,Ordenes!$T$2:$T$840,"Válida",Ordenes!$F$2:$F$840,"Estrella")/SUMIFS(Ordenes!$Q$2:$Q$840,Ordenes!$C$2:$C$840,$B53,Ordenes!$T$2:$T$840,"Válida",Ordenes!$F$2:$F$840,"Estrella"),"")</f>
        <v/>
      </c>
      <c r="J53" s="20">
        <f>IFERROR(SUMIFS(Ordenes!$P$2:$P$840,Ordenes!$C$2:$C$840,$B53,Ordenes!$T$2:$T$840,"Válida",Ordenes!$F$2:$F$840,"Saferock")/SUMIFS(Ordenes!$Q$2:$Q$840,Ordenes!$C$2:$C$840,$B53,Ordenes!$T$2:$T$840,"Válida",Ordenes!$F$2:$F$840,"Saferock"),"")</f>
        <v/>
      </c>
      <c r="K53" s="20">
        <f>IFERROR(SUMIFS(Ordenes!$P$2:$P$840,Ordenes!$C$2:$C$840,$B53,Ordenes!$T$2:$T$840,"Válida",Ordenes!$F$2:$F$840,"Hexágono")/SUMIFS(Ordenes!$Q$2:$Q$840,Ordenes!$C$2:$C$840,$B53,Ordenes!$T$2:$T$840,"Válida",Ordenes!$F$2:$F$840,"Hexágono"),"")</f>
        <v/>
      </c>
      <c r="L53" s="24">
        <f>IFERROR(SUMIFS(Ordenes!$P$2:$P$840,Ordenes!$C$2:$C$840,$B53,Ordenes!$T$2:$T$840,"Válida",Ordenes!$F$2:$F$840,"*")/SUMIFS(Ordenes!$Q$2:$Q$840,Ordenes!$C$2:$C$840,$B53,Ordenes!$T$2:$T$840,"Válida",Ordenes!$F$2:$F$840,"*"),"")</f>
        <v/>
      </c>
      <c r="M53" s="20">
        <f>IFERROR(SUMIFS(Ordenes!$V$2:$V$840,Ordenes!$C$2:$C$840,$B53,Ordenes!$T$2:$T$840,"Válida")/SUMIFS(Ordenes!$Q$2:$Q$840,Ordenes!$C$2:$C$840,$B53,Ordenes!$T$2:$T$840,"Válida"),"")</f>
        <v/>
      </c>
      <c r="N53" s="21">
        <f>IFERROR((L53-M53)*100,"")</f>
        <v/>
      </c>
      <c r="O53" s="19">
        <f>SUMIFS(Ordenes!$P$2:$P$840,Ordenes!$C$2:$C$840,$B53,Ordenes!$T$2:$T$840,"Válida")</f>
        <v/>
      </c>
      <c r="P53" s="19">
        <f>SUMIFS(Ordenes!$Q$2:$Q$840,Ordenes!$C$2:$C$840,$B53,Ordenes!$T$2:$T$840,"Válida")</f>
        <v/>
      </c>
      <c r="Q53" s="18">
        <f>COUNTIFS(Ordenes!$C$2:$C$840,$B53,Ordenes!$T$2:$T$840,"Válida")</f>
        <v/>
      </c>
    </row>
    <row r="54">
      <c r="A54" s="18" t="inlineStr">
        <is>
          <t>Lun 2 mar 2026</t>
        </is>
      </c>
      <c r="B54" s="22" t="n">
        <v>46083</v>
      </c>
      <c r="C54" s="18" t="inlineStr">
        <is>
          <t>S10</t>
        </is>
      </c>
      <c r="D54" s="20">
        <f>IFERROR(SUMIFS(Ordenes!$P$2:$P$840,Ordenes!$C$2:$C$840,$B54,Ordenes!$T$2:$T$840,"Válida",Ordenes!$F$2:$F$840,"B Hormigón")/SUMIFS(Ordenes!$Q$2:$Q$840,Ordenes!$C$2:$C$840,$B54,Ordenes!$T$2:$T$840,"Válida",Ordenes!$F$2:$F$840,"B Hormigón"),"")</f>
        <v/>
      </c>
      <c r="E54" s="20">
        <f>IFERROR(SUMIFS(Ordenes!$P$2:$P$840,Ordenes!$C$2:$C$840,$B54,Ordenes!$T$2:$T$840,"Válida",Ordenes!$F$2:$F$840,"Redondo liso")/SUMIFS(Ordenes!$Q$2:$Q$840,Ordenes!$C$2:$C$840,$B54,Ordenes!$T$2:$T$840,"Válida",Ordenes!$F$2:$F$840,"Redondo liso"),"")</f>
        <v/>
      </c>
      <c r="F54" s="20">
        <f>IFERROR(SUMIFS(Ordenes!$P$2:$P$840,Ordenes!$C$2:$C$840,$B54,Ordenes!$T$2:$T$840,"Válida",Ordenes!$F$2:$F$840,"Plana")/SUMIFS(Ordenes!$Q$2:$Q$840,Ordenes!$C$2:$C$840,$B54,Ordenes!$T$2:$T$840,"Válida",Ordenes!$F$2:$F$840,"Plana"),"")</f>
        <v/>
      </c>
      <c r="G54" s="20">
        <f>IFERROR(SUMIFS(Ordenes!$P$2:$P$840,Ordenes!$C$2:$C$840,$B54,Ordenes!$T$2:$T$840,"Válida",Ordenes!$F$2:$F$840,"Ángulo")/SUMIFS(Ordenes!$Q$2:$Q$840,Ordenes!$C$2:$C$840,$B54,Ordenes!$T$2:$T$840,"Válida",Ordenes!$F$2:$F$840,"Ángulo"),"")</f>
        <v/>
      </c>
      <c r="H54" s="20">
        <f>IFERROR(SUMIFS(Ordenes!$P$2:$P$840,Ordenes!$C$2:$C$840,$B54,Ordenes!$T$2:$T$840,"Válida",Ordenes!$F$2:$F$840,"Cuadrado")/SUMIFS(Ordenes!$Q$2:$Q$840,Ordenes!$C$2:$C$840,$B54,Ordenes!$T$2:$T$840,"Válida",Ordenes!$F$2:$F$840,"Cuadrado"),"")</f>
        <v/>
      </c>
      <c r="I54" s="20">
        <f>IFERROR(SUMIFS(Ordenes!$P$2:$P$840,Ordenes!$C$2:$C$840,$B54,Ordenes!$T$2:$T$840,"Válida",Ordenes!$F$2:$F$840,"Estrella")/SUMIFS(Ordenes!$Q$2:$Q$840,Ordenes!$C$2:$C$840,$B54,Ordenes!$T$2:$T$840,"Válida",Ordenes!$F$2:$F$840,"Estrella"),"")</f>
        <v/>
      </c>
      <c r="J54" s="20">
        <f>IFERROR(SUMIFS(Ordenes!$P$2:$P$840,Ordenes!$C$2:$C$840,$B54,Ordenes!$T$2:$T$840,"Válida",Ordenes!$F$2:$F$840,"Saferock")/SUMIFS(Ordenes!$Q$2:$Q$840,Ordenes!$C$2:$C$840,$B54,Ordenes!$T$2:$T$840,"Válida",Ordenes!$F$2:$F$840,"Saferock"),"")</f>
        <v/>
      </c>
      <c r="K54" s="20">
        <f>IFERROR(SUMIFS(Ordenes!$P$2:$P$840,Ordenes!$C$2:$C$840,$B54,Ordenes!$T$2:$T$840,"Válida",Ordenes!$F$2:$F$840,"Hexágono")/SUMIFS(Ordenes!$Q$2:$Q$840,Ordenes!$C$2:$C$840,$B54,Ordenes!$T$2:$T$840,"Válida",Ordenes!$F$2:$F$840,"Hexágono"),"")</f>
        <v/>
      </c>
      <c r="L54" s="24">
        <f>IFERROR(SUMIFS(Ordenes!$P$2:$P$840,Ordenes!$C$2:$C$840,$B54,Ordenes!$T$2:$T$840,"Válida",Ordenes!$F$2:$F$840,"*")/SUMIFS(Ordenes!$Q$2:$Q$840,Ordenes!$C$2:$C$840,$B54,Ordenes!$T$2:$T$840,"Válida",Ordenes!$F$2:$F$840,"*"),"")</f>
        <v/>
      </c>
      <c r="M54" s="20">
        <f>IFERROR(SUMIFS(Ordenes!$V$2:$V$840,Ordenes!$C$2:$C$840,$B54,Ordenes!$T$2:$T$840,"Válida")/SUMIFS(Ordenes!$Q$2:$Q$840,Ordenes!$C$2:$C$840,$B54,Ordenes!$T$2:$T$840,"Válida"),"")</f>
        <v/>
      </c>
      <c r="N54" s="21">
        <f>IFERROR((L54-M54)*100,"")</f>
        <v/>
      </c>
      <c r="O54" s="19">
        <f>SUMIFS(Ordenes!$P$2:$P$840,Ordenes!$C$2:$C$840,$B54,Ordenes!$T$2:$T$840,"Válida")</f>
        <v/>
      </c>
      <c r="P54" s="19">
        <f>SUMIFS(Ordenes!$Q$2:$Q$840,Ordenes!$C$2:$C$840,$B54,Ordenes!$T$2:$T$840,"Válida")</f>
        <v/>
      </c>
      <c r="Q54" s="18">
        <f>COUNTIFS(Ordenes!$C$2:$C$840,$B54,Ordenes!$T$2:$T$840,"Válida")</f>
        <v/>
      </c>
    </row>
    <row r="55">
      <c r="A55" s="18" t="inlineStr">
        <is>
          <t>Mar 3 mar 2026</t>
        </is>
      </c>
      <c r="B55" s="22" t="n">
        <v>46084</v>
      </c>
      <c r="C55" s="18" t="inlineStr">
        <is>
          <t>S10</t>
        </is>
      </c>
      <c r="D55" s="20">
        <f>IFERROR(SUMIFS(Ordenes!$P$2:$P$840,Ordenes!$C$2:$C$840,$B55,Ordenes!$T$2:$T$840,"Válida",Ordenes!$F$2:$F$840,"B Hormigón")/SUMIFS(Ordenes!$Q$2:$Q$840,Ordenes!$C$2:$C$840,$B55,Ordenes!$T$2:$T$840,"Válida",Ordenes!$F$2:$F$840,"B Hormigón"),"")</f>
        <v/>
      </c>
      <c r="E55" s="20">
        <f>IFERROR(SUMIFS(Ordenes!$P$2:$P$840,Ordenes!$C$2:$C$840,$B55,Ordenes!$T$2:$T$840,"Válida",Ordenes!$F$2:$F$840,"Redondo liso")/SUMIFS(Ordenes!$Q$2:$Q$840,Ordenes!$C$2:$C$840,$B55,Ordenes!$T$2:$T$840,"Válida",Ordenes!$F$2:$F$840,"Redondo liso"),"")</f>
        <v/>
      </c>
      <c r="F55" s="20">
        <f>IFERROR(SUMIFS(Ordenes!$P$2:$P$840,Ordenes!$C$2:$C$840,$B55,Ordenes!$T$2:$T$840,"Válida",Ordenes!$F$2:$F$840,"Plana")/SUMIFS(Ordenes!$Q$2:$Q$840,Ordenes!$C$2:$C$840,$B55,Ordenes!$T$2:$T$840,"Válida",Ordenes!$F$2:$F$840,"Plana"),"")</f>
        <v/>
      </c>
      <c r="G55" s="20">
        <f>IFERROR(SUMIFS(Ordenes!$P$2:$P$840,Ordenes!$C$2:$C$840,$B55,Ordenes!$T$2:$T$840,"Válida",Ordenes!$F$2:$F$840,"Ángulo")/SUMIFS(Ordenes!$Q$2:$Q$840,Ordenes!$C$2:$C$840,$B55,Ordenes!$T$2:$T$840,"Válida",Ordenes!$F$2:$F$840,"Ángulo"),"")</f>
        <v/>
      </c>
      <c r="H55" s="20">
        <f>IFERROR(SUMIFS(Ordenes!$P$2:$P$840,Ordenes!$C$2:$C$840,$B55,Ordenes!$T$2:$T$840,"Válida",Ordenes!$F$2:$F$840,"Cuadrado")/SUMIFS(Ordenes!$Q$2:$Q$840,Ordenes!$C$2:$C$840,$B55,Ordenes!$T$2:$T$840,"Válida",Ordenes!$F$2:$F$840,"Cuadrado"),"")</f>
        <v/>
      </c>
      <c r="I55" s="20">
        <f>IFERROR(SUMIFS(Ordenes!$P$2:$P$840,Ordenes!$C$2:$C$840,$B55,Ordenes!$T$2:$T$840,"Válida",Ordenes!$F$2:$F$840,"Estrella")/SUMIFS(Ordenes!$Q$2:$Q$840,Ordenes!$C$2:$C$840,$B55,Ordenes!$T$2:$T$840,"Válida",Ordenes!$F$2:$F$840,"Estrella"),"")</f>
        <v/>
      </c>
      <c r="J55" s="20">
        <f>IFERROR(SUMIFS(Ordenes!$P$2:$P$840,Ordenes!$C$2:$C$840,$B55,Ordenes!$T$2:$T$840,"Válida",Ordenes!$F$2:$F$840,"Saferock")/SUMIFS(Ordenes!$Q$2:$Q$840,Ordenes!$C$2:$C$840,$B55,Ordenes!$T$2:$T$840,"Válida",Ordenes!$F$2:$F$840,"Saferock"),"")</f>
        <v/>
      </c>
      <c r="K55" s="20">
        <f>IFERROR(SUMIFS(Ordenes!$P$2:$P$840,Ordenes!$C$2:$C$840,$B55,Ordenes!$T$2:$T$840,"Válida",Ordenes!$F$2:$F$840,"Hexágono")/SUMIFS(Ordenes!$Q$2:$Q$840,Ordenes!$C$2:$C$840,$B55,Ordenes!$T$2:$T$840,"Válida",Ordenes!$F$2:$F$840,"Hexágono"),"")</f>
        <v/>
      </c>
      <c r="L55" s="24">
        <f>IFERROR(SUMIFS(Ordenes!$P$2:$P$840,Ordenes!$C$2:$C$840,$B55,Ordenes!$T$2:$T$840,"Válida",Ordenes!$F$2:$F$840,"*")/SUMIFS(Ordenes!$Q$2:$Q$840,Ordenes!$C$2:$C$840,$B55,Ordenes!$T$2:$T$840,"Válida",Ordenes!$F$2:$F$840,"*"),"")</f>
        <v/>
      </c>
      <c r="M55" s="20">
        <f>IFERROR(SUMIFS(Ordenes!$V$2:$V$840,Ordenes!$C$2:$C$840,$B55,Ordenes!$T$2:$T$840,"Válida")/SUMIFS(Ordenes!$Q$2:$Q$840,Ordenes!$C$2:$C$840,$B55,Ordenes!$T$2:$T$840,"Válida"),"")</f>
        <v/>
      </c>
      <c r="N55" s="21">
        <f>IFERROR((L55-M55)*100,"")</f>
        <v/>
      </c>
      <c r="O55" s="19">
        <f>SUMIFS(Ordenes!$P$2:$P$840,Ordenes!$C$2:$C$840,$B55,Ordenes!$T$2:$T$840,"Válida")</f>
        <v/>
      </c>
      <c r="P55" s="19">
        <f>SUMIFS(Ordenes!$Q$2:$Q$840,Ordenes!$C$2:$C$840,$B55,Ordenes!$T$2:$T$840,"Válida")</f>
        <v/>
      </c>
      <c r="Q55" s="18">
        <f>COUNTIFS(Ordenes!$C$2:$C$840,$B55,Ordenes!$T$2:$T$840,"Válida")</f>
        <v/>
      </c>
    </row>
    <row r="56">
      <c r="A56" s="18" t="inlineStr">
        <is>
          <t>Mié 4 mar 2026</t>
        </is>
      </c>
      <c r="B56" s="22" t="n">
        <v>46085</v>
      </c>
      <c r="C56" s="18" t="inlineStr">
        <is>
          <t>S10</t>
        </is>
      </c>
      <c r="D56" s="20">
        <f>IFERROR(SUMIFS(Ordenes!$P$2:$P$840,Ordenes!$C$2:$C$840,$B56,Ordenes!$T$2:$T$840,"Válida",Ordenes!$F$2:$F$840,"B Hormigón")/SUMIFS(Ordenes!$Q$2:$Q$840,Ordenes!$C$2:$C$840,$B56,Ordenes!$T$2:$T$840,"Válida",Ordenes!$F$2:$F$840,"B Hormigón"),"")</f>
        <v/>
      </c>
      <c r="E56" s="20">
        <f>IFERROR(SUMIFS(Ordenes!$P$2:$P$840,Ordenes!$C$2:$C$840,$B56,Ordenes!$T$2:$T$840,"Válida",Ordenes!$F$2:$F$840,"Redondo liso")/SUMIFS(Ordenes!$Q$2:$Q$840,Ordenes!$C$2:$C$840,$B56,Ordenes!$T$2:$T$840,"Válida",Ordenes!$F$2:$F$840,"Redondo liso"),"")</f>
        <v/>
      </c>
      <c r="F56" s="20">
        <f>IFERROR(SUMIFS(Ordenes!$P$2:$P$840,Ordenes!$C$2:$C$840,$B56,Ordenes!$T$2:$T$840,"Válida",Ordenes!$F$2:$F$840,"Plana")/SUMIFS(Ordenes!$Q$2:$Q$840,Ordenes!$C$2:$C$840,$B56,Ordenes!$T$2:$T$840,"Válida",Ordenes!$F$2:$F$840,"Plana"),"")</f>
        <v/>
      </c>
      <c r="G56" s="20">
        <f>IFERROR(SUMIFS(Ordenes!$P$2:$P$840,Ordenes!$C$2:$C$840,$B56,Ordenes!$T$2:$T$840,"Válida",Ordenes!$F$2:$F$840,"Ángulo")/SUMIFS(Ordenes!$Q$2:$Q$840,Ordenes!$C$2:$C$840,$B56,Ordenes!$T$2:$T$840,"Válida",Ordenes!$F$2:$F$840,"Ángulo"),"")</f>
        <v/>
      </c>
      <c r="H56" s="20">
        <f>IFERROR(SUMIFS(Ordenes!$P$2:$P$840,Ordenes!$C$2:$C$840,$B56,Ordenes!$T$2:$T$840,"Válida",Ordenes!$F$2:$F$840,"Cuadrado")/SUMIFS(Ordenes!$Q$2:$Q$840,Ordenes!$C$2:$C$840,$B56,Ordenes!$T$2:$T$840,"Válida",Ordenes!$F$2:$F$840,"Cuadrado"),"")</f>
        <v/>
      </c>
      <c r="I56" s="20">
        <f>IFERROR(SUMIFS(Ordenes!$P$2:$P$840,Ordenes!$C$2:$C$840,$B56,Ordenes!$T$2:$T$840,"Válida",Ordenes!$F$2:$F$840,"Estrella")/SUMIFS(Ordenes!$Q$2:$Q$840,Ordenes!$C$2:$C$840,$B56,Ordenes!$T$2:$T$840,"Válida",Ordenes!$F$2:$F$840,"Estrella"),"")</f>
        <v/>
      </c>
      <c r="J56" s="20">
        <f>IFERROR(SUMIFS(Ordenes!$P$2:$P$840,Ordenes!$C$2:$C$840,$B56,Ordenes!$T$2:$T$840,"Válida",Ordenes!$F$2:$F$840,"Saferock")/SUMIFS(Ordenes!$Q$2:$Q$840,Ordenes!$C$2:$C$840,$B56,Ordenes!$T$2:$T$840,"Válida",Ordenes!$F$2:$F$840,"Saferock"),"")</f>
        <v/>
      </c>
      <c r="K56" s="20">
        <f>IFERROR(SUMIFS(Ordenes!$P$2:$P$840,Ordenes!$C$2:$C$840,$B56,Ordenes!$T$2:$T$840,"Válida",Ordenes!$F$2:$F$840,"Hexágono")/SUMIFS(Ordenes!$Q$2:$Q$840,Ordenes!$C$2:$C$840,$B56,Ordenes!$T$2:$T$840,"Válida",Ordenes!$F$2:$F$840,"Hexágono"),"")</f>
        <v/>
      </c>
      <c r="L56" s="24">
        <f>IFERROR(SUMIFS(Ordenes!$P$2:$P$840,Ordenes!$C$2:$C$840,$B56,Ordenes!$T$2:$T$840,"Válida",Ordenes!$F$2:$F$840,"*")/SUMIFS(Ordenes!$Q$2:$Q$840,Ordenes!$C$2:$C$840,$B56,Ordenes!$T$2:$T$840,"Válida",Ordenes!$F$2:$F$840,"*"),"")</f>
        <v/>
      </c>
      <c r="M56" s="20">
        <f>IFERROR(SUMIFS(Ordenes!$V$2:$V$840,Ordenes!$C$2:$C$840,$B56,Ordenes!$T$2:$T$840,"Válida")/SUMIFS(Ordenes!$Q$2:$Q$840,Ordenes!$C$2:$C$840,$B56,Ordenes!$T$2:$T$840,"Válida"),"")</f>
        <v/>
      </c>
      <c r="N56" s="21">
        <f>IFERROR((L56-M56)*100,"")</f>
        <v/>
      </c>
      <c r="O56" s="19">
        <f>SUMIFS(Ordenes!$P$2:$P$840,Ordenes!$C$2:$C$840,$B56,Ordenes!$T$2:$T$840,"Válida")</f>
        <v/>
      </c>
      <c r="P56" s="19">
        <f>SUMIFS(Ordenes!$Q$2:$Q$840,Ordenes!$C$2:$C$840,$B56,Ordenes!$T$2:$T$840,"Válida")</f>
        <v/>
      </c>
      <c r="Q56" s="18">
        <f>COUNTIFS(Ordenes!$C$2:$C$840,$B56,Ordenes!$T$2:$T$840,"Válida")</f>
        <v/>
      </c>
    </row>
    <row r="57">
      <c r="A57" s="18" t="inlineStr">
        <is>
          <t>Jue 5 mar 2026</t>
        </is>
      </c>
      <c r="B57" s="22" t="n">
        <v>46086</v>
      </c>
      <c r="C57" s="18" t="inlineStr">
        <is>
          <t>S10</t>
        </is>
      </c>
      <c r="D57" s="20">
        <f>IFERROR(SUMIFS(Ordenes!$P$2:$P$840,Ordenes!$C$2:$C$840,$B57,Ordenes!$T$2:$T$840,"Válida",Ordenes!$F$2:$F$840,"B Hormigón")/SUMIFS(Ordenes!$Q$2:$Q$840,Ordenes!$C$2:$C$840,$B57,Ordenes!$T$2:$T$840,"Válida",Ordenes!$F$2:$F$840,"B Hormigón"),"")</f>
        <v/>
      </c>
      <c r="E57" s="20">
        <f>IFERROR(SUMIFS(Ordenes!$P$2:$P$840,Ordenes!$C$2:$C$840,$B57,Ordenes!$T$2:$T$840,"Válida",Ordenes!$F$2:$F$840,"Redondo liso")/SUMIFS(Ordenes!$Q$2:$Q$840,Ordenes!$C$2:$C$840,$B57,Ordenes!$T$2:$T$840,"Válida",Ordenes!$F$2:$F$840,"Redondo liso"),"")</f>
        <v/>
      </c>
      <c r="F57" s="20">
        <f>IFERROR(SUMIFS(Ordenes!$P$2:$P$840,Ordenes!$C$2:$C$840,$B57,Ordenes!$T$2:$T$840,"Válida",Ordenes!$F$2:$F$840,"Plana")/SUMIFS(Ordenes!$Q$2:$Q$840,Ordenes!$C$2:$C$840,$B57,Ordenes!$T$2:$T$840,"Válida",Ordenes!$F$2:$F$840,"Plana"),"")</f>
        <v/>
      </c>
      <c r="G57" s="20">
        <f>IFERROR(SUMIFS(Ordenes!$P$2:$P$840,Ordenes!$C$2:$C$840,$B57,Ordenes!$T$2:$T$840,"Válida",Ordenes!$F$2:$F$840,"Ángulo")/SUMIFS(Ordenes!$Q$2:$Q$840,Ordenes!$C$2:$C$840,$B57,Ordenes!$T$2:$T$840,"Válida",Ordenes!$F$2:$F$840,"Ángulo"),"")</f>
        <v/>
      </c>
      <c r="H57" s="20">
        <f>IFERROR(SUMIFS(Ordenes!$P$2:$P$840,Ordenes!$C$2:$C$840,$B57,Ordenes!$T$2:$T$840,"Válida",Ordenes!$F$2:$F$840,"Cuadrado")/SUMIFS(Ordenes!$Q$2:$Q$840,Ordenes!$C$2:$C$840,$B57,Ordenes!$T$2:$T$840,"Válida",Ordenes!$F$2:$F$840,"Cuadrado"),"")</f>
        <v/>
      </c>
      <c r="I57" s="20">
        <f>IFERROR(SUMIFS(Ordenes!$P$2:$P$840,Ordenes!$C$2:$C$840,$B57,Ordenes!$T$2:$T$840,"Válida",Ordenes!$F$2:$F$840,"Estrella")/SUMIFS(Ordenes!$Q$2:$Q$840,Ordenes!$C$2:$C$840,$B57,Ordenes!$T$2:$T$840,"Válida",Ordenes!$F$2:$F$840,"Estrella"),"")</f>
        <v/>
      </c>
      <c r="J57" s="20">
        <f>IFERROR(SUMIFS(Ordenes!$P$2:$P$840,Ordenes!$C$2:$C$840,$B57,Ordenes!$T$2:$T$840,"Válida",Ordenes!$F$2:$F$840,"Saferock")/SUMIFS(Ordenes!$Q$2:$Q$840,Ordenes!$C$2:$C$840,$B57,Ordenes!$T$2:$T$840,"Válida",Ordenes!$F$2:$F$840,"Saferock"),"")</f>
        <v/>
      </c>
      <c r="K57" s="20">
        <f>IFERROR(SUMIFS(Ordenes!$P$2:$P$840,Ordenes!$C$2:$C$840,$B57,Ordenes!$T$2:$T$840,"Válida",Ordenes!$F$2:$F$840,"Hexágono")/SUMIFS(Ordenes!$Q$2:$Q$840,Ordenes!$C$2:$C$840,$B57,Ordenes!$T$2:$T$840,"Válida",Ordenes!$F$2:$F$840,"Hexágono"),"")</f>
        <v/>
      </c>
      <c r="L57" s="24">
        <f>IFERROR(SUMIFS(Ordenes!$P$2:$P$840,Ordenes!$C$2:$C$840,$B57,Ordenes!$T$2:$T$840,"Válida",Ordenes!$F$2:$F$840,"*")/SUMIFS(Ordenes!$Q$2:$Q$840,Ordenes!$C$2:$C$840,$B57,Ordenes!$T$2:$T$840,"Válida",Ordenes!$F$2:$F$840,"*"),"")</f>
        <v/>
      </c>
      <c r="M57" s="20">
        <f>IFERROR(SUMIFS(Ordenes!$V$2:$V$840,Ordenes!$C$2:$C$840,$B57,Ordenes!$T$2:$T$840,"Válida")/SUMIFS(Ordenes!$Q$2:$Q$840,Ordenes!$C$2:$C$840,$B57,Ordenes!$T$2:$T$840,"Válida"),"")</f>
        <v/>
      </c>
      <c r="N57" s="21">
        <f>IFERROR((L57-M57)*100,"")</f>
        <v/>
      </c>
      <c r="O57" s="19">
        <f>SUMIFS(Ordenes!$P$2:$P$840,Ordenes!$C$2:$C$840,$B57,Ordenes!$T$2:$T$840,"Válida")</f>
        <v/>
      </c>
      <c r="P57" s="19">
        <f>SUMIFS(Ordenes!$Q$2:$Q$840,Ordenes!$C$2:$C$840,$B57,Ordenes!$T$2:$T$840,"Válida")</f>
        <v/>
      </c>
      <c r="Q57" s="18">
        <f>COUNTIFS(Ordenes!$C$2:$C$840,$B57,Ordenes!$T$2:$T$840,"Válida")</f>
        <v/>
      </c>
    </row>
    <row r="58">
      <c r="A58" s="18" t="inlineStr">
        <is>
          <t>Vie 6 mar 2026</t>
        </is>
      </c>
      <c r="B58" s="22" t="n">
        <v>46087</v>
      </c>
      <c r="C58" s="18" t="inlineStr">
        <is>
          <t>S10</t>
        </is>
      </c>
      <c r="D58" s="20">
        <f>IFERROR(SUMIFS(Ordenes!$P$2:$P$840,Ordenes!$C$2:$C$840,$B58,Ordenes!$T$2:$T$840,"Válida",Ordenes!$F$2:$F$840,"B Hormigón")/SUMIFS(Ordenes!$Q$2:$Q$840,Ordenes!$C$2:$C$840,$B58,Ordenes!$T$2:$T$840,"Válida",Ordenes!$F$2:$F$840,"B Hormigón"),"")</f>
        <v/>
      </c>
      <c r="E58" s="20">
        <f>IFERROR(SUMIFS(Ordenes!$P$2:$P$840,Ordenes!$C$2:$C$840,$B58,Ordenes!$T$2:$T$840,"Válida",Ordenes!$F$2:$F$840,"Redondo liso")/SUMIFS(Ordenes!$Q$2:$Q$840,Ordenes!$C$2:$C$840,$B58,Ordenes!$T$2:$T$840,"Válida",Ordenes!$F$2:$F$840,"Redondo liso"),"")</f>
        <v/>
      </c>
      <c r="F58" s="20">
        <f>IFERROR(SUMIFS(Ordenes!$P$2:$P$840,Ordenes!$C$2:$C$840,$B58,Ordenes!$T$2:$T$840,"Válida",Ordenes!$F$2:$F$840,"Plana")/SUMIFS(Ordenes!$Q$2:$Q$840,Ordenes!$C$2:$C$840,$B58,Ordenes!$T$2:$T$840,"Válida",Ordenes!$F$2:$F$840,"Plana"),"")</f>
        <v/>
      </c>
      <c r="G58" s="20">
        <f>IFERROR(SUMIFS(Ordenes!$P$2:$P$840,Ordenes!$C$2:$C$840,$B58,Ordenes!$T$2:$T$840,"Válida",Ordenes!$F$2:$F$840,"Ángulo")/SUMIFS(Ordenes!$Q$2:$Q$840,Ordenes!$C$2:$C$840,$B58,Ordenes!$T$2:$T$840,"Válida",Ordenes!$F$2:$F$840,"Ángulo"),"")</f>
        <v/>
      </c>
      <c r="H58" s="20">
        <f>IFERROR(SUMIFS(Ordenes!$P$2:$P$840,Ordenes!$C$2:$C$840,$B58,Ordenes!$T$2:$T$840,"Válida",Ordenes!$F$2:$F$840,"Cuadrado")/SUMIFS(Ordenes!$Q$2:$Q$840,Ordenes!$C$2:$C$840,$B58,Ordenes!$T$2:$T$840,"Válida",Ordenes!$F$2:$F$840,"Cuadrado"),"")</f>
        <v/>
      </c>
      <c r="I58" s="20">
        <f>IFERROR(SUMIFS(Ordenes!$P$2:$P$840,Ordenes!$C$2:$C$840,$B58,Ordenes!$T$2:$T$840,"Válida",Ordenes!$F$2:$F$840,"Estrella")/SUMIFS(Ordenes!$Q$2:$Q$840,Ordenes!$C$2:$C$840,$B58,Ordenes!$T$2:$T$840,"Válida",Ordenes!$F$2:$F$840,"Estrella"),"")</f>
        <v/>
      </c>
      <c r="J58" s="20">
        <f>IFERROR(SUMIFS(Ordenes!$P$2:$P$840,Ordenes!$C$2:$C$840,$B58,Ordenes!$T$2:$T$840,"Válida",Ordenes!$F$2:$F$840,"Saferock")/SUMIFS(Ordenes!$Q$2:$Q$840,Ordenes!$C$2:$C$840,$B58,Ordenes!$T$2:$T$840,"Válida",Ordenes!$F$2:$F$840,"Saferock"),"")</f>
        <v/>
      </c>
      <c r="K58" s="20">
        <f>IFERROR(SUMIFS(Ordenes!$P$2:$P$840,Ordenes!$C$2:$C$840,$B58,Ordenes!$T$2:$T$840,"Válida",Ordenes!$F$2:$F$840,"Hexágono")/SUMIFS(Ordenes!$Q$2:$Q$840,Ordenes!$C$2:$C$840,$B58,Ordenes!$T$2:$T$840,"Válida",Ordenes!$F$2:$F$840,"Hexágono"),"")</f>
        <v/>
      </c>
      <c r="L58" s="24">
        <f>IFERROR(SUMIFS(Ordenes!$P$2:$P$840,Ordenes!$C$2:$C$840,$B58,Ordenes!$T$2:$T$840,"Válida",Ordenes!$F$2:$F$840,"*")/SUMIFS(Ordenes!$Q$2:$Q$840,Ordenes!$C$2:$C$840,$B58,Ordenes!$T$2:$T$840,"Válida",Ordenes!$F$2:$F$840,"*"),"")</f>
        <v/>
      </c>
      <c r="M58" s="20">
        <f>IFERROR(SUMIFS(Ordenes!$V$2:$V$840,Ordenes!$C$2:$C$840,$B58,Ordenes!$T$2:$T$840,"Válida")/SUMIFS(Ordenes!$Q$2:$Q$840,Ordenes!$C$2:$C$840,$B58,Ordenes!$T$2:$T$840,"Válida"),"")</f>
        <v/>
      </c>
      <c r="N58" s="21">
        <f>IFERROR((L58-M58)*100,"")</f>
        <v/>
      </c>
      <c r="O58" s="19">
        <f>SUMIFS(Ordenes!$P$2:$P$840,Ordenes!$C$2:$C$840,$B58,Ordenes!$T$2:$T$840,"Válida")</f>
        <v/>
      </c>
      <c r="P58" s="19">
        <f>SUMIFS(Ordenes!$Q$2:$Q$840,Ordenes!$C$2:$C$840,$B58,Ordenes!$T$2:$T$840,"Válida")</f>
        <v/>
      </c>
      <c r="Q58" s="18">
        <f>COUNTIFS(Ordenes!$C$2:$C$840,$B58,Ordenes!$T$2:$T$840,"Válida")</f>
        <v/>
      </c>
    </row>
    <row r="59">
      <c r="A59" s="18" t="inlineStr">
        <is>
          <t>Sáb 7 mar 2026</t>
        </is>
      </c>
      <c r="B59" s="22" t="n">
        <v>46088</v>
      </c>
      <c r="C59" s="18" t="inlineStr">
        <is>
          <t>S10</t>
        </is>
      </c>
      <c r="D59" s="20">
        <f>IFERROR(SUMIFS(Ordenes!$P$2:$P$840,Ordenes!$C$2:$C$840,$B59,Ordenes!$T$2:$T$840,"Válida",Ordenes!$F$2:$F$840,"B Hormigón")/SUMIFS(Ordenes!$Q$2:$Q$840,Ordenes!$C$2:$C$840,$B59,Ordenes!$T$2:$T$840,"Válida",Ordenes!$F$2:$F$840,"B Hormigón"),"")</f>
        <v/>
      </c>
      <c r="E59" s="20">
        <f>IFERROR(SUMIFS(Ordenes!$P$2:$P$840,Ordenes!$C$2:$C$840,$B59,Ordenes!$T$2:$T$840,"Válida",Ordenes!$F$2:$F$840,"Redondo liso")/SUMIFS(Ordenes!$Q$2:$Q$840,Ordenes!$C$2:$C$840,$B59,Ordenes!$T$2:$T$840,"Válida",Ordenes!$F$2:$F$840,"Redondo liso"),"")</f>
        <v/>
      </c>
      <c r="F59" s="20">
        <f>IFERROR(SUMIFS(Ordenes!$P$2:$P$840,Ordenes!$C$2:$C$840,$B59,Ordenes!$T$2:$T$840,"Válida",Ordenes!$F$2:$F$840,"Plana")/SUMIFS(Ordenes!$Q$2:$Q$840,Ordenes!$C$2:$C$840,$B59,Ordenes!$T$2:$T$840,"Válida",Ordenes!$F$2:$F$840,"Plana"),"")</f>
        <v/>
      </c>
      <c r="G59" s="20">
        <f>IFERROR(SUMIFS(Ordenes!$P$2:$P$840,Ordenes!$C$2:$C$840,$B59,Ordenes!$T$2:$T$840,"Válida",Ordenes!$F$2:$F$840,"Ángulo")/SUMIFS(Ordenes!$Q$2:$Q$840,Ordenes!$C$2:$C$840,$B59,Ordenes!$T$2:$T$840,"Válida",Ordenes!$F$2:$F$840,"Ángulo"),"")</f>
        <v/>
      </c>
      <c r="H59" s="20">
        <f>IFERROR(SUMIFS(Ordenes!$P$2:$P$840,Ordenes!$C$2:$C$840,$B59,Ordenes!$T$2:$T$840,"Válida",Ordenes!$F$2:$F$840,"Cuadrado")/SUMIFS(Ordenes!$Q$2:$Q$840,Ordenes!$C$2:$C$840,$B59,Ordenes!$T$2:$T$840,"Válida",Ordenes!$F$2:$F$840,"Cuadrado"),"")</f>
        <v/>
      </c>
      <c r="I59" s="20">
        <f>IFERROR(SUMIFS(Ordenes!$P$2:$P$840,Ordenes!$C$2:$C$840,$B59,Ordenes!$T$2:$T$840,"Válida",Ordenes!$F$2:$F$840,"Estrella")/SUMIFS(Ordenes!$Q$2:$Q$840,Ordenes!$C$2:$C$840,$B59,Ordenes!$T$2:$T$840,"Válida",Ordenes!$F$2:$F$840,"Estrella"),"")</f>
        <v/>
      </c>
      <c r="J59" s="20">
        <f>IFERROR(SUMIFS(Ordenes!$P$2:$P$840,Ordenes!$C$2:$C$840,$B59,Ordenes!$T$2:$T$840,"Válida",Ordenes!$F$2:$F$840,"Saferock")/SUMIFS(Ordenes!$Q$2:$Q$840,Ordenes!$C$2:$C$840,$B59,Ordenes!$T$2:$T$840,"Válida",Ordenes!$F$2:$F$840,"Saferock"),"")</f>
        <v/>
      </c>
      <c r="K59" s="20">
        <f>IFERROR(SUMIFS(Ordenes!$P$2:$P$840,Ordenes!$C$2:$C$840,$B59,Ordenes!$T$2:$T$840,"Válida",Ordenes!$F$2:$F$840,"Hexágono")/SUMIFS(Ordenes!$Q$2:$Q$840,Ordenes!$C$2:$C$840,$B59,Ordenes!$T$2:$T$840,"Válida",Ordenes!$F$2:$F$840,"Hexágono"),"")</f>
        <v/>
      </c>
      <c r="L59" s="24">
        <f>IFERROR(SUMIFS(Ordenes!$P$2:$P$840,Ordenes!$C$2:$C$840,$B59,Ordenes!$T$2:$T$840,"Válida",Ordenes!$F$2:$F$840,"*")/SUMIFS(Ordenes!$Q$2:$Q$840,Ordenes!$C$2:$C$840,$B59,Ordenes!$T$2:$T$840,"Válida",Ordenes!$F$2:$F$840,"*"),"")</f>
        <v/>
      </c>
      <c r="M59" s="20">
        <f>IFERROR(SUMIFS(Ordenes!$V$2:$V$840,Ordenes!$C$2:$C$840,$B59,Ordenes!$T$2:$T$840,"Válida")/SUMIFS(Ordenes!$Q$2:$Q$840,Ordenes!$C$2:$C$840,$B59,Ordenes!$T$2:$T$840,"Válida"),"")</f>
        <v/>
      </c>
      <c r="N59" s="21">
        <f>IFERROR((L59-M59)*100,"")</f>
        <v/>
      </c>
      <c r="O59" s="19">
        <f>SUMIFS(Ordenes!$P$2:$P$840,Ordenes!$C$2:$C$840,$B59,Ordenes!$T$2:$T$840,"Válida")</f>
        <v/>
      </c>
      <c r="P59" s="19">
        <f>SUMIFS(Ordenes!$Q$2:$Q$840,Ordenes!$C$2:$C$840,$B59,Ordenes!$T$2:$T$840,"Válida")</f>
        <v/>
      </c>
      <c r="Q59" s="18">
        <f>COUNTIFS(Ordenes!$C$2:$C$840,$B59,Ordenes!$T$2:$T$840,"Válida")</f>
        <v/>
      </c>
    </row>
    <row r="60">
      <c r="A60" s="18" t="inlineStr">
        <is>
          <t>Lun 9 mar 2026</t>
        </is>
      </c>
      <c r="B60" s="22" t="n">
        <v>46090</v>
      </c>
      <c r="C60" s="18" t="inlineStr">
        <is>
          <t>S11</t>
        </is>
      </c>
      <c r="D60" s="20">
        <f>IFERROR(SUMIFS(Ordenes!$P$2:$P$840,Ordenes!$C$2:$C$840,$B60,Ordenes!$T$2:$T$840,"Válida",Ordenes!$F$2:$F$840,"B Hormigón")/SUMIFS(Ordenes!$Q$2:$Q$840,Ordenes!$C$2:$C$840,$B60,Ordenes!$T$2:$T$840,"Válida",Ordenes!$F$2:$F$840,"B Hormigón"),"")</f>
        <v/>
      </c>
      <c r="E60" s="20">
        <f>IFERROR(SUMIFS(Ordenes!$P$2:$P$840,Ordenes!$C$2:$C$840,$B60,Ordenes!$T$2:$T$840,"Válida",Ordenes!$F$2:$F$840,"Redondo liso")/SUMIFS(Ordenes!$Q$2:$Q$840,Ordenes!$C$2:$C$840,$B60,Ordenes!$T$2:$T$840,"Válida",Ordenes!$F$2:$F$840,"Redondo liso"),"")</f>
        <v/>
      </c>
      <c r="F60" s="20">
        <f>IFERROR(SUMIFS(Ordenes!$P$2:$P$840,Ordenes!$C$2:$C$840,$B60,Ordenes!$T$2:$T$840,"Válida",Ordenes!$F$2:$F$840,"Plana")/SUMIFS(Ordenes!$Q$2:$Q$840,Ordenes!$C$2:$C$840,$B60,Ordenes!$T$2:$T$840,"Válida",Ordenes!$F$2:$F$840,"Plana"),"")</f>
        <v/>
      </c>
      <c r="G60" s="20">
        <f>IFERROR(SUMIFS(Ordenes!$P$2:$P$840,Ordenes!$C$2:$C$840,$B60,Ordenes!$T$2:$T$840,"Válida",Ordenes!$F$2:$F$840,"Ángulo")/SUMIFS(Ordenes!$Q$2:$Q$840,Ordenes!$C$2:$C$840,$B60,Ordenes!$T$2:$T$840,"Válida",Ordenes!$F$2:$F$840,"Ángulo"),"")</f>
        <v/>
      </c>
      <c r="H60" s="20">
        <f>IFERROR(SUMIFS(Ordenes!$P$2:$P$840,Ordenes!$C$2:$C$840,$B60,Ordenes!$T$2:$T$840,"Válida",Ordenes!$F$2:$F$840,"Cuadrado")/SUMIFS(Ordenes!$Q$2:$Q$840,Ordenes!$C$2:$C$840,$B60,Ordenes!$T$2:$T$840,"Válida",Ordenes!$F$2:$F$840,"Cuadrado"),"")</f>
        <v/>
      </c>
      <c r="I60" s="20">
        <f>IFERROR(SUMIFS(Ordenes!$P$2:$P$840,Ordenes!$C$2:$C$840,$B60,Ordenes!$T$2:$T$840,"Válida",Ordenes!$F$2:$F$840,"Estrella")/SUMIFS(Ordenes!$Q$2:$Q$840,Ordenes!$C$2:$C$840,$B60,Ordenes!$T$2:$T$840,"Válida",Ordenes!$F$2:$F$840,"Estrella"),"")</f>
        <v/>
      </c>
      <c r="J60" s="20">
        <f>IFERROR(SUMIFS(Ordenes!$P$2:$P$840,Ordenes!$C$2:$C$840,$B60,Ordenes!$T$2:$T$840,"Válida",Ordenes!$F$2:$F$840,"Saferock")/SUMIFS(Ordenes!$Q$2:$Q$840,Ordenes!$C$2:$C$840,$B60,Ordenes!$T$2:$T$840,"Válida",Ordenes!$F$2:$F$840,"Saferock"),"")</f>
        <v/>
      </c>
      <c r="K60" s="20">
        <f>IFERROR(SUMIFS(Ordenes!$P$2:$P$840,Ordenes!$C$2:$C$840,$B60,Ordenes!$T$2:$T$840,"Válida",Ordenes!$F$2:$F$840,"Hexágono")/SUMIFS(Ordenes!$Q$2:$Q$840,Ordenes!$C$2:$C$840,$B60,Ordenes!$T$2:$T$840,"Válida",Ordenes!$F$2:$F$840,"Hexágono"),"")</f>
        <v/>
      </c>
      <c r="L60" s="24">
        <f>IFERROR(SUMIFS(Ordenes!$P$2:$P$840,Ordenes!$C$2:$C$840,$B60,Ordenes!$T$2:$T$840,"Válida",Ordenes!$F$2:$F$840,"*")/SUMIFS(Ordenes!$Q$2:$Q$840,Ordenes!$C$2:$C$840,$B60,Ordenes!$T$2:$T$840,"Válida",Ordenes!$F$2:$F$840,"*"),"")</f>
        <v/>
      </c>
      <c r="M60" s="20">
        <f>IFERROR(SUMIFS(Ordenes!$V$2:$V$840,Ordenes!$C$2:$C$840,$B60,Ordenes!$T$2:$T$840,"Válida")/SUMIFS(Ordenes!$Q$2:$Q$840,Ordenes!$C$2:$C$840,$B60,Ordenes!$T$2:$T$840,"Válida"),"")</f>
        <v/>
      </c>
      <c r="N60" s="21">
        <f>IFERROR((L60-M60)*100,"")</f>
        <v/>
      </c>
      <c r="O60" s="19">
        <f>SUMIFS(Ordenes!$P$2:$P$840,Ordenes!$C$2:$C$840,$B60,Ordenes!$T$2:$T$840,"Válida")</f>
        <v/>
      </c>
      <c r="P60" s="19">
        <f>SUMIFS(Ordenes!$Q$2:$Q$840,Ordenes!$C$2:$C$840,$B60,Ordenes!$T$2:$T$840,"Válida")</f>
        <v/>
      </c>
      <c r="Q60" s="18">
        <f>COUNTIFS(Ordenes!$C$2:$C$840,$B60,Ordenes!$T$2:$T$840,"Válida")</f>
        <v/>
      </c>
    </row>
    <row r="61">
      <c r="A61" s="18" t="inlineStr">
        <is>
          <t>Mar 10 mar 2026</t>
        </is>
      </c>
      <c r="B61" s="22" t="n">
        <v>46091</v>
      </c>
      <c r="C61" s="18" t="inlineStr">
        <is>
          <t>S11</t>
        </is>
      </c>
      <c r="D61" s="20">
        <f>IFERROR(SUMIFS(Ordenes!$P$2:$P$840,Ordenes!$C$2:$C$840,$B61,Ordenes!$T$2:$T$840,"Válida",Ordenes!$F$2:$F$840,"B Hormigón")/SUMIFS(Ordenes!$Q$2:$Q$840,Ordenes!$C$2:$C$840,$B61,Ordenes!$T$2:$T$840,"Válida",Ordenes!$F$2:$F$840,"B Hormigón"),"")</f>
        <v/>
      </c>
      <c r="E61" s="20">
        <f>IFERROR(SUMIFS(Ordenes!$P$2:$P$840,Ordenes!$C$2:$C$840,$B61,Ordenes!$T$2:$T$840,"Válida",Ordenes!$F$2:$F$840,"Redondo liso")/SUMIFS(Ordenes!$Q$2:$Q$840,Ordenes!$C$2:$C$840,$B61,Ordenes!$T$2:$T$840,"Válida",Ordenes!$F$2:$F$840,"Redondo liso"),"")</f>
        <v/>
      </c>
      <c r="F61" s="20">
        <f>IFERROR(SUMIFS(Ordenes!$P$2:$P$840,Ordenes!$C$2:$C$840,$B61,Ordenes!$T$2:$T$840,"Válida",Ordenes!$F$2:$F$840,"Plana")/SUMIFS(Ordenes!$Q$2:$Q$840,Ordenes!$C$2:$C$840,$B61,Ordenes!$T$2:$T$840,"Válida",Ordenes!$F$2:$F$840,"Plana"),"")</f>
        <v/>
      </c>
      <c r="G61" s="20">
        <f>IFERROR(SUMIFS(Ordenes!$P$2:$P$840,Ordenes!$C$2:$C$840,$B61,Ordenes!$T$2:$T$840,"Válida",Ordenes!$F$2:$F$840,"Ángulo")/SUMIFS(Ordenes!$Q$2:$Q$840,Ordenes!$C$2:$C$840,$B61,Ordenes!$T$2:$T$840,"Válida",Ordenes!$F$2:$F$840,"Ángulo"),"")</f>
        <v/>
      </c>
      <c r="H61" s="20">
        <f>IFERROR(SUMIFS(Ordenes!$P$2:$P$840,Ordenes!$C$2:$C$840,$B61,Ordenes!$T$2:$T$840,"Válida",Ordenes!$F$2:$F$840,"Cuadrado")/SUMIFS(Ordenes!$Q$2:$Q$840,Ordenes!$C$2:$C$840,$B61,Ordenes!$T$2:$T$840,"Válida",Ordenes!$F$2:$F$840,"Cuadrado"),"")</f>
        <v/>
      </c>
      <c r="I61" s="20">
        <f>IFERROR(SUMIFS(Ordenes!$P$2:$P$840,Ordenes!$C$2:$C$840,$B61,Ordenes!$T$2:$T$840,"Válida",Ordenes!$F$2:$F$840,"Estrella")/SUMIFS(Ordenes!$Q$2:$Q$840,Ordenes!$C$2:$C$840,$B61,Ordenes!$T$2:$T$840,"Válida",Ordenes!$F$2:$F$840,"Estrella"),"")</f>
        <v/>
      </c>
      <c r="J61" s="20">
        <f>IFERROR(SUMIFS(Ordenes!$P$2:$P$840,Ordenes!$C$2:$C$840,$B61,Ordenes!$T$2:$T$840,"Válida",Ordenes!$F$2:$F$840,"Saferock")/SUMIFS(Ordenes!$Q$2:$Q$840,Ordenes!$C$2:$C$840,$B61,Ordenes!$T$2:$T$840,"Válida",Ordenes!$F$2:$F$840,"Saferock"),"")</f>
        <v/>
      </c>
      <c r="K61" s="20">
        <f>IFERROR(SUMIFS(Ordenes!$P$2:$P$840,Ordenes!$C$2:$C$840,$B61,Ordenes!$T$2:$T$840,"Válida",Ordenes!$F$2:$F$840,"Hexágono")/SUMIFS(Ordenes!$Q$2:$Q$840,Ordenes!$C$2:$C$840,$B61,Ordenes!$T$2:$T$840,"Válida",Ordenes!$F$2:$F$840,"Hexágono"),"")</f>
        <v/>
      </c>
      <c r="L61" s="24">
        <f>IFERROR(SUMIFS(Ordenes!$P$2:$P$840,Ordenes!$C$2:$C$840,$B61,Ordenes!$T$2:$T$840,"Válida",Ordenes!$F$2:$F$840,"*")/SUMIFS(Ordenes!$Q$2:$Q$840,Ordenes!$C$2:$C$840,$B61,Ordenes!$T$2:$T$840,"Válida",Ordenes!$F$2:$F$840,"*"),"")</f>
        <v/>
      </c>
      <c r="M61" s="20">
        <f>IFERROR(SUMIFS(Ordenes!$V$2:$V$840,Ordenes!$C$2:$C$840,$B61,Ordenes!$T$2:$T$840,"Válida")/SUMIFS(Ordenes!$Q$2:$Q$840,Ordenes!$C$2:$C$840,$B61,Ordenes!$T$2:$T$840,"Válida"),"")</f>
        <v/>
      </c>
      <c r="N61" s="21">
        <f>IFERROR((L61-M61)*100,"")</f>
        <v/>
      </c>
      <c r="O61" s="19">
        <f>SUMIFS(Ordenes!$P$2:$P$840,Ordenes!$C$2:$C$840,$B61,Ordenes!$T$2:$T$840,"Válida")</f>
        <v/>
      </c>
      <c r="P61" s="19">
        <f>SUMIFS(Ordenes!$Q$2:$Q$840,Ordenes!$C$2:$C$840,$B61,Ordenes!$T$2:$T$840,"Válida")</f>
        <v/>
      </c>
      <c r="Q61" s="18">
        <f>COUNTIFS(Ordenes!$C$2:$C$840,$B61,Ordenes!$T$2:$T$840,"Válida")</f>
        <v/>
      </c>
    </row>
    <row r="62">
      <c r="A62" s="18" t="inlineStr">
        <is>
          <t>Mié 11 mar 2026</t>
        </is>
      </c>
      <c r="B62" s="22" t="n">
        <v>46092</v>
      </c>
      <c r="C62" s="18" t="inlineStr">
        <is>
          <t>S11</t>
        </is>
      </c>
      <c r="D62" s="20">
        <f>IFERROR(SUMIFS(Ordenes!$P$2:$P$840,Ordenes!$C$2:$C$840,$B62,Ordenes!$T$2:$T$840,"Válida",Ordenes!$F$2:$F$840,"B Hormigón")/SUMIFS(Ordenes!$Q$2:$Q$840,Ordenes!$C$2:$C$840,$B62,Ordenes!$T$2:$T$840,"Válida",Ordenes!$F$2:$F$840,"B Hormigón"),"")</f>
        <v/>
      </c>
      <c r="E62" s="20">
        <f>IFERROR(SUMIFS(Ordenes!$P$2:$P$840,Ordenes!$C$2:$C$840,$B62,Ordenes!$T$2:$T$840,"Válida",Ordenes!$F$2:$F$840,"Redondo liso")/SUMIFS(Ordenes!$Q$2:$Q$840,Ordenes!$C$2:$C$840,$B62,Ordenes!$T$2:$T$840,"Válida",Ordenes!$F$2:$F$840,"Redondo liso"),"")</f>
        <v/>
      </c>
      <c r="F62" s="20">
        <f>IFERROR(SUMIFS(Ordenes!$P$2:$P$840,Ordenes!$C$2:$C$840,$B62,Ordenes!$T$2:$T$840,"Válida",Ordenes!$F$2:$F$840,"Plana")/SUMIFS(Ordenes!$Q$2:$Q$840,Ordenes!$C$2:$C$840,$B62,Ordenes!$T$2:$T$840,"Válida",Ordenes!$F$2:$F$840,"Plana"),"")</f>
        <v/>
      </c>
      <c r="G62" s="20">
        <f>IFERROR(SUMIFS(Ordenes!$P$2:$P$840,Ordenes!$C$2:$C$840,$B62,Ordenes!$T$2:$T$840,"Válida",Ordenes!$F$2:$F$840,"Ángulo")/SUMIFS(Ordenes!$Q$2:$Q$840,Ordenes!$C$2:$C$840,$B62,Ordenes!$T$2:$T$840,"Válida",Ordenes!$F$2:$F$840,"Ángulo"),"")</f>
        <v/>
      </c>
      <c r="H62" s="20">
        <f>IFERROR(SUMIFS(Ordenes!$P$2:$P$840,Ordenes!$C$2:$C$840,$B62,Ordenes!$T$2:$T$840,"Válida",Ordenes!$F$2:$F$840,"Cuadrado")/SUMIFS(Ordenes!$Q$2:$Q$840,Ordenes!$C$2:$C$840,$B62,Ordenes!$T$2:$T$840,"Válida",Ordenes!$F$2:$F$840,"Cuadrado"),"")</f>
        <v/>
      </c>
      <c r="I62" s="20">
        <f>IFERROR(SUMIFS(Ordenes!$P$2:$P$840,Ordenes!$C$2:$C$840,$B62,Ordenes!$T$2:$T$840,"Válida",Ordenes!$F$2:$F$840,"Estrella")/SUMIFS(Ordenes!$Q$2:$Q$840,Ordenes!$C$2:$C$840,$B62,Ordenes!$T$2:$T$840,"Válida",Ordenes!$F$2:$F$840,"Estrella"),"")</f>
        <v/>
      </c>
      <c r="J62" s="20">
        <f>IFERROR(SUMIFS(Ordenes!$P$2:$P$840,Ordenes!$C$2:$C$840,$B62,Ordenes!$T$2:$T$840,"Válida",Ordenes!$F$2:$F$840,"Saferock")/SUMIFS(Ordenes!$Q$2:$Q$840,Ordenes!$C$2:$C$840,$B62,Ordenes!$T$2:$T$840,"Válida",Ordenes!$F$2:$F$840,"Saferock"),"")</f>
        <v/>
      </c>
      <c r="K62" s="20">
        <f>IFERROR(SUMIFS(Ordenes!$P$2:$P$840,Ordenes!$C$2:$C$840,$B62,Ordenes!$T$2:$T$840,"Válida",Ordenes!$F$2:$F$840,"Hexágono")/SUMIFS(Ordenes!$Q$2:$Q$840,Ordenes!$C$2:$C$840,$B62,Ordenes!$T$2:$T$840,"Válida",Ordenes!$F$2:$F$840,"Hexágono"),"")</f>
        <v/>
      </c>
      <c r="L62" s="24">
        <f>IFERROR(SUMIFS(Ordenes!$P$2:$P$840,Ordenes!$C$2:$C$840,$B62,Ordenes!$T$2:$T$840,"Válida",Ordenes!$F$2:$F$840,"*")/SUMIFS(Ordenes!$Q$2:$Q$840,Ordenes!$C$2:$C$840,$B62,Ordenes!$T$2:$T$840,"Válida",Ordenes!$F$2:$F$840,"*"),"")</f>
        <v/>
      </c>
      <c r="M62" s="20">
        <f>IFERROR(SUMIFS(Ordenes!$V$2:$V$840,Ordenes!$C$2:$C$840,$B62,Ordenes!$T$2:$T$840,"Válida")/SUMIFS(Ordenes!$Q$2:$Q$840,Ordenes!$C$2:$C$840,$B62,Ordenes!$T$2:$T$840,"Válida"),"")</f>
        <v/>
      </c>
      <c r="N62" s="21">
        <f>IFERROR((L62-M62)*100,"")</f>
        <v/>
      </c>
      <c r="O62" s="19">
        <f>SUMIFS(Ordenes!$P$2:$P$840,Ordenes!$C$2:$C$840,$B62,Ordenes!$T$2:$T$840,"Válida")</f>
        <v/>
      </c>
      <c r="P62" s="19">
        <f>SUMIFS(Ordenes!$Q$2:$Q$840,Ordenes!$C$2:$C$840,$B62,Ordenes!$T$2:$T$840,"Válida")</f>
        <v/>
      </c>
      <c r="Q62" s="18">
        <f>COUNTIFS(Ordenes!$C$2:$C$840,$B62,Ordenes!$T$2:$T$840,"Válida")</f>
        <v/>
      </c>
    </row>
    <row r="63">
      <c r="A63" s="18" t="inlineStr">
        <is>
          <t>Jue 12 mar 2026</t>
        </is>
      </c>
      <c r="B63" s="22" t="n">
        <v>46093</v>
      </c>
      <c r="C63" s="18" t="inlineStr">
        <is>
          <t>S11</t>
        </is>
      </c>
      <c r="D63" s="20">
        <f>IFERROR(SUMIFS(Ordenes!$P$2:$P$840,Ordenes!$C$2:$C$840,$B63,Ordenes!$T$2:$T$840,"Válida",Ordenes!$F$2:$F$840,"B Hormigón")/SUMIFS(Ordenes!$Q$2:$Q$840,Ordenes!$C$2:$C$840,$B63,Ordenes!$T$2:$T$840,"Válida",Ordenes!$F$2:$F$840,"B Hormigón"),"")</f>
        <v/>
      </c>
      <c r="E63" s="20">
        <f>IFERROR(SUMIFS(Ordenes!$P$2:$P$840,Ordenes!$C$2:$C$840,$B63,Ordenes!$T$2:$T$840,"Válida",Ordenes!$F$2:$F$840,"Redondo liso")/SUMIFS(Ordenes!$Q$2:$Q$840,Ordenes!$C$2:$C$840,$B63,Ordenes!$T$2:$T$840,"Válida",Ordenes!$F$2:$F$840,"Redondo liso"),"")</f>
        <v/>
      </c>
      <c r="F63" s="20">
        <f>IFERROR(SUMIFS(Ordenes!$P$2:$P$840,Ordenes!$C$2:$C$840,$B63,Ordenes!$T$2:$T$840,"Válida",Ordenes!$F$2:$F$840,"Plana")/SUMIFS(Ordenes!$Q$2:$Q$840,Ordenes!$C$2:$C$840,$B63,Ordenes!$T$2:$T$840,"Válida",Ordenes!$F$2:$F$840,"Plana"),"")</f>
        <v/>
      </c>
      <c r="G63" s="20">
        <f>IFERROR(SUMIFS(Ordenes!$P$2:$P$840,Ordenes!$C$2:$C$840,$B63,Ordenes!$T$2:$T$840,"Válida",Ordenes!$F$2:$F$840,"Ángulo")/SUMIFS(Ordenes!$Q$2:$Q$840,Ordenes!$C$2:$C$840,$B63,Ordenes!$T$2:$T$840,"Válida",Ordenes!$F$2:$F$840,"Ángulo"),"")</f>
        <v/>
      </c>
      <c r="H63" s="20">
        <f>IFERROR(SUMIFS(Ordenes!$P$2:$P$840,Ordenes!$C$2:$C$840,$B63,Ordenes!$T$2:$T$840,"Válida",Ordenes!$F$2:$F$840,"Cuadrado")/SUMIFS(Ordenes!$Q$2:$Q$840,Ordenes!$C$2:$C$840,$B63,Ordenes!$T$2:$T$840,"Válida",Ordenes!$F$2:$F$840,"Cuadrado"),"")</f>
        <v/>
      </c>
      <c r="I63" s="20">
        <f>IFERROR(SUMIFS(Ordenes!$P$2:$P$840,Ordenes!$C$2:$C$840,$B63,Ordenes!$T$2:$T$840,"Válida",Ordenes!$F$2:$F$840,"Estrella")/SUMIFS(Ordenes!$Q$2:$Q$840,Ordenes!$C$2:$C$840,$B63,Ordenes!$T$2:$T$840,"Válida",Ordenes!$F$2:$F$840,"Estrella"),"")</f>
        <v/>
      </c>
      <c r="J63" s="20">
        <f>IFERROR(SUMIFS(Ordenes!$P$2:$P$840,Ordenes!$C$2:$C$840,$B63,Ordenes!$T$2:$T$840,"Válida",Ordenes!$F$2:$F$840,"Saferock")/SUMIFS(Ordenes!$Q$2:$Q$840,Ordenes!$C$2:$C$840,$B63,Ordenes!$T$2:$T$840,"Válida",Ordenes!$F$2:$F$840,"Saferock"),"")</f>
        <v/>
      </c>
      <c r="K63" s="20">
        <f>IFERROR(SUMIFS(Ordenes!$P$2:$P$840,Ordenes!$C$2:$C$840,$B63,Ordenes!$T$2:$T$840,"Válida",Ordenes!$F$2:$F$840,"Hexágono")/SUMIFS(Ordenes!$Q$2:$Q$840,Ordenes!$C$2:$C$840,$B63,Ordenes!$T$2:$T$840,"Válida",Ordenes!$F$2:$F$840,"Hexágono"),"")</f>
        <v/>
      </c>
      <c r="L63" s="24">
        <f>IFERROR(SUMIFS(Ordenes!$P$2:$P$840,Ordenes!$C$2:$C$840,$B63,Ordenes!$T$2:$T$840,"Válida",Ordenes!$F$2:$F$840,"*")/SUMIFS(Ordenes!$Q$2:$Q$840,Ordenes!$C$2:$C$840,$B63,Ordenes!$T$2:$T$840,"Válida",Ordenes!$F$2:$F$840,"*"),"")</f>
        <v/>
      </c>
      <c r="M63" s="20">
        <f>IFERROR(SUMIFS(Ordenes!$V$2:$V$840,Ordenes!$C$2:$C$840,$B63,Ordenes!$T$2:$T$840,"Válida")/SUMIFS(Ordenes!$Q$2:$Q$840,Ordenes!$C$2:$C$840,$B63,Ordenes!$T$2:$T$840,"Válida"),"")</f>
        <v/>
      </c>
      <c r="N63" s="21">
        <f>IFERROR((L63-M63)*100,"")</f>
        <v/>
      </c>
      <c r="O63" s="19">
        <f>SUMIFS(Ordenes!$P$2:$P$840,Ordenes!$C$2:$C$840,$B63,Ordenes!$T$2:$T$840,"Válida")</f>
        <v/>
      </c>
      <c r="P63" s="19">
        <f>SUMIFS(Ordenes!$Q$2:$Q$840,Ordenes!$C$2:$C$840,$B63,Ordenes!$T$2:$T$840,"Válida")</f>
        <v/>
      </c>
      <c r="Q63" s="18">
        <f>COUNTIFS(Ordenes!$C$2:$C$840,$B63,Ordenes!$T$2:$T$840,"Válida")</f>
        <v/>
      </c>
    </row>
    <row r="64">
      <c r="A64" s="18" t="inlineStr">
        <is>
          <t>Vie 13 mar 2026</t>
        </is>
      </c>
      <c r="B64" s="22" t="n">
        <v>46094</v>
      </c>
      <c r="C64" s="18" t="inlineStr">
        <is>
          <t>S11</t>
        </is>
      </c>
      <c r="D64" s="20">
        <f>IFERROR(SUMIFS(Ordenes!$P$2:$P$840,Ordenes!$C$2:$C$840,$B64,Ordenes!$T$2:$T$840,"Válida",Ordenes!$F$2:$F$840,"B Hormigón")/SUMIFS(Ordenes!$Q$2:$Q$840,Ordenes!$C$2:$C$840,$B64,Ordenes!$T$2:$T$840,"Válida",Ordenes!$F$2:$F$840,"B Hormigón"),"")</f>
        <v/>
      </c>
      <c r="E64" s="20">
        <f>IFERROR(SUMIFS(Ordenes!$P$2:$P$840,Ordenes!$C$2:$C$840,$B64,Ordenes!$T$2:$T$840,"Válida",Ordenes!$F$2:$F$840,"Redondo liso")/SUMIFS(Ordenes!$Q$2:$Q$840,Ordenes!$C$2:$C$840,$B64,Ordenes!$T$2:$T$840,"Válida",Ordenes!$F$2:$F$840,"Redondo liso"),"")</f>
        <v/>
      </c>
      <c r="F64" s="20">
        <f>IFERROR(SUMIFS(Ordenes!$P$2:$P$840,Ordenes!$C$2:$C$840,$B64,Ordenes!$T$2:$T$840,"Válida",Ordenes!$F$2:$F$840,"Plana")/SUMIFS(Ordenes!$Q$2:$Q$840,Ordenes!$C$2:$C$840,$B64,Ordenes!$T$2:$T$840,"Válida",Ordenes!$F$2:$F$840,"Plana"),"")</f>
        <v/>
      </c>
      <c r="G64" s="20">
        <f>IFERROR(SUMIFS(Ordenes!$P$2:$P$840,Ordenes!$C$2:$C$840,$B64,Ordenes!$T$2:$T$840,"Válida",Ordenes!$F$2:$F$840,"Ángulo")/SUMIFS(Ordenes!$Q$2:$Q$840,Ordenes!$C$2:$C$840,$B64,Ordenes!$T$2:$T$840,"Válida",Ordenes!$F$2:$F$840,"Ángulo"),"")</f>
        <v/>
      </c>
      <c r="H64" s="20">
        <f>IFERROR(SUMIFS(Ordenes!$P$2:$P$840,Ordenes!$C$2:$C$840,$B64,Ordenes!$T$2:$T$840,"Válida",Ordenes!$F$2:$F$840,"Cuadrado")/SUMIFS(Ordenes!$Q$2:$Q$840,Ordenes!$C$2:$C$840,$B64,Ordenes!$T$2:$T$840,"Válida",Ordenes!$F$2:$F$840,"Cuadrado"),"")</f>
        <v/>
      </c>
      <c r="I64" s="20">
        <f>IFERROR(SUMIFS(Ordenes!$P$2:$P$840,Ordenes!$C$2:$C$840,$B64,Ordenes!$T$2:$T$840,"Válida",Ordenes!$F$2:$F$840,"Estrella")/SUMIFS(Ordenes!$Q$2:$Q$840,Ordenes!$C$2:$C$840,$B64,Ordenes!$T$2:$T$840,"Válida",Ordenes!$F$2:$F$840,"Estrella"),"")</f>
        <v/>
      </c>
      <c r="J64" s="20">
        <f>IFERROR(SUMIFS(Ordenes!$P$2:$P$840,Ordenes!$C$2:$C$840,$B64,Ordenes!$T$2:$T$840,"Válida",Ordenes!$F$2:$F$840,"Saferock")/SUMIFS(Ordenes!$Q$2:$Q$840,Ordenes!$C$2:$C$840,$B64,Ordenes!$T$2:$T$840,"Válida",Ordenes!$F$2:$F$840,"Saferock"),"")</f>
        <v/>
      </c>
      <c r="K64" s="20">
        <f>IFERROR(SUMIFS(Ordenes!$P$2:$P$840,Ordenes!$C$2:$C$840,$B64,Ordenes!$T$2:$T$840,"Válida",Ordenes!$F$2:$F$840,"Hexágono")/SUMIFS(Ordenes!$Q$2:$Q$840,Ordenes!$C$2:$C$840,$B64,Ordenes!$T$2:$T$840,"Válida",Ordenes!$F$2:$F$840,"Hexágono"),"")</f>
        <v/>
      </c>
      <c r="L64" s="24">
        <f>IFERROR(SUMIFS(Ordenes!$P$2:$P$840,Ordenes!$C$2:$C$840,$B64,Ordenes!$T$2:$T$840,"Válida",Ordenes!$F$2:$F$840,"*")/SUMIFS(Ordenes!$Q$2:$Q$840,Ordenes!$C$2:$C$840,$B64,Ordenes!$T$2:$T$840,"Válida",Ordenes!$F$2:$F$840,"*"),"")</f>
        <v/>
      </c>
      <c r="M64" s="20">
        <f>IFERROR(SUMIFS(Ordenes!$V$2:$V$840,Ordenes!$C$2:$C$840,$B64,Ordenes!$T$2:$T$840,"Válida")/SUMIFS(Ordenes!$Q$2:$Q$840,Ordenes!$C$2:$C$840,$B64,Ordenes!$T$2:$T$840,"Válida"),"")</f>
        <v/>
      </c>
      <c r="N64" s="21">
        <f>IFERROR((L64-M64)*100,"")</f>
        <v/>
      </c>
      <c r="O64" s="19">
        <f>SUMIFS(Ordenes!$P$2:$P$840,Ordenes!$C$2:$C$840,$B64,Ordenes!$T$2:$T$840,"Válida")</f>
        <v/>
      </c>
      <c r="P64" s="19">
        <f>SUMIFS(Ordenes!$Q$2:$Q$840,Ordenes!$C$2:$C$840,$B64,Ordenes!$T$2:$T$840,"Válida")</f>
        <v/>
      </c>
      <c r="Q64" s="18">
        <f>COUNTIFS(Ordenes!$C$2:$C$840,$B64,Ordenes!$T$2:$T$840,"Válida")</f>
        <v/>
      </c>
    </row>
    <row r="65">
      <c r="A65" s="18" t="inlineStr">
        <is>
          <t>Sáb 14 mar 2026</t>
        </is>
      </c>
      <c r="B65" s="22" t="n">
        <v>46095</v>
      </c>
      <c r="C65" s="18" t="inlineStr">
        <is>
          <t>S11</t>
        </is>
      </c>
      <c r="D65" s="20">
        <f>IFERROR(SUMIFS(Ordenes!$P$2:$P$840,Ordenes!$C$2:$C$840,$B65,Ordenes!$T$2:$T$840,"Válida",Ordenes!$F$2:$F$840,"B Hormigón")/SUMIFS(Ordenes!$Q$2:$Q$840,Ordenes!$C$2:$C$840,$B65,Ordenes!$T$2:$T$840,"Válida",Ordenes!$F$2:$F$840,"B Hormigón"),"")</f>
        <v/>
      </c>
      <c r="E65" s="20">
        <f>IFERROR(SUMIFS(Ordenes!$P$2:$P$840,Ordenes!$C$2:$C$840,$B65,Ordenes!$T$2:$T$840,"Válida",Ordenes!$F$2:$F$840,"Redondo liso")/SUMIFS(Ordenes!$Q$2:$Q$840,Ordenes!$C$2:$C$840,$B65,Ordenes!$T$2:$T$840,"Válida",Ordenes!$F$2:$F$840,"Redondo liso"),"")</f>
        <v/>
      </c>
      <c r="F65" s="20">
        <f>IFERROR(SUMIFS(Ordenes!$P$2:$P$840,Ordenes!$C$2:$C$840,$B65,Ordenes!$T$2:$T$840,"Válida",Ordenes!$F$2:$F$840,"Plana")/SUMIFS(Ordenes!$Q$2:$Q$840,Ordenes!$C$2:$C$840,$B65,Ordenes!$T$2:$T$840,"Válida",Ordenes!$F$2:$F$840,"Plana"),"")</f>
        <v/>
      </c>
      <c r="G65" s="20">
        <f>IFERROR(SUMIFS(Ordenes!$P$2:$P$840,Ordenes!$C$2:$C$840,$B65,Ordenes!$T$2:$T$840,"Válida",Ordenes!$F$2:$F$840,"Ángulo")/SUMIFS(Ordenes!$Q$2:$Q$840,Ordenes!$C$2:$C$840,$B65,Ordenes!$T$2:$T$840,"Válida",Ordenes!$F$2:$F$840,"Ángulo"),"")</f>
        <v/>
      </c>
      <c r="H65" s="20">
        <f>IFERROR(SUMIFS(Ordenes!$P$2:$P$840,Ordenes!$C$2:$C$840,$B65,Ordenes!$T$2:$T$840,"Válida",Ordenes!$F$2:$F$840,"Cuadrado")/SUMIFS(Ordenes!$Q$2:$Q$840,Ordenes!$C$2:$C$840,$B65,Ordenes!$T$2:$T$840,"Válida",Ordenes!$F$2:$F$840,"Cuadrado"),"")</f>
        <v/>
      </c>
      <c r="I65" s="20">
        <f>IFERROR(SUMIFS(Ordenes!$P$2:$P$840,Ordenes!$C$2:$C$840,$B65,Ordenes!$T$2:$T$840,"Válida",Ordenes!$F$2:$F$840,"Estrella")/SUMIFS(Ordenes!$Q$2:$Q$840,Ordenes!$C$2:$C$840,$B65,Ordenes!$T$2:$T$840,"Válida",Ordenes!$F$2:$F$840,"Estrella"),"")</f>
        <v/>
      </c>
      <c r="J65" s="20">
        <f>IFERROR(SUMIFS(Ordenes!$P$2:$P$840,Ordenes!$C$2:$C$840,$B65,Ordenes!$T$2:$T$840,"Válida",Ordenes!$F$2:$F$840,"Saferock")/SUMIFS(Ordenes!$Q$2:$Q$840,Ordenes!$C$2:$C$840,$B65,Ordenes!$T$2:$T$840,"Válida",Ordenes!$F$2:$F$840,"Saferock"),"")</f>
        <v/>
      </c>
      <c r="K65" s="20">
        <f>IFERROR(SUMIFS(Ordenes!$P$2:$P$840,Ordenes!$C$2:$C$840,$B65,Ordenes!$T$2:$T$840,"Válida",Ordenes!$F$2:$F$840,"Hexágono")/SUMIFS(Ordenes!$Q$2:$Q$840,Ordenes!$C$2:$C$840,$B65,Ordenes!$T$2:$T$840,"Válida",Ordenes!$F$2:$F$840,"Hexágono"),"")</f>
        <v/>
      </c>
      <c r="L65" s="24">
        <f>IFERROR(SUMIFS(Ordenes!$P$2:$P$840,Ordenes!$C$2:$C$840,$B65,Ordenes!$T$2:$T$840,"Válida",Ordenes!$F$2:$F$840,"*")/SUMIFS(Ordenes!$Q$2:$Q$840,Ordenes!$C$2:$C$840,$B65,Ordenes!$T$2:$T$840,"Válida",Ordenes!$F$2:$F$840,"*"),"")</f>
        <v/>
      </c>
      <c r="M65" s="20">
        <f>IFERROR(SUMIFS(Ordenes!$V$2:$V$840,Ordenes!$C$2:$C$840,$B65,Ordenes!$T$2:$T$840,"Válida")/SUMIFS(Ordenes!$Q$2:$Q$840,Ordenes!$C$2:$C$840,$B65,Ordenes!$T$2:$T$840,"Válida"),"")</f>
        <v/>
      </c>
      <c r="N65" s="21">
        <f>IFERROR((L65-M65)*100,"")</f>
        <v/>
      </c>
      <c r="O65" s="19">
        <f>SUMIFS(Ordenes!$P$2:$P$840,Ordenes!$C$2:$C$840,$B65,Ordenes!$T$2:$T$840,"Válida")</f>
        <v/>
      </c>
      <c r="P65" s="19">
        <f>SUMIFS(Ordenes!$Q$2:$Q$840,Ordenes!$C$2:$C$840,$B65,Ordenes!$T$2:$T$840,"Válida")</f>
        <v/>
      </c>
      <c r="Q65" s="18">
        <f>COUNTIFS(Ordenes!$C$2:$C$840,$B65,Ordenes!$T$2:$T$840,"Válida")</f>
        <v/>
      </c>
    </row>
    <row r="66">
      <c r="A66" s="18" t="inlineStr">
        <is>
          <t>Dom 15 mar 2026</t>
        </is>
      </c>
      <c r="B66" s="22" t="n">
        <v>46096</v>
      </c>
      <c r="C66" s="18" t="inlineStr">
        <is>
          <t>S11</t>
        </is>
      </c>
      <c r="D66" s="20">
        <f>IFERROR(SUMIFS(Ordenes!$P$2:$P$840,Ordenes!$C$2:$C$840,$B66,Ordenes!$T$2:$T$840,"Válida",Ordenes!$F$2:$F$840,"B Hormigón")/SUMIFS(Ordenes!$Q$2:$Q$840,Ordenes!$C$2:$C$840,$B66,Ordenes!$T$2:$T$840,"Válida",Ordenes!$F$2:$F$840,"B Hormigón"),"")</f>
        <v/>
      </c>
      <c r="E66" s="20">
        <f>IFERROR(SUMIFS(Ordenes!$P$2:$P$840,Ordenes!$C$2:$C$840,$B66,Ordenes!$T$2:$T$840,"Válida",Ordenes!$F$2:$F$840,"Redondo liso")/SUMIFS(Ordenes!$Q$2:$Q$840,Ordenes!$C$2:$C$840,$B66,Ordenes!$T$2:$T$840,"Válida",Ordenes!$F$2:$F$840,"Redondo liso"),"")</f>
        <v/>
      </c>
      <c r="F66" s="20">
        <f>IFERROR(SUMIFS(Ordenes!$P$2:$P$840,Ordenes!$C$2:$C$840,$B66,Ordenes!$T$2:$T$840,"Válida",Ordenes!$F$2:$F$840,"Plana")/SUMIFS(Ordenes!$Q$2:$Q$840,Ordenes!$C$2:$C$840,$B66,Ordenes!$T$2:$T$840,"Válida",Ordenes!$F$2:$F$840,"Plana"),"")</f>
        <v/>
      </c>
      <c r="G66" s="20">
        <f>IFERROR(SUMIFS(Ordenes!$P$2:$P$840,Ordenes!$C$2:$C$840,$B66,Ordenes!$T$2:$T$840,"Válida",Ordenes!$F$2:$F$840,"Ángulo")/SUMIFS(Ordenes!$Q$2:$Q$840,Ordenes!$C$2:$C$840,$B66,Ordenes!$T$2:$T$840,"Válida",Ordenes!$F$2:$F$840,"Ángulo"),"")</f>
        <v/>
      </c>
      <c r="H66" s="20">
        <f>IFERROR(SUMIFS(Ordenes!$P$2:$P$840,Ordenes!$C$2:$C$840,$B66,Ordenes!$T$2:$T$840,"Válida",Ordenes!$F$2:$F$840,"Cuadrado")/SUMIFS(Ordenes!$Q$2:$Q$840,Ordenes!$C$2:$C$840,$B66,Ordenes!$T$2:$T$840,"Válida",Ordenes!$F$2:$F$840,"Cuadrado"),"")</f>
        <v/>
      </c>
      <c r="I66" s="20">
        <f>IFERROR(SUMIFS(Ordenes!$P$2:$P$840,Ordenes!$C$2:$C$840,$B66,Ordenes!$T$2:$T$840,"Válida",Ordenes!$F$2:$F$840,"Estrella")/SUMIFS(Ordenes!$Q$2:$Q$840,Ordenes!$C$2:$C$840,$B66,Ordenes!$T$2:$T$840,"Válida",Ordenes!$F$2:$F$840,"Estrella"),"")</f>
        <v/>
      </c>
      <c r="J66" s="20">
        <f>IFERROR(SUMIFS(Ordenes!$P$2:$P$840,Ordenes!$C$2:$C$840,$B66,Ordenes!$T$2:$T$840,"Válida",Ordenes!$F$2:$F$840,"Saferock")/SUMIFS(Ordenes!$Q$2:$Q$840,Ordenes!$C$2:$C$840,$B66,Ordenes!$T$2:$T$840,"Válida",Ordenes!$F$2:$F$840,"Saferock"),"")</f>
        <v/>
      </c>
      <c r="K66" s="20">
        <f>IFERROR(SUMIFS(Ordenes!$P$2:$P$840,Ordenes!$C$2:$C$840,$B66,Ordenes!$T$2:$T$840,"Válida",Ordenes!$F$2:$F$840,"Hexágono")/SUMIFS(Ordenes!$Q$2:$Q$840,Ordenes!$C$2:$C$840,$B66,Ordenes!$T$2:$T$840,"Válida",Ordenes!$F$2:$F$840,"Hexágono"),"")</f>
        <v/>
      </c>
      <c r="L66" s="24">
        <f>IFERROR(SUMIFS(Ordenes!$P$2:$P$840,Ordenes!$C$2:$C$840,$B66,Ordenes!$T$2:$T$840,"Válida",Ordenes!$F$2:$F$840,"*")/SUMIFS(Ordenes!$Q$2:$Q$840,Ordenes!$C$2:$C$840,$B66,Ordenes!$T$2:$T$840,"Válida",Ordenes!$F$2:$F$840,"*"),"")</f>
        <v/>
      </c>
      <c r="M66" s="20">
        <f>IFERROR(SUMIFS(Ordenes!$V$2:$V$840,Ordenes!$C$2:$C$840,$B66,Ordenes!$T$2:$T$840,"Válida")/SUMIFS(Ordenes!$Q$2:$Q$840,Ordenes!$C$2:$C$840,$B66,Ordenes!$T$2:$T$840,"Válida"),"")</f>
        <v/>
      </c>
      <c r="N66" s="21">
        <f>IFERROR((L66-M66)*100,"")</f>
        <v/>
      </c>
      <c r="O66" s="19">
        <f>SUMIFS(Ordenes!$P$2:$P$840,Ordenes!$C$2:$C$840,$B66,Ordenes!$T$2:$T$840,"Válida")</f>
        <v/>
      </c>
      <c r="P66" s="19">
        <f>SUMIFS(Ordenes!$Q$2:$Q$840,Ordenes!$C$2:$C$840,$B66,Ordenes!$T$2:$T$840,"Válida")</f>
        <v/>
      </c>
      <c r="Q66" s="18">
        <f>COUNTIFS(Ordenes!$C$2:$C$840,$B66,Ordenes!$T$2:$T$840,"Válida")</f>
        <v/>
      </c>
    </row>
    <row r="67">
      <c r="A67" s="18" t="inlineStr">
        <is>
          <t>Lun 16 mar 2026</t>
        </is>
      </c>
      <c r="B67" s="22" t="n">
        <v>46097</v>
      </c>
      <c r="C67" s="18" t="inlineStr">
        <is>
          <t>S12</t>
        </is>
      </c>
      <c r="D67" s="20">
        <f>IFERROR(SUMIFS(Ordenes!$P$2:$P$840,Ordenes!$C$2:$C$840,$B67,Ordenes!$T$2:$T$840,"Válida",Ordenes!$F$2:$F$840,"B Hormigón")/SUMIFS(Ordenes!$Q$2:$Q$840,Ordenes!$C$2:$C$840,$B67,Ordenes!$T$2:$T$840,"Válida",Ordenes!$F$2:$F$840,"B Hormigón"),"")</f>
        <v/>
      </c>
      <c r="E67" s="20">
        <f>IFERROR(SUMIFS(Ordenes!$P$2:$P$840,Ordenes!$C$2:$C$840,$B67,Ordenes!$T$2:$T$840,"Válida",Ordenes!$F$2:$F$840,"Redondo liso")/SUMIFS(Ordenes!$Q$2:$Q$840,Ordenes!$C$2:$C$840,$B67,Ordenes!$T$2:$T$840,"Válida",Ordenes!$F$2:$F$840,"Redondo liso"),"")</f>
        <v/>
      </c>
      <c r="F67" s="20">
        <f>IFERROR(SUMIFS(Ordenes!$P$2:$P$840,Ordenes!$C$2:$C$840,$B67,Ordenes!$T$2:$T$840,"Válida",Ordenes!$F$2:$F$840,"Plana")/SUMIFS(Ordenes!$Q$2:$Q$840,Ordenes!$C$2:$C$840,$B67,Ordenes!$T$2:$T$840,"Válida",Ordenes!$F$2:$F$840,"Plana"),"")</f>
        <v/>
      </c>
      <c r="G67" s="20">
        <f>IFERROR(SUMIFS(Ordenes!$P$2:$P$840,Ordenes!$C$2:$C$840,$B67,Ordenes!$T$2:$T$840,"Válida",Ordenes!$F$2:$F$840,"Ángulo")/SUMIFS(Ordenes!$Q$2:$Q$840,Ordenes!$C$2:$C$840,$B67,Ordenes!$T$2:$T$840,"Válida",Ordenes!$F$2:$F$840,"Ángulo"),"")</f>
        <v/>
      </c>
      <c r="H67" s="20">
        <f>IFERROR(SUMIFS(Ordenes!$P$2:$P$840,Ordenes!$C$2:$C$840,$B67,Ordenes!$T$2:$T$840,"Válida",Ordenes!$F$2:$F$840,"Cuadrado")/SUMIFS(Ordenes!$Q$2:$Q$840,Ordenes!$C$2:$C$840,$B67,Ordenes!$T$2:$T$840,"Válida",Ordenes!$F$2:$F$840,"Cuadrado"),"")</f>
        <v/>
      </c>
      <c r="I67" s="20">
        <f>IFERROR(SUMIFS(Ordenes!$P$2:$P$840,Ordenes!$C$2:$C$840,$B67,Ordenes!$T$2:$T$840,"Válida",Ordenes!$F$2:$F$840,"Estrella")/SUMIFS(Ordenes!$Q$2:$Q$840,Ordenes!$C$2:$C$840,$B67,Ordenes!$T$2:$T$840,"Válida",Ordenes!$F$2:$F$840,"Estrella"),"")</f>
        <v/>
      </c>
      <c r="J67" s="20">
        <f>IFERROR(SUMIFS(Ordenes!$P$2:$P$840,Ordenes!$C$2:$C$840,$B67,Ordenes!$T$2:$T$840,"Válida",Ordenes!$F$2:$F$840,"Saferock")/SUMIFS(Ordenes!$Q$2:$Q$840,Ordenes!$C$2:$C$840,$B67,Ordenes!$T$2:$T$840,"Válida",Ordenes!$F$2:$F$840,"Saferock"),"")</f>
        <v/>
      </c>
      <c r="K67" s="20">
        <f>IFERROR(SUMIFS(Ordenes!$P$2:$P$840,Ordenes!$C$2:$C$840,$B67,Ordenes!$T$2:$T$840,"Válida",Ordenes!$F$2:$F$840,"Hexágono")/SUMIFS(Ordenes!$Q$2:$Q$840,Ordenes!$C$2:$C$840,$B67,Ordenes!$T$2:$T$840,"Válida",Ordenes!$F$2:$F$840,"Hexágono"),"")</f>
        <v/>
      </c>
      <c r="L67" s="24">
        <f>IFERROR(SUMIFS(Ordenes!$P$2:$P$840,Ordenes!$C$2:$C$840,$B67,Ordenes!$T$2:$T$840,"Válida",Ordenes!$F$2:$F$840,"*")/SUMIFS(Ordenes!$Q$2:$Q$840,Ordenes!$C$2:$C$840,$B67,Ordenes!$T$2:$T$840,"Válida",Ordenes!$F$2:$F$840,"*"),"")</f>
        <v/>
      </c>
      <c r="M67" s="20">
        <f>IFERROR(SUMIFS(Ordenes!$V$2:$V$840,Ordenes!$C$2:$C$840,$B67,Ordenes!$T$2:$T$840,"Válida")/SUMIFS(Ordenes!$Q$2:$Q$840,Ordenes!$C$2:$C$840,$B67,Ordenes!$T$2:$T$840,"Válida"),"")</f>
        <v/>
      </c>
      <c r="N67" s="21">
        <f>IFERROR((L67-M67)*100,"")</f>
        <v/>
      </c>
      <c r="O67" s="19">
        <f>SUMIFS(Ordenes!$P$2:$P$840,Ordenes!$C$2:$C$840,$B67,Ordenes!$T$2:$T$840,"Válida")</f>
        <v/>
      </c>
      <c r="P67" s="19">
        <f>SUMIFS(Ordenes!$Q$2:$Q$840,Ordenes!$C$2:$C$840,$B67,Ordenes!$T$2:$T$840,"Válida")</f>
        <v/>
      </c>
      <c r="Q67" s="18">
        <f>COUNTIFS(Ordenes!$C$2:$C$840,$B67,Ordenes!$T$2:$T$840,"Válida")</f>
        <v/>
      </c>
    </row>
    <row r="68">
      <c r="A68" s="18" t="inlineStr">
        <is>
          <t>Mar 17 mar 2026</t>
        </is>
      </c>
      <c r="B68" s="22" t="n">
        <v>46098</v>
      </c>
      <c r="C68" s="18" t="inlineStr">
        <is>
          <t>S12</t>
        </is>
      </c>
      <c r="D68" s="20">
        <f>IFERROR(SUMIFS(Ordenes!$P$2:$P$840,Ordenes!$C$2:$C$840,$B68,Ordenes!$T$2:$T$840,"Válida",Ordenes!$F$2:$F$840,"B Hormigón")/SUMIFS(Ordenes!$Q$2:$Q$840,Ordenes!$C$2:$C$840,$B68,Ordenes!$T$2:$T$840,"Válida",Ordenes!$F$2:$F$840,"B Hormigón"),"")</f>
        <v/>
      </c>
      <c r="E68" s="20">
        <f>IFERROR(SUMIFS(Ordenes!$P$2:$P$840,Ordenes!$C$2:$C$840,$B68,Ordenes!$T$2:$T$840,"Válida",Ordenes!$F$2:$F$840,"Redondo liso")/SUMIFS(Ordenes!$Q$2:$Q$840,Ordenes!$C$2:$C$840,$B68,Ordenes!$T$2:$T$840,"Válida",Ordenes!$F$2:$F$840,"Redondo liso"),"")</f>
        <v/>
      </c>
      <c r="F68" s="20">
        <f>IFERROR(SUMIFS(Ordenes!$P$2:$P$840,Ordenes!$C$2:$C$840,$B68,Ordenes!$T$2:$T$840,"Válida",Ordenes!$F$2:$F$840,"Plana")/SUMIFS(Ordenes!$Q$2:$Q$840,Ordenes!$C$2:$C$840,$B68,Ordenes!$T$2:$T$840,"Válida",Ordenes!$F$2:$F$840,"Plana"),"")</f>
        <v/>
      </c>
      <c r="G68" s="20">
        <f>IFERROR(SUMIFS(Ordenes!$P$2:$P$840,Ordenes!$C$2:$C$840,$B68,Ordenes!$T$2:$T$840,"Válida",Ordenes!$F$2:$F$840,"Ángulo")/SUMIFS(Ordenes!$Q$2:$Q$840,Ordenes!$C$2:$C$840,$B68,Ordenes!$T$2:$T$840,"Válida",Ordenes!$F$2:$F$840,"Ángulo"),"")</f>
        <v/>
      </c>
      <c r="H68" s="20">
        <f>IFERROR(SUMIFS(Ordenes!$P$2:$P$840,Ordenes!$C$2:$C$840,$B68,Ordenes!$T$2:$T$840,"Válida",Ordenes!$F$2:$F$840,"Cuadrado")/SUMIFS(Ordenes!$Q$2:$Q$840,Ordenes!$C$2:$C$840,$B68,Ordenes!$T$2:$T$840,"Válida",Ordenes!$F$2:$F$840,"Cuadrado"),"")</f>
        <v/>
      </c>
      <c r="I68" s="20">
        <f>IFERROR(SUMIFS(Ordenes!$P$2:$P$840,Ordenes!$C$2:$C$840,$B68,Ordenes!$T$2:$T$840,"Válida",Ordenes!$F$2:$F$840,"Estrella")/SUMIFS(Ordenes!$Q$2:$Q$840,Ordenes!$C$2:$C$840,$B68,Ordenes!$T$2:$T$840,"Válida",Ordenes!$F$2:$F$840,"Estrella"),"")</f>
        <v/>
      </c>
      <c r="J68" s="20">
        <f>IFERROR(SUMIFS(Ordenes!$P$2:$P$840,Ordenes!$C$2:$C$840,$B68,Ordenes!$T$2:$T$840,"Válida",Ordenes!$F$2:$F$840,"Saferock")/SUMIFS(Ordenes!$Q$2:$Q$840,Ordenes!$C$2:$C$840,$B68,Ordenes!$T$2:$T$840,"Válida",Ordenes!$F$2:$F$840,"Saferock"),"")</f>
        <v/>
      </c>
      <c r="K68" s="20">
        <f>IFERROR(SUMIFS(Ordenes!$P$2:$P$840,Ordenes!$C$2:$C$840,$B68,Ordenes!$T$2:$T$840,"Válida",Ordenes!$F$2:$F$840,"Hexágono")/SUMIFS(Ordenes!$Q$2:$Q$840,Ordenes!$C$2:$C$840,$B68,Ordenes!$T$2:$T$840,"Válida",Ordenes!$F$2:$F$840,"Hexágono"),"")</f>
        <v/>
      </c>
      <c r="L68" s="24">
        <f>IFERROR(SUMIFS(Ordenes!$P$2:$P$840,Ordenes!$C$2:$C$840,$B68,Ordenes!$T$2:$T$840,"Válida",Ordenes!$F$2:$F$840,"*")/SUMIFS(Ordenes!$Q$2:$Q$840,Ordenes!$C$2:$C$840,$B68,Ordenes!$T$2:$T$840,"Válida",Ordenes!$F$2:$F$840,"*"),"")</f>
        <v/>
      </c>
      <c r="M68" s="20">
        <f>IFERROR(SUMIFS(Ordenes!$V$2:$V$840,Ordenes!$C$2:$C$840,$B68,Ordenes!$T$2:$T$840,"Válida")/SUMIFS(Ordenes!$Q$2:$Q$840,Ordenes!$C$2:$C$840,$B68,Ordenes!$T$2:$T$840,"Válida"),"")</f>
        <v/>
      </c>
      <c r="N68" s="21">
        <f>IFERROR((L68-M68)*100,"")</f>
        <v/>
      </c>
      <c r="O68" s="19">
        <f>SUMIFS(Ordenes!$P$2:$P$840,Ordenes!$C$2:$C$840,$B68,Ordenes!$T$2:$T$840,"Válida")</f>
        <v/>
      </c>
      <c r="P68" s="19">
        <f>SUMIFS(Ordenes!$Q$2:$Q$840,Ordenes!$C$2:$C$840,$B68,Ordenes!$T$2:$T$840,"Válida")</f>
        <v/>
      </c>
      <c r="Q68" s="18">
        <f>COUNTIFS(Ordenes!$C$2:$C$840,$B68,Ordenes!$T$2:$T$840,"Válida")</f>
        <v/>
      </c>
    </row>
    <row r="69">
      <c r="A69" s="18" t="inlineStr">
        <is>
          <t>Mié 18 mar 2026</t>
        </is>
      </c>
      <c r="B69" s="22" t="n">
        <v>46099</v>
      </c>
      <c r="C69" s="18" t="inlineStr">
        <is>
          <t>S12</t>
        </is>
      </c>
      <c r="D69" s="20">
        <f>IFERROR(SUMIFS(Ordenes!$P$2:$P$840,Ordenes!$C$2:$C$840,$B69,Ordenes!$T$2:$T$840,"Válida",Ordenes!$F$2:$F$840,"B Hormigón")/SUMIFS(Ordenes!$Q$2:$Q$840,Ordenes!$C$2:$C$840,$B69,Ordenes!$T$2:$T$840,"Válida",Ordenes!$F$2:$F$840,"B Hormigón"),"")</f>
        <v/>
      </c>
      <c r="E69" s="20">
        <f>IFERROR(SUMIFS(Ordenes!$P$2:$P$840,Ordenes!$C$2:$C$840,$B69,Ordenes!$T$2:$T$840,"Válida",Ordenes!$F$2:$F$840,"Redondo liso")/SUMIFS(Ordenes!$Q$2:$Q$840,Ordenes!$C$2:$C$840,$B69,Ordenes!$T$2:$T$840,"Válida",Ordenes!$F$2:$F$840,"Redondo liso"),"")</f>
        <v/>
      </c>
      <c r="F69" s="20">
        <f>IFERROR(SUMIFS(Ordenes!$P$2:$P$840,Ordenes!$C$2:$C$840,$B69,Ordenes!$T$2:$T$840,"Válida",Ordenes!$F$2:$F$840,"Plana")/SUMIFS(Ordenes!$Q$2:$Q$840,Ordenes!$C$2:$C$840,$B69,Ordenes!$T$2:$T$840,"Válida",Ordenes!$F$2:$F$840,"Plana"),"")</f>
        <v/>
      </c>
      <c r="G69" s="20">
        <f>IFERROR(SUMIFS(Ordenes!$P$2:$P$840,Ordenes!$C$2:$C$840,$B69,Ordenes!$T$2:$T$840,"Válida",Ordenes!$F$2:$F$840,"Ángulo")/SUMIFS(Ordenes!$Q$2:$Q$840,Ordenes!$C$2:$C$840,$B69,Ordenes!$T$2:$T$840,"Válida",Ordenes!$F$2:$F$840,"Ángulo"),"")</f>
        <v/>
      </c>
      <c r="H69" s="20">
        <f>IFERROR(SUMIFS(Ordenes!$P$2:$P$840,Ordenes!$C$2:$C$840,$B69,Ordenes!$T$2:$T$840,"Válida",Ordenes!$F$2:$F$840,"Cuadrado")/SUMIFS(Ordenes!$Q$2:$Q$840,Ordenes!$C$2:$C$840,$B69,Ordenes!$T$2:$T$840,"Válida",Ordenes!$F$2:$F$840,"Cuadrado"),"")</f>
        <v/>
      </c>
      <c r="I69" s="20">
        <f>IFERROR(SUMIFS(Ordenes!$P$2:$P$840,Ordenes!$C$2:$C$840,$B69,Ordenes!$T$2:$T$840,"Válida",Ordenes!$F$2:$F$840,"Estrella")/SUMIFS(Ordenes!$Q$2:$Q$840,Ordenes!$C$2:$C$840,$B69,Ordenes!$T$2:$T$840,"Válida",Ordenes!$F$2:$F$840,"Estrella"),"")</f>
        <v/>
      </c>
      <c r="J69" s="20">
        <f>IFERROR(SUMIFS(Ordenes!$P$2:$P$840,Ordenes!$C$2:$C$840,$B69,Ordenes!$T$2:$T$840,"Válida",Ordenes!$F$2:$F$840,"Saferock")/SUMIFS(Ordenes!$Q$2:$Q$840,Ordenes!$C$2:$C$840,$B69,Ordenes!$T$2:$T$840,"Válida",Ordenes!$F$2:$F$840,"Saferock"),"")</f>
        <v/>
      </c>
      <c r="K69" s="20">
        <f>IFERROR(SUMIFS(Ordenes!$P$2:$P$840,Ordenes!$C$2:$C$840,$B69,Ordenes!$T$2:$T$840,"Válida",Ordenes!$F$2:$F$840,"Hexágono")/SUMIFS(Ordenes!$Q$2:$Q$840,Ordenes!$C$2:$C$840,$B69,Ordenes!$T$2:$T$840,"Válida",Ordenes!$F$2:$F$840,"Hexágono"),"")</f>
        <v/>
      </c>
      <c r="L69" s="24">
        <f>IFERROR(SUMIFS(Ordenes!$P$2:$P$840,Ordenes!$C$2:$C$840,$B69,Ordenes!$T$2:$T$840,"Válida",Ordenes!$F$2:$F$840,"*")/SUMIFS(Ordenes!$Q$2:$Q$840,Ordenes!$C$2:$C$840,$B69,Ordenes!$T$2:$T$840,"Válida",Ordenes!$F$2:$F$840,"*"),"")</f>
        <v/>
      </c>
      <c r="M69" s="20">
        <f>IFERROR(SUMIFS(Ordenes!$V$2:$V$840,Ordenes!$C$2:$C$840,$B69,Ordenes!$T$2:$T$840,"Válida")/SUMIFS(Ordenes!$Q$2:$Q$840,Ordenes!$C$2:$C$840,$B69,Ordenes!$T$2:$T$840,"Válida"),"")</f>
        <v/>
      </c>
      <c r="N69" s="21">
        <f>IFERROR((L69-M69)*100,"")</f>
        <v/>
      </c>
      <c r="O69" s="19">
        <f>SUMIFS(Ordenes!$P$2:$P$840,Ordenes!$C$2:$C$840,$B69,Ordenes!$T$2:$T$840,"Válida")</f>
        <v/>
      </c>
      <c r="P69" s="19">
        <f>SUMIFS(Ordenes!$Q$2:$Q$840,Ordenes!$C$2:$C$840,$B69,Ordenes!$T$2:$T$840,"Válida")</f>
        <v/>
      </c>
      <c r="Q69" s="18">
        <f>COUNTIFS(Ordenes!$C$2:$C$840,$B69,Ordenes!$T$2:$T$840,"Válida")</f>
        <v/>
      </c>
    </row>
    <row r="70">
      <c r="A70" s="18" t="inlineStr">
        <is>
          <t>Jue 19 mar 2026</t>
        </is>
      </c>
      <c r="B70" s="22" t="n">
        <v>46100</v>
      </c>
      <c r="C70" s="18" t="inlineStr">
        <is>
          <t>S12</t>
        </is>
      </c>
      <c r="D70" s="20">
        <f>IFERROR(SUMIFS(Ordenes!$P$2:$P$840,Ordenes!$C$2:$C$840,$B70,Ordenes!$T$2:$T$840,"Válida",Ordenes!$F$2:$F$840,"B Hormigón")/SUMIFS(Ordenes!$Q$2:$Q$840,Ordenes!$C$2:$C$840,$B70,Ordenes!$T$2:$T$840,"Válida",Ordenes!$F$2:$F$840,"B Hormigón"),"")</f>
        <v/>
      </c>
      <c r="E70" s="20">
        <f>IFERROR(SUMIFS(Ordenes!$P$2:$P$840,Ordenes!$C$2:$C$840,$B70,Ordenes!$T$2:$T$840,"Válida",Ordenes!$F$2:$F$840,"Redondo liso")/SUMIFS(Ordenes!$Q$2:$Q$840,Ordenes!$C$2:$C$840,$B70,Ordenes!$T$2:$T$840,"Válida",Ordenes!$F$2:$F$840,"Redondo liso"),"")</f>
        <v/>
      </c>
      <c r="F70" s="20">
        <f>IFERROR(SUMIFS(Ordenes!$P$2:$P$840,Ordenes!$C$2:$C$840,$B70,Ordenes!$T$2:$T$840,"Válida",Ordenes!$F$2:$F$840,"Plana")/SUMIFS(Ordenes!$Q$2:$Q$840,Ordenes!$C$2:$C$840,$B70,Ordenes!$T$2:$T$840,"Válida",Ordenes!$F$2:$F$840,"Plana"),"")</f>
        <v/>
      </c>
      <c r="G70" s="20">
        <f>IFERROR(SUMIFS(Ordenes!$P$2:$P$840,Ordenes!$C$2:$C$840,$B70,Ordenes!$T$2:$T$840,"Válida",Ordenes!$F$2:$F$840,"Ángulo")/SUMIFS(Ordenes!$Q$2:$Q$840,Ordenes!$C$2:$C$840,$B70,Ordenes!$T$2:$T$840,"Válida",Ordenes!$F$2:$F$840,"Ángulo"),"")</f>
        <v/>
      </c>
      <c r="H70" s="20">
        <f>IFERROR(SUMIFS(Ordenes!$P$2:$P$840,Ordenes!$C$2:$C$840,$B70,Ordenes!$T$2:$T$840,"Válida",Ordenes!$F$2:$F$840,"Cuadrado")/SUMIFS(Ordenes!$Q$2:$Q$840,Ordenes!$C$2:$C$840,$B70,Ordenes!$T$2:$T$840,"Válida",Ordenes!$F$2:$F$840,"Cuadrado"),"")</f>
        <v/>
      </c>
      <c r="I70" s="20">
        <f>IFERROR(SUMIFS(Ordenes!$P$2:$P$840,Ordenes!$C$2:$C$840,$B70,Ordenes!$T$2:$T$840,"Válida",Ordenes!$F$2:$F$840,"Estrella")/SUMIFS(Ordenes!$Q$2:$Q$840,Ordenes!$C$2:$C$840,$B70,Ordenes!$T$2:$T$840,"Válida",Ordenes!$F$2:$F$840,"Estrella"),"")</f>
        <v/>
      </c>
      <c r="J70" s="20">
        <f>IFERROR(SUMIFS(Ordenes!$P$2:$P$840,Ordenes!$C$2:$C$840,$B70,Ordenes!$T$2:$T$840,"Válida",Ordenes!$F$2:$F$840,"Saferock")/SUMIFS(Ordenes!$Q$2:$Q$840,Ordenes!$C$2:$C$840,$B70,Ordenes!$T$2:$T$840,"Válida",Ordenes!$F$2:$F$840,"Saferock"),"")</f>
        <v/>
      </c>
      <c r="K70" s="20">
        <f>IFERROR(SUMIFS(Ordenes!$P$2:$P$840,Ordenes!$C$2:$C$840,$B70,Ordenes!$T$2:$T$840,"Válida",Ordenes!$F$2:$F$840,"Hexágono")/SUMIFS(Ordenes!$Q$2:$Q$840,Ordenes!$C$2:$C$840,$B70,Ordenes!$T$2:$T$840,"Válida",Ordenes!$F$2:$F$840,"Hexágono"),"")</f>
        <v/>
      </c>
      <c r="L70" s="24">
        <f>IFERROR(SUMIFS(Ordenes!$P$2:$P$840,Ordenes!$C$2:$C$840,$B70,Ordenes!$T$2:$T$840,"Válida",Ordenes!$F$2:$F$840,"*")/SUMIFS(Ordenes!$Q$2:$Q$840,Ordenes!$C$2:$C$840,$B70,Ordenes!$T$2:$T$840,"Válida",Ordenes!$F$2:$F$840,"*"),"")</f>
        <v/>
      </c>
      <c r="M70" s="20">
        <f>IFERROR(SUMIFS(Ordenes!$V$2:$V$840,Ordenes!$C$2:$C$840,$B70,Ordenes!$T$2:$T$840,"Válida")/SUMIFS(Ordenes!$Q$2:$Q$840,Ordenes!$C$2:$C$840,$B70,Ordenes!$T$2:$T$840,"Válida"),"")</f>
        <v/>
      </c>
      <c r="N70" s="21">
        <f>IFERROR((L70-M70)*100,"")</f>
        <v/>
      </c>
      <c r="O70" s="19">
        <f>SUMIFS(Ordenes!$P$2:$P$840,Ordenes!$C$2:$C$840,$B70,Ordenes!$T$2:$T$840,"Válida")</f>
        <v/>
      </c>
      <c r="P70" s="19">
        <f>SUMIFS(Ordenes!$Q$2:$Q$840,Ordenes!$C$2:$C$840,$B70,Ordenes!$T$2:$T$840,"Válida")</f>
        <v/>
      </c>
      <c r="Q70" s="18">
        <f>COUNTIFS(Ordenes!$C$2:$C$840,$B70,Ordenes!$T$2:$T$840,"Válida")</f>
        <v/>
      </c>
    </row>
    <row r="71">
      <c r="A71" s="18" t="inlineStr">
        <is>
          <t>Vie 20 mar 2026</t>
        </is>
      </c>
      <c r="B71" s="22" t="n">
        <v>46101</v>
      </c>
      <c r="C71" s="18" t="inlineStr">
        <is>
          <t>S12</t>
        </is>
      </c>
      <c r="D71" s="20">
        <f>IFERROR(SUMIFS(Ordenes!$P$2:$P$840,Ordenes!$C$2:$C$840,$B71,Ordenes!$T$2:$T$840,"Válida",Ordenes!$F$2:$F$840,"B Hormigón")/SUMIFS(Ordenes!$Q$2:$Q$840,Ordenes!$C$2:$C$840,$B71,Ordenes!$T$2:$T$840,"Válida",Ordenes!$F$2:$F$840,"B Hormigón"),"")</f>
        <v/>
      </c>
      <c r="E71" s="20">
        <f>IFERROR(SUMIFS(Ordenes!$P$2:$P$840,Ordenes!$C$2:$C$840,$B71,Ordenes!$T$2:$T$840,"Válida",Ordenes!$F$2:$F$840,"Redondo liso")/SUMIFS(Ordenes!$Q$2:$Q$840,Ordenes!$C$2:$C$840,$B71,Ordenes!$T$2:$T$840,"Válida",Ordenes!$F$2:$F$840,"Redondo liso"),"")</f>
        <v/>
      </c>
      <c r="F71" s="20">
        <f>IFERROR(SUMIFS(Ordenes!$P$2:$P$840,Ordenes!$C$2:$C$840,$B71,Ordenes!$T$2:$T$840,"Válida",Ordenes!$F$2:$F$840,"Plana")/SUMIFS(Ordenes!$Q$2:$Q$840,Ordenes!$C$2:$C$840,$B71,Ordenes!$T$2:$T$840,"Válida",Ordenes!$F$2:$F$840,"Plana"),"")</f>
        <v/>
      </c>
      <c r="G71" s="20">
        <f>IFERROR(SUMIFS(Ordenes!$P$2:$P$840,Ordenes!$C$2:$C$840,$B71,Ordenes!$T$2:$T$840,"Válida",Ordenes!$F$2:$F$840,"Ángulo")/SUMIFS(Ordenes!$Q$2:$Q$840,Ordenes!$C$2:$C$840,$B71,Ordenes!$T$2:$T$840,"Válida",Ordenes!$F$2:$F$840,"Ángulo"),"")</f>
        <v/>
      </c>
      <c r="H71" s="20">
        <f>IFERROR(SUMIFS(Ordenes!$P$2:$P$840,Ordenes!$C$2:$C$840,$B71,Ordenes!$T$2:$T$840,"Válida",Ordenes!$F$2:$F$840,"Cuadrado")/SUMIFS(Ordenes!$Q$2:$Q$840,Ordenes!$C$2:$C$840,$B71,Ordenes!$T$2:$T$840,"Válida",Ordenes!$F$2:$F$840,"Cuadrado"),"")</f>
        <v/>
      </c>
      <c r="I71" s="20">
        <f>IFERROR(SUMIFS(Ordenes!$P$2:$P$840,Ordenes!$C$2:$C$840,$B71,Ordenes!$T$2:$T$840,"Válida",Ordenes!$F$2:$F$840,"Estrella")/SUMIFS(Ordenes!$Q$2:$Q$840,Ordenes!$C$2:$C$840,$B71,Ordenes!$T$2:$T$840,"Válida",Ordenes!$F$2:$F$840,"Estrella"),"")</f>
        <v/>
      </c>
      <c r="J71" s="20">
        <f>IFERROR(SUMIFS(Ordenes!$P$2:$P$840,Ordenes!$C$2:$C$840,$B71,Ordenes!$T$2:$T$840,"Válida",Ordenes!$F$2:$F$840,"Saferock")/SUMIFS(Ordenes!$Q$2:$Q$840,Ordenes!$C$2:$C$840,$B71,Ordenes!$T$2:$T$840,"Válida",Ordenes!$F$2:$F$840,"Saferock"),"")</f>
        <v/>
      </c>
      <c r="K71" s="20">
        <f>IFERROR(SUMIFS(Ordenes!$P$2:$P$840,Ordenes!$C$2:$C$840,$B71,Ordenes!$T$2:$T$840,"Válida",Ordenes!$F$2:$F$840,"Hexágono")/SUMIFS(Ordenes!$Q$2:$Q$840,Ordenes!$C$2:$C$840,$B71,Ordenes!$T$2:$T$840,"Válida",Ordenes!$F$2:$F$840,"Hexágono"),"")</f>
        <v/>
      </c>
      <c r="L71" s="24">
        <f>IFERROR(SUMIFS(Ordenes!$P$2:$P$840,Ordenes!$C$2:$C$840,$B71,Ordenes!$T$2:$T$840,"Válida",Ordenes!$F$2:$F$840,"*")/SUMIFS(Ordenes!$Q$2:$Q$840,Ordenes!$C$2:$C$840,$B71,Ordenes!$T$2:$T$840,"Válida",Ordenes!$F$2:$F$840,"*"),"")</f>
        <v/>
      </c>
      <c r="M71" s="20">
        <f>IFERROR(SUMIFS(Ordenes!$V$2:$V$840,Ordenes!$C$2:$C$840,$B71,Ordenes!$T$2:$T$840,"Válida")/SUMIFS(Ordenes!$Q$2:$Q$840,Ordenes!$C$2:$C$840,$B71,Ordenes!$T$2:$T$840,"Válida"),"")</f>
        <v/>
      </c>
      <c r="N71" s="21">
        <f>IFERROR((L71-M71)*100,"")</f>
        <v/>
      </c>
      <c r="O71" s="19">
        <f>SUMIFS(Ordenes!$P$2:$P$840,Ordenes!$C$2:$C$840,$B71,Ordenes!$T$2:$T$840,"Válida")</f>
        <v/>
      </c>
      <c r="P71" s="19">
        <f>SUMIFS(Ordenes!$Q$2:$Q$840,Ordenes!$C$2:$C$840,$B71,Ordenes!$T$2:$T$840,"Válida")</f>
        <v/>
      </c>
      <c r="Q71" s="18">
        <f>COUNTIFS(Ordenes!$C$2:$C$840,$B71,Ordenes!$T$2:$T$840,"Válida")</f>
        <v/>
      </c>
    </row>
    <row r="72">
      <c r="A72" s="18" t="inlineStr">
        <is>
          <t>Sáb 21 mar 2026</t>
        </is>
      </c>
      <c r="B72" s="22" t="n">
        <v>46102</v>
      </c>
      <c r="C72" s="18" t="inlineStr">
        <is>
          <t>S12</t>
        </is>
      </c>
      <c r="D72" s="20">
        <f>IFERROR(SUMIFS(Ordenes!$P$2:$P$840,Ordenes!$C$2:$C$840,$B72,Ordenes!$T$2:$T$840,"Válida",Ordenes!$F$2:$F$840,"B Hormigón")/SUMIFS(Ordenes!$Q$2:$Q$840,Ordenes!$C$2:$C$840,$B72,Ordenes!$T$2:$T$840,"Válida",Ordenes!$F$2:$F$840,"B Hormigón"),"")</f>
        <v/>
      </c>
      <c r="E72" s="20">
        <f>IFERROR(SUMIFS(Ordenes!$P$2:$P$840,Ordenes!$C$2:$C$840,$B72,Ordenes!$T$2:$T$840,"Válida",Ordenes!$F$2:$F$840,"Redondo liso")/SUMIFS(Ordenes!$Q$2:$Q$840,Ordenes!$C$2:$C$840,$B72,Ordenes!$T$2:$T$840,"Válida",Ordenes!$F$2:$F$840,"Redondo liso"),"")</f>
        <v/>
      </c>
      <c r="F72" s="20">
        <f>IFERROR(SUMIFS(Ordenes!$P$2:$P$840,Ordenes!$C$2:$C$840,$B72,Ordenes!$T$2:$T$840,"Válida",Ordenes!$F$2:$F$840,"Plana")/SUMIFS(Ordenes!$Q$2:$Q$840,Ordenes!$C$2:$C$840,$B72,Ordenes!$T$2:$T$840,"Válida",Ordenes!$F$2:$F$840,"Plana"),"")</f>
        <v/>
      </c>
      <c r="G72" s="20">
        <f>IFERROR(SUMIFS(Ordenes!$P$2:$P$840,Ordenes!$C$2:$C$840,$B72,Ordenes!$T$2:$T$840,"Válida",Ordenes!$F$2:$F$840,"Ángulo")/SUMIFS(Ordenes!$Q$2:$Q$840,Ordenes!$C$2:$C$840,$B72,Ordenes!$T$2:$T$840,"Válida",Ordenes!$F$2:$F$840,"Ángulo"),"")</f>
        <v/>
      </c>
      <c r="H72" s="20">
        <f>IFERROR(SUMIFS(Ordenes!$P$2:$P$840,Ordenes!$C$2:$C$840,$B72,Ordenes!$T$2:$T$840,"Válida",Ordenes!$F$2:$F$840,"Cuadrado")/SUMIFS(Ordenes!$Q$2:$Q$840,Ordenes!$C$2:$C$840,$B72,Ordenes!$T$2:$T$840,"Válida",Ordenes!$F$2:$F$840,"Cuadrado"),"")</f>
        <v/>
      </c>
      <c r="I72" s="20">
        <f>IFERROR(SUMIFS(Ordenes!$P$2:$P$840,Ordenes!$C$2:$C$840,$B72,Ordenes!$T$2:$T$840,"Válida",Ordenes!$F$2:$F$840,"Estrella")/SUMIFS(Ordenes!$Q$2:$Q$840,Ordenes!$C$2:$C$840,$B72,Ordenes!$T$2:$T$840,"Válida",Ordenes!$F$2:$F$840,"Estrella"),"")</f>
        <v/>
      </c>
      <c r="J72" s="20">
        <f>IFERROR(SUMIFS(Ordenes!$P$2:$P$840,Ordenes!$C$2:$C$840,$B72,Ordenes!$T$2:$T$840,"Válida",Ordenes!$F$2:$F$840,"Saferock")/SUMIFS(Ordenes!$Q$2:$Q$840,Ordenes!$C$2:$C$840,$B72,Ordenes!$T$2:$T$840,"Válida",Ordenes!$F$2:$F$840,"Saferock"),"")</f>
        <v/>
      </c>
      <c r="K72" s="20">
        <f>IFERROR(SUMIFS(Ordenes!$P$2:$P$840,Ordenes!$C$2:$C$840,$B72,Ordenes!$T$2:$T$840,"Válida",Ordenes!$F$2:$F$840,"Hexágono")/SUMIFS(Ordenes!$Q$2:$Q$840,Ordenes!$C$2:$C$840,$B72,Ordenes!$T$2:$T$840,"Válida",Ordenes!$F$2:$F$840,"Hexágono"),"")</f>
        <v/>
      </c>
      <c r="L72" s="24">
        <f>IFERROR(SUMIFS(Ordenes!$P$2:$P$840,Ordenes!$C$2:$C$840,$B72,Ordenes!$T$2:$T$840,"Válida",Ordenes!$F$2:$F$840,"*")/SUMIFS(Ordenes!$Q$2:$Q$840,Ordenes!$C$2:$C$840,$B72,Ordenes!$T$2:$T$840,"Válida",Ordenes!$F$2:$F$840,"*"),"")</f>
        <v/>
      </c>
      <c r="M72" s="20">
        <f>IFERROR(SUMIFS(Ordenes!$V$2:$V$840,Ordenes!$C$2:$C$840,$B72,Ordenes!$T$2:$T$840,"Válida")/SUMIFS(Ordenes!$Q$2:$Q$840,Ordenes!$C$2:$C$840,$B72,Ordenes!$T$2:$T$840,"Válida"),"")</f>
        <v/>
      </c>
      <c r="N72" s="21">
        <f>IFERROR((L72-M72)*100,"")</f>
        <v/>
      </c>
      <c r="O72" s="19">
        <f>SUMIFS(Ordenes!$P$2:$P$840,Ordenes!$C$2:$C$840,$B72,Ordenes!$T$2:$T$840,"Válida")</f>
        <v/>
      </c>
      <c r="P72" s="19">
        <f>SUMIFS(Ordenes!$Q$2:$Q$840,Ordenes!$C$2:$C$840,$B72,Ordenes!$T$2:$T$840,"Válida")</f>
        <v/>
      </c>
      <c r="Q72" s="18">
        <f>COUNTIFS(Ordenes!$C$2:$C$840,$B72,Ordenes!$T$2:$T$840,"Válida")</f>
        <v/>
      </c>
    </row>
    <row r="73">
      <c r="A73" s="18" t="inlineStr">
        <is>
          <t>Dom 22 mar 2026</t>
        </is>
      </c>
      <c r="B73" s="22" t="n">
        <v>46103</v>
      </c>
      <c r="C73" s="18" t="inlineStr">
        <is>
          <t>S12</t>
        </is>
      </c>
      <c r="D73" s="20">
        <f>IFERROR(SUMIFS(Ordenes!$P$2:$P$840,Ordenes!$C$2:$C$840,$B73,Ordenes!$T$2:$T$840,"Válida",Ordenes!$F$2:$F$840,"B Hormigón")/SUMIFS(Ordenes!$Q$2:$Q$840,Ordenes!$C$2:$C$840,$B73,Ordenes!$T$2:$T$840,"Válida",Ordenes!$F$2:$F$840,"B Hormigón"),"")</f>
        <v/>
      </c>
      <c r="E73" s="20">
        <f>IFERROR(SUMIFS(Ordenes!$P$2:$P$840,Ordenes!$C$2:$C$840,$B73,Ordenes!$T$2:$T$840,"Válida",Ordenes!$F$2:$F$840,"Redondo liso")/SUMIFS(Ordenes!$Q$2:$Q$840,Ordenes!$C$2:$C$840,$B73,Ordenes!$T$2:$T$840,"Válida",Ordenes!$F$2:$F$840,"Redondo liso"),"")</f>
        <v/>
      </c>
      <c r="F73" s="20">
        <f>IFERROR(SUMIFS(Ordenes!$P$2:$P$840,Ordenes!$C$2:$C$840,$B73,Ordenes!$T$2:$T$840,"Válida",Ordenes!$F$2:$F$840,"Plana")/SUMIFS(Ordenes!$Q$2:$Q$840,Ordenes!$C$2:$C$840,$B73,Ordenes!$T$2:$T$840,"Válida",Ordenes!$F$2:$F$840,"Plana"),"")</f>
        <v/>
      </c>
      <c r="G73" s="20">
        <f>IFERROR(SUMIFS(Ordenes!$P$2:$P$840,Ordenes!$C$2:$C$840,$B73,Ordenes!$T$2:$T$840,"Válida",Ordenes!$F$2:$F$840,"Ángulo")/SUMIFS(Ordenes!$Q$2:$Q$840,Ordenes!$C$2:$C$840,$B73,Ordenes!$T$2:$T$840,"Válida",Ordenes!$F$2:$F$840,"Ángulo"),"")</f>
        <v/>
      </c>
      <c r="H73" s="20">
        <f>IFERROR(SUMIFS(Ordenes!$P$2:$P$840,Ordenes!$C$2:$C$840,$B73,Ordenes!$T$2:$T$840,"Válida",Ordenes!$F$2:$F$840,"Cuadrado")/SUMIFS(Ordenes!$Q$2:$Q$840,Ordenes!$C$2:$C$840,$B73,Ordenes!$T$2:$T$840,"Válida",Ordenes!$F$2:$F$840,"Cuadrado"),"")</f>
        <v/>
      </c>
      <c r="I73" s="20">
        <f>IFERROR(SUMIFS(Ordenes!$P$2:$P$840,Ordenes!$C$2:$C$840,$B73,Ordenes!$T$2:$T$840,"Válida",Ordenes!$F$2:$F$840,"Estrella")/SUMIFS(Ordenes!$Q$2:$Q$840,Ordenes!$C$2:$C$840,$B73,Ordenes!$T$2:$T$840,"Válida",Ordenes!$F$2:$F$840,"Estrella"),"")</f>
        <v/>
      </c>
      <c r="J73" s="20">
        <f>IFERROR(SUMIFS(Ordenes!$P$2:$P$840,Ordenes!$C$2:$C$840,$B73,Ordenes!$T$2:$T$840,"Válida",Ordenes!$F$2:$F$840,"Saferock")/SUMIFS(Ordenes!$Q$2:$Q$840,Ordenes!$C$2:$C$840,$B73,Ordenes!$T$2:$T$840,"Válida",Ordenes!$F$2:$F$840,"Saferock"),"")</f>
        <v/>
      </c>
      <c r="K73" s="20">
        <f>IFERROR(SUMIFS(Ordenes!$P$2:$P$840,Ordenes!$C$2:$C$840,$B73,Ordenes!$T$2:$T$840,"Válida",Ordenes!$F$2:$F$840,"Hexágono")/SUMIFS(Ordenes!$Q$2:$Q$840,Ordenes!$C$2:$C$840,$B73,Ordenes!$T$2:$T$840,"Válida",Ordenes!$F$2:$F$840,"Hexágono"),"")</f>
        <v/>
      </c>
      <c r="L73" s="24">
        <f>IFERROR(SUMIFS(Ordenes!$P$2:$P$840,Ordenes!$C$2:$C$840,$B73,Ordenes!$T$2:$T$840,"Válida",Ordenes!$F$2:$F$840,"*")/SUMIFS(Ordenes!$Q$2:$Q$840,Ordenes!$C$2:$C$840,$B73,Ordenes!$T$2:$T$840,"Válida",Ordenes!$F$2:$F$840,"*"),"")</f>
        <v/>
      </c>
      <c r="M73" s="20">
        <f>IFERROR(SUMIFS(Ordenes!$V$2:$V$840,Ordenes!$C$2:$C$840,$B73,Ordenes!$T$2:$T$840,"Válida")/SUMIFS(Ordenes!$Q$2:$Q$840,Ordenes!$C$2:$C$840,$B73,Ordenes!$T$2:$T$840,"Válida"),"")</f>
        <v/>
      </c>
      <c r="N73" s="21">
        <f>IFERROR((L73-M73)*100,"")</f>
        <v/>
      </c>
      <c r="O73" s="19">
        <f>SUMIFS(Ordenes!$P$2:$P$840,Ordenes!$C$2:$C$840,$B73,Ordenes!$T$2:$T$840,"Válida")</f>
        <v/>
      </c>
      <c r="P73" s="19">
        <f>SUMIFS(Ordenes!$Q$2:$Q$840,Ordenes!$C$2:$C$840,$B73,Ordenes!$T$2:$T$840,"Válida")</f>
        <v/>
      </c>
      <c r="Q73" s="18">
        <f>COUNTIFS(Ordenes!$C$2:$C$840,$B73,Ordenes!$T$2:$T$840,"Válida")</f>
        <v/>
      </c>
    </row>
    <row r="74">
      <c r="A74" s="18" t="inlineStr">
        <is>
          <t>Lun 23 mar 2026</t>
        </is>
      </c>
      <c r="B74" s="22" t="n">
        <v>46104</v>
      </c>
      <c r="C74" s="18" t="inlineStr">
        <is>
          <t>S13</t>
        </is>
      </c>
      <c r="D74" s="20">
        <f>IFERROR(SUMIFS(Ordenes!$P$2:$P$840,Ordenes!$C$2:$C$840,$B74,Ordenes!$T$2:$T$840,"Válida",Ordenes!$F$2:$F$840,"B Hormigón")/SUMIFS(Ordenes!$Q$2:$Q$840,Ordenes!$C$2:$C$840,$B74,Ordenes!$T$2:$T$840,"Válida",Ordenes!$F$2:$F$840,"B Hormigón"),"")</f>
        <v/>
      </c>
      <c r="E74" s="20">
        <f>IFERROR(SUMIFS(Ordenes!$P$2:$P$840,Ordenes!$C$2:$C$840,$B74,Ordenes!$T$2:$T$840,"Válida",Ordenes!$F$2:$F$840,"Redondo liso")/SUMIFS(Ordenes!$Q$2:$Q$840,Ordenes!$C$2:$C$840,$B74,Ordenes!$T$2:$T$840,"Válida",Ordenes!$F$2:$F$840,"Redondo liso"),"")</f>
        <v/>
      </c>
      <c r="F74" s="20">
        <f>IFERROR(SUMIFS(Ordenes!$P$2:$P$840,Ordenes!$C$2:$C$840,$B74,Ordenes!$T$2:$T$840,"Válida",Ordenes!$F$2:$F$840,"Plana")/SUMIFS(Ordenes!$Q$2:$Q$840,Ordenes!$C$2:$C$840,$B74,Ordenes!$T$2:$T$840,"Válida",Ordenes!$F$2:$F$840,"Plana"),"")</f>
        <v/>
      </c>
      <c r="G74" s="20">
        <f>IFERROR(SUMIFS(Ordenes!$P$2:$P$840,Ordenes!$C$2:$C$840,$B74,Ordenes!$T$2:$T$840,"Válida",Ordenes!$F$2:$F$840,"Ángulo")/SUMIFS(Ordenes!$Q$2:$Q$840,Ordenes!$C$2:$C$840,$B74,Ordenes!$T$2:$T$840,"Válida",Ordenes!$F$2:$F$840,"Ángulo"),"")</f>
        <v/>
      </c>
      <c r="H74" s="20">
        <f>IFERROR(SUMIFS(Ordenes!$P$2:$P$840,Ordenes!$C$2:$C$840,$B74,Ordenes!$T$2:$T$840,"Válida",Ordenes!$F$2:$F$840,"Cuadrado")/SUMIFS(Ordenes!$Q$2:$Q$840,Ordenes!$C$2:$C$840,$B74,Ordenes!$T$2:$T$840,"Válida",Ordenes!$F$2:$F$840,"Cuadrado"),"")</f>
        <v/>
      </c>
      <c r="I74" s="20">
        <f>IFERROR(SUMIFS(Ordenes!$P$2:$P$840,Ordenes!$C$2:$C$840,$B74,Ordenes!$T$2:$T$840,"Válida",Ordenes!$F$2:$F$840,"Estrella")/SUMIFS(Ordenes!$Q$2:$Q$840,Ordenes!$C$2:$C$840,$B74,Ordenes!$T$2:$T$840,"Válida",Ordenes!$F$2:$F$840,"Estrella"),"")</f>
        <v/>
      </c>
      <c r="J74" s="20">
        <f>IFERROR(SUMIFS(Ordenes!$P$2:$P$840,Ordenes!$C$2:$C$840,$B74,Ordenes!$T$2:$T$840,"Válida",Ordenes!$F$2:$F$840,"Saferock")/SUMIFS(Ordenes!$Q$2:$Q$840,Ordenes!$C$2:$C$840,$B74,Ordenes!$T$2:$T$840,"Válida",Ordenes!$F$2:$F$840,"Saferock"),"")</f>
        <v/>
      </c>
      <c r="K74" s="20">
        <f>IFERROR(SUMIFS(Ordenes!$P$2:$P$840,Ordenes!$C$2:$C$840,$B74,Ordenes!$T$2:$T$840,"Válida",Ordenes!$F$2:$F$840,"Hexágono")/SUMIFS(Ordenes!$Q$2:$Q$840,Ordenes!$C$2:$C$840,$B74,Ordenes!$T$2:$T$840,"Válida",Ordenes!$F$2:$F$840,"Hexágono"),"")</f>
        <v/>
      </c>
      <c r="L74" s="24">
        <f>IFERROR(SUMIFS(Ordenes!$P$2:$P$840,Ordenes!$C$2:$C$840,$B74,Ordenes!$T$2:$T$840,"Válida",Ordenes!$F$2:$F$840,"*")/SUMIFS(Ordenes!$Q$2:$Q$840,Ordenes!$C$2:$C$840,$B74,Ordenes!$T$2:$T$840,"Válida",Ordenes!$F$2:$F$840,"*"),"")</f>
        <v/>
      </c>
      <c r="M74" s="20">
        <f>IFERROR(SUMIFS(Ordenes!$V$2:$V$840,Ordenes!$C$2:$C$840,$B74,Ordenes!$T$2:$T$840,"Válida")/SUMIFS(Ordenes!$Q$2:$Q$840,Ordenes!$C$2:$C$840,$B74,Ordenes!$T$2:$T$840,"Válida"),"")</f>
        <v/>
      </c>
      <c r="N74" s="21">
        <f>IFERROR((L74-M74)*100,"")</f>
        <v/>
      </c>
      <c r="O74" s="19">
        <f>SUMIFS(Ordenes!$P$2:$P$840,Ordenes!$C$2:$C$840,$B74,Ordenes!$T$2:$T$840,"Válida")</f>
        <v/>
      </c>
      <c r="P74" s="19">
        <f>SUMIFS(Ordenes!$Q$2:$Q$840,Ordenes!$C$2:$C$840,$B74,Ordenes!$T$2:$T$840,"Válida")</f>
        <v/>
      </c>
      <c r="Q74" s="18">
        <f>COUNTIFS(Ordenes!$C$2:$C$840,$B74,Ordenes!$T$2:$T$840,"Válida")</f>
        <v/>
      </c>
    </row>
    <row r="75">
      <c r="A75" s="18" t="inlineStr">
        <is>
          <t>Mar 24 mar 2026</t>
        </is>
      </c>
      <c r="B75" s="22" t="n">
        <v>46105</v>
      </c>
      <c r="C75" s="18" t="inlineStr">
        <is>
          <t>S13</t>
        </is>
      </c>
      <c r="D75" s="20">
        <f>IFERROR(SUMIFS(Ordenes!$P$2:$P$840,Ordenes!$C$2:$C$840,$B75,Ordenes!$T$2:$T$840,"Válida",Ordenes!$F$2:$F$840,"B Hormigón")/SUMIFS(Ordenes!$Q$2:$Q$840,Ordenes!$C$2:$C$840,$B75,Ordenes!$T$2:$T$840,"Válida",Ordenes!$F$2:$F$840,"B Hormigón"),"")</f>
        <v/>
      </c>
      <c r="E75" s="20">
        <f>IFERROR(SUMIFS(Ordenes!$P$2:$P$840,Ordenes!$C$2:$C$840,$B75,Ordenes!$T$2:$T$840,"Válida",Ordenes!$F$2:$F$840,"Redondo liso")/SUMIFS(Ordenes!$Q$2:$Q$840,Ordenes!$C$2:$C$840,$B75,Ordenes!$T$2:$T$840,"Válida",Ordenes!$F$2:$F$840,"Redondo liso"),"")</f>
        <v/>
      </c>
      <c r="F75" s="20">
        <f>IFERROR(SUMIFS(Ordenes!$P$2:$P$840,Ordenes!$C$2:$C$840,$B75,Ordenes!$T$2:$T$840,"Válida",Ordenes!$F$2:$F$840,"Plana")/SUMIFS(Ordenes!$Q$2:$Q$840,Ordenes!$C$2:$C$840,$B75,Ordenes!$T$2:$T$840,"Válida",Ordenes!$F$2:$F$840,"Plana"),"")</f>
        <v/>
      </c>
      <c r="G75" s="20">
        <f>IFERROR(SUMIFS(Ordenes!$P$2:$P$840,Ordenes!$C$2:$C$840,$B75,Ordenes!$T$2:$T$840,"Válida",Ordenes!$F$2:$F$840,"Ángulo")/SUMIFS(Ordenes!$Q$2:$Q$840,Ordenes!$C$2:$C$840,$B75,Ordenes!$T$2:$T$840,"Válida",Ordenes!$F$2:$F$840,"Ángulo"),"")</f>
        <v/>
      </c>
      <c r="H75" s="20">
        <f>IFERROR(SUMIFS(Ordenes!$P$2:$P$840,Ordenes!$C$2:$C$840,$B75,Ordenes!$T$2:$T$840,"Válida",Ordenes!$F$2:$F$840,"Cuadrado")/SUMIFS(Ordenes!$Q$2:$Q$840,Ordenes!$C$2:$C$840,$B75,Ordenes!$T$2:$T$840,"Válida",Ordenes!$F$2:$F$840,"Cuadrado"),"")</f>
        <v/>
      </c>
      <c r="I75" s="20">
        <f>IFERROR(SUMIFS(Ordenes!$P$2:$P$840,Ordenes!$C$2:$C$840,$B75,Ordenes!$T$2:$T$840,"Válida",Ordenes!$F$2:$F$840,"Estrella")/SUMIFS(Ordenes!$Q$2:$Q$840,Ordenes!$C$2:$C$840,$B75,Ordenes!$T$2:$T$840,"Válida",Ordenes!$F$2:$F$840,"Estrella"),"")</f>
        <v/>
      </c>
      <c r="J75" s="20">
        <f>IFERROR(SUMIFS(Ordenes!$P$2:$P$840,Ordenes!$C$2:$C$840,$B75,Ordenes!$T$2:$T$840,"Válida",Ordenes!$F$2:$F$840,"Saferock")/SUMIFS(Ordenes!$Q$2:$Q$840,Ordenes!$C$2:$C$840,$B75,Ordenes!$T$2:$T$840,"Válida",Ordenes!$F$2:$F$840,"Saferock"),"")</f>
        <v/>
      </c>
      <c r="K75" s="20">
        <f>IFERROR(SUMIFS(Ordenes!$P$2:$P$840,Ordenes!$C$2:$C$840,$B75,Ordenes!$T$2:$T$840,"Válida",Ordenes!$F$2:$F$840,"Hexágono")/SUMIFS(Ordenes!$Q$2:$Q$840,Ordenes!$C$2:$C$840,$B75,Ordenes!$T$2:$T$840,"Válida",Ordenes!$F$2:$F$840,"Hexágono"),"")</f>
        <v/>
      </c>
      <c r="L75" s="24">
        <f>IFERROR(SUMIFS(Ordenes!$P$2:$P$840,Ordenes!$C$2:$C$840,$B75,Ordenes!$T$2:$T$840,"Válida",Ordenes!$F$2:$F$840,"*")/SUMIFS(Ordenes!$Q$2:$Q$840,Ordenes!$C$2:$C$840,$B75,Ordenes!$T$2:$T$840,"Válida",Ordenes!$F$2:$F$840,"*"),"")</f>
        <v/>
      </c>
      <c r="M75" s="20">
        <f>IFERROR(SUMIFS(Ordenes!$V$2:$V$840,Ordenes!$C$2:$C$840,$B75,Ordenes!$T$2:$T$840,"Válida")/SUMIFS(Ordenes!$Q$2:$Q$840,Ordenes!$C$2:$C$840,$B75,Ordenes!$T$2:$T$840,"Válida"),"")</f>
        <v/>
      </c>
      <c r="N75" s="21">
        <f>IFERROR((L75-M75)*100,"")</f>
        <v/>
      </c>
      <c r="O75" s="19">
        <f>SUMIFS(Ordenes!$P$2:$P$840,Ordenes!$C$2:$C$840,$B75,Ordenes!$T$2:$T$840,"Válida")</f>
        <v/>
      </c>
      <c r="P75" s="19">
        <f>SUMIFS(Ordenes!$Q$2:$Q$840,Ordenes!$C$2:$C$840,$B75,Ordenes!$T$2:$T$840,"Válida")</f>
        <v/>
      </c>
      <c r="Q75" s="18">
        <f>COUNTIFS(Ordenes!$C$2:$C$840,$B75,Ordenes!$T$2:$T$840,"Válida")</f>
        <v/>
      </c>
    </row>
    <row r="76">
      <c r="A76" s="18" t="inlineStr">
        <is>
          <t>Mié 25 mar 2026</t>
        </is>
      </c>
      <c r="B76" s="22" t="n">
        <v>46106</v>
      </c>
      <c r="C76" s="18" t="inlineStr">
        <is>
          <t>S13</t>
        </is>
      </c>
      <c r="D76" s="20">
        <f>IFERROR(SUMIFS(Ordenes!$P$2:$P$840,Ordenes!$C$2:$C$840,$B76,Ordenes!$T$2:$T$840,"Válida",Ordenes!$F$2:$F$840,"B Hormigón")/SUMIFS(Ordenes!$Q$2:$Q$840,Ordenes!$C$2:$C$840,$B76,Ordenes!$T$2:$T$840,"Válida",Ordenes!$F$2:$F$840,"B Hormigón"),"")</f>
        <v/>
      </c>
      <c r="E76" s="20">
        <f>IFERROR(SUMIFS(Ordenes!$P$2:$P$840,Ordenes!$C$2:$C$840,$B76,Ordenes!$T$2:$T$840,"Válida",Ordenes!$F$2:$F$840,"Redondo liso")/SUMIFS(Ordenes!$Q$2:$Q$840,Ordenes!$C$2:$C$840,$B76,Ordenes!$T$2:$T$840,"Válida",Ordenes!$F$2:$F$840,"Redondo liso"),"")</f>
        <v/>
      </c>
      <c r="F76" s="20">
        <f>IFERROR(SUMIFS(Ordenes!$P$2:$P$840,Ordenes!$C$2:$C$840,$B76,Ordenes!$T$2:$T$840,"Válida",Ordenes!$F$2:$F$840,"Plana")/SUMIFS(Ordenes!$Q$2:$Q$840,Ordenes!$C$2:$C$840,$B76,Ordenes!$T$2:$T$840,"Válida",Ordenes!$F$2:$F$840,"Plana"),"")</f>
        <v/>
      </c>
      <c r="G76" s="20">
        <f>IFERROR(SUMIFS(Ordenes!$P$2:$P$840,Ordenes!$C$2:$C$840,$B76,Ordenes!$T$2:$T$840,"Válida",Ordenes!$F$2:$F$840,"Ángulo")/SUMIFS(Ordenes!$Q$2:$Q$840,Ordenes!$C$2:$C$840,$B76,Ordenes!$T$2:$T$840,"Válida",Ordenes!$F$2:$F$840,"Ángulo"),"")</f>
        <v/>
      </c>
      <c r="H76" s="20">
        <f>IFERROR(SUMIFS(Ordenes!$P$2:$P$840,Ordenes!$C$2:$C$840,$B76,Ordenes!$T$2:$T$840,"Válida",Ordenes!$F$2:$F$840,"Cuadrado")/SUMIFS(Ordenes!$Q$2:$Q$840,Ordenes!$C$2:$C$840,$B76,Ordenes!$T$2:$T$840,"Válida",Ordenes!$F$2:$F$840,"Cuadrado"),"")</f>
        <v/>
      </c>
      <c r="I76" s="20">
        <f>IFERROR(SUMIFS(Ordenes!$P$2:$P$840,Ordenes!$C$2:$C$840,$B76,Ordenes!$T$2:$T$840,"Válida",Ordenes!$F$2:$F$840,"Estrella")/SUMIFS(Ordenes!$Q$2:$Q$840,Ordenes!$C$2:$C$840,$B76,Ordenes!$T$2:$T$840,"Válida",Ordenes!$F$2:$F$840,"Estrella"),"")</f>
        <v/>
      </c>
      <c r="J76" s="20">
        <f>IFERROR(SUMIFS(Ordenes!$P$2:$P$840,Ordenes!$C$2:$C$840,$B76,Ordenes!$T$2:$T$840,"Válida",Ordenes!$F$2:$F$840,"Saferock")/SUMIFS(Ordenes!$Q$2:$Q$840,Ordenes!$C$2:$C$840,$B76,Ordenes!$T$2:$T$840,"Válida",Ordenes!$F$2:$F$840,"Saferock"),"")</f>
        <v/>
      </c>
      <c r="K76" s="20">
        <f>IFERROR(SUMIFS(Ordenes!$P$2:$P$840,Ordenes!$C$2:$C$840,$B76,Ordenes!$T$2:$T$840,"Válida",Ordenes!$F$2:$F$840,"Hexágono")/SUMIFS(Ordenes!$Q$2:$Q$840,Ordenes!$C$2:$C$840,$B76,Ordenes!$T$2:$T$840,"Válida",Ordenes!$F$2:$F$840,"Hexágono"),"")</f>
        <v/>
      </c>
      <c r="L76" s="24">
        <f>IFERROR(SUMIFS(Ordenes!$P$2:$P$840,Ordenes!$C$2:$C$840,$B76,Ordenes!$T$2:$T$840,"Válida",Ordenes!$F$2:$F$840,"*")/SUMIFS(Ordenes!$Q$2:$Q$840,Ordenes!$C$2:$C$840,$B76,Ordenes!$T$2:$T$840,"Válida",Ordenes!$F$2:$F$840,"*"),"")</f>
        <v/>
      </c>
      <c r="M76" s="20">
        <f>IFERROR(SUMIFS(Ordenes!$V$2:$V$840,Ordenes!$C$2:$C$840,$B76,Ordenes!$T$2:$T$840,"Válida")/SUMIFS(Ordenes!$Q$2:$Q$840,Ordenes!$C$2:$C$840,$B76,Ordenes!$T$2:$T$840,"Válida"),"")</f>
        <v/>
      </c>
      <c r="N76" s="21">
        <f>IFERROR((L76-M76)*100,"")</f>
        <v/>
      </c>
      <c r="O76" s="19">
        <f>SUMIFS(Ordenes!$P$2:$P$840,Ordenes!$C$2:$C$840,$B76,Ordenes!$T$2:$T$840,"Válida")</f>
        <v/>
      </c>
      <c r="P76" s="19">
        <f>SUMIFS(Ordenes!$Q$2:$Q$840,Ordenes!$C$2:$C$840,$B76,Ordenes!$T$2:$T$840,"Válida")</f>
        <v/>
      </c>
      <c r="Q76" s="18">
        <f>COUNTIFS(Ordenes!$C$2:$C$840,$B76,Ordenes!$T$2:$T$840,"Válida")</f>
        <v/>
      </c>
    </row>
    <row r="77">
      <c r="A77" s="18" t="inlineStr">
        <is>
          <t>Jue 26 mar 2026</t>
        </is>
      </c>
      <c r="B77" s="22" t="n">
        <v>46107</v>
      </c>
      <c r="C77" s="18" t="inlineStr">
        <is>
          <t>S13</t>
        </is>
      </c>
      <c r="D77" s="20">
        <f>IFERROR(SUMIFS(Ordenes!$P$2:$P$840,Ordenes!$C$2:$C$840,$B77,Ordenes!$T$2:$T$840,"Válida",Ordenes!$F$2:$F$840,"B Hormigón")/SUMIFS(Ordenes!$Q$2:$Q$840,Ordenes!$C$2:$C$840,$B77,Ordenes!$T$2:$T$840,"Válida",Ordenes!$F$2:$F$840,"B Hormigón"),"")</f>
        <v/>
      </c>
      <c r="E77" s="20">
        <f>IFERROR(SUMIFS(Ordenes!$P$2:$P$840,Ordenes!$C$2:$C$840,$B77,Ordenes!$T$2:$T$840,"Válida",Ordenes!$F$2:$F$840,"Redondo liso")/SUMIFS(Ordenes!$Q$2:$Q$840,Ordenes!$C$2:$C$840,$B77,Ordenes!$T$2:$T$840,"Válida",Ordenes!$F$2:$F$840,"Redondo liso"),"")</f>
        <v/>
      </c>
      <c r="F77" s="20">
        <f>IFERROR(SUMIFS(Ordenes!$P$2:$P$840,Ordenes!$C$2:$C$840,$B77,Ordenes!$T$2:$T$840,"Válida",Ordenes!$F$2:$F$840,"Plana")/SUMIFS(Ordenes!$Q$2:$Q$840,Ordenes!$C$2:$C$840,$B77,Ordenes!$T$2:$T$840,"Válida",Ordenes!$F$2:$F$840,"Plana"),"")</f>
        <v/>
      </c>
      <c r="G77" s="20">
        <f>IFERROR(SUMIFS(Ordenes!$P$2:$P$840,Ordenes!$C$2:$C$840,$B77,Ordenes!$T$2:$T$840,"Válida",Ordenes!$F$2:$F$840,"Ángulo")/SUMIFS(Ordenes!$Q$2:$Q$840,Ordenes!$C$2:$C$840,$B77,Ordenes!$T$2:$T$840,"Válida",Ordenes!$F$2:$F$840,"Ángulo"),"")</f>
        <v/>
      </c>
      <c r="H77" s="20">
        <f>IFERROR(SUMIFS(Ordenes!$P$2:$P$840,Ordenes!$C$2:$C$840,$B77,Ordenes!$T$2:$T$840,"Válida",Ordenes!$F$2:$F$840,"Cuadrado")/SUMIFS(Ordenes!$Q$2:$Q$840,Ordenes!$C$2:$C$840,$B77,Ordenes!$T$2:$T$840,"Válida",Ordenes!$F$2:$F$840,"Cuadrado"),"")</f>
        <v/>
      </c>
      <c r="I77" s="20">
        <f>IFERROR(SUMIFS(Ordenes!$P$2:$P$840,Ordenes!$C$2:$C$840,$B77,Ordenes!$T$2:$T$840,"Válida",Ordenes!$F$2:$F$840,"Estrella")/SUMIFS(Ordenes!$Q$2:$Q$840,Ordenes!$C$2:$C$840,$B77,Ordenes!$T$2:$T$840,"Válida",Ordenes!$F$2:$F$840,"Estrella"),"")</f>
        <v/>
      </c>
      <c r="J77" s="20">
        <f>IFERROR(SUMIFS(Ordenes!$P$2:$P$840,Ordenes!$C$2:$C$840,$B77,Ordenes!$T$2:$T$840,"Válida",Ordenes!$F$2:$F$840,"Saferock")/SUMIFS(Ordenes!$Q$2:$Q$840,Ordenes!$C$2:$C$840,$B77,Ordenes!$T$2:$T$840,"Válida",Ordenes!$F$2:$F$840,"Saferock"),"")</f>
        <v/>
      </c>
      <c r="K77" s="20">
        <f>IFERROR(SUMIFS(Ordenes!$P$2:$P$840,Ordenes!$C$2:$C$840,$B77,Ordenes!$T$2:$T$840,"Válida",Ordenes!$F$2:$F$840,"Hexágono")/SUMIFS(Ordenes!$Q$2:$Q$840,Ordenes!$C$2:$C$840,$B77,Ordenes!$T$2:$T$840,"Válida",Ordenes!$F$2:$F$840,"Hexágono"),"")</f>
        <v/>
      </c>
      <c r="L77" s="24">
        <f>IFERROR(SUMIFS(Ordenes!$P$2:$P$840,Ordenes!$C$2:$C$840,$B77,Ordenes!$T$2:$T$840,"Válida",Ordenes!$F$2:$F$840,"*")/SUMIFS(Ordenes!$Q$2:$Q$840,Ordenes!$C$2:$C$840,$B77,Ordenes!$T$2:$T$840,"Válida",Ordenes!$F$2:$F$840,"*"),"")</f>
        <v/>
      </c>
      <c r="M77" s="20">
        <f>IFERROR(SUMIFS(Ordenes!$V$2:$V$840,Ordenes!$C$2:$C$840,$B77,Ordenes!$T$2:$T$840,"Válida")/SUMIFS(Ordenes!$Q$2:$Q$840,Ordenes!$C$2:$C$840,$B77,Ordenes!$T$2:$T$840,"Válida"),"")</f>
        <v/>
      </c>
      <c r="N77" s="21">
        <f>IFERROR((L77-M77)*100,"")</f>
        <v/>
      </c>
      <c r="O77" s="19">
        <f>SUMIFS(Ordenes!$P$2:$P$840,Ordenes!$C$2:$C$840,$B77,Ordenes!$T$2:$T$840,"Válida")</f>
        <v/>
      </c>
      <c r="P77" s="19">
        <f>SUMIFS(Ordenes!$Q$2:$Q$840,Ordenes!$C$2:$C$840,$B77,Ordenes!$T$2:$T$840,"Válida")</f>
        <v/>
      </c>
      <c r="Q77" s="18">
        <f>COUNTIFS(Ordenes!$C$2:$C$840,$B77,Ordenes!$T$2:$T$840,"Válida")</f>
        <v/>
      </c>
    </row>
    <row r="78">
      <c r="A78" s="18" t="inlineStr">
        <is>
          <t>Vie 27 mar 2026</t>
        </is>
      </c>
      <c r="B78" s="22" t="n">
        <v>46108</v>
      </c>
      <c r="C78" s="18" t="inlineStr">
        <is>
          <t>S13</t>
        </is>
      </c>
      <c r="D78" s="20">
        <f>IFERROR(SUMIFS(Ordenes!$P$2:$P$840,Ordenes!$C$2:$C$840,$B78,Ordenes!$T$2:$T$840,"Válida",Ordenes!$F$2:$F$840,"B Hormigón")/SUMIFS(Ordenes!$Q$2:$Q$840,Ordenes!$C$2:$C$840,$B78,Ordenes!$T$2:$T$840,"Válida",Ordenes!$F$2:$F$840,"B Hormigón"),"")</f>
        <v/>
      </c>
      <c r="E78" s="20">
        <f>IFERROR(SUMIFS(Ordenes!$P$2:$P$840,Ordenes!$C$2:$C$840,$B78,Ordenes!$T$2:$T$840,"Válida",Ordenes!$F$2:$F$840,"Redondo liso")/SUMIFS(Ordenes!$Q$2:$Q$840,Ordenes!$C$2:$C$840,$B78,Ordenes!$T$2:$T$840,"Válida",Ordenes!$F$2:$F$840,"Redondo liso"),"")</f>
        <v/>
      </c>
      <c r="F78" s="20">
        <f>IFERROR(SUMIFS(Ordenes!$P$2:$P$840,Ordenes!$C$2:$C$840,$B78,Ordenes!$T$2:$T$840,"Válida",Ordenes!$F$2:$F$840,"Plana")/SUMIFS(Ordenes!$Q$2:$Q$840,Ordenes!$C$2:$C$840,$B78,Ordenes!$T$2:$T$840,"Válida",Ordenes!$F$2:$F$840,"Plana"),"")</f>
        <v/>
      </c>
      <c r="G78" s="20">
        <f>IFERROR(SUMIFS(Ordenes!$P$2:$P$840,Ordenes!$C$2:$C$840,$B78,Ordenes!$T$2:$T$840,"Válida",Ordenes!$F$2:$F$840,"Ángulo")/SUMIFS(Ordenes!$Q$2:$Q$840,Ordenes!$C$2:$C$840,$B78,Ordenes!$T$2:$T$840,"Válida",Ordenes!$F$2:$F$840,"Ángulo"),"")</f>
        <v/>
      </c>
      <c r="H78" s="20">
        <f>IFERROR(SUMIFS(Ordenes!$P$2:$P$840,Ordenes!$C$2:$C$840,$B78,Ordenes!$T$2:$T$840,"Válida",Ordenes!$F$2:$F$840,"Cuadrado")/SUMIFS(Ordenes!$Q$2:$Q$840,Ordenes!$C$2:$C$840,$B78,Ordenes!$T$2:$T$840,"Válida",Ordenes!$F$2:$F$840,"Cuadrado"),"")</f>
        <v/>
      </c>
      <c r="I78" s="20">
        <f>IFERROR(SUMIFS(Ordenes!$P$2:$P$840,Ordenes!$C$2:$C$840,$B78,Ordenes!$T$2:$T$840,"Válida",Ordenes!$F$2:$F$840,"Estrella")/SUMIFS(Ordenes!$Q$2:$Q$840,Ordenes!$C$2:$C$840,$B78,Ordenes!$T$2:$T$840,"Válida",Ordenes!$F$2:$F$840,"Estrella"),"")</f>
        <v/>
      </c>
      <c r="J78" s="20">
        <f>IFERROR(SUMIFS(Ordenes!$P$2:$P$840,Ordenes!$C$2:$C$840,$B78,Ordenes!$T$2:$T$840,"Válida",Ordenes!$F$2:$F$840,"Saferock")/SUMIFS(Ordenes!$Q$2:$Q$840,Ordenes!$C$2:$C$840,$B78,Ordenes!$T$2:$T$840,"Válida",Ordenes!$F$2:$F$840,"Saferock"),"")</f>
        <v/>
      </c>
      <c r="K78" s="20">
        <f>IFERROR(SUMIFS(Ordenes!$P$2:$P$840,Ordenes!$C$2:$C$840,$B78,Ordenes!$T$2:$T$840,"Válida",Ordenes!$F$2:$F$840,"Hexágono")/SUMIFS(Ordenes!$Q$2:$Q$840,Ordenes!$C$2:$C$840,$B78,Ordenes!$T$2:$T$840,"Válida",Ordenes!$F$2:$F$840,"Hexágono"),"")</f>
        <v/>
      </c>
      <c r="L78" s="24">
        <f>IFERROR(SUMIFS(Ordenes!$P$2:$P$840,Ordenes!$C$2:$C$840,$B78,Ordenes!$T$2:$T$840,"Válida",Ordenes!$F$2:$F$840,"*")/SUMIFS(Ordenes!$Q$2:$Q$840,Ordenes!$C$2:$C$840,$B78,Ordenes!$T$2:$T$840,"Válida",Ordenes!$F$2:$F$840,"*"),"")</f>
        <v/>
      </c>
      <c r="M78" s="20">
        <f>IFERROR(SUMIFS(Ordenes!$V$2:$V$840,Ordenes!$C$2:$C$840,$B78,Ordenes!$T$2:$T$840,"Válida")/SUMIFS(Ordenes!$Q$2:$Q$840,Ordenes!$C$2:$C$840,$B78,Ordenes!$T$2:$T$840,"Válida"),"")</f>
        <v/>
      </c>
      <c r="N78" s="21">
        <f>IFERROR((L78-M78)*100,"")</f>
        <v/>
      </c>
      <c r="O78" s="19">
        <f>SUMIFS(Ordenes!$P$2:$P$840,Ordenes!$C$2:$C$840,$B78,Ordenes!$T$2:$T$840,"Válida")</f>
        <v/>
      </c>
      <c r="P78" s="19">
        <f>SUMIFS(Ordenes!$Q$2:$Q$840,Ordenes!$C$2:$C$840,$B78,Ordenes!$T$2:$T$840,"Válida")</f>
        <v/>
      </c>
      <c r="Q78" s="18">
        <f>COUNTIFS(Ordenes!$C$2:$C$840,$B78,Ordenes!$T$2:$T$840,"Válida")</f>
        <v/>
      </c>
    </row>
    <row r="79">
      <c r="A79" s="18" t="inlineStr">
        <is>
          <t>Sáb 28 mar 2026</t>
        </is>
      </c>
      <c r="B79" s="22" t="n">
        <v>46109</v>
      </c>
      <c r="C79" s="18" t="inlineStr">
        <is>
          <t>S13</t>
        </is>
      </c>
      <c r="D79" s="20">
        <f>IFERROR(SUMIFS(Ordenes!$P$2:$P$840,Ordenes!$C$2:$C$840,$B79,Ordenes!$T$2:$T$840,"Válida",Ordenes!$F$2:$F$840,"B Hormigón")/SUMIFS(Ordenes!$Q$2:$Q$840,Ordenes!$C$2:$C$840,$B79,Ordenes!$T$2:$T$840,"Válida",Ordenes!$F$2:$F$840,"B Hormigón"),"")</f>
        <v/>
      </c>
      <c r="E79" s="20">
        <f>IFERROR(SUMIFS(Ordenes!$P$2:$P$840,Ordenes!$C$2:$C$840,$B79,Ordenes!$T$2:$T$840,"Válida",Ordenes!$F$2:$F$840,"Redondo liso")/SUMIFS(Ordenes!$Q$2:$Q$840,Ordenes!$C$2:$C$840,$B79,Ordenes!$T$2:$T$840,"Válida",Ordenes!$F$2:$F$840,"Redondo liso"),"")</f>
        <v/>
      </c>
      <c r="F79" s="20">
        <f>IFERROR(SUMIFS(Ordenes!$P$2:$P$840,Ordenes!$C$2:$C$840,$B79,Ordenes!$T$2:$T$840,"Válida",Ordenes!$F$2:$F$840,"Plana")/SUMIFS(Ordenes!$Q$2:$Q$840,Ordenes!$C$2:$C$840,$B79,Ordenes!$T$2:$T$840,"Válida",Ordenes!$F$2:$F$840,"Plana"),"")</f>
        <v/>
      </c>
      <c r="G79" s="20">
        <f>IFERROR(SUMIFS(Ordenes!$P$2:$P$840,Ordenes!$C$2:$C$840,$B79,Ordenes!$T$2:$T$840,"Válida",Ordenes!$F$2:$F$840,"Ángulo")/SUMIFS(Ordenes!$Q$2:$Q$840,Ordenes!$C$2:$C$840,$B79,Ordenes!$T$2:$T$840,"Válida",Ordenes!$F$2:$F$840,"Ángulo"),"")</f>
        <v/>
      </c>
      <c r="H79" s="20">
        <f>IFERROR(SUMIFS(Ordenes!$P$2:$P$840,Ordenes!$C$2:$C$840,$B79,Ordenes!$T$2:$T$840,"Válida",Ordenes!$F$2:$F$840,"Cuadrado")/SUMIFS(Ordenes!$Q$2:$Q$840,Ordenes!$C$2:$C$840,$B79,Ordenes!$T$2:$T$840,"Válida",Ordenes!$F$2:$F$840,"Cuadrado"),"")</f>
        <v/>
      </c>
      <c r="I79" s="20">
        <f>IFERROR(SUMIFS(Ordenes!$P$2:$P$840,Ordenes!$C$2:$C$840,$B79,Ordenes!$T$2:$T$840,"Válida",Ordenes!$F$2:$F$840,"Estrella")/SUMIFS(Ordenes!$Q$2:$Q$840,Ordenes!$C$2:$C$840,$B79,Ordenes!$T$2:$T$840,"Válida",Ordenes!$F$2:$F$840,"Estrella"),"")</f>
        <v/>
      </c>
      <c r="J79" s="20">
        <f>IFERROR(SUMIFS(Ordenes!$P$2:$P$840,Ordenes!$C$2:$C$840,$B79,Ordenes!$T$2:$T$840,"Válida",Ordenes!$F$2:$F$840,"Saferock")/SUMIFS(Ordenes!$Q$2:$Q$840,Ordenes!$C$2:$C$840,$B79,Ordenes!$T$2:$T$840,"Válida",Ordenes!$F$2:$F$840,"Saferock"),"")</f>
        <v/>
      </c>
      <c r="K79" s="20">
        <f>IFERROR(SUMIFS(Ordenes!$P$2:$P$840,Ordenes!$C$2:$C$840,$B79,Ordenes!$T$2:$T$840,"Válida",Ordenes!$F$2:$F$840,"Hexágono")/SUMIFS(Ordenes!$Q$2:$Q$840,Ordenes!$C$2:$C$840,$B79,Ordenes!$T$2:$T$840,"Válida",Ordenes!$F$2:$F$840,"Hexágono"),"")</f>
        <v/>
      </c>
      <c r="L79" s="24">
        <f>IFERROR(SUMIFS(Ordenes!$P$2:$P$840,Ordenes!$C$2:$C$840,$B79,Ordenes!$T$2:$T$840,"Válida",Ordenes!$F$2:$F$840,"*")/SUMIFS(Ordenes!$Q$2:$Q$840,Ordenes!$C$2:$C$840,$B79,Ordenes!$T$2:$T$840,"Válida",Ordenes!$F$2:$F$840,"*"),"")</f>
        <v/>
      </c>
      <c r="M79" s="20">
        <f>IFERROR(SUMIFS(Ordenes!$V$2:$V$840,Ordenes!$C$2:$C$840,$B79,Ordenes!$T$2:$T$840,"Válida")/SUMIFS(Ordenes!$Q$2:$Q$840,Ordenes!$C$2:$C$840,$B79,Ordenes!$T$2:$T$840,"Válida"),"")</f>
        <v/>
      </c>
      <c r="N79" s="21">
        <f>IFERROR((L79-M79)*100,"")</f>
        <v/>
      </c>
      <c r="O79" s="19">
        <f>SUMIFS(Ordenes!$P$2:$P$840,Ordenes!$C$2:$C$840,$B79,Ordenes!$T$2:$T$840,"Válida")</f>
        <v/>
      </c>
      <c r="P79" s="19">
        <f>SUMIFS(Ordenes!$Q$2:$Q$840,Ordenes!$C$2:$C$840,$B79,Ordenes!$T$2:$T$840,"Válida")</f>
        <v/>
      </c>
      <c r="Q79" s="18">
        <f>COUNTIFS(Ordenes!$C$2:$C$840,$B79,Ordenes!$T$2:$T$840,"Válida")</f>
        <v/>
      </c>
    </row>
    <row r="80">
      <c r="A80" s="18" t="inlineStr">
        <is>
          <t>Lun 30 mar 2026</t>
        </is>
      </c>
      <c r="B80" s="22" t="n">
        <v>46111</v>
      </c>
      <c r="C80" s="18" t="inlineStr">
        <is>
          <t>S14</t>
        </is>
      </c>
      <c r="D80" s="20">
        <f>IFERROR(SUMIFS(Ordenes!$P$2:$P$840,Ordenes!$C$2:$C$840,$B80,Ordenes!$T$2:$T$840,"Válida",Ordenes!$F$2:$F$840,"B Hormigón")/SUMIFS(Ordenes!$Q$2:$Q$840,Ordenes!$C$2:$C$840,$B80,Ordenes!$T$2:$T$840,"Válida",Ordenes!$F$2:$F$840,"B Hormigón"),"")</f>
        <v/>
      </c>
      <c r="E80" s="20">
        <f>IFERROR(SUMIFS(Ordenes!$P$2:$P$840,Ordenes!$C$2:$C$840,$B80,Ordenes!$T$2:$T$840,"Válida",Ordenes!$F$2:$F$840,"Redondo liso")/SUMIFS(Ordenes!$Q$2:$Q$840,Ordenes!$C$2:$C$840,$B80,Ordenes!$T$2:$T$840,"Válida",Ordenes!$F$2:$F$840,"Redondo liso"),"")</f>
        <v/>
      </c>
      <c r="F80" s="20">
        <f>IFERROR(SUMIFS(Ordenes!$P$2:$P$840,Ordenes!$C$2:$C$840,$B80,Ordenes!$T$2:$T$840,"Válida",Ordenes!$F$2:$F$840,"Plana")/SUMIFS(Ordenes!$Q$2:$Q$840,Ordenes!$C$2:$C$840,$B80,Ordenes!$T$2:$T$840,"Válida",Ordenes!$F$2:$F$840,"Plana"),"")</f>
        <v/>
      </c>
      <c r="G80" s="20">
        <f>IFERROR(SUMIFS(Ordenes!$P$2:$P$840,Ordenes!$C$2:$C$840,$B80,Ordenes!$T$2:$T$840,"Válida",Ordenes!$F$2:$F$840,"Ángulo")/SUMIFS(Ordenes!$Q$2:$Q$840,Ordenes!$C$2:$C$840,$B80,Ordenes!$T$2:$T$840,"Válida",Ordenes!$F$2:$F$840,"Ángulo"),"")</f>
        <v/>
      </c>
      <c r="H80" s="20">
        <f>IFERROR(SUMIFS(Ordenes!$P$2:$P$840,Ordenes!$C$2:$C$840,$B80,Ordenes!$T$2:$T$840,"Válida",Ordenes!$F$2:$F$840,"Cuadrado")/SUMIFS(Ordenes!$Q$2:$Q$840,Ordenes!$C$2:$C$840,$B80,Ordenes!$T$2:$T$840,"Válida",Ordenes!$F$2:$F$840,"Cuadrado"),"")</f>
        <v/>
      </c>
      <c r="I80" s="20">
        <f>IFERROR(SUMIFS(Ordenes!$P$2:$P$840,Ordenes!$C$2:$C$840,$B80,Ordenes!$T$2:$T$840,"Válida",Ordenes!$F$2:$F$840,"Estrella")/SUMIFS(Ordenes!$Q$2:$Q$840,Ordenes!$C$2:$C$840,$B80,Ordenes!$T$2:$T$840,"Válida",Ordenes!$F$2:$F$840,"Estrella"),"")</f>
        <v/>
      </c>
      <c r="J80" s="20">
        <f>IFERROR(SUMIFS(Ordenes!$P$2:$P$840,Ordenes!$C$2:$C$840,$B80,Ordenes!$T$2:$T$840,"Válida",Ordenes!$F$2:$F$840,"Saferock")/SUMIFS(Ordenes!$Q$2:$Q$840,Ordenes!$C$2:$C$840,$B80,Ordenes!$T$2:$T$840,"Válida",Ordenes!$F$2:$F$840,"Saferock"),"")</f>
        <v/>
      </c>
      <c r="K80" s="20">
        <f>IFERROR(SUMIFS(Ordenes!$P$2:$P$840,Ordenes!$C$2:$C$840,$B80,Ordenes!$T$2:$T$840,"Válida",Ordenes!$F$2:$F$840,"Hexágono")/SUMIFS(Ordenes!$Q$2:$Q$840,Ordenes!$C$2:$C$840,$B80,Ordenes!$T$2:$T$840,"Válida",Ordenes!$F$2:$F$840,"Hexágono"),"")</f>
        <v/>
      </c>
      <c r="L80" s="24">
        <f>IFERROR(SUMIFS(Ordenes!$P$2:$P$840,Ordenes!$C$2:$C$840,$B80,Ordenes!$T$2:$T$840,"Válida",Ordenes!$F$2:$F$840,"*")/SUMIFS(Ordenes!$Q$2:$Q$840,Ordenes!$C$2:$C$840,$B80,Ordenes!$T$2:$T$840,"Válida",Ordenes!$F$2:$F$840,"*"),"")</f>
        <v/>
      </c>
      <c r="M80" s="20">
        <f>IFERROR(SUMIFS(Ordenes!$V$2:$V$840,Ordenes!$C$2:$C$840,$B80,Ordenes!$T$2:$T$840,"Válida")/SUMIFS(Ordenes!$Q$2:$Q$840,Ordenes!$C$2:$C$840,$B80,Ordenes!$T$2:$T$840,"Válida"),"")</f>
        <v/>
      </c>
      <c r="N80" s="21">
        <f>IFERROR((L80-M80)*100,"")</f>
        <v/>
      </c>
      <c r="O80" s="19">
        <f>SUMIFS(Ordenes!$P$2:$P$840,Ordenes!$C$2:$C$840,$B80,Ordenes!$T$2:$T$840,"Válida")</f>
        <v/>
      </c>
      <c r="P80" s="19">
        <f>SUMIFS(Ordenes!$Q$2:$Q$840,Ordenes!$C$2:$C$840,$B80,Ordenes!$T$2:$T$840,"Válida")</f>
        <v/>
      </c>
      <c r="Q80" s="18">
        <f>COUNTIFS(Ordenes!$C$2:$C$840,$B80,Ordenes!$T$2:$T$840,"Válida")</f>
        <v/>
      </c>
    </row>
    <row r="81">
      <c r="A81" s="18" t="inlineStr">
        <is>
          <t>Mar 31 mar 2026</t>
        </is>
      </c>
      <c r="B81" s="22" t="n">
        <v>46112</v>
      </c>
      <c r="C81" s="18" t="inlineStr">
        <is>
          <t>S14</t>
        </is>
      </c>
      <c r="D81" s="20">
        <f>IFERROR(SUMIFS(Ordenes!$P$2:$P$840,Ordenes!$C$2:$C$840,$B81,Ordenes!$T$2:$T$840,"Válida",Ordenes!$F$2:$F$840,"B Hormigón")/SUMIFS(Ordenes!$Q$2:$Q$840,Ordenes!$C$2:$C$840,$B81,Ordenes!$T$2:$T$840,"Válida",Ordenes!$F$2:$F$840,"B Hormigón"),"")</f>
        <v/>
      </c>
      <c r="E81" s="20">
        <f>IFERROR(SUMIFS(Ordenes!$P$2:$P$840,Ordenes!$C$2:$C$840,$B81,Ordenes!$T$2:$T$840,"Válida",Ordenes!$F$2:$F$840,"Redondo liso")/SUMIFS(Ordenes!$Q$2:$Q$840,Ordenes!$C$2:$C$840,$B81,Ordenes!$T$2:$T$840,"Válida",Ordenes!$F$2:$F$840,"Redondo liso"),"")</f>
        <v/>
      </c>
      <c r="F81" s="20">
        <f>IFERROR(SUMIFS(Ordenes!$P$2:$P$840,Ordenes!$C$2:$C$840,$B81,Ordenes!$T$2:$T$840,"Válida",Ordenes!$F$2:$F$840,"Plana")/SUMIFS(Ordenes!$Q$2:$Q$840,Ordenes!$C$2:$C$840,$B81,Ordenes!$T$2:$T$840,"Válida",Ordenes!$F$2:$F$840,"Plana"),"")</f>
        <v/>
      </c>
      <c r="G81" s="20">
        <f>IFERROR(SUMIFS(Ordenes!$P$2:$P$840,Ordenes!$C$2:$C$840,$B81,Ordenes!$T$2:$T$840,"Válida",Ordenes!$F$2:$F$840,"Ángulo")/SUMIFS(Ordenes!$Q$2:$Q$840,Ordenes!$C$2:$C$840,$B81,Ordenes!$T$2:$T$840,"Válida",Ordenes!$F$2:$F$840,"Ángulo"),"")</f>
        <v/>
      </c>
      <c r="H81" s="20">
        <f>IFERROR(SUMIFS(Ordenes!$P$2:$P$840,Ordenes!$C$2:$C$840,$B81,Ordenes!$T$2:$T$840,"Válida",Ordenes!$F$2:$F$840,"Cuadrado")/SUMIFS(Ordenes!$Q$2:$Q$840,Ordenes!$C$2:$C$840,$B81,Ordenes!$T$2:$T$840,"Válida",Ordenes!$F$2:$F$840,"Cuadrado"),"")</f>
        <v/>
      </c>
      <c r="I81" s="20">
        <f>IFERROR(SUMIFS(Ordenes!$P$2:$P$840,Ordenes!$C$2:$C$840,$B81,Ordenes!$T$2:$T$840,"Válida",Ordenes!$F$2:$F$840,"Estrella")/SUMIFS(Ordenes!$Q$2:$Q$840,Ordenes!$C$2:$C$840,$B81,Ordenes!$T$2:$T$840,"Válida",Ordenes!$F$2:$F$840,"Estrella"),"")</f>
        <v/>
      </c>
      <c r="J81" s="20">
        <f>IFERROR(SUMIFS(Ordenes!$P$2:$P$840,Ordenes!$C$2:$C$840,$B81,Ordenes!$T$2:$T$840,"Válida",Ordenes!$F$2:$F$840,"Saferock")/SUMIFS(Ordenes!$Q$2:$Q$840,Ordenes!$C$2:$C$840,$B81,Ordenes!$T$2:$T$840,"Válida",Ordenes!$F$2:$F$840,"Saferock"),"")</f>
        <v/>
      </c>
      <c r="K81" s="20">
        <f>IFERROR(SUMIFS(Ordenes!$P$2:$P$840,Ordenes!$C$2:$C$840,$B81,Ordenes!$T$2:$T$840,"Válida",Ordenes!$F$2:$F$840,"Hexágono")/SUMIFS(Ordenes!$Q$2:$Q$840,Ordenes!$C$2:$C$840,$B81,Ordenes!$T$2:$T$840,"Válida",Ordenes!$F$2:$F$840,"Hexágono"),"")</f>
        <v/>
      </c>
      <c r="L81" s="24">
        <f>IFERROR(SUMIFS(Ordenes!$P$2:$P$840,Ordenes!$C$2:$C$840,$B81,Ordenes!$T$2:$T$840,"Válida",Ordenes!$F$2:$F$840,"*")/SUMIFS(Ordenes!$Q$2:$Q$840,Ordenes!$C$2:$C$840,$B81,Ordenes!$T$2:$T$840,"Válida",Ordenes!$F$2:$F$840,"*"),"")</f>
        <v/>
      </c>
      <c r="M81" s="20">
        <f>IFERROR(SUMIFS(Ordenes!$V$2:$V$840,Ordenes!$C$2:$C$840,$B81,Ordenes!$T$2:$T$840,"Válida")/SUMIFS(Ordenes!$Q$2:$Q$840,Ordenes!$C$2:$C$840,$B81,Ordenes!$T$2:$T$840,"Válida"),"")</f>
        <v/>
      </c>
      <c r="N81" s="21">
        <f>IFERROR((L81-M81)*100,"")</f>
        <v/>
      </c>
      <c r="O81" s="19">
        <f>SUMIFS(Ordenes!$P$2:$P$840,Ordenes!$C$2:$C$840,$B81,Ordenes!$T$2:$T$840,"Válida")</f>
        <v/>
      </c>
      <c r="P81" s="19">
        <f>SUMIFS(Ordenes!$Q$2:$Q$840,Ordenes!$C$2:$C$840,$B81,Ordenes!$T$2:$T$840,"Válida")</f>
        <v/>
      </c>
      <c r="Q81" s="18">
        <f>COUNTIFS(Ordenes!$C$2:$C$840,$B81,Ordenes!$T$2:$T$840,"Válida")</f>
        <v/>
      </c>
    </row>
    <row r="82">
      <c r="A82" s="18" t="inlineStr">
        <is>
          <t>Mié 1 abr 2026</t>
        </is>
      </c>
      <c r="B82" s="22" t="n">
        <v>46113</v>
      </c>
      <c r="C82" s="18" t="inlineStr">
        <is>
          <t>S14</t>
        </is>
      </c>
      <c r="D82" s="20">
        <f>IFERROR(SUMIFS(Ordenes!$P$2:$P$840,Ordenes!$C$2:$C$840,$B82,Ordenes!$T$2:$T$840,"Válida",Ordenes!$F$2:$F$840,"B Hormigón")/SUMIFS(Ordenes!$Q$2:$Q$840,Ordenes!$C$2:$C$840,$B82,Ordenes!$T$2:$T$840,"Válida",Ordenes!$F$2:$F$840,"B Hormigón"),"")</f>
        <v/>
      </c>
      <c r="E82" s="20">
        <f>IFERROR(SUMIFS(Ordenes!$P$2:$P$840,Ordenes!$C$2:$C$840,$B82,Ordenes!$T$2:$T$840,"Válida",Ordenes!$F$2:$F$840,"Redondo liso")/SUMIFS(Ordenes!$Q$2:$Q$840,Ordenes!$C$2:$C$840,$B82,Ordenes!$T$2:$T$840,"Válida",Ordenes!$F$2:$F$840,"Redondo liso"),"")</f>
        <v/>
      </c>
      <c r="F82" s="20">
        <f>IFERROR(SUMIFS(Ordenes!$P$2:$P$840,Ordenes!$C$2:$C$840,$B82,Ordenes!$T$2:$T$840,"Válida",Ordenes!$F$2:$F$840,"Plana")/SUMIFS(Ordenes!$Q$2:$Q$840,Ordenes!$C$2:$C$840,$B82,Ordenes!$T$2:$T$840,"Válida",Ordenes!$F$2:$F$840,"Plana"),"")</f>
        <v/>
      </c>
      <c r="G82" s="20">
        <f>IFERROR(SUMIFS(Ordenes!$P$2:$P$840,Ordenes!$C$2:$C$840,$B82,Ordenes!$T$2:$T$840,"Válida",Ordenes!$F$2:$F$840,"Ángulo")/SUMIFS(Ordenes!$Q$2:$Q$840,Ordenes!$C$2:$C$840,$B82,Ordenes!$T$2:$T$840,"Válida",Ordenes!$F$2:$F$840,"Ángulo"),"")</f>
        <v/>
      </c>
      <c r="H82" s="20">
        <f>IFERROR(SUMIFS(Ordenes!$P$2:$P$840,Ordenes!$C$2:$C$840,$B82,Ordenes!$T$2:$T$840,"Válida",Ordenes!$F$2:$F$840,"Cuadrado")/SUMIFS(Ordenes!$Q$2:$Q$840,Ordenes!$C$2:$C$840,$B82,Ordenes!$T$2:$T$840,"Válida",Ordenes!$F$2:$F$840,"Cuadrado"),"")</f>
        <v/>
      </c>
      <c r="I82" s="20">
        <f>IFERROR(SUMIFS(Ordenes!$P$2:$P$840,Ordenes!$C$2:$C$840,$B82,Ordenes!$T$2:$T$840,"Válida",Ordenes!$F$2:$F$840,"Estrella")/SUMIFS(Ordenes!$Q$2:$Q$840,Ordenes!$C$2:$C$840,$B82,Ordenes!$T$2:$T$840,"Válida",Ordenes!$F$2:$F$840,"Estrella"),"")</f>
        <v/>
      </c>
      <c r="J82" s="20">
        <f>IFERROR(SUMIFS(Ordenes!$P$2:$P$840,Ordenes!$C$2:$C$840,$B82,Ordenes!$T$2:$T$840,"Válida",Ordenes!$F$2:$F$840,"Saferock")/SUMIFS(Ordenes!$Q$2:$Q$840,Ordenes!$C$2:$C$840,$B82,Ordenes!$T$2:$T$840,"Válida",Ordenes!$F$2:$F$840,"Saferock"),"")</f>
        <v/>
      </c>
      <c r="K82" s="20">
        <f>IFERROR(SUMIFS(Ordenes!$P$2:$P$840,Ordenes!$C$2:$C$840,$B82,Ordenes!$T$2:$T$840,"Válida",Ordenes!$F$2:$F$840,"Hexágono")/SUMIFS(Ordenes!$Q$2:$Q$840,Ordenes!$C$2:$C$840,$B82,Ordenes!$T$2:$T$840,"Válida",Ordenes!$F$2:$F$840,"Hexágono"),"")</f>
        <v/>
      </c>
      <c r="L82" s="24">
        <f>IFERROR(SUMIFS(Ordenes!$P$2:$P$840,Ordenes!$C$2:$C$840,$B82,Ordenes!$T$2:$T$840,"Válida",Ordenes!$F$2:$F$840,"*")/SUMIFS(Ordenes!$Q$2:$Q$840,Ordenes!$C$2:$C$840,$B82,Ordenes!$T$2:$T$840,"Válida",Ordenes!$F$2:$F$840,"*"),"")</f>
        <v/>
      </c>
      <c r="M82" s="20">
        <f>IFERROR(SUMIFS(Ordenes!$V$2:$V$840,Ordenes!$C$2:$C$840,$B82,Ordenes!$T$2:$T$840,"Válida")/SUMIFS(Ordenes!$Q$2:$Q$840,Ordenes!$C$2:$C$840,$B82,Ordenes!$T$2:$T$840,"Válida"),"")</f>
        <v/>
      </c>
      <c r="N82" s="21">
        <f>IFERROR((L82-M82)*100,"")</f>
        <v/>
      </c>
      <c r="O82" s="19">
        <f>SUMIFS(Ordenes!$P$2:$P$840,Ordenes!$C$2:$C$840,$B82,Ordenes!$T$2:$T$840,"Válida")</f>
        <v/>
      </c>
      <c r="P82" s="19">
        <f>SUMIFS(Ordenes!$Q$2:$Q$840,Ordenes!$C$2:$C$840,$B82,Ordenes!$T$2:$T$840,"Válida")</f>
        <v/>
      </c>
      <c r="Q82" s="18">
        <f>COUNTIFS(Ordenes!$C$2:$C$840,$B82,Ordenes!$T$2:$T$840,"Válida")</f>
        <v/>
      </c>
    </row>
    <row r="83">
      <c r="A83" s="18" t="inlineStr">
        <is>
          <t>Jue 2 abr 2026</t>
        </is>
      </c>
      <c r="B83" s="22" t="n">
        <v>46114</v>
      </c>
      <c r="C83" s="18" t="inlineStr">
        <is>
          <t>S14</t>
        </is>
      </c>
      <c r="D83" s="20">
        <f>IFERROR(SUMIFS(Ordenes!$P$2:$P$840,Ordenes!$C$2:$C$840,$B83,Ordenes!$T$2:$T$840,"Válida",Ordenes!$F$2:$F$840,"B Hormigón")/SUMIFS(Ordenes!$Q$2:$Q$840,Ordenes!$C$2:$C$840,$B83,Ordenes!$T$2:$T$840,"Válida",Ordenes!$F$2:$F$840,"B Hormigón"),"")</f>
        <v/>
      </c>
      <c r="E83" s="20">
        <f>IFERROR(SUMIFS(Ordenes!$P$2:$P$840,Ordenes!$C$2:$C$840,$B83,Ordenes!$T$2:$T$840,"Válida",Ordenes!$F$2:$F$840,"Redondo liso")/SUMIFS(Ordenes!$Q$2:$Q$840,Ordenes!$C$2:$C$840,$B83,Ordenes!$T$2:$T$840,"Válida",Ordenes!$F$2:$F$840,"Redondo liso"),"")</f>
        <v/>
      </c>
      <c r="F83" s="20">
        <f>IFERROR(SUMIFS(Ordenes!$P$2:$P$840,Ordenes!$C$2:$C$840,$B83,Ordenes!$T$2:$T$840,"Válida",Ordenes!$F$2:$F$840,"Plana")/SUMIFS(Ordenes!$Q$2:$Q$840,Ordenes!$C$2:$C$840,$B83,Ordenes!$T$2:$T$840,"Válida",Ordenes!$F$2:$F$840,"Plana"),"")</f>
        <v/>
      </c>
      <c r="G83" s="20">
        <f>IFERROR(SUMIFS(Ordenes!$P$2:$P$840,Ordenes!$C$2:$C$840,$B83,Ordenes!$T$2:$T$840,"Válida",Ordenes!$F$2:$F$840,"Ángulo")/SUMIFS(Ordenes!$Q$2:$Q$840,Ordenes!$C$2:$C$840,$B83,Ordenes!$T$2:$T$840,"Válida",Ordenes!$F$2:$F$840,"Ángulo"),"")</f>
        <v/>
      </c>
      <c r="H83" s="20">
        <f>IFERROR(SUMIFS(Ordenes!$P$2:$P$840,Ordenes!$C$2:$C$840,$B83,Ordenes!$T$2:$T$840,"Válida",Ordenes!$F$2:$F$840,"Cuadrado")/SUMIFS(Ordenes!$Q$2:$Q$840,Ordenes!$C$2:$C$840,$B83,Ordenes!$T$2:$T$840,"Válida",Ordenes!$F$2:$F$840,"Cuadrado"),"")</f>
        <v/>
      </c>
      <c r="I83" s="20">
        <f>IFERROR(SUMIFS(Ordenes!$P$2:$P$840,Ordenes!$C$2:$C$840,$B83,Ordenes!$T$2:$T$840,"Válida",Ordenes!$F$2:$F$840,"Estrella")/SUMIFS(Ordenes!$Q$2:$Q$840,Ordenes!$C$2:$C$840,$B83,Ordenes!$T$2:$T$840,"Válida",Ordenes!$F$2:$F$840,"Estrella"),"")</f>
        <v/>
      </c>
      <c r="J83" s="20">
        <f>IFERROR(SUMIFS(Ordenes!$P$2:$P$840,Ordenes!$C$2:$C$840,$B83,Ordenes!$T$2:$T$840,"Válida",Ordenes!$F$2:$F$840,"Saferock")/SUMIFS(Ordenes!$Q$2:$Q$840,Ordenes!$C$2:$C$840,$B83,Ordenes!$T$2:$T$840,"Válida",Ordenes!$F$2:$F$840,"Saferock"),"")</f>
        <v/>
      </c>
      <c r="K83" s="20">
        <f>IFERROR(SUMIFS(Ordenes!$P$2:$P$840,Ordenes!$C$2:$C$840,$B83,Ordenes!$T$2:$T$840,"Válida",Ordenes!$F$2:$F$840,"Hexágono")/SUMIFS(Ordenes!$Q$2:$Q$840,Ordenes!$C$2:$C$840,$B83,Ordenes!$T$2:$T$840,"Válida",Ordenes!$F$2:$F$840,"Hexágono"),"")</f>
        <v/>
      </c>
      <c r="L83" s="24">
        <f>IFERROR(SUMIFS(Ordenes!$P$2:$P$840,Ordenes!$C$2:$C$840,$B83,Ordenes!$T$2:$T$840,"Válida",Ordenes!$F$2:$F$840,"*")/SUMIFS(Ordenes!$Q$2:$Q$840,Ordenes!$C$2:$C$840,$B83,Ordenes!$T$2:$T$840,"Válida",Ordenes!$F$2:$F$840,"*"),"")</f>
        <v/>
      </c>
      <c r="M83" s="20">
        <f>IFERROR(SUMIFS(Ordenes!$V$2:$V$840,Ordenes!$C$2:$C$840,$B83,Ordenes!$T$2:$T$840,"Válida")/SUMIFS(Ordenes!$Q$2:$Q$840,Ordenes!$C$2:$C$840,$B83,Ordenes!$T$2:$T$840,"Válida"),"")</f>
        <v/>
      </c>
      <c r="N83" s="21">
        <f>IFERROR((L83-M83)*100,"")</f>
        <v/>
      </c>
      <c r="O83" s="19">
        <f>SUMIFS(Ordenes!$P$2:$P$840,Ordenes!$C$2:$C$840,$B83,Ordenes!$T$2:$T$840,"Válida")</f>
        <v/>
      </c>
      <c r="P83" s="19">
        <f>SUMIFS(Ordenes!$Q$2:$Q$840,Ordenes!$C$2:$C$840,$B83,Ordenes!$T$2:$T$840,"Válida")</f>
        <v/>
      </c>
      <c r="Q83" s="18">
        <f>COUNTIFS(Ordenes!$C$2:$C$840,$B83,Ordenes!$T$2:$T$840,"Válida")</f>
        <v/>
      </c>
    </row>
    <row r="84">
      <c r="A84" s="18" t="inlineStr">
        <is>
          <t>Vie 17 abr 2026</t>
        </is>
      </c>
      <c r="B84" s="22" t="n">
        <v>46129</v>
      </c>
      <c r="C84" s="18" t="inlineStr">
        <is>
          <t>S16</t>
        </is>
      </c>
      <c r="D84" s="20">
        <f>IFERROR(SUMIFS(Ordenes!$P$2:$P$840,Ordenes!$C$2:$C$840,$B84,Ordenes!$T$2:$T$840,"Válida",Ordenes!$F$2:$F$840,"B Hormigón")/SUMIFS(Ordenes!$Q$2:$Q$840,Ordenes!$C$2:$C$840,$B84,Ordenes!$T$2:$T$840,"Válida",Ordenes!$F$2:$F$840,"B Hormigón"),"")</f>
        <v/>
      </c>
      <c r="E84" s="20">
        <f>IFERROR(SUMIFS(Ordenes!$P$2:$P$840,Ordenes!$C$2:$C$840,$B84,Ordenes!$T$2:$T$840,"Válida",Ordenes!$F$2:$F$840,"Redondo liso")/SUMIFS(Ordenes!$Q$2:$Q$840,Ordenes!$C$2:$C$840,$B84,Ordenes!$T$2:$T$840,"Válida",Ordenes!$F$2:$F$840,"Redondo liso"),"")</f>
        <v/>
      </c>
      <c r="F84" s="20">
        <f>IFERROR(SUMIFS(Ordenes!$P$2:$P$840,Ordenes!$C$2:$C$840,$B84,Ordenes!$T$2:$T$840,"Válida",Ordenes!$F$2:$F$840,"Plana")/SUMIFS(Ordenes!$Q$2:$Q$840,Ordenes!$C$2:$C$840,$B84,Ordenes!$T$2:$T$840,"Válida",Ordenes!$F$2:$F$840,"Plana"),"")</f>
        <v/>
      </c>
      <c r="G84" s="20">
        <f>IFERROR(SUMIFS(Ordenes!$P$2:$P$840,Ordenes!$C$2:$C$840,$B84,Ordenes!$T$2:$T$840,"Válida",Ordenes!$F$2:$F$840,"Ángulo")/SUMIFS(Ordenes!$Q$2:$Q$840,Ordenes!$C$2:$C$840,$B84,Ordenes!$T$2:$T$840,"Válida",Ordenes!$F$2:$F$840,"Ángulo"),"")</f>
        <v/>
      </c>
      <c r="H84" s="20">
        <f>IFERROR(SUMIFS(Ordenes!$P$2:$P$840,Ordenes!$C$2:$C$840,$B84,Ordenes!$T$2:$T$840,"Válida",Ordenes!$F$2:$F$840,"Cuadrado")/SUMIFS(Ordenes!$Q$2:$Q$840,Ordenes!$C$2:$C$840,$B84,Ordenes!$T$2:$T$840,"Válida",Ordenes!$F$2:$F$840,"Cuadrado"),"")</f>
        <v/>
      </c>
      <c r="I84" s="20">
        <f>IFERROR(SUMIFS(Ordenes!$P$2:$P$840,Ordenes!$C$2:$C$840,$B84,Ordenes!$T$2:$T$840,"Válida",Ordenes!$F$2:$F$840,"Estrella")/SUMIFS(Ordenes!$Q$2:$Q$840,Ordenes!$C$2:$C$840,$B84,Ordenes!$T$2:$T$840,"Válida",Ordenes!$F$2:$F$840,"Estrella"),"")</f>
        <v/>
      </c>
      <c r="J84" s="20">
        <f>IFERROR(SUMIFS(Ordenes!$P$2:$P$840,Ordenes!$C$2:$C$840,$B84,Ordenes!$T$2:$T$840,"Válida",Ordenes!$F$2:$F$840,"Saferock")/SUMIFS(Ordenes!$Q$2:$Q$840,Ordenes!$C$2:$C$840,$B84,Ordenes!$T$2:$T$840,"Válida",Ordenes!$F$2:$F$840,"Saferock"),"")</f>
        <v/>
      </c>
      <c r="K84" s="20">
        <f>IFERROR(SUMIFS(Ordenes!$P$2:$P$840,Ordenes!$C$2:$C$840,$B84,Ordenes!$T$2:$T$840,"Válida",Ordenes!$F$2:$F$840,"Hexágono")/SUMIFS(Ordenes!$Q$2:$Q$840,Ordenes!$C$2:$C$840,$B84,Ordenes!$T$2:$T$840,"Válida",Ordenes!$F$2:$F$840,"Hexágono"),"")</f>
        <v/>
      </c>
      <c r="L84" s="24">
        <f>IFERROR(SUMIFS(Ordenes!$P$2:$P$840,Ordenes!$C$2:$C$840,$B84,Ordenes!$T$2:$T$840,"Válida",Ordenes!$F$2:$F$840,"*")/SUMIFS(Ordenes!$Q$2:$Q$840,Ordenes!$C$2:$C$840,$B84,Ordenes!$T$2:$T$840,"Válida",Ordenes!$F$2:$F$840,"*"),"")</f>
        <v/>
      </c>
      <c r="M84" s="20">
        <f>IFERROR(SUMIFS(Ordenes!$V$2:$V$840,Ordenes!$C$2:$C$840,$B84,Ordenes!$T$2:$T$840,"Válida")/SUMIFS(Ordenes!$Q$2:$Q$840,Ordenes!$C$2:$C$840,$B84,Ordenes!$T$2:$T$840,"Válida"),"")</f>
        <v/>
      </c>
      <c r="N84" s="21">
        <f>IFERROR((L84-M84)*100,"")</f>
        <v/>
      </c>
      <c r="O84" s="19">
        <f>SUMIFS(Ordenes!$P$2:$P$840,Ordenes!$C$2:$C$840,$B84,Ordenes!$T$2:$T$840,"Válida")</f>
        <v/>
      </c>
      <c r="P84" s="19">
        <f>SUMIFS(Ordenes!$Q$2:$Q$840,Ordenes!$C$2:$C$840,$B84,Ordenes!$T$2:$T$840,"Válida")</f>
        <v/>
      </c>
      <c r="Q84" s="18">
        <f>COUNTIFS(Ordenes!$C$2:$C$840,$B84,Ordenes!$T$2:$T$840,"Válida")</f>
        <v/>
      </c>
    </row>
    <row r="85">
      <c r="A85" s="18" t="inlineStr">
        <is>
          <t>Sáb 18 abr 2026</t>
        </is>
      </c>
      <c r="B85" s="22" t="n">
        <v>46130</v>
      </c>
      <c r="C85" s="18" t="inlineStr">
        <is>
          <t>S16</t>
        </is>
      </c>
      <c r="D85" s="20">
        <f>IFERROR(SUMIFS(Ordenes!$P$2:$P$840,Ordenes!$C$2:$C$840,$B85,Ordenes!$T$2:$T$840,"Válida",Ordenes!$F$2:$F$840,"B Hormigón")/SUMIFS(Ordenes!$Q$2:$Q$840,Ordenes!$C$2:$C$840,$B85,Ordenes!$T$2:$T$840,"Válida",Ordenes!$F$2:$F$840,"B Hormigón"),"")</f>
        <v/>
      </c>
      <c r="E85" s="20">
        <f>IFERROR(SUMIFS(Ordenes!$P$2:$P$840,Ordenes!$C$2:$C$840,$B85,Ordenes!$T$2:$T$840,"Válida",Ordenes!$F$2:$F$840,"Redondo liso")/SUMIFS(Ordenes!$Q$2:$Q$840,Ordenes!$C$2:$C$840,$B85,Ordenes!$T$2:$T$840,"Válida",Ordenes!$F$2:$F$840,"Redondo liso"),"")</f>
        <v/>
      </c>
      <c r="F85" s="20">
        <f>IFERROR(SUMIFS(Ordenes!$P$2:$P$840,Ordenes!$C$2:$C$840,$B85,Ordenes!$T$2:$T$840,"Válida",Ordenes!$F$2:$F$840,"Plana")/SUMIFS(Ordenes!$Q$2:$Q$840,Ordenes!$C$2:$C$840,$B85,Ordenes!$T$2:$T$840,"Válida",Ordenes!$F$2:$F$840,"Plana"),"")</f>
        <v/>
      </c>
      <c r="G85" s="20">
        <f>IFERROR(SUMIFS(Ordenes!$P$2:$P$840,Ordenes!$C$2:$C$840,$B85,Ordenes!$T$2:$T$840,"Válida",Ordenes!$F$2:$F$840,"Ángulo")/SUMIFS(Ordenes!$Q$2:$Q$840,Ordenes!$C$2:$C$840,$B85,Ordenes!$T$2:$T$840,"Válida",Ordenes!$F$2:$F$840,"Ángulo"),"")</f>
        <v/>
      </c>
      <c r="H85" s="20">
        <f>IFERROR(SUMIFS(Ordenes!$P$2:$P$840,Ordenes!$C$2:$C$840,$B85,Ordenes!$T$2:$T$840,"Válida",Ordenes!$F$2:$F$840,"Cuadrado")/SUMIFS(Ordenes!$Q$2:$Q$840,Ordenes!$C$2:$C$840,$B85,Ordenes!$T$2:$T$840,"Válida",Ordenes!$F$2:$F$840,"Cuadrado"),"")</f>
        <v/>
      </c>
      <c r="I85" s="20">
        <f>IFERROR(SUMIFS(Ordenes!$P$2:$P$840,Ordenes!$C$2:$C$840,$B85,Ordenes!$T$2:$T$840,"Válida",Ordenes!$F$2:$F$840,"Estrella")/SUMIFS(Ordenes!$Q$2:$Q$840,Ordenes!$C$2:$C$840,$B85,Ordenes!$T$2:$T$840,"Válida",Ordenes!$F$2:$F$840,"Estrella"),"")</f>
        <v/>
      </c>
      <c r="J85" s="20">
        <f>IFERROR(SUMIFS(Ordenes!$P$2:$P$840,Ordenes!$C$2:$C$840,$B85,Ordenes!$T$2:$T$840,"Válida",Ordenes!$F$2:$F$840,"Saferock")/SUMIFS(Ordenes!$Q$2:$Q$840,Ordenes!$C$2:$C$840,$B85,Ordenes!$T$2:$T$840,"Válida",Ordenes!$F$2:$F$840,"Saferock"),"")</f>
        <v/>
      </c>
      <c r="K85" s="20">
        <f>IFERROR(SUMIFS(Ordenes!$P$2:$P$840,Ordenes!$C$2:$C$840,$B85,Ordenes!$T$2:$T$840,"Válida",Ordenes!$F$2:$F$840,"Hexágono")/SUMIFS(Ordenes!$Q$2:$Q$840,Ordenes!$C$2:$C$840,$B85,Ordenes!$T$2:$T$840,"Válida",Ordenes!$F$2:$F$840,"Hexágono"),"")</f>
        <v/>
      </c>
      <c r="L85" s="24">
        <f>IFERROR(SUMIFS(Ordenes!$P$2:$P$840,Ordenes!$C$2:$C$840,$B85,Ordenes!$T$2:$T$840,"Válida",Ordenes!$F$2:$F$840,"*")/SUMIFS(Ordenes!$Q$2:$Q$840,Ordenes!$C$2:$C$840,$B85,Ordenes!$T$2:$T$840,"Válida",Ordenes!$F$2:$F$840,"*"),"")</f>
        <v/>
      </c>
      <c r="M85" s="20">
        <f>IFERROR(SUMIFS(Ordenes!$V$2:$V$840,Ordenes!$C$2:$C$840,$B85,Ordenes!$T$2:$T$840,"Válida")/SUMIFS(Ordenes!$Q$2:$Q$840,Ordenes!$C$2:$C$840,$B85,Ordenes!$T$2:$T$840,"Válida"),"")</f>
        <v/>
      </c>
      <c r="N85" s="21">
        <f>IFERROR((L85-M85)*100,"")</f>
        <v/>
      </c>
      <c r="O85" s="19">
        <f>SUMIFS(Ordenes!$P$2:$P$840,Ordenes!$C$2:$C$840,$B85,Ordenes!$T$2:$T$840,"Válida")</f>
        <v/>
      </c>
      <c r="P85" s="19">
        <f>SUMIFS(Ordenes!$Q$2:$Q$840,Ordenes!$C$2:$C$840,$B85,Ordenes!$T$2:$T$840,"Válida")</f>
        <v/>
      </c>
      <c r="Q85" s="18">
        <f>COUNTIFS(Ordenes!$C$2:$C$840,$B85,Ordenes!$T$2:$T$840,"Válida")</f>
        <v/>
      </c>
    </row>
    <row r="86">
      <c r="A86" s="18" t="inlineStr">
        <is>
          <t>Lun 20 abr 2026</t>
        </is>
      </c>
      <c r="B86" s="22" t="n">
        <v>46132</v>
      </c>
      <c r="C86" s="18" t="inlineStr">
        <is>
          <t>S17</t>
        </is>
      </c>
      <c r="D86" s="20">
        <f>IFERROR(SUMIFS(Ordenes!$P$2:$P$840,Ordenes!$C$2:$C$840,$B86,Ordenes!$T$2:$T$840,"Válida",Ordenes!$F$2:$F$840,"B Hormigón")/SUMIFS(Ordenes!$Q$2:$Q$840,Ordenes!$C$2:$C$840,$B86,Ordenes!$T$2:$T$840,"Válida",Ordenes!$F$2:$F$840,"B Hormigón"),"")</f>
        <v/>
      </c>
      <c r="E86" s="20">
        <f>IFERROR(SUMIFS(Ordenes!$P$2:$P$840,Ordenes!$C$2:$C$840,$B86,Ordenes!$T$2:$T$840,"Válida",Ordenes!$F$2:$F$840,"Redondo liso")/SUMIFS(Ordenes!$Q$2:$Q$840,Ordenes!$C$2:$C$840,$B86,Ordenes!$T$2:$T$840,"Válida",Ordenes!$F$2:$F$840,"Redondo liso"),"")</f>
        <v/>
      </c>
      <c r="F86" s="20">
        <f>IFERROR(SUMIFS(Ordenes!$P$2:$P$840,Ordenes!$C$2:$C$840,$B86,Ordenes!$T$2:$T$840,"Válida",Ordenes!$F$2:$F$840,"Plana")/SUMIFS(Ordenes!$Q$2:$Q$840,Ordenes!$C$2:$C$840,$B86,Ordenes!$T$2:$T$840,"Válida",Ordenes!$F$2:$F$840,"Plana"),"")</f>
        <v/>
      </c>
      <c r="G86" s="20">
        <f>IFERROR(SUMIFS(Ordenes!$P$2:$P$840,Ordenes!$C$2:$C$840,$B86,Ordenes!$T$2:$T$840,"Válida",Ordenes!$F$2:$F$840,"Ángulo")/SUMIFS(Ordenes!$Q$2:$Q$840,Ordenes!$C$2:$C$840,$B86,Ordenes!$T$2:$T$840,"Válida",Ordenes!$F$2:$F$840,"Ángulo"),"")</f>
        <v/>
      </c>
      <c r="H86" s="20">
        <f>IFERROR(SUMIFS(Ordenes!$P$2:$P$840,Ordenes!$C$2:$C$840,$B86,Ordenes!$T$2:$T$840,"Válida",Ordenes!$F$2:$F$840,"Cuadrado")/SUMIFS(Ordenes!$Q$2:$Q$840,Ordenes!$C$2:$C$840,$B86,Ordenes!$T$2:$T$840,"Válida",Ordenes!$F$2:$F$840,"Cuadrado"),"")</f>
        <v/>
      </c>
      <c r="I86" s="20">
        <f>IFERROR(SUMIFS(Ordenes!$P$2:$P$840,Ordenes!$C$2:$C$840,$B86,Ordenes!$T$2:$T$840,"Válida",Ordenes!$F$2:$F$840,"Estrella")/SUMIFS(Ordenes!$Q$2:$Q$840,Ordenes!$C$2:$C$840,$B86,Ordenes!$T$2:$T$840,"Válida",Ordenes!$F$2:$F$840,"Estrella"),"")</f>
        <v/>
      </c>
      <c r="J86" s="20">
        <f>IFERROR(SUMIFS(Ordenes!$P$2:$P$840,Ordenes!$C$2:$C$840,$B86,Ordenes!$T$2:$T$840,"Válida",Ordenes!$F$2:$F$840,"Saferock")/SUMIFS(Ordenes!$Q$2:$Q$840,Ordenes!$C$2:$C$840,$B86,Ordenes!$T$2:$T$840,"Válida",Ordenes!$F$2:$F$840,"Saferock"),"")</f>
        <v/>
      </c>
      <c r="K86" s="20">
        <f>IFERROR(SUMIFS(Ordenes!$P$2:$P$840,Ordenes!$C$2:$C$840,$B86,Ordenes!$T$2:$T$840,"Válida",Ordenes!$F$2:$F$840,"Hexágono")/SUMIFS(Ordenes!$Q$2:$Q$840,Ordenes!$C$2:$C$840,$B86,Ordenes!$T$2:$T$840,"Válida",Ordenes!$F$2:$F$840,"Hexágono"),"")</f>
        <v/>
      </c>
      <c r="L86" s="24">
        <f>IFERROR(SUMIFS(Ordenes!$P$2:$P$840,Ordenes!$C$2:$C$840,$B86,Ordenes!$T$2:$T$840,"Válida",Ordenes!$F$2:$F$840,"*")/SUMIFS(Ordenes!$Q$2:$Q$840,Ordenes!$C$2:$C$840,$B86,Ordenes!$T$2:$T$840,"Válida",Ordenes!$F$2:$F$840,"*"),"")</f>
        <v/>
      </c>
      <c r="M86" s="20">
        <f>IFERROR(SUMIFS(Ordenes!$V$2:$V$840,Ordenes!$C$2:$C$840,$B86,Ordenes!$T$2:$T$840,"Válida")/SUMIFS(Ordenes!$Q$2:$Q$840,Ordenes!$C$2:$C$840,$B86,Ordenes!$T$2:$T$840,"Válida"),"")</f>
        <v/>
      </c>
      <c r="N86" s="21">
        <f>IFERROR((L86-M86)*100,"")</f>
        <v/>
      </c>
      <c r="O86" s="19">
        <f>SUMIFS(Ordenes!$P$2:$P$840,Ordenes!$C$2:$C$840,$B86,Ordenes!$T$2:$T$840,"Válida")</f>
        <v/>
      </c>
      <c r="P86" s="19">
        <f>SUMIFS(Ordenes!$Q$2:$Q$840,Ordenes!$C$2:$C$840,$B86,Ordenes!$T$2:$T$840,"Válida")</f>
        <v/>
      </c>
      <c r="Q86" s="18">
        <f>COUNTIFS(Ordenes!$C$2:$C$840,$B86,Ordenes!$T$2:$T$840,"Válida")</f>
        <v/>
      </c>
    </row>
    <row r="87">
      <c r="A87" s="18" t="inlineStr">
        <is>
          <t>Mar 21 abr 2026</t>
        </is>
      </c>
      <c r="B87" s="22" t="n">
        <v>46133</v>
      </c>
      <c r="C87" s="18" t="inlineStr">
        <is>
          <t>S17</t>
        </is>
      </c>
      <c r="D87" s="20">
        <f>IFERROR(SUMIFS(Ordenes!$P$2:$P$840,Ordenes!$C$2:$C$840,$B87,Ordenes!$T$2:$T$840,"Válida",Ordenes!$F$2:$F$840,"B Hormigón")/SUMIFS(Ordenes!$Q$2:$Q$840,Ordenes!$C$2:$C$840,$B87,Ordenes!$T$2:$T$840,"Válida",Ordenes!$F$2:$F$840,"B Hormigón"),"")</f>
        <v/>
      </c>
      <c r="E87" s="20">
        <f>IFERROR(SUMIFS(Ordenes!$P$2:$P$840,Ordenes!$C$2:$C$840,$B87,Ordenes!$T$2:$T$840,"Válida",Ordenes!$F$2:$F$840,"Redondo liso")/SUMIFS(Ordenes!$Q$2:$Q$840,Ordenes!$C$2:$C$840,$B87,Ordenes!$T$2:$T$840,"Válida",Ordenes!$F$2:$F$840,"Redondo liso"),"")</f>
        <v/>
      </c>
      <c r="F87" s="20">
        <f>IFERROR(SUMIFS(Ordenes!$P$2:$P$840,Ordenes!$C$2:$C$840,$B87,Ordenes!$T$2:$T$840,"Válida",Ordenes!$F$2:$F$840,"Plana")/SUMIFS(Ordenes!$Q$2:$Q$840,Ordenes!$C$2:$C$840,$B87,Ordenes!$T$2:$T$840,"Válida",Ordenes!$F$2:$F$840,"Plana"),"")</f>
        <v/>
      </c>
      <c r="G87" s="20">
        <f>IFERROR(SUMIFS(Ordenes!$P$2:$P$840,Ordenes!$C$2:$C$840,$B87,Ordenes!$T$2:$T$840,"Válida",Ordenes!$F$2:$F$840,"Ángulo")/SUMIFS(Ordenes!$Q$2:$Q$840,Ordenes!$C$2:$C$840,$B87,Ordenes!$T$2:$T$840,"Válida",Ordenes!$F$2:$F$840,"Ángulo"),"")</f>
        <v/>
      </c>
      <c r="H87" s="20">
        <f>IFERROR(SUMIFS(Ordenes!$P$2:$P$840,Ordenes!$C$2:$C$840,$B87,Ordenes!$T$2:$T$840,"Válida",Ordenes!$F$2:$F$840,"Cuadrado")/SUMIFS(Ordenes!$Q$2:$Q$840,Ordenes!$C$2:$C$840,$B87,Ordenes!$T$2:$T$840,"Válida",Ordenes!$F$2:$F$840,"Cuadrado"),"")</f>
        <v/>
      </c>
      <c r="I87" s="20">
        <f>IFERROR(SUMIFS(Ordenes!$P$2:$P$840,Ordenes!$C$2:$C$840,$B87,Ordenes!$T$2:$T$840,"Válida",Ordenes!$F$2:$F$840,"Estrella")/SUMIFS(Ordenes!$Q$2:$Q$840,Ordenes!$C$2:$C$840,$B87,Ordenes!$T$2:$T$840,"Válida",Ordenes!$F$2:$F$840,"Estrella"),"")</f>
        <v/>
      </c>
      <c r="J87" s="20">
        <f>IFERROR(SUMIFS(Ordenes!$P$2:$P$840,Ordenes!$C$2:$C$840,$B87,Ordenes!$T$2:$T$840,"Válida",Ordenes!$F$2:$F$840,"Saferock")/SUMIFS(Ordenes!$Q$2:$Q$840,Ordenes!$C$2:$C$840,$B87,Ordenes!$T$2:$T$840,"Válida",Ordenes!$F$2:$F$840,"Saferock"),"")</f>
        <v/>
      </c>
      <c r="K87" s="20">
        <f>IFERROR(SUMIFS(Ordenes!$P$2:$P$840,Ordenes!$C$2:$C$840,$B87,Ordenes!$T$2:$T$840,"Válida",Ordenes!$F$2:$F$840,"Hexágono")/SUMIFS(Ordenes!$Q$2:$Q$840,Ordenes!$C$2:$C$840,$B87,Ordenes!$T$2:$T$840,"Válida",Ordenes!$F$2:$F$840,"Hexágono"),"")</f>
        <v/>
      </c>
      <c r="L87" s="24">
        <f>IFERROR(SUMIFS(Ordenes!$P$2:$P$840,Ordenes!$C$2:$C$840,$B87,Ordenes!$T$2:$T$840,"Válida",Ordenes!$F$2:$F$840,"*")/SUMIFS(Ordenes!$Q$2:$Q$840,Ordenes!$C$2:$C$840,$B87,Ordenes!$T$2:$T$840,"Válida",Ordenes!$F$2:$F$840,"*"),"")</f>
        <v/>
      </c>
      <c r="M87" s="20">
        <f>IFERROR(SUMIFS(Ordenes!$V$2:$V$840,Ordenes!$C$2:$C$840,$B87,Ordenes!$T$2:$T$840,"Válida")/SUMIFS(Ordenes!$Q$2:$Q$840,Ordenes!$C$2:$C$840,$B87,Ordenes!$T$2:$T$840,"Válida"),"")</f>
        <v/>
      </c>
      <c r="N87" s="21">
        <f>IFERROR((L87-M87)*100,"")</f>
        <v/>
      </c>
      <c r="O87" s="19">
        <f>SUMIFS(Ordenes!$P$2:$P$840,Ordenes!$C$2:$C$840,$B87,Ordenes!$T$2:$T$840,"Válida")</f>
        <v/>
      </c>
      <c r="P87" s="19">
        <f>SUMIFS(Ordenes!$Q$2:$Q$840,Ordenes!$C$2:$C$840,$B87,Ordenes!$T$2:$T$840,"Válida")</f>
        <v/>
      </c>
      <c r="Q87" s="18">
        <f>COUNTIFS(Ordenes!$C$2:$C$840,$B87,Ordenes!$T$2:$T$840,"Válida")</f>
        <v/>
      </c>
    </row>
    <row r="88">
      <c r="A88" s="18" t="inlineStr">
        <is>
          <t>Mié 22 abr 2026</t>
        </is>
      </c>
      <c r="B88" s="22" t="n">
        <v>46134</v>
      </c>
      <c r="C88" s="18" t="inlineStr">
        <is>
          <t>S17</t>
        </is>
      </c>
      <c r="D88" s="20">
        <f>IFERROR(SUMIFS(Ordenes!$P$2:$P$840,Ordenes!$C$2:$C$840,$B88,Ordenes!$T$2:$T$840,"Válida",Ordenes!$F$2:$F$840,"B Hormigón")/SUMIFS(Ordenes!$Q$2:$Q$840,Ordenes!$C$2:$C$840,$B88,Ordenes!$T$2:$T$840,"Válida",Ordenes!$F$2:$F$840,"B Hormigón"),"")</f>
        <v/>
      </c>
      <c r="E88" s="20">
        <f>IFERROR(SUMIFS(Ordenes!$P$2:$P$840,Ordenes!$C$2:$C$840,$B88,Ordenes!$T$2:$T$840,"Válida",Ordenes!$F$2:$F$840,"Redondo liso")/SUMIFS(Ordenes!$Q$2:$Q$840,Ordenes!$C$2:$C$840,$B88,Ordenes!$T$2:$T$840,"Válida",Ordenes!$F$2:$F$840,"Redondo liso"),"")</f>
        <v/>
      </c>
      <c r="F88" s="20">
        <f>IFERROR(SUMIFS(Ordenes!$P$2:$P$840,Ordenes!$C$2:$C$840,$B88,Ordenes!$T$2:$T$840,"Válida",Ordenes!$F$2:$F$840,"Plana")/SUMIFS(Ordenes!$Q$2:$Q$840,Ordenes!$C$2:$C$840,$B88,Ordenes!$T$2:$T$840,"Válida",Ordenes!$F$2:$F$840,"Plana"),"")</f>
        <v/>
      </c>
      <c r="G88" s="20">
        <f>IFERROR(SUMIFS(Ordenes!$P$2:$P$840,Ordenes!$C$2:$C$840,$B88,Ordenes!$T$2:$T$840,"Válida",Ordenes!$F$2:$F$840,"Ángulo")/SUMIFS(Ordenes!$Q$2:$Q$840,Ordenes!$C$2:$C$840,$B88,Ordenes!$T$2:$T$840,"Válida",Ordenes!$F$2:$F$840,"Ángulo"),"")</f>
        <v/>
      </c>
      <c r="H88" s="20">
        <f>IFERROR(SUMIFS(Ordenes!$P$2:$P$840,Ordenes!$C$2:$C$840,$B88,Ordenes!$T$2:$T$840,"Válida",Ordenes!$F$2:$F$840,"Cuadrado")/SUMIFS(Ordenes!$Q$2:$Q$840,Ordenes!$C$2:$C$840,$B88,Ordenes!$T$2:$T$840,"Válida",Ordenes!$F$2:$F$840,"Cuadrado"),"")</f>
        <v/>
      </c>
      <c r="I88" s="20">
        <f>IFERROR(SUMIFS(Ordenes!$P$2:$P$840,Ordenes!$C$2:$C$840,$B88,Ordenes!$T$2:$T$840,"Válida",Ordenes!$F$2:$F$840,"Estrella")/SUMIFS(Ordenes!$Q$2:$Q$840,Ordenes!$C$2:$C$840,$B88,Ordenes!$T$2:$T$840,"Válida",Ordenes!$F$2:$F$840,"Estrella"),"")</f>
        <v/>
      </c>
      <c r="J88" s="20">
        <f>IFERROR(SUMIFS(Ordenes!$P$2:$P$840,Ordenes!$C$2:$C$840,$B88,Ordenes!$T$2:$T$840,"Válida",Ordenes!$F$2:$F$840,"Saferock")/SUMIFS(Ordenes!$Q$2:$Q$840,Ordenes!$C$2:$C$840,$B88,Ordenes!$T$2:$T$840,"Válida",Ordenes!$F$2:$F$840,"Saferock"),"")</f>
        <v/>
      </c>
      <c r="K88" s="20">
        <f>IFERROR(SUMIFS(Ordenes!$P$2:$P$840,Ordenes!$C$2:$C$840,$B88,Ordenes!$T$2:$T$840,"Válida",Ordenes!$F$2:$F$840,"Hexágono")/SUMIFS(Ordenes!$Q$2:$Q$840,Ordenes!$C$2:$C$840,$B88,Ordenes!$T$2:$T$840,"Válida",Ordenes!$F$2:$F$840,"Hexágono"),"")</f>
        <v/>
      </c>
      <c r="L88" s="24">
        <f>IFERROR(SUMIFS(Ordenes!$P$2:$P$840,Ordenes!$C$2:$C$840,$B88,Ordenes!$T$2:$T$840,"Válida",Ordenes!$F$2:$F$840,"*")/SUMIFS(Ordenes!$Q$2:$Q$840,Ordenes!$C$2:$C$840,$B88,Ordenes!$T$2:$T$840,"Válida",Ordenes!$F$2:$F$840,"*"),"")</f>
        <v/>
      </c>
      <c r="M88" s="20">
        <f>IFERROR(SUMIFS(Ordenes!$V$2:$V$840,Ordenes!$C$2:$C$840,$B88,Ordenes!$T$2:$T$840,"Válida")/SUMIFS(Ordenes!$Q$2:$Q$840,Ordenes!$C$2:$C$840,$B88,Ordenes!$T$2:$T$840,"Válida"),"")</f>
        <v/>
      </c>
      <c r="N88" s="21">
        <f>IFERROR((L88-M88)*100,"")</f>
        <v/>
      </c>
      <c r="O88" s="19">
        <f>SUMIFS(Ordenes!$P$2:$P$840,Ordenes!$C$2:$C$840,$B88,Ordenes!$T$2:$T$840,"Válida")</f>
        <v/>
      </c>
      <c r="P88" s="19">
        <f>SUMIFS(Ordenes!$Q$2:$Q$840,Ordenes!$C$2:$C$840,$B88,Ordenes!$T$2:$T$840,"Válida")</f>
        <v/>
      </c>
      <c r="Q88" s="18">
        <f>COUNTIFS(Ordenes!$C$2:$C$840,$B88,Ordenes!$T$2:$T$840,"Válida")</f>
        <v/>
      </c>
    </row>
    <row r="89">
      <c r="A89" s="18" t="inlineStr">
        <is>
          <t>Jue 23 abr 2026</t>
        </is>
      </c>
      <c r="B89" s="22" t="n">
        <v>46135</v>
      </c>
      <c r="C89" s="18" t="inlineStr">
        <is>
          <t>S17</t>
        </is>
      </c>
      <c r="D89" s="20">
        <f>IFERROR(SUMIFS(Ordenes!$P$2:$P$840,Ordenes!$C$2:$C$840,$B89,Ordenes!$T$2:$T$840,"Válida",Ordenes!$F$2:$F$840,"B Hormigón")/SUMIFS(Ordenes!$Q$2:$Q$840,Ordenes!$C$2:$C$840,$B89,Ordenes!$T$2:$T$840,"Válida",Ordenes!$F$2:$F$840,"B Hormigón"),"")</f>
        <v/>
      </c>
      <c r="E89" s="20">
        <f>IFERROR(SUMIFS(Ordenes!$P$2:$P$840,Ordenes!$C$2:$C$840,$B89,Ordenes!$T$2:$T$840,"Válida",Ordenes!$F$2:$F$840,"Redondo liso")/SUMIFS(Ordenes!$Q$2:$Q$840,Ordenes!$C$2:$C$840,$B89,Ordenes!$T$2:$T$840,"Válida",Ordenes!$F$2:$F$840,"Redondo liso"),"")</f>
        <v/>
      </c>
      <c r="F89" s="20">
        <f>IFERROR(SUMIFS(Ordenes!$P$2:$P$840,Ordenes!$C$2:$C$840,$B89,Ordenes!$T$2:$T$840,"Válida",Ordenes!$F$2:$F$840,"Plana")/SUMIFS(Ordenes!$Q$2:$Q$840,Ordenes!$C$2:$C$840,$B89,Ordenes!$T$2:$T$840,"Válida",Ordenes!$F$2:$F$840,"Plana"),"")</f>
        <v/>
      </c>
      <c r="G89" s="20">
        <f>IFERROR(SUMIFS(Ordenes!$P$2:$P$840,Ordenes!$C$2:$C$840,$B89,Ordenes!$T$2:$T$840,"Válida",Ordenes!$F$2:$F$840,"Ángulo")/SUMIFS(Ordenes!$Q$2:$Q$840,Ordenes!$C$2:$C$840,$B89,Ordenes!$T$2:$T$840,"Válida",Ordenes!$F$2:$F$840,"Ángulo"),"")</f>
        <v/>
      </c>
      <c r="H89" s="20">
        <f>IFERROR(SUMIFS(Ordenes!$P$2:$P$840,Ordenes!$C$2:$C$840,$B89,Ordenes!$T$2:$T$840,"Válida",Ordenes!$F$2:$F$840,"Cuadrado")/SUMIFS(Ordenes!$Q$2:$Q$840,Ordenes!$C$2:$C$840,$B89,Ordenes!$T$2:$T$840,"Válida",Ordenes!$F$2:$F$840,"Cuadrado"),"")</f>
        <v/>
      </c>
      <c r="I89" s="20">
        <f>IFERROR(SUMIFS(Ordenes!$P$2:$P$840,Ordenes!$C$2:$C$840,$B89,Ordenes!$T$2:$T$840,"Válida",Ordenes!$F$2:$F$840,"Estrella")/SUMIFS(Ordenes!$Q$2:$Q$840,Ordenes!$C$2:$C$840,$B89,Ordenes!$T$2:$T$840,"Válida",Ordenes!$F$2:$F$840,"Estrella"),"")</f>
        <v/>
      </c>
      <c r="J89" s="20">
        <f>IFERROR(SUMIFS(Ordenes!$P$2:$P$840,Ordenes!$C$2:$C$840,$B89,Ordenes!$T$2:$T$840,"Válida",Ordenes!$F$2:$F$840,"Saferock")/SUMIFS(Ordenes!$Q$2:$Q$840,Ordenes!$C$2:$C$840,$B89,Ordenes!$T$2:$T$840,"Válida",Ordenes!$F$2:$F$840,"Saferock"),"")</f>
        <v/>
      </c>
      <c r="K89" s="20">
        <f>IFERROR(SUMIFS(Ordenes!$P$2:$P$840,Ordenes!$C$2:$C$840,$B89,Ordenes!$T$2:$T$840,"Válida",Ordenes!$F$2:$F$840,"Hexágono")/SUMIFS(Ordenes!$Q$2:$Q$840,Ordenes!$C$2:$C$840,$B89,Ordenes!$T$2:$T$840,"Válida",Ordenes!$F$2:$F$840,"Hexágono"),"")</f>
        <v/>
      </c>
      <c r="L89" s="24">
        <f>IFERROR(SUMIFS(Ordenes!$P$2:$P$840,Ordenes!$C$2:$C$840,$B89,Ordenes!$T$2:$T$840,"Válida",Ordenes!$F$2:$F$840,"*")/SUMIFS(Ordenes!$Q$2:$Q$840,Ordenes!$C$2:$C$840,$B89,Ordenes!$T$2:$T$840,"Válida",Ordenes!$F$2:$F$840,"*"),"")</f>
        <v/>
      </c>
      <c r="M89" s="20">
        <f>IFERROR(SUMIFS(Ordenes!$V$2:$V$840,Ordenes!$C$2:$C$840,$B89,Ordenes!$T$2:$T$840,"Válida")/SUMIFS(Ordenes!$Q$2:$Q$840,Ordenes!$C$2:$C$840,$B89,Ordenes!$T$2:$T$840,"Válida"),"")</f>
        <v/>
      </c>
      <c r="N89" s="21">
        <f>IFERROR((L89-M89)*100,"")</f>
        <v/>
      </c>
      <c r="O89" s="19">
        <f>SUMIFS(Ordenes!$P$2:$P$840,Ordenes!$C$2:$C$840,$B89,Ordenes!$T$2:$T$840,"Válida")</f>
        <v/>
      </c>
      <c r="P89" s="19">
        <f>SUMIFS(Ordenes!$Q$2:$Q$840,Ordenes!$C$2:$C$840,$B89,Ordenes!$T$2:$T$840,"Válida")</f>
        <v/>
      </c>
      <c r="Q89" s="18">
        <f>COUNTIFS(Ordenes!$C$2:$C$840,$B89,Ordenes!$T$2:$T$840,"Válida")</f>
        <v/>
      </c>
    </row>
    <row r="90">
      <c r="A90" s="18" t="inlineStr">
        <is>
          <t>Vie 24 abr 2026</t>
        </is>
      </c>
      <c r="B90" s="22" t="n">
        <v>46136</v>
      </c>
      <c r="C90" s="18" t="inlineStr">
        <is>
          <t>S17</t>
        </is>
      </c>
      <c r="D90" s="20">
        <f>IFERROR(SUMIFS(Ordenes!$P$2:$P$840,Ordenes!$C$2:$C$840,$B90,Ordenes!$T$2:$T$840,"Válida",Ordenes!$F$2:$F$840,"B Hormigón")/SUMIFS(Ordenes!$Q$2:$Q$840,Ordenes!$C$2:$C$840,$B90,Ordenes!$T$2:$T$840,"Válida",Ordenes!$F$2:$F$840,"B Hormigón"),"")</f>
        <v/>
      </c>
      <c r="E90" s="20">
        <f>IFERROR(SUMIFS(Ordenes!$P$2:$P$840,Ordenes!$C$2:$C$840,$B90,Ordenes!$T$2:$T$840,"Válida",Ordenes!$F$2:$F$840,"Redondo liso")/SUMIFS(Ordenes!$Q$2:$Q$840,Ordenes!$C$2:$C$840,$B90,Ordenes!$T$2:$T$840,"Válida",Ordenes!$F$2:$F$840,"Redondo liso"),"")</f>
        <v/>
      </c>
      <c r="F90" s="20">
        <f>IFERROR(SUMIFS(Ordenes!$P$2:$P$840,Ordenes!$C$2:$C$840,$B90,Ordenes!$T$2:$T$840,"Válida",Ordenes!$F$2:$F$840,"Plana")/SUMIFS(Ordenes!$Q$2:$Q$840,Ordenes!$C$2:$C$840,$B90,Ordenes!$T$2:$T$840,"Válida",Ordenes!$F$2:$F$840,"Plana"),"")</f>
        <v/>
      </c>
      <c r="G90" s="20">
        <f>IFERROR(SUMIFS(Ordenes!$P$2:$P$840,Ordenes!$C$2:$C$840,$B90,Ordenes!$T$2:$T$840,"Válida",Ordenes!$F$2:$F$840,"Ángulo")/SUMIFS(Ordenes!$Q$2:$Q$840,Ordenes!$C$2:$C$840,$B90,Ordenes!$T$2:$T$840,"Válida",Ordenes!$F$2:$F$840,"Ángulo"),"")</f>
        <v/>
      </c>
      <c r="H90" s="20">
        <f>IFERROR(SUMIFS(Ordenes!$P$2:$P$840,Ordenes!$C$2:$C$840,$B90,Ordenes!$T$2:$T$840,"Válida",Ordenes!$F$2:$F$840,"Cuadrado")/SUMIFS(Ordenes!$Q$2:$Q$840,Ordenes!$C$2:$C$840,$B90,Ordenes!$T$2:$T$840,"Válida",Ordenes!$F$2:$F$840,"Cuadrado"),"")</f>
        <v/>
      </c>
      <c r="I90" s="20">
        <f>IFERROR(SUMIFS(Ordenes!$P$2:$P$840,Ordenes!$C$2:$C$840,$B90,Ordenes!$T$2:$T$840,"Válida",Ordenes!$F$2:$F$840,"Estrella")/SUMIFS(Ordenes!$Q$2:$Q$840,Ordenes!$C$2:$C$840,$B90,Ordenes!$T$2:$T$840,"Válida",Ordenes!$F$2:$F$840,"Estrella"),"")</f>
        <v/>
      </c>
      <c r="J90" s="20">
        <f>IFERROR(SUMIFS(Ordenes!$P$2:$P$840,Ordenes!$C$2:$C$840,$B90,Ordenes!$T$2:$T$840,"Válida",Ordenes!$F$2:$F$840,"Saferock")/SUMIFS(Ordenes!$Q$2:$Q$840,Ordenes!$C$2:$C$840,$B90,Ordenes!$T$2:$T$840,"Válida",Ordenes!$F$2:$F$840,"Saferock"),"")</f>
        <v/>
      </c>
      <c r="K90" s="20">
        <f>IFERROR(SUMIFS(Ordenes!$P$2:$P$840,Ordenes!$C$2:$C$840,$B90,Ordenes!$T$2:$T$840,"Válida",Ordenes!$F$2:$F$840,"Hexágono")/SUMIFS(Ordenes!$Q$2:$Q$840,Ordenes!$C$2:$C$840,$B90,Ordenes!$T$2:$T$840,"Válida",Ordenes!$F$2:$F$840,"Hexágono"),"")</f>
        <v/>
      </c>
      <c r="L90" s="24">
        <f>IFERROR(SUMIFS(Ordenes!$P$2:$P$840,Ordenes!$C$2:$C$840,$B90,Ordenes!$T$2:$T$840,"Válida",Ordenes!$F$2:$F$840,"*")/SUMIFS(Ordenes!$Q$2:$Q$840,Ordenes!$C$2:$C$840,$B90,Ordenes!$T$2:$T$840,"Válida",Ordenes!$F$2:$F$840,"*"),"")</f>
        <v/>
      </c>
      <c r="M90" s="20">
        <f>IFERROR(SUMIFS(Ordenes!$V$2:$V$840,Ordenes!$C$2:$C$840,$B90,Ordenes!$T$2:$T$840,"Válida")/SUMIFS(Ordenes!$Q$2:$Q$840,Ordenes!$C$2:$C$840,$B90,Ordenes!$T$2:$T$840,"Válida"),"")</f>
        <v/>
      </c>
      <c r="N90" s="21">
        <f>IFERROR((L90-M90)*100,"")</f>
        <v/>
      </c>
      <c r="O90" s="19">
        <f>SUMIFS(Ordenes!$P$2:$P$840,Ordenes!$C$2:$C$840,$B90,Ordenes!$T$2:$T$840,"Válida")</f>
        <v/>
      </c>
      <c r="P90" s="19">
        <f>SUMIFS(Ordenes!$Q$2:$Q$840,Ordenes!$C$2:$C$840,$B90,Ordenes!$T$2:$T$840,"Válida")</f>
        <v/>
      </c>
      <c r="Q90" s="18">
        <f>COUNTIFS(Ordenes!$C$2:$C$840,$B90,Ordenes!$T$2:$T$840,"Válida")</f>
        <v/>
      </c>
    </row>
    <row r="91">
      <c r="A91" s="18" t="inlineStr">
        <is>
          <t>Sáb 25 abr 2026</t>
        </is>
      </c>
      <c r="B91" s="22" t="n">
        <v>46137</v>
      </c>
      <c r="C91" s="18" t="inlineStr">
        <is>
          <t>S17</t>
        </is>
      </c>
      <c r="D91" s="20">
        <f>IFERROR(SUMIFS(Ordenes!$P$2:$P$840,Ordenes!$C$2:$C$840,$B91,Ordenes!$T$2:$T$840,"Válida",Ordenes!$F$2:$F$840,"B Hormigón")/SUMIFS(Ordenes!$Q$2:$Q$840,Ordenes!$C$2:$C$840,$B91,Ordenes!$T$2:$T$840,"Válida",Ordenes!$F$2:$F$840,"B Hormigón"),"")</f>
        <v/>
      </c>
      <c r="E91" s="20">
        <f>IFERROR(SUMIFS(Ordenes!$P$2:$P$840,Ordenes!$C$2:$C$840,$B91,Ordenes!$T$2:$T$840,"Válida",Ordenes!$F$2:$F$840,"Redondo liso")/SUMIFS(Ordenes!$Q$2:$Q$840,Ordenes!$C$2:$C$840,$B91,Ordenes!$T$2:$T$840,"Válida",Ordenes!$F$2:$F$840,"Redondo liso"),"")</f>
        <v/>
      </c>
      <c r="F91" s="20">
        <f>IFERROR(SUMIFS(Ordenes!$P$2:$P$840,Ordenes!$C$2:$C$840,$B91,Ordenes!$T$2:$T$840,"Válida",Ordenes!$F$2:$F$840,"Plana")/SUMIFS(Ordenes!$Q$2:$Q$840,Ordenes!$C$2:$C$840,$B91,Ordenes!$T$2:$T$840,"Válida",Ordenes!$F$2:$F$840,"Plana"),"")</f>
        <v/>
      </c>
      <c r="G91" s="20">
        <f>IFERROR(SUMIFS(Ordenes!$P$2:$P$840,Ordenes!$C$2:$C$840,$B91,Ordenes!$T$2:$T$840,"Válida",Ordenes!$F$2:$F$840,"Ángulo")/SUMIFS(Ordenes!$Q$2:$Q$840,Ordenes!$C$2:$C$840,$B91,Ordenes!$T$2:$T$840,"Válida",Ordenes!$F$2:$F$840,"Ángulo"),"")</f>
        <v/>
      </c>
      <c r="H91" s="20">
        <f>IFERROR(SUMIFS(Ordenes!$P$2:$P$840,Ordenes!$C$2:$C$840,$B91,Ordenes!$T$2:$T$840,"Válida",Ordenes!$F$2:$F$840,"Cuadrado")/SUMIFS(Ordenes!$Q$2:$Q$840,Ordenes!$C$2:$C$840,$B91,Ordenes!$T$2:$T$840,"Válida",Ordenes!$F$2:$F$840,"Cuadrado"),"")</f>
        <v/>
      </c>
      <c r="I91" s="20">
        <f>IFERROR(SUMIFS(Ordenes!$P$2:$P$840,Ordenes!$C$2:$C$840,$B91,Ordenes!$T$2:$T$840,"Válida",Ordenes!$F$2:$F$840,"Estrella")/SUMIFS(Ordenes!$Q$2:$Q$840,Ordenes!$C$2:$C$840,$B91,Ordenes!$T$2:$T$840,"Válida",Ordenes!$F$2:$F$840,"Estrella"),"")</f>
        <v/>
      </c>
      <c r="J91" s="20">
        <f>IFERROR(SUMIFS(Ordenes!$P$2:$P$840,Ordenes!$C$2:$C$840,$B91,Ordenes!$T$2:$T$840,"Válida",Ordenes!$F$2:$F$840,"Saferock")/SUMIFS(Ordenes!$Q$2:$Q$840,Ordenes!$C$2:$C$840,$B91,Ordenes!$T$2:$T$840,"Válida",Ordenes!$F$2:$F$840,"Saferock"),"")</f>
        <v/>
      </c>
      <c r="K91" s="20">
        <f>IFERROR(SUMIFS(Ordenes!$P$2:$P$840,Ordenes!$C$2:$C$840,$B91,Ordenes!$T$2:$T$840,"Válida",Ordenes!$F$2:$F$840,"Hexágono")/SUMIFS(Ordenes!$Q$2:$Q$840,Ordenes!$C$2:$C$840,$B91,Ordenes!$T$2:$T$840,"Válida",Ordenes!$F$2:$F$840,"Hexágono"),"")</f>
        <v/>
      </c>
      <c r="L91" s="24">
        <f>IFERROR(SUMIFS(Ordenes!$P$2:$P$840,Ordenes!$C$2:$C$840,$B91,Ordenes!$T$2:$T$840,"Válida",Ordenes!$F$2:$F$840,"*")/SUMIFS(Ordenes!$Q$2:$Q$840,Ordenes!$C$2:$C$840,$B91,Ordenes!$T$2:$T$840,"Válida",Ordenes!$F$2:$F$840,"*"),"")</f>
        <v/>
      </c>
      <c r="M91" s="20">
        <f>IFERROR(SUMIFS(Ordenes!$V$2:$V$840,Ordenes!$C$2:$C$840,$B91,Ordenes!$T$2:$T$840,"Válida")/SUMIFS(Ordenes!$Q$2:$Q$840,Ordenes!$C$2:$C$840,$B91,Ordenes!$T$2:$T$840,"Válida"),"")</f>
        <v/>
      </c>
      <c r="N91" s="21">
        <f>IFERROR((L91-M91)*100,"")</f>
        <v/>
      </c>
      <c r="O91" s="19">
        <f>SUMIFS(Ordenes!$P$2:$P$840,Ordenes!$C$2:$C$840,$B91,Ordenes!$T$2:$T$840,"Válida")</f>
        <v/>
      </c>
      <c r="P91" s="19">
        <f>SUMIFS(Ordenes!$Q$2:$Q$840,Ordenes!$C$2:$C$840,$B91,Ordenes!$T$2:$T$840,"Válida")</f>
        <v/>
      </c>
      <c r="Q91" s="18">
        <f>COUNTIFS(Ordenes!$C$2:$C$840,$B91,Ordenes!$T$2:$T$840,"Válida")</f>
        <v/>
      </c>
    </row>
    <row r="92">
      <c r="A92" s="18" t="inlineStr">
        <is>
          <t>Dom 26 abr 2026</t>
        </is>
      </c>
      <c r="B92" s="22" t="n">
        <v>46138</v>
      </c>
      <c r="C92" s="18" t="inlineStr">
        <is>
          <t>S17</t>
        </is>
      </c>
      <c r="D92" s="20">
        <f>IFERROR(SUMIFS(Ordenes!$P$2:$P$840,Ordenes!$C$2:$C$840,$B92,Ordenes!$T$2:$T$840,"Válida",Ordenes!$F$2:$F$840,"B Hormigón")/SUMIFS(Ordenes!$Q$2:$Q$840,Ordenes!$C$2:$C$840,$B92,Ordenes!$T$2:$T$840,"Válida",Ordenes!$F$2:$F$840,"B Hormigón"),"")</f>
        <v/>
      </c>
      <c r="E92" s="20">
        <f>IFERROR(SUMIFS(Ordenes!$P$2:$P$840,Ordenes!$C$2:$C$840,$B92,Ordenes!$T$2:$T$840,"Válida",Ordenes!$F$2:$F$840,"Redondo liso")/SUMIFS(Ordenes!$Q$2:$Q$840,Ordenes!$C$2:$C$840,$B92,Ordenes!$T$2:$T$840,"Válida",Ordenes!$F$2:$F$840,"Redondo liso"),"")</f>
        <v/>
      </c>
      <c r="F92" s="20">
        <f>IFERROR(SUMIFS(Ordenes!$P$2:$P$840,Ordenes!$C$2:$C$840,$B92,Ordenes!$T$2:$T$840,"Válida",Ordenes!$F$2:$F$840,"Plana")/SUMIFS(Ordenes!$Q$2:$Q$840,Ordenes!$C$2:$C$840,$B92,Ordenes!$T$2:$T$840,"Válida",Ordenes!$F$2:$F$840,"Plana"),"")</f>
        <v/>
      </c>
      <c r="G92" s="20">
        <f>IFERROR(SUMIFS(Ordenes!$P$2:$P$840,Ordenes!$C$2:$C$840,$B92,Ordenes!$T$2:$T$840,"Válida",Ordenes!$F$2:$F$840,"Ángulo")/SUMIFS(Ordenes!$Q$2:$Q$840,Ordenes!$C$2:$C$840,$B92,Ordenes!$T$2:$T$840,"Válida",Ordenes!$F$2:$F$840,"Ángulo"),"")</f>
        <v/>
      </c>
      <c r="H92" s="20">
        <f>IFERROR(SUMIFS(Ordenes!$P$2:$P$840,Ordenes!$C$2:$C$840,$B92,Ordenes!$T$2:$T$840,"Válida",Ordenes!$F$2:$F$840,"Cuadrado")/SUMIFS(Ordenes!$Q$2:$Q$840,Ordenes!$C$2:$C$840,$B92,Ordenes!$T$2:$T$840,"Válida",Ordenes!$F$2:$F$840,"Cuadrado"),"")</f>
        <v/>
      </c>
      <c r="I92" s="20">
        <f>IFERROR(SUMIFS(Ordenes!$P$2:$P$840,Ordenes!$C$2:$C$840,$B92,Ordenes!$T$2:$T$840,"Válida",Ordenes!$F$2:$F$840,"Estrella")/SUMIFS(Ordenes!$Q$2:$Q$840,Ordenes!$C$2:$C$840,$B92,Ordenes!$T$2:$T$840,"Válida",Ordenes!$F$2:$F$840,"Estrella"),"")</f>
        <v/>
      </c>
      <c r="J92" s="20">
        <f>IFERROR(SUMIFS(Ordenes!$P$2:$P$840,Ordenes!$C$2:$C$840,$B92,Ordenes!$T$2:$T$840,"Válida",Ordenes!$F$2:$F$840,"Saferock")/SUMIFS(Ordenes!$Q$2:$Q$840,Ordenes!$C$2:$C$840,$B92,Ordenes!$T$2:$T$840,"Válida",Ordenes!$F$2:$F$840,"Saferock"),"")</f>
        <v/>
      </c>
      <c r="K92" s="20">
        <f>IFERROR(SUMIFS(Ordenes!$P$2:$P$840,Ordenes!$C$2:$C$840,$B92,Ordenes!$T$2:$T$840,"Válida",Ordenes!$F$2:$F$840,"Hexágono")/SUMIFS(Ordenes!$Q$2:$Q$840,Ordenes!$C$2:$C$840,$B92,Ordenes!$T$2:$T$840,"Válida",Ordenes!$F$2:$F$840,"Hexágono"),"")</f>
        <v/>
      </c>
      <c r="L92" s="24">
        <f>IFERROR(SUMIFS(Ordenes!$P$2:$P$840,Ordenes!$C$2:$C$840,$B92,Ordenes!$T$2:$T$840,"Válida",Ordenes!$F$2:$F$840,"*")/SUMIFS(Ordenes!$Q$2:$Q$840,Ordenes!$C$2:$C$840,$B92,Ordenes!$T$2:$T$840,"Válida",Ordenes!$F$2:$F$840,"*"),"")</f>
        <v/>
      </c>
      <c r="M92" s="20">
        <f>IFERROR(SUMIFS(Ordenes!$V$2:$V$840,Ordenes!$C$2:$C$840,$B92,Ordenes!$T$2:$T$840,"Válida")/SUMIFS(Ordenes!$Q$2:$Q$840,Ordenes!$C$2:$C$840,$B92,Ordenes!$T$2:$T$840,"Válida"),"")</f>
        <v/>
      </c>
      <c r="N92" s="21">
        <f>IFERROR((L92-M92)*100,"")</f>
        <v/>
      </c>
      <c r="O92" s="19">
        <f>SUMIFS(Ordenes!$P$2:$P$840,Ordenes!$C$2:$C$840,$B92,Ordenes!$T$2:$T$840,"Válida")</f>
        <v/>
      </c>
      <c r="P92" s="19">
        <f>SUMIFS(Ordenes!$Q$2:$Q$840,Ordenes!$C$2:$C$840,$B92,Ordenes!$T$2:$T$840,"Válida")</f>
        <v/>
      </c>
      <c r="Q92" s="18">
        <f>COUNTIFS(Ordenes!$C$2:$C$840,$B92,Ordenes!$T$2:$T$840,"Válida")</f>
        <v/>
      </c>
    </row>
    <row r="93">
      <c r="A93" s="18" t="inlineStr">
        <is>
          <t>Lun 27 abr 2026</t>
        </is>
      </c>
      <c r="B93" s="22" t="n">
        <v>46139</v>
      </c>
      <c r="C93" s="18" t="inlineStr">
        <is>
          <t>S18</t>
        </is>
      </c>
      <c r="D93" s="20">
        <f>IFERROR(SUMIFS(Ordenes!$P$2:$P$840,Ordenes!$C$2:$C$840,$B93,Ordenes!$T$2:$T$840,"Válida",Ordenes!$F$2:$F$840,"B Hormigón")/SUMIFS(Ordenes!$Q$2:$Q$840,Ordenes!$C$2:$C$840,$B93,Ordenes!$T$2:$T$840,"Válida",Ordenes!$F$2:$F$840,"B Hormigón"),"")</f>
        <v/>
      </c>
      <c r="E93" s="20">
        <f>IFERROR(SUMIFS(Ordenes!$P$2:$P$840,Ordenes!$C$2:$C$840,$B93,Ordenes!$T$2:$T$840,"Válida",Ordenes!$F$2:$F$840,"Redondo liso")/SUMIFS(Ordenes!$Q$2:$Q$840,Ordenes!$C$2:$C$840,$B93,Ordenes!$T$2:$T$840,"Válida",Ordenes!$F$2:$F$840,"Redondo liso"),"")</f>
        <v/>
      </c>
      <c r="F93" s="20">
        <f>IFERROR(SUMIFS(Ordenes!$P$2:$P$840,Ordenes!$C$2:$C$840,$B93,Ordenes!$T$2:$T$840,"Válida",Ordenes!$F$2:$F$840,"Plana")/SUMIFS(Ordenes!$Q$2:$Q$840,Ordenes!$C$2:$C$840,$B93,Ordenes!$T$2:$T$840,"Válida",Ordenes!$F$2:$F$840,"Plana"),"")</f>
        <v/>
      </c>
      <c r="G93" s="20">
        <f>IFERROR(SUMIFS(Ordenes!$P$2:$P$840,Ordenes!$C$2:$C$840,$B93,Ordenes!$T$2:$T$840,"Válida",Ordenes!$F$2:$F$840,"Ángulo")/SUMIFS(Ordenes!$Q$2:$Q$840,Ordenes!$C$2:$C$840,$B93,Ordenes!$T$2:$T$840,"Válida",Ordenes!$F$2:$F$840,"Ángulo"),"")</f>
        <v/>
      </c>
      <c r="H93" s="20">
        <f>IFERROR(SUMIFS(Ordenes!$P$2:$P$840,Ordenes!$C$2:$C$840,$B93,Ordenes!$T$2:$T$840,"Válida",Ordenes!$F$2:$F$840,"Cuadrado")/SUMIFS(Ordenes!$Q$2:$Q$840,Ordenes!$C$2:$C$840,$B93,Ordenes!$T$2:$T$840,"Válida",Ordenes!$F$2:$F$840,"Cuadrado"),"")</f>
        <v/>
      </c>
      <c r="I93" s="20">
        <f>IFERROR(SUMIFS(Ordenes!$P$2:$P$840,Ordenes!$C$2:$C$840,$B93,Ordenes!$T$2:$T$840,"Válida",Ordenes!$F$2:$F$840,"Estrella")/SUMIFS(Ordenes!$Q$2:$Q$840,Ordenes!$C$2:$C$840,$B93,Ordenes!$T$2:$T$840,"Válida",Ordenes!$F$2:$F$840,"Estrella"),"")</f>
        <v/>
      </c>
      <c r="J93" s="20">
        <f>IFERROR(SUMIFS(Ordenes!$P$2:$P$840,Ordenes!$C$2:$C$840,$B93,Ordenes!$T$2:$T$840,"Válida",Ordenes!$F$2:$F$840,"Saferock")/SUMIFS(Ordenes!$Q$2:$Q$840,Ordenes!$C$2:$C$840,$B93,Ordenes!$T$2:$T$840,"Válida",Ordenes!$F$2:$F$840,"Saferock"),"")</f>
        <v/>
      </c>
      <c r="K93" s="20">
        <f>IFERROR(SUMIFS(Ordenes!$P$2:$P$840,Ordenes!$C$2:$C$840,$B93,Ordenes!$T$2:$T$840,"Válida",Ordenes!$F$2:$F$840,"Hexágono")/SUMIFS(Ordenes!$Q$2:$Q$840,Ordenes!$C$2:$C$840,$B93,Ordenes!$T$2:$T$840,"Válida",Ordenes!$F$2:$F$840,"Hexágono"),"")</f>
        <v/>
      </c>
      <c r="L93" s="24">
        <f>IFERROR(SUMIFS(Ordenes!$P$2:$P$840,Ordenes!$C$2:$C$840,$B93,Ordenes!$T$2:$T$840,"Válida",Ordenes!$F$2:$F$840,"*")/SUMIFS(Ordenes!$Q$2:$Q$840,Ordenes!$C$2:$C$840,$B93,Ordenes!$T$2:$T$840,"Válida",Ordenes!$F$2:$F$840,"*"),"")</f>
        <v/>
      </c>
      <c r="M93" s="20">
        <f>IFERROR(SUMIFS(Ordenes!$V$2:$V$840,Ordenes!$C$2:$C$840,$B93,Ordenes!$T$2:$T$840,"Válida")/SUMIFS(Ordenes!$Q$2:$Q$840,Ordenes!$C$2:$C$840,$B93,Ordenes!$T$2:$T$840,"Válida"),"")</f>
        <v/>
      </c>
      <c r="N93" s="21">
        <f>IFERROR((L93-M93)*100,"")</f>
        <v/>
      </c>
      <c r="O93" s="19">
        <f>SUMIFS(Ordenes!$P$2:$P$840,Ordenes!$C$2:$C$840,$B93,Ordenes!$T$2:$T$840,"Válida")</f>
        <v/>
      </c>
      <c r="P93" s="19">
        <f>SUMIFS(Ordenes!$Q$2:$Q$840,Ordenes!$C$2:$C$840,$B93,Ordenes!$T$2:$T$840,"Válida")</f>
        <v/>
      </c>
      <c r="Q93" s="18">
        <f>COUNTIFS(Ordenes!$C$2:$C$840,$B93,Ordenes!$T$2:$T$840,"Válida")</f>
        <v/>
      </c>
    </row>
    <row r="94">
      <c r="A94" s="18" t="inlineStr">
        <is>
          <t>Mar 28 abr 2026</t>
        </is>
      </c>
      <c r="B94" s="22" t="n">
        <v>46140</v>
      </c>
      <c r="C94" s="18" t="inlineStr">
        <is>
          <t>S18</t>
        </is>
      </c>
      <c r="D94" s="20">
        <f>IFERROR(SUMIFS(Ordenes!$P$2:$P$840,Ordenes!$C$2:$C$840,$B94,Ordenes!$T$2:$T$840,"Válida",Ordenes!$F$2:$F$840,"B Hormigón")/SUMIFS(Ordenes!$Q$2:$Q$840,Ordenes!$C$2:$C$840,$B94,Ordenes!$T$2:$T$840,"Válida",Ordenes!$F$2:$F$840,"B Hormigón"),"")</f>
        <v/>
      </c>
      <c r="E94" s="20">
        <f>IFERROR(SUMIFS(Ordenes!$P$2:$P$840,Ordenes!$C$2:$C$840,$B94,Ordenes!$T$2:$T$840,"Válida",Ordenes!$F$2:$F$840,"Redondo liso")/SUMIFS(Ordenes!$Q$2:$Q$840,Ordenes!$C$2:$C$840,$B94,Ordenes!$T$2:$T$840,"Válida",Ordenes!$F$2:$F$840,"Redondo liso"),"")</f>
        <v/>
      </c>
      <c r="F94" s="20">
        <f>IFERROR(SUMIFS(Ordenes!$P$2:$P$840,Ordenes!$C$2:$C$840,$B94,Ordenes!$T$2:$T$840,"Válida",Ordenes!$F$2:$F$840,"Plana")/SUMIFS(Ordenes!$Q$2:$Q$840,Ordenes!$C$2:$C$840,$B94,Ordenes!$T$2:$T$840,"Válida",Ordenes!$F$2:$F$840,"Plana"),"")</f>
        <v/>
      </c>
      <c r="G94" s="20">
        <f>IFERROR(SUMIFS(Ordenes!$P$2:$P$840,Ordenes!$C$2:$C$840,$B94,Ordenes!$T$2:$T$840,"Válida",Ordenes!$F$2:$F$840,"Ángulo")/SUMIFS(Ordenes!$Q$2:$Q$840,Ordenes!$C$2:$C$840,$B94,Ordenes!$T$2:$T$840,"Válida",Ordenes!$F$2:$F$840,"Ángulo"),"")</f>
        <v/>
      </c>
      <c r="H94" s="20">
        <f>IFERROR(SUMIFS(Ordenes!$P$2:$P$840,Ordenes!$C$2:$C$840,$B94,Ordenes!$T$2:$T$840,"Válida",Ordenes!$F$2:$F$840,"Cuadrado")/SUMIFS(Ordenes!$Q$2:$Q$840,Ordenes!$C$2:$C$840,$B94,Ordenes!$T$2:$T$840,"Válida",Ordenes!$F$2:$F$840,"Cuadrado"),"")</f>
        <v/>
      </c>
      <c r="I94" s="20">
        <f>IFERROR(SUMIFS(Ordenes!$P$2:$P$840,Ordenes!$C$2:$C$840,$B94,Ordenes!$T$2:$T$840,"Válida",Ordenes!$F$2:$F$840,"Estrella")/SUMIFS(Ordenes!$Q$2:$Q$840,Ordenes!$C$2:$C$840,$B94,Ordenes!$T$2:$T$840,"Válida",Ordenes!$F$2:$F$840,"Estrella"),"")</f>
        <v/>
      </c>
      <c r="J94" s="20">
        <f>IFERROR(SUMIFS(Ordenes!$P$2:$P$840,Ordenes!$C$2:$C$840,$B94,Ordenes!$T$2:$T$840,"Válida",Ordenes!$F$2:$F$840,"Saferock")/SUMIFS(Ordenes!$Q$2:$Q$840,Ordenes!$C$2:$C$840,$B94,Ordenes!$T$2:$T$840,"Válida",Ordenes!$F$2:$F$840,"Saferock"),"")</f>
        <v/>
      </c>
      <c r="K94" s="20">
        <f>IFERROR(SUMIFS(Ordenes!$P$2:$P$840,Ordenes!$C$2:$C$840,$B94,Ordenes!$T$2:$T$840,"Válida",Ordenes!$F$2:$F$840,"Hexágono")/SUMIFS(Ordenes!$Q$2:$Q$840,Ordenes!$C$2:$C$840,$B94,Ordenes!$T$2:$T$840,"Válida",Ordenes!$F$2:$F$840,"Hexágono"),"")</f>
        <v/>
      </c>
      <c r="L94" s="24">
        <f>IFERROR(SUMIFS(Ordenes!$P$2:$P$840,Ordenes!$C$2:$C$840,$B94,Ordenes!$T$2:$T$840,"Válida",Ordenes!$F$2:$F$840,"*")/SUMIFS(Ordenes!$Q$2:$Q$840,Ordenes!$C$2:$C$840,$B94,Ordenes!$T$2:$T$840,"Válida",Ordenes!$F$2:$F$840,"*"),"")</f>
        <v/>
      </c>
      <c r="M94" s="20">
        <f>IFERROR(SUMIFS(Ordenes!$V$2:$V$840,Ordenes!$C$2:$C$840,$B94,Ordenes!$T$2:$T$840,"Válida")/SUMIFS(Ordenes!$Q$2:$Q$840,Ordenes!$C$2:$C$840,$B94,Ordenes!$T$2:$T$840,"Válida"),"")</f>
        <v/>
      </c>
      <c r="N94" s="21">
        <f>IFERROR((L94-M94)*100,"")</f>
        <v/>
      </c>
      <c r="O94" s="19">
        <f>SUMIFS(Ordenes!$P$2:$P$840,Ordenes!$C$2:$C$840,$B94,Ordenes!$T$2:$T$840,"Válida")</f>
        <v/>
      </c>
      <c r="P94" s="19">
        <f>SUMIFS(Ordenes!$Q$2:$Q$840,Ordenes!$C$2:$C$840,$B94,Ordenes!$T$2:$T$840,"Válida")</f>
        <v/>
      </c>
      <c r="Q94" s="18">
        <f>COUNTIFS(Ordenes!$C$2:$C$840,$B94,Ordenes!$T$2:$T$840,"Válida")</f>
        <v/>
      </c>
    </row>
    <row r="95">
      <c r="A95" s="18" t="inlineStr">
        <is>
          <t>Mié 29 abr 2026</t>
        </is>
      </c>
      <c r="B95" s="22" t="n">
        <v>46141</v>
      </c>
      <c r="C95" s="18" t="inlineStr">
        <is>
          <t>S18</t>
        </is>
      </c>
      <c r="D95" s="20">
        <f>IFERROR(SUMIFS(Ordenes!$P$2:$P$840,Ordenes!$C$2:$C$840,$B95,Ordenes!$T$2:$T$840,"Válida",Ordenes!$F$2:$F$840,"B Hormigón")/SUMIFS(Ordenes!$Q$2:$Q$840,Ordenes!$C$2:$C$840,$B95,Ordenes!$T$2:$T$840,"Válida",Ordenes!$F$2:$F$840,"B Hormigón"),"")</f>
        <v/>
      </c>
      <c r="E95" s="20">
        <f>IFERROR(SUMIFS(Ordenes!$P$2:$P$840,Ordenes!$C$2:$C$840,$B95,Ordenes!$T$2:$T$840,"Válida",Ordenes!$F$2:$F$840,"Redondo liso")/SUMIFS(Ordenes!$Q$2:$Q$840,Ordenes!$C$2:$C$840,$B95,Ordenes!$T$2:$T$840,"Válida",Ordenes!$F$2:$F$840,"Redondo liso"),"")</f>
        <v/>
      </c>
      <c r="F95" s="20">
        <f>IFERROR(SUMIFS(Ordenes!$P$2:$P$840,Ordenes!$C$2:$C$840,$B95,Ordenes!$T$2:$T$840,"Válida",Ordenes!$F$2:$F$840,"Plana")/SUMIFS(Ordenes!$Q$2:$Q$840,Ordenes!$C$2:$C$840,$B95,Ordenes!$T$2:$T$840,"Válida",Ordenes!$F$2:$F$840,"Plana"),"")</f>
        <v/>
      </c>
      <c r="G95" s="20">
        <f>IFERROR(SUMIFS(Ordenes!$P$2:$P$840,Ordenes!$C$2:$C$840,$B95,Ordenes!$T$2:$T$840,"Válida",Ordenes!$F$2:$F$840,"Ángulo")/SUMIFS(Ordenes!$Q$2:$Q$840,Ordenes!$C$2:$C$840,$B95,Ordenes!$T$2:$T$840,"Válida",Ordenes!$F$2:$F$840,"Ángulo"),"")</f>
        <v/>
      </c>
      <c r="H95" s="20">
        <f>IFERROR(SUMIFS(Ordenes!$P$2:$P$840,Ordenes!$C$2:$C$840,$B95,Ordenes!$T$2:$T$840,"Válida",Ordenes!$F$2:$F$840,"Cuadrado")/SUMIFS(Ordenes!$Q$2:$Q$840,Ordenes!$C$2:$C$840,$B95,Ordenes!$T$2:$T$840,"Válida",Ordenes!$F$2:$F$840,"Cuadrado"),"")</f>
        <v/>
      </c>
      <c r="I95" s="20">
        <f>IFERROR(SUMIFS(Ordenes!$P$2:$P$840,Ordenes!$C$2:$C$840,$B95,Ordenes!$T$2:$T$840,"Válida",Ordenes!$F$2:$F$840,"Estrella")/SUMIFS(Ordenes!$Q$2:$Q$840,Ordenes!$C$2:$C$840,$B95,Ordenes!$T$2:$T$840,"Válida",Ordenes!$F$2:$F$840,"Estrella"),"")</f>
        <v/>
      </c>
      <c r="J95" s="20">
        <f>IFERROR(SUMIFS(Ordenes!$P$2:$P$840,Ordenes!$C$2:$C$840,$B95,Ordenes!$T$2:$T$840,"Válida",Ordenes!$F$2:$F$840,"Saferock")/SUMIFS(Ordenes!$Q$2:$Q$840,Ordenes!$C$2:$C$840,$B95,Ordenes!$T$2:$T$840,"Válida",Ordenes!$F$2:$F$840,"Saferock"),"")</f>
        <v/>
      </c>
      <c r="K95" s="20">
        <f>IFERROR(SUMIFS(Ordenes!$P$2:$P$840,Ordenes!$C$2:$C$840,$B95,Ordenes!$T$2:$T$840,"Válida",Ordenes!$F$2:$F$840,"Hexágono")/SUMIFS(Ordenes!$Q$2:$Q$840,Ordenes!$C$2:$C$840,$B95,Ordenes!$T$2:$T$840,"Válida",Ordenes!$F$2:$F$840,"Hexágono"),"")</f>
        <v/>
      </c>
      <c r="L95" s="24">
        <f>IFERROR(SUMIFS(Ordenes!$P$2:$P$840,Ordenes!$C$2:$C$840,$B95,Ordenes!$T$2:$T$840,"Válida",Ordenes!$F$2:$F$840,"*")/SUMIFS(Ordenes!$Q$2:$Q$840,Ordenes!$C$2:$C$840,$B95,Ordenes!$T$2:$T$840,"Válida",Ordenes!$F$2:$F$840,"*"),"")</f>
        <v/>
      </c>
      <c r="M95" s="20">
        <f>IFERROR(SUMIFS(Ordenes!$V$2:$V$840,Ordenes!$C$2:$C$840,$B95,Ordenes!$T$2:$T$840,"Válida")/SUMIFS(Ordenes!$Q$2:$Q$840,Ordenes!$C$2:$C$840,$B95,Ordenes!$T$2:$T$840,"Válida"),"")</f>
        <v/>
      </c>
      <c r="N95" s="21">
        <f>IFERROR((L95-M95)*100,"")</f>
        <v/>
      </c>
      <c r="O95" s="19">
        <f>SUMIFS(Ordenes!$P$2:$P$840,Ordenes!$C$2:$C$840,$B95,Ordenes!$T$2:$T$840,"Válida")</f>
        <v/>
      </c>
      <c r="P95" s="19">
        <f>SUMIFS(Ordenes!$Q$2:$Q$840,Ordenes!$C$2:$C$840,$B95,Ordenes!$T$2:$T$840,"Válida")</f>
        <v/>
      </c>
      <c r="Q95" s="18">
        <f>COUNTIFS(Ordenes!$C$2:$C$840,$B95,Ordenes!$T$2:$T$840,"Válida")</f>
        <v/>
      </c>
    </row>
    <row r="96">
      <c r="A96" s="18" t="inlineStr">
        <is>
          <t>Jue 30 abr 2026</t>
        </is>
      </c>
      <c r="B96" s="22" t="n">
        <v>46142</v>
      </c>
      <c r="C96" s="18" t="inlineStr">
        <is>
          <t>S18</t>
        </is>
      </c>
      <c r="D96" s="20">
        <f>IFERROR(SUMIFS(Ordenes!$P$2:$P$840,Ordenes!$C$2:$C$840,$B96,Ordenes!$T$2:$T$840,"Válida",Ordenes!$F$2:$F$840,"B Hormigón")/SUMIFS(Ordenes!$Q$2:$Q$840,Ordenes!$C$2:$C$840,$B96,Ordenes!$T$2:$T$840,"Válida",Ordenes!$F$2:$F$840,"B Hormigón"),"")</f>
        <v/>
      </c>
      <c r="E96" s="20">
        <f>IFERROR(SUMIFS(Ordenes!$P$2:$P$840,Ordenes!$C$2:$C$840,$B96,Ordenes!$T$2:$T$840,"Válida",Ordenes!$F$2:$F$840,"Redondo liso")/SUMIFS(Ordenes!$Q$2:$Q$840,Ordenes!$C$2:$C$840,$B96,Ordenes!$T$2:$T$840,"Válida",Ordenes!$F$2:$F$840,"Redondo liso"),"")</f>
        <v/>
      </c>
      <c r="F96" s="20">
        <f>IFERROR(SUMIFS(Ordenes!$P$2:$P$840,Ordenes!$C$2:$C$840,$B96,Ordenes!$T$2:$T$840,"Válida",Ordenes!$F$2:$F$840,"Plana")/SUMIFS(Ordenes!$Q$2:$Q$840,Ordenes!$C$2:$C$840,$B96,Ordenes!$T$2:$T$840,"Válida",Ordenes!$F$2:$F$840,"Plana"),"")</f>
        <v/>
      </c>
      <c r="G96" s="20">
        <f>IFERROR(SUMIFS(Ordenes!$P$2:$P$840,Ordenes!$C$2:$C$840,$B96,Ordenes!$T$2:$T$840,"Válida",Ordenes!$F$2:$F$840,"Ángulo")/SUMIFS(Ordenes!$Q$2:$Q$840,Ordenes!$C$2:$C$840,$B96,Ordenes!$T$2:$T$840,"Válida",Ordenes!$F$2:$F$840,"Ángulo"),"")</f>
        <v/>
      </c>
      <c r="H96" s="20">
        <f>IFERROR(SUMIFS(Ordenes!$P$2:$P$840,Ordenes!$C$2:$C$840,$B96,Ordenes!$T$2:$T$840,"Válida",Ordenes!$F$2:$F$840,"Cuadrado")/SUMIFS(Ordenes!$Q$2:$Q$840,Ordenes!$C$2:$C$840,$B96,Ordenes!$T$2:$T$840,"Válida",Ordenes!$F$2:$F$840,"Cuadrado"),"")</f>
        <v/>
      </c>
      <c r="I96" s="20">
        <f>IFERROR(SUMIFS(Ordenes!$P$2:$P$840,Ordenes!$C$2:$C$840,$B96,Ordenes!$T$2:$T$840,"Válida",Ordenes!$F$2:$F$840,"Estrella")/SUMIFS(Ordenes!$Q$2:$Q$840,Ordenes!$C$2:$C$840,$B96,Ordenes!$T$2:$T$840,"Válida",Ordenes!$F$2:$F$840,"Estrella"),"")</f>
        <v/>
      </c>
      <c r="J96" s="20">
        <f>IFERROR(SUMIFS(Ordenes!$P$2:$P$840,Ordenes!$C$2:$C$840,$B96,Ordenes!$T$2:$T$840,"Válida",Ordenes!$F$2:$F$840,"Saferock")/SUMIFS(Ordenes!$Q$2:$Q$840,Ordenes!$C$2:$C$840,$B96,Ordenes!$T$2:$T$840,"Válida",Ordenes!$F$2:$F$840,"Saferock"),"")</f>
        <v/>
      </c>
      <c r="K96" s="20">
        <f>IFERROR(SUMIFS(Ordenes!$P$2:$P$840,Ordenes!$C$2:$C$840,$B96,Ordenes!$T$2:$T$840,"Válida",Ordenes!$F$2:$F$840,"Hexágono")/SUMIFS(Ordenes!$Q$2:$Q$840,Ordenes!$C$2:$C$840,$B96,Ordenes!$T$2:$T$840,"Válida",Ordenes!$F$2:$F$840,"Hexágono"),"")</f>
        <v/>
      </c>
      <c r="L96" s="24">
        <f>IFERROR(SUMIFS(Ordenes!$P$2:$P$840,Ordenes!$C$2:$C$840,$B96,Ordenes!$T$2:$T$840,"Válida",Ordenes!$F$2:$F$840,"*")/SUMIFS(Ordenes!$Q$2:$Q$840,Ordenes!$C$2:$C$840,$B96,Ordenes!$T$2:$T$840,"Válida",Ordenes!$F$2:$F$840,"*"),"")</f>
        <v/>
      </c>
      <c r="M96" s="20">
        <f>IFERROR(SUMIFS(Ordenes!$V$2:$V$840,Ordenes!$C$2:$C$840,$B96,Ordenes!$T$2:$T$840,"Válida")/SUMIFS(Ordenes!$Q$2:$Q$840,Ordenes!$C$2:$C$840,$B96,Ordenes!$T$2:$T$840,"Válida"),"")</f>
        <v/>
      </c>
      <c r="N96" s="21">
        <f>IFERROR((L96-M96)*100,"")</f>
        <v/>
      </c>
      <c r="O96" s="19">
        <f>SUMIFS(Ordenes!$P$2:$P$840,Ordenes!$C$2:$C$840,$B96,Ordenes!$T$2:$T$840,"Válida")</f>
        <v/>
      </c>
      <c r="P96" s="19">
        <f>SUMIFS(Ordenes!$Q$2:$Q$840,Ordenes!$C$2:$C$840,$B96,Ordenes!$T$2:$T$840,"Válida")</f>
        <v/>
      </c>
      <c r="Q96" s="18">
        <f>COUNTIFS(Ordenes!$C$2:$C$840,$B96,Ordenes!$T$2:$T$840,"Válida")</f>
        <v/>
      </c>
    </row>
    <row r="97">
      <c r="A97" s="18" t="inlineStr">
        <is>
          <t>Sáb 2 may 2026</t>
        </is>
      </c>
      <c r="B97" s="22" t="n">
        <v>46144</v>
      </c>
      <c r="C97" s="18" t="inlineStr">
        <is>
          <t>S18</t>
        </is>
      </c>
      <c r="D97" s="20">
        <f>IFERROR(SUMIFS(Ordenes!$P$2:$P$840,Ordenes!$C$2:$C$840,$B97,Ordenes!$T$2:$T$840,"Válida",Ordenes!$F$2:$F$840,"B Hormigón")/SUMIFS(Ordenes!$Q$2:$Q$840,Ordenes!$C$2:$C$840,$B97,Ordenes!$T$2:$T$840,"Válida",Ordenes!$F$2:$F$840,"B Hormigón"),"")</f>
        <v/>
      </c>
      <c r="E97" s="20">
        <f>IFERROR(SUMIFS(Ordenes!$P$2:$P$840,Ordenes!$C$2:$C$840,$B97,Ordenes!$T$2:$T$840,"Válida",Ordenes!$F$2:$F$840,"Redondo liso")/SUMIFS(Ordenes!$Q$2:$Q$840,Ordenes!$C$2:$C$840,$B97,Ordenes!$T$2:$T$840,"Válida",Ordenes!$F$2:$F$840,"Redondo liso"),"")</f>
        <v/>
      </c>
      <c r="F97" s="20">
        <f>IFERROR(SUMIFS(Ordenes!$P$2:$P$840,Ordenes!$C$2:$C$840,$B97,Ordenes!$T$2:$T$840,"Válida",Ordenes!$F$2:$F$840,"Plana")/SUMIFS(Ordenes!$Q$2:$Q$840,Ordenes!$C$2:$C$840,$B97,Ordenes!$T$2:$T$840,"Válida",Ordenes!$F$2:$F$840,"Plana"),"")</f>
        <v/>
      </c>
      <c r="G97" s="20">
        <f>IFERROR(SUMIFS(Ordenes!$P$2:$P$840,Ordenes!$C$2:$C$840,$B97,Ordenes!$T$2:$T$840,"Válida",Ordenes!$F$2:$F$840,"Ángulo")/SUMIFS(Ordenes!$Q$2:$Q$840,Ordenes!$C$2:$C$840,$B97,Ordenes!$T$2:$T$840,"Válida",Ordenes!$F$2:$F$840,"Ángulo"),"")</f>
        <v/>
      </c>
      <c r="H97" s="20">
        <f>IFERROR(SUMIFS(Ordenes!$P$2:$P$840,Ordenes!$C$2:$C$840,$B97,Ordenes!$T$2:$T$840,"Válida",Ordenes!$F$2:$F$840,"Cuadrado")/SUMIFS(Ordenes!$Q$2:$Q$840,Ordenes!$C$2:$C$840,$B97,Ordenes!$T$2:$T$840,"Válida",Ordenes!$F$2:$F$840,"Cuadrado"),"")</f>
        <v/>
      </c>
      <c r="I97" s="20">
        <f>IFERROR(SUMIFS(Ordenes!$P$2:$P$840,Ordenes!$C$2:$C$840,$B97,Ordenes!$T$2:$T$840,"Válida",Ordenes!$F$2:$F$840,"Estrella")/SUMIFS(Ordenes!$Q$2:$Q$840,Ordenes!$C$2:$C$840,$B97,Ordenes!$T$2:$T$840,"Válida",Ordenes!$F$2:$F$840,"Estrella"),"")</f>
        <v/>
      </c>
      <c r="J97" s="20">
        <f>IFERROR(SUMIFS(Ordenes!$P$2:$P$840,Ordenes!$C$2:$C$840,$B97,Ordenes!$T$2:$T$840,"Válida",Ordenes!$F$2:$F$840,"Saferock")/SUMIFS(Ordenes!$Q$2:$Q$840,Ordenes!$C$2:$C$840,$B97,Ordenes!$T$2:$T$840,"Válida",Ordenes!$F$2:$F$840,"Saferock"),"")</f>
        <v/>
      </c>
      <c r="K97" s="20">
        <f>IFERROR(SUMIFS(Ordenes!$P$2:$P$840,Ordenes!$C$2:$C$840,$B97,Ordenes!$T$2:$T$840,"Válida",Ordenes!$F$2:$F$840,"Hexágono")/SUMIFS(Ordenes!$Q$2:$Q$840,Ordenes!$C$2:$C$840,$B97,Ordenes!$T$2:$T$840,"Válida",Ordenes!$F$2:$F$840,"Hexágono"),"")</f>
        <v/>
      </c>
      <c r="L97" s="24">
        <f>IFERROR(SUMIFS(Ordenes!$P$2:$P$840,Ordenes!$C$2:$C$840,$B97,Ordenes!$T$2:$T$840,"Válida",Ordenes!$F$2:$F$840,"*")/SUMIFS(Ordenes!$Q$2:$Q$840,Ordenes!$C$2:$C$840,$B97,Ordenes!$T$2:$T$840,"Válida",Ordenes!$F$2:$F$840,"*"),"")</f>
        <v/>
      </c>
      <c r="M97" s="20">
        <f>IFERROR(SUMIFS(Ordenes!$V$2:$V$840,Ordenes!$C$2:$C$840,$B97,Ordenes!$T$2:$T$840,"Válida")/SUMIFS(Ordenes!$Q$2:$Q$840,Ordenes!$C$2:$C$840,$B97,Ordenes!$T$2:$T$840,"Válida"),"")</f>
        <v/>
      </c>
      <c r="N97" s="21">
        <f>IFERROR((L97-M97)*100,"")</f>
        <v/>
      </c>
      <c r="O97" s="19">
        <f>SUMIFS(Ordenes!$P$2:$P$840,Ordenes!$C$2:$C$840,$B97,Ordenes!$T$2:$T$840,"Válida")</f>
        <v/>
      </c>
      <c r="P97" s="19">
        <f>SUMIFS(Ordenes!$Q$2:$Q$840,Ordenes!$C$2:$C$840,$B97,Ordenes!$T$2:$T$840,"Válida")</f>
        <v/>
      </c>
      <c r="Q97" s="18">
        <f>COUNTIFS(Ordenes!$C$2:$C$840,$B97,Ordenes!$T$2:$T$840,"Válida")</f>
        <v/>
      </c>
    </row>
    <row r="98">
      <c r="A98" s="18" t="inlineStr">
        <is>
          <t>Lun 4 may 2026</t>
        </is>
      </c>
      <c r="B98" s="22" t="n">
        <v>46146</v>
      </c>
      <c r="C98" s="18" t="inlineStr">
        <is>
          <t>S19</t>
        </is>
      </c>
      <c r="D98" s="20">
        <f>IFERROR(SUMIFS(Ordenes!$P$2:$P$840,Ordenes!$C$2:$C$840,$B98,Ordenes!$T$2:$T$840,"Válida",Ordenes!$F$2:$F$840,"B Hormigón")/SUMIFS(Ordenes!$Q$2:$Q$840,Ordenes!$C$2:$C$840,$B98,Ordenes!$T$2:$T$840,"Válida",Ordenes!$F$2:$F$840,"B Hormigón"),"")</f>
        <v/>
      </c>
      <c r="E98" s="20">
        <f>IFERROR(SUMIFS(Ordenes!$P$2:$P$840,Ordenes!$C$2:$C$840,$B98,Ordenes!$T$2:$T$840,"Válida",Ordenes!$F$2:$F$840,"Redondo liso")/SUMIFS(Ordenes!$Q$2:$Q$840,Ordenes!$C$2:$C$840,$B98,Ordenes!$T$2:$T$840,"Válida",Ordenes!$F$2:$F$840,"Redondo liso"),"")</f>
        <v/>
      </c>
      <c r="F98" s="20">
        <f>IFERROR(SUMIFS(Ordenes!$P$2:$P$840,Ordenes!$C$2:$C$840,$B98,Ordenes!$T$2:$T$840,"Válida",Ordenes!$F$2:$F$840,"Plana")/SUMIFS(Ordenes!$Q$2:$Q$840,Ordenes!$C$2:$C$840,$B98,Ordenes!$T$2:$T$840,"Válida",Ordenes!$F$2:$F$840,"Plana"),"")</f>
        <v/>
      </c>
      <c r="G98" s="20">
        <f>IFERROR(SUMIFS(Ordenes!$P$2:$P$840,Ordenes!$C$2:$C$840,$B98,Ordenes!$T$2:$T$840,"Válida",Ordenes!$F$2:$F$840,"Ángulo")/SUMIFS(Ordenes!$Q$2:$Q$840,Ordenes!$C$2:$C$840,$B98,Ordenes!$T$2:$T$840,"Válida",Ordenes!$F$2:$F$840,"Ángulo"),"")</f>
        <v/>
      </c>
      <c r="H98" s="20">
        <f>IFERROR(SUMIFS(Ordenes!$P$2:$P$840,Ordenes!$C$2:$C$840,$B98,Ordenes!$T$2:$T$840,"Válida",Ordenes!$F$2:$F$840,"Cuadrado")/SUMIFS(Ordenes!$Q$2:$Q$840,Ordenes!$C$2:$C$840,$B98,Ordenes!$T$2:$T$840,"Válida",Ordenes!$F$2:$F$840,"Cuadrado"),"")</f>
        <v/>
      </c>
      <c r="I98" s="20">
        <f>IFERROR(SUMIFS(Ordenes!$P$2:$P$840,Ordenes!$C$2:$C$840,$B98,Ordenes!$T$2:$T$840,"Válida",Ordenes!$F$2:$F$840,"Estrella")/SUMIFS(Ordenes!$Q$2:$Q$840,Ordenes!$C$2:$C$840,$B98,Ordenes!$T$2:$T$840,"Válida",Ordenes!$F$2:$F$840,"Estrella"),"")</f>
        <v/>
      </c>
      <c r="J98" s="20">
        <f>IFERROR(SUMIFS(Ordenes!$P$2:$P$840,Ordenes!$C$2:$C$840,$B98,Ordenes!$T$2:$T$840,"Válida",Ordenes!$F$2:$F$840,"Saferock")/SUMIFS(Ordenes!$Q$2:$Q$840,Ordenes!$C$2:$C$840,$B98,Ordenes!$T$2:$T$840,"Válida",Ordenes!$F$2:$F$840,"Saferock"),"")</f>
        <v/>
      </c>
      <c r="K98" s="20">
        <f>IFERROR(SUMIFS(Ordenes!$P$2:$P$840,Ordenes!$C$2:$C$840,$B98,Ordenes!$T$2:$T$840,"Válida",Ordenes!$F$2:$F$840,"Hexágono")/SUMIFS(Ordenes!$Q$2:$Q$840,Ordenes!$C$2:$C$840,$B98,Ordenes!$T$2:$T$840,"Válida",Ordenes!$F$2:$F$840,"Hexágono"),"")</f>
        <v/>
      </c>
      <c r="L98" s="24">
        <f>IFERROR(SUMIFS(Ordenes!$P$2:$P$840,Ordenes!$C$2:$C$840,$B98,Ordenes!$T$2:$T$840,"Válida",Ordenes!$F$2:$F$840,"*")/SUMIFS(Ordenes!$Q$2:$Q$840,Ordenes!$C$2:$C$840,$B98,Ordenes!$T$2:$T$840,"Válida",Ordenes!$F$2:$F$840,"*"),"")</f>
        <v/>
      </c>
      <c r="M98" s="20">
        <f>IFERROR(SUMIFS(Ordenes!$V$2:$V$840,Ordenes!$C$2:$C$840,$B98,Ordenes!$T$2:$T$840,"Válida")/SUMIFS(Ordenes!$Q$2:$Q$840,Ordenes!$C$2:$C$840,$B98,Ordenes!$T$2:$T$840,"Válida"),"")</f>
        <v/>
      </c>
      <c r="N98" s="21">
        <f>IFERROR((L98-M98)*100,"")</f>
        <v/>
      </c>
      <c r="O98" s="19">
        <f>SUMIFS(Ordenes!$P$2:$P$840,Ordenes!$C$2:$C$840,$B98,Ordenes!$T$2:$T$840,"Válida")</f>
        <v/>
      </c>
      <c r="P98" s="19">
        <f>SUMIFS(Ordenes!$Q$2:$Q$840,Ordenes!$C$2:$C$840,$B98,Ordenes!$T$2:$T$840,"Válida")</f>
        <v/>
      </c>
      <c r="Q98" s="18">
        <f>COUNTIFS(Ordenes!$C$2:$C$840,$B98,Ordenes!$T$2:$T$840,"Válida")</f>
        <v/>
      </c>
    </row>
    <row r="99">
      <c r="A99" s="18" t="inlineStr">
        <is>
          <t>Mar 5 may 2026</t>
        </is>
      </c>
      <c r="B99" s="22" t="n">
        <v>46147</v>
      </c>
      <c r="C99" s="18" t="inlineStr">
        <is>
          <t>S19</t>
        </is>
      </c>
      <c r="D99" s="20">
        <f>IFERROR(SUMIFS(Ordenes!$P$2:$P$840,Ordenes!$C$2:$C$840,$B99,Ordenes!$T$2:$T$840,"Válida",Ordenes!$F$2:$F$840,"B Hormigón")/SUMIFS(Ordenes!$Q$2:$Q$840,Ordenes!$C$2:$C$840,$B99,Ordenes!$T$2:$T$840,"Válida",Ordenes!$F$2:$F$840,"B Hormigón"),"")</f>
        <v/>
      </c>
      <c r="E99" s="20">
        <f>IFERROR(SUMIFS(Ordenes!$P$2:$P$840,Ordenes!$C$2:$C$840,$B99,Ordenes!$T$2:$T$840,"Válida",Ordenes!$F$2:$F$840,"Redondo liso")/SUMIFS(Ordenes!$Q$2:$Q$840,Ordenes!$C$2:$C$840,$B99,Ordenes!$T$2:$T$840,"Válida",Ordenes!$F$2:$F$840,"Redondo liso"),"")</f>
        <v/>
      </c>
      <c r="F99" s="20">
        <f>IFERROR(SUMIFS(Ordenes!$P$2:$P$840,Ordenes!$C$2:$C$840,$B99,Ordenes!$T$2:$T$840,"Válida",Ordenes!$F$2:$F$840,"Plana")/SUMIFS(Ordenes!$Q$2:$Q$840,Ordenes!$C$2:$C$840,$B99,Ordenes!$T$2:$T$840,"Válida",Ordenes!$F$2:$F$840,"Plana"),"")</f>
        <v/>
      </c>
      <c r="G99" s="20">
        <f>IFERROR(SUMIFS(Ordenes!$P$2:$P$840,Ordenes!$C$2:$C$840,$B99,Ordenes!$T$2:$T$840,"Válida",Ordenes!$F$2:$F$840,"Ángulo")/SUMIFS(Ordenes!$Q$2:$Q$840,Ordenes!$C$2:$C$840,$B99,Ordenes!$T$2:$T$840,"Válida",Ordenes!$F$2:$F$840,"Ángulo"),"")</f>
        <v/>
      </c>
      <c r="H99" s="20">
        <f>IFERROR(SUMIFS(Ordenes!$P$2:$P$840,Ordenes!$C$2:$C$840,$B99,Ordenes!$T$2:$T$840,"Válida",Ordenes!$F$2:$F$840,"Cuadrado")/SUMIFS(Ordenes!$Q$2:$Q$840,Ordenes!$C$2:$C$840,$B99,Ordenes!$T$2:$T$840,"Válida",Ordenes!$F$2:$F$840,"Cuadrado"),"")</f>
        <v/>
      </c>
      <c r="I99" s="20">
        <f>IFERROR(SUMIFS(Ordenes!$P$2:$P$840,Ordenes!$C$2:$C$840,$B99,Ordenes!$T$2:$T$840,"Válida",Ordenes!$F$2:$F$840,"Estrella")/SUMIFS(Ordenes!$Q$2:$Q$840,Ordenes!$C$2:$C$840,$B99,Ordenes!$T$2:$T$840,"Válida",Ordenes!$F$2:$F$840,"Estrella"),"")</f>
        <v/>
      </c>
      <c r="J99" s="20">
        <f>IFERROR(SUMIFS(Ordenes!$P$2:$P$840,Ordenes!$C$2:$C$840,$B99,Ordenes!$T$2:$T$840,"Válida",Ordenes!$F$2:$F$840,"Saferock")/SUMIFS(Ordenes!$Q$2:$Q$840,Ordenes!$C$2:$C$840,$B99,Ordenes!$T$2:$T$840,"Válida",Ordenes!$F$2:$F$840,"Saferock"),"")</f>
        <v/>
      </c>
      <c r="K99" s="20">
        <f>IFERROR(SUMIFS(Ordenes!$P$2:$P$840,Ordenes!$C$2:$C$840,$B99,Ordenes!$T$2:$T$840,"Válida",Ordenes!$F$2:$F$840,"Hexágono")/SUMIFS(Ordenes!$Q$2:$Q$840,Ordenes!$C$2:$C$840,$B99,Ordenes!$T$2:$T$840,"Válida",Ordenes!$F$2:$F$840,"Hexágono"),"")</f>
        <v/>
      </c>
      <c r="L99" s="24">
        <f>IFERROR(SUMIFS(Ordenes!$P$2:$P$840,Ordenes!$C$2:$C$840,$B99,Ordenes!$T$2:$T$840,"Válida",Ordenes!$F$2:$F$840,"*")/SUMIFS(Ordenes!$Q$2:$Q$840,Ordenes!$C$2:$C$840,$B99,Ordenes!$T$2:$T$840,"Válida",Ordenes!$F$2:$F$840,"*"),"")</f>
        <v/>
      </c>
      <c r="M99" s="20">
        <f>IFERROR(SUMIFS(Ordenes!$V$2:$V$840,Ordenes!$C$2:$C$840,$B99,Ordenes!$T$2:$T$840,"Válida")/SUMIFS(Ordenes!$Q$2:$Q$840,Ordenes!$C$2:$C$840,$B99,Ordenes!$T$2:$T$840,"Válida"),"")</f>
        <v/>
      </c>
      <c r="N99" s="21">
        <f>IFERROR((L99-M99)*100,"")</f>
        <v/>
      </c>
      <c r="O99" s="19">
        <f>SUMIFS(Ordenes!$P$2:$P$840,Ordenes!$C$2:$C$840,$B99,Ordenes!$T$2:$T$840,"Válida")</f>
        <v/>
      </c>
      <c r="P99" s="19">
        <f>SUMIFS(Ordenes!$Q$2:$Q$840,Ordenes!$C$2:$C$840,$B99,Ordenes!$T$2:$T$840,"Válida")</f>
        <v/>
      </c>
      <c r="Q99" s="18">
        <f>COUNTIFS(Ordenes!$C$2:$C$840,$B99,Ordenes!$T$2:$T$840,"Válida")</f>
        <v/>
      </c>
    </row>
    <row r="100">
      <c r="A100" s="18" t="inlineStr">
        <is>
          <t>Mié 6 may 2026</t>
        </is>
      </c>
      <c r="B100" s="22" t="n">
        <v>46148</v>
      </c>
      <c r="C100" s="18" t="inlineStr">
        <is>
          <t>S19</t>
        </is>
      </c>
      <c r="D100" s="20">
        <f>IFERROR(SUMIFS(Ordenes!$P$2:$P$840,Ordenes!$C$2:$C$840,$B100,Ordenes!$T$2:$T$840,"Válida",Ordenes!$F$2:$F$840,"B Hormigón")/SUMIFS(Ordenes!$Q$2:$Q$840,Ordenes!$C$2:$C$840,$B100,Ordenes!$T$2:$T$840,"Válida",Ordenes!$F$2:$F$840,"B Hormigón"),"")</f>
        <v/>
      </c>
      <c r="E100" s="20">
        <f>IFERROR(SUMIFS(Ordenes!$P$2:$P$840,Ordenes!$C$2:$C$840,$B100,Ordenes!$T$2:$T$840,"Válida",Ordenes!$F$2:$F$840,"Redondo liso")/SUMIFS(Ordenes!$Q$2:$Q$840,Ordenes!$C$2:$C$840,$B100,Ordenes!$T$2:$T$840,"Válida",Ordenes!$F$2:$F$840,"Redondo liso"),"")</f>
        <v/>
      </c>
      <c r="F100" s="20">
        <f>IFERROR(SUMIFS(Ordenes!$P$2:$P$840,Ordenes!$C$2:$C$840,$B100,Ordenes!$T$2:$T$840,"Válida",Ordenes!$F$2:$F$840,"Plana")/SUMIFS(Ordenes!$Q$2:$Q$840,Ordenes!$C$2:$C$840,$B100,Ordenes!$T$2:$T$840,"Válida",Ordenes!$F$2:$F$840,"Plana"),"")</f>
        <v/>
      </c>
      <c r="G100" s="20">
        <f>IFERROR(SUMIFS(Ordenes!$P$2:$P$840,Ordenes!$C$2:$C$840,$B100,Ordenes!$T$2:$T$840,"Válida",Ordenes!$F$2:$F$840,"Ángulo")/SUMIFS(Ordenes!$Q$2:$Q$840,Ordenes!$C$2:$C$840,$B100,Ordenes!$T$2:$T$840,"Válida",Ordenes!$F$2:$F$840,"Ángulo"),"")</f>
        <v/>
      </c>
      <c r="H100" s="20">
        <f>IFERROR(SUMIFS(Ordenes!$P$2:$P$840,Ordenes!$C$2:$C$840,$B100,Ordenes!$T$2:$T$840,"Válida",Ordenes!$F$2:$F$840,"Cuadrado")/SUMIFS(Ordenes!$Q$2:$Q$840,Ordenes!$C$2:$C$840,$B100,Ordenes!$T$2:$T$840,"Válida",Ordenes!$F$2:$F$840,"Cuadrado"),"")</f>
        <v/>
      </c>
      <c r="I100" s="20">
        <f>IFERROR(SUMIFS(Ordenes!$P$2:$P$840,Ordenes!$C$2:$C$840,$B100,Ordenes!$T$2:$T$840,"Válida",Ordenes!$F$2:$F$840,"Estrella")/SUMIFS(Ordenes!$Q$2:$Q$840,Ordenes!$C$2:$C$840,$B100,Ordenes!$T$2:$T$840,"Válida",Ordenes!$F$2:$F$840,"Estrella"),"")</f>
        <v/>
      </c>
      <c r="J100" s="20">
        <f>IFERROR(SUMIFS(Ordenes!$P$2:$P$840,Ordenes!$C$2:$C$840,$B100,Ordenes!$T$2:$T$840,"Válida",Ordenes!$F$2:$F$840,"Saferock")/SUMIFS(Ordenes!$Q$2:$Q$840,Ordenes!$C$2:$C$840,$B100,Ordenes!$T$2:$T$840,"Válida",Ordenes!$F$2:$F$840,"Saferock"),"")</f>
        <v/>
      </c>
      <c r="K100" s="20">
        <f>IFERROR(SUMIFS(Ordenes!$P$2:$P$840,Ordenes!$C$2:$C$840,$B100,Ordenes!$T$2:$T$840,"Válida",Ordenes!$F$2:$F$840,"Hexágono")/SUMIFS(Ordenes!$Q$2:$Q$840,Ordenes!$C$2:$C$840,$B100,Ordenes!$T$2:$T$840,"Válida",Ordenes!$F$2:$F$840,"Hexágono"),"")</f>
        <v/>
      </c>
      <c r="L100" s="24">
        <f>IFERROR(SUMIFS(Ordenes!$P$2:$P$840,Ordenes!$C$2:$C$840,$B100,Ordenes!$T$2:$T$840,"Válida",Ordenes!$F$2:$F$840,"*")/SUMIFS(Ordenes!$Q$2:$Q$840,Ordenes!$C$2:$C$840,$B100,Ordenes!$T$2:$T$840,"Válida",Ordenes!$F$2:$F$840,"*"),"")</f>
        <v/>
      </c>
      <c r="M100" s="20">
        <f>IFERROR(SUMIFS(Ordenes!$V$2:$V$840,Ordenes!$C$2:$C$840,$B100,Ordenes!$T$2:$T$840,"Válida")/SUMIFS(Ordenes!$Q$2:$Q$840,Ordenes!$C$2:$C$840,$B100,Ordenes!$T$2:$T$840,"Válida"),"")</f>
        <v/>
      </c>
      <c r="N100" s="21">
        <f>IFERROR((L100-M100)*100,"")</f>
        <v/>
      </c>
      <c r="O100" s="19">
        <f>SUMIFS(Ordenes!$P$2:$P$840,Ordenes!$C$2:$C$840,$B100,Ordenes!$T$2:$T$840,"Válida")</f>
        <v/>
      </c>
      <c r="P100" s="19">
        <f>SUMIFS(Ordenes!$Q$2:$Q$840,Ordenes!$C$2:$C$840,$B100,Ordenes!$T$2:$T$840,"Válida")</f>
        <v/>
      </c>
      <c r="Q100" s="18">
        <f>COUNTIFS(Ordenes!$C$2:$C$840,$B100,Ordenes!$T$2:$T$840,"Válida")</f>
        <v/>
      </c>
    </row>
    <row r="101">
      <c r="A101" s="18" t="inlineStr">
        <is>
          <t>Jue 7 may 2026</t>
        </is>
      </c>
      <c r="B101" s="22" t="n">
        <v>46149</v>
      </c>
      <c r="C101" s="18" t="inlineStr">
        <is>
          <t>S19</t>
        </is>
      </c>
      <c r="D101" s="20">
        <f>IFERROR(SUMIFS(Ordenes!$P$2:$P$840,Ordenes!$C$2:$C$840,$B101,Ordenes!$T$2:$T$840,"Válida",Ordenes!$F$2:$F$840,"B Hormigón")/SUMIFS(Ordenes!$Q$2:$Q$840,Ordenes!$C$2:$C$840,$B101,Ordenes!$T$2:$T$840,"Válida",Ordenes!$F$2:$F$840,"B Hormigón"),"")</f>
        <v/>
      </c>
      <c r="E101" s="20">
        <f>IFERROR(SUMIFS(Ordenes!$P$2:$P$840,Ordenes!$C$2:$C$840,$B101,Ordenes!$T$2:$T$840,"Válida",Ordenes!$F$2:$F$840,"Redondo liso")/SUMIFS(Ordenes!$Q$2:$Q$840,Ordenes!$C$2:$C$840,$B101,Ordenes!$T$2:$T$840,"Válida",Ordenes!$F$2:$F$840,"Redondo liso"),"")</f>
        <v/>
      </c>
      <c r="F101" s="20">
        <f>IFERROR(SUMIFS(Ordenes!$P$2:$P$840,Ordenes!$C$2:$C$840,$B101,Ordenes!$T$2:$T$840,"Válida",Ordenes!$F$2:$F$840,"Plana")/SUMIFS(Ordenes!$Q$2:$Q$840,Ordenes!$C$2:$C$840,$B101,Ordenes!$T$2:$T$840,"Válida",Ordenes!$F$2:$F$840,"Plana"),"")</f>
        <v/>
      </c>
      <c r="G101" s="20">
        <f>IFERROR(SUMIFS(Ordenes!$P$2:$P$840,Ordenes!$C$2:$C$840,$B101,Ordenes!$T$2:$T$840,"Válida",Ordenes!$F$2:$F$840,"Ángulo")/SUMIFS(Ordenes!$Q$2:$Q$840,Ordenes!$C$2:$C$840,$B101,Ordenes!$T$2:$T$840,"Válida",Ordenes!$F$2:$F$840,"Ángulo"),"")</f>
        <v/>
      </c>
      <c r="H101" s="20">
        <f>IFERROR(SUMIFS(Ordenes!$P$2:$P$840,Ordenes!$C$2:$C$840,$B101,Ordenes!$T$2:$T$840,"Válida",Ordenes!$F$2:$F$840,"Cuadrado")/SUMIFS(Ordenes!$Q$2:$Q$840,Ordenes!$C$2:$C$840,$B101,Ordenes!$T$2:$T$840,"Válida",Ordenes!$F$2:$F$840,"Cuadrado"),"")</f>
        <v/>
      </c>
      <c r="I101" s="20">
        <f>IFERROR(SUMIFS(Ordenes!$P$2:$P$840,Ordenes!$C$2:$C$840,$B101,Ordenes!$T$2:$T$840,"Válida",Ordenes!$F$2:$F$840,"Estrella")/SUMIFS(Ordenes!$Q$2:$Q$840,Ordenes!$C$2:$C$840,$B101,Ordenes!$T$2:$T$840,"Válida",Ordenes!$F$2:$F$840,"Estrella"),"")</f>
        <v/>
      </c>
      <c r="J101" s="20">
        <f>IFERROR(SUMIFS(Ordenes!$P$2:$P$840,Ordenes!$C$2:$C$840,$B101,Ordenes!$T$2:$T$840,"Válida",Ordenes!$F$2:$F$840,"Saferock")/SUMIFS(Ordenes!$Q$2:$Q$840,Ordenes!$C$2:$C$840,$B101,Ordenes!$T$2:$T$840,"Válida",Ordenes!$F$2:$F$840,"Saferock"),"")</f>
        <v/>
      </c>
      <c r="K101" s="20">
        <f>IFERROR(SUMIFS(Ordenes!$P$2:$P$840,Ordenes!$C$2:$C$840,$B101,Ordenes!$T$2:$T$840,"Válida",Ordenes!$F$2:$F$840,"Hexágono")/SUMIFS(Ordenes!$Q$2:$Q$840,Ordenes!$C$2:$C$840,$B101,Ordenes!$T$2:$T$840,"Válida",Ordenes!$F$2:$F$840,"Hexágono"),"")</f>
        <v/>
      </c>
      <c r="L101" s="24">
        <f>IFERROR(SUMIFS(Ordenes!$P$2:$P$840,Ordenes!$C$2:$C$840,$B101,Ordenes!$T$2:$T$840,"Válida",Ordenes!$F$2:$F$840,"*")/SUMIFS(Ordenes!$Q$2:$Q$840,Ordenes!$C$2:$C$840,$B101,Ordenes!$T$2:$T$840,"Válida",Ordenes!$F$2:$F$840,"*"),"")</f>
        <v/>
      </c>
      <c r="M101" s="20">
        <f>IFERROR(SUMIFS(Ordenes!$V$2:$V$840,Ordenes!$C$2:$C$840,$B101,Ordenes!$T$2:$T$840,"Válida")/SUMIFS(Ordenes!$Q$2:$Q$840,Ordenes!$C$2:$C$840,$B101,Ordenes!$T$2:$T$840,"Válida"),"")</f>
        <v/>
      </c>
      <c r="N101" s="21">
        <f>IFERROR((L101-M101)*100,"")</f>
        <v/>
      </c>
      <c r="O101" s="19">
        <f>SUMIFS(Ordenes!$P$2:$P$840,Ordenes!$C$2:$C$840,$B101,Ordenes!$T$2:$T$840,"Válida")</f>
        <v/>
      </c>
      <c r="P101" s="19">
        <f>SUMIFS(Ordenes!$Q$2:$Q$840,Ordenes!$C$2:$C$840,$B101,Ordenes!$T$2:$T$840,"Válida")</f>
        <v/>
      </c>
      <c r="Q101" s="18">
        <f>COUNTIFS(Ordenes!$C$2:$C$840,$B101,Ordenes!$T$2:$T$840,"Válida")</f>
        <v/>
      </c>
    </row>
    <row r="102">
      <c r="A102" s="18" t="inlineStr">
        <is>
          <t>Vie 8 may 2026</t>
        </is>
      </c>
      <c r="B102" s="22" t="n">
        <v>46150</v>
      </c>
      <c r="C102" s="18" t="inlineStr">
        <is>
          <t>S19</t>
        </is>
      </c>
      <c r="D102" s="20">
        <f>IFERROR(SUMIFS(Ordenes!$P$2:$P$840,Ordenes!$C$2:$C$840,$B102,Ordenes!$T$2:$T$840,"Válida",Ordenes!$F$2:$F$840,"B Hormigón")/SUMIFS(Ordenes!$Q$2:$Q$840,Ordenes!$C$2:$C$840,$B102,Ordenes!$T$2:$T$840,"Válida",Ordenes!$F$2:$F$840,"B Hormigón"),"")</f>
        <v/>
      </c>
      <c r="E102" s="20">
        <f>IFERROR(SUMIFS(Ordenes!$P$2:$P$840,Ordenes!$C$2:$C$840,$B102,Ordenes!$T$2:$T$840,"Válida",Ordenes!$F$2:$F$840,"Redondo liso")/SUMIFS(Ordenes!$Q$2:$Q$840,Ordenes!$C$2:$C$840,$B102,Ordenes!$T$2:$T$840,"Válida",Ordenes!$F$2:$F$840,"Redondo liso"),"")</f>
        <v/>
      </c>
      <c r="F102" s="20">
        <f>IFERROR(SUMIFS(Ordenes!$P$2:$P$840,Ordenes!$C$2:$C$840,$B102,Ordenes!$T$2:$T$840,"Válida",Ordenes!$F$2:$F$840,"Plana")/SUMIFS(Ordenes!$Q$2:$Q$840,Ordenes!$C$2:$C$840,$B102,Ordenes!$T$2:$T$840,"Válida",Ordenes!$F$2:$F$840,"Plana"),"")</f>
        <v/>
      </c>
      <c r="G102" s="20">
        <f>IFERROR(SUMIFS(Ordenes!$P$2:$P$840,Ordenes!$C$2:$C$840,$B102,Ordenes!$T$2:$T$840,"Válida",Ordenes!$F$2:$F$840,"Ángulo")/SUMIFS(Ordenes!$Q$2:$Q$840,Ordenes!$C$2:$C$840,$B102,Ordenes!$T$2:$T$840,"Válida",Ordenes!$F$2:$F$840,"Ángulo"),"")</f>
        <v/>
      </c>
      <c r="H102" s="20">
        <f>IFERROR(SUMIFS(Ordenes!$P$2:$P$840,Ordenes!$C$2:$C$840,$B102,Ordenes!$T$2:$T$840,"Válida",Ordenes!$F$2:$F$840,"Cuadrado")/SUMIFS(Ordenes!$Q$2:$Q$840,Ordenes!$C$2:$C$840,$B102,Ordenes!$T$2:$T$840,"Válida",Ordenes!$F$2:$F$840,"Cuadrado"),"")</f>
        <v/>
      </c>
      <c r="I102" s="20">
        <f>IFERROR(SUMIFS(Ordenes!$P$2:$P$840,Ordenes!$C$2:$C$840,$B102,Ordenes!$T$2:$T$840,"Válida",Ordenes!$F$2:$F$840,"Estrella")/SUMIFS(Ordenes!$Q$2:$Q$840,Ordenes!$C$2:$C$840,$B102,Ordenes!$T$2:$T$840,"Válida",Ordenes!$F$2:$F$840,"Estrella"),"")</f>
        <v/>
      </c>
      <c r="J102" s="20">
        <f>IFERROR(SUMIFS(Ordenes!$P$2:$P$840,Ordenes!$C$2:$C$840,$B102,Ordenes!$T$2:$T$840,"Válida",Ordenes!$F$2:$F$840,"Saferock")/SUMIFS(Ordenes!$Q$2:$Q$840,Ordenes!$C$2:$C$840,$B102,Ordenes!$T$2:$T$840,"Válida",Ordenes!$F$2:$F$840,"Saferock"),"")</f>
        <v/>
      </c>
      <c r="K102" s="20">
        <f>IFERROR(SUMIFS(Ordenes!$P$2:$P$840,Ordenes!$C$2:$C$840,$B102,Ordenes!$T$2:$T$840,"Válida",Ordenes!$F$2:$F$840,"Hexágono")/SUMIFS(Ordenes!$Q$2:$Q$840,Ordenes!$C$2:$C$840,$B102,Ordenes!$T$2:$T$840,"Válida",Ordenes!$F$2:$F$840,"Hexágono"),"")</f>
        <v/>
      </c>
      <c r="L102" s="24">
        <f>IFERROR(SUMIFS(Ordenes!$P$2:$P$840,Ordenes!$C$2:$C$840,$B102,Ordenes!$T$2:$T$840,"Válida",Ordenes!$F$2:$F$840,"*")/SUMIFS(Ordenes!$Q$2:$Q$840,Ordenes!$C$2:$C$840,$B102,Ordenes!$T$2:$T$840,"Válida",Ordenes!$F$2:$F$840,"*"),"")</f>
        <v/>
      </c>
      <c r="M102" s="20">
        <f>IFERROR(SUMIFS(Ordenes!$V$2:$V$840,Ordenes!$C$2:$C$840,$B102,Ordenes!$T$2:$T$840,"Válida")/SUMIFS(Ordenes!$Q$2:$Q$840,Ordenes!$C$2:$C$840,$B102,Ordenes!$T$2:$T$840,"Válida"),"")</f>
        <v/>
      </c>
      <c r="N102" s="21">
        <f>IFERROR((L102-M102)*100,"")</f>
        <v/>
      </c>
      <c r="O102" s="19">
        <f>SUMIFS(Ordenes!$P$2:$P$840,Ordenes!$C$2:$C$840,$B102,Ordenes!$T$2:$T$840,"Válida")</f>
        <v/>
      </c>
      <c r="P102" s="19">
        <f>SUMIFS(Ordenes!$Q$2:$Q$840,Ordenes!$C$2:$C$840,$B102,Ordenes!$T$2:$T$840,"Válida")</f>
        <v/>
      </c>
      <c r="Q102" s="18">
        <f>COUNTIFS(Ordenes!$C$2:$C$840,$B102,Ordenes!$T$2:$T$840,"Válida")</f>
        <v/>
      </c>
    </row>
    <row r="103">
      <c r="A103" s="18" t="inlineStr">
        <is>
          <t>Sáb 9 may 2026</t>
        </is>
      </c>
      <c r="B103" s="22" t="n">
        <v>46151</v>
      </c>
      <c r="C103" s="18" t="inlineStr">
        <is>
          <t>S19</t>
        </is>
      </c>
      <c r="D103" s="20">
        <f>IFERROR(SUMIFS(Ordenes!$P$2:$P$840,Ordenes!$C$2:$C$840,$B103,Ordenes!$T$2:$T$840,"Válida",Ordenes!$F$2:$F$840,"B Hormigón")/SUMIFS(Ordenes!$Q$2:$Q$840,Ordenes!$C$2:$C$840,$B103,Ordenes!$T$2:$T$840,"Válida",Ordenes!$F$2:$F$840,"B Hormigón"),"")</f>
        <v/>
      </c>
      <c r="E103" s="20">
        <f>IFERROR(SUMIFS(Ordenes!$P$2:$P$840,Ordenes!$C$2:$C$840,$B103,Ordenes!$T$2:$T$840,"Válida",Ordenes!$F$2:$F$840,"Redondo liso")/SUMIFS(Ordenes!$Q$2:$Q$840,Ordenes!$C$2:$C$840,$B103,Ordenes!$T$2:$T$840,"Válida",Ordenes!$F$2:$F$840,"Redondo liso"),"")</f>
        <v/>
      </c>
      <c r="F103" s="20">
        <f>IFERROR(SUMIFS(Ordenes!$P$2:$P$840,Ordenes!$C$2:$C$840,$B103,Ordenes!$T$2:$T$840,"Válida",Ordenes!$F$2:$F$840,"Plana")/SUMIFS(Ordenes!$Q$2:$Q$840,Ordenes!$C$2:$C$840,$B103,Ordenes!$T$2:$T$840,"Válida",Ordenes!$F$2:$F$840,"Plana"),"")</f>
        <v/>
      </c>
      <c r="G103" s="20">
        <f>IFERROR(SUMIFS(Ordenes!$P$2:$P$840,Ordenes!$C$2:$C$840,$B103,Ordenes!$T$2:$T$840,"Válida",Ordenes!$F$2:$F$840,"Ángulo")/SUMIFS(Ordenes!$Q$2:$Q$840,Ordenes!$C$2:$C$840,$B103,Ordenes!$T$2:$T$840,"Válida",Ordenes!$F$2:$F$840,"Ángulo"),"")</f>
        <v/>
      </c>
      <c r="H103" s="20">
        <f>IFERROR(SUMIFS(Ordenes!$P$2:$P$840,Ordenes!$C$2:$C$840,$B103,Ordenes!$T$2:$T$840,"Válida",Ordenes!$F$2:$F$840,"Cuadrado")/SUMIFS(Ordenes!$Q$2:$Q$840,Ordenes!$C$2:$C$840,$B103,Ordenes!$T$2:$T$840,"Válida",Ordenes!$F$2:$F$840,"Cuadrado"),"")</f>
        <v/>
      </c>
      <c r="I103" s="20">
        <f>IFERROR(SUMIFS(Ordenes!$P$2:$P$840,Ordenes!$C$2:$C$840,$B103,Ordenes!$T$2:$T$840,"Válida",Ordenes!$F$2:$F$840,"Estrella")/SUMIFS(Ordenes!$Q$2:$Q$840,Ordenes!$C$2:$C$840,$B103,Ordenes!$T$2:$T$840,"Válida",Ordenes!$F$2:$F$840,"Estrella"),"")</f>
        <v/>
      </c>
      <c r="J103" s="20">
        <f>IFERROR(SUMIFS(Ordenes!$P$2:$P$840,Ordenes!$C$2:$C$840,$B103,Ordenes!$T$2:$T$840,"Válida",Ordenes!$F$2:$F$840,"Saferock")/SUMIFS(Ordenes!$Q$2:$Q$840,Ordenes!$C$2:$C$840,$B103,Ordenes!$T$2:$T$840,"Válida",Ordenes!$F$2:$F$840,"Saferock"),"")</f>
        <v/>
      </c>
      <c r="K103" s="20">
        <f>IFERROR(SUMIFS(Ordenes!$P$2:$P$840,Ordenes!$C$2:$C$840,$B103,Ordenes!$T$2:$T$840,"Válida",Ordenes!$F$2:$F$840,"Hexágono")/SUMIFS(Ordenes!$Q$2:$Q$840,Ordenes!$C$2:$C$840,$B103,Ordenes!$T$2:$T$840,"Válida",Ordenes!$F$2:$F$840,"Hexágono"),"")</f>
        <v/>
      </c>
      <c r="L103" s="24">
        <f>IFERROR(SUMIFS(Ordenes!$P$2:$P$840,Ordenes!$C$2:$C$840,$B103,Ordenes!$T$2:$T$840,"Válida",Ordenes!$F$2:$F$840,"*")/SUMIFS(Ordenes!$Q$2:$Q$840,Ordenes!$C$2:$C$840,$B103,Ordenes!$T$2:$T$840,"Válida",Ordenes!$F$2:$F$840,"*"),"")</f>
        <v/>
      </c>
      <c r="M103" s="20">
        <f>IFERROR(SUMIFS(Ordenes!$V$2:$V$840,Ordenes!$C$2:$C$840,$B103,Ordenes!$T$2:$T$840,"Válida")/SUMIFS(Ordenes!$Q$2:$Q$840,Ordenes!$C$2:$C$840,$B103,Ordenes!$T$2:$T$840,"Válida"),"")</f>
        <v/>
      </c>
      <c r="N103" s="21">
        <f>IFERROR((L103-M103)*100,"")</f>
        <v/>
      </c>
      <c r="O103" s="19">
        <f>SUMIFS(Ordenes!$P$2:$P$840,Ordenes!$C$2:$C$840,$B103,Ordenes!$T$2:$T$840,"Válida")</f>
        <v/>
      </c>
      <c r="P103" s="19">
        <f>SUMIFS(Ordenes!$Q$2:$Q$840,Ordenes!$C$2:$C$840,$B103,Ordenes!$T$2:$T$840,"Válida")</f>
        <v/>
      </c>
      <c r="Q103" s="18">
        <f>COUNTIFS(Ordenes!$C$2:$C$840,$B103,Ordenes!$T$2:$T$840,"Válida")</f>
        <v/>
      </c>
    </row>
    <row r="104">
      <c r="A104" s="18" t="inlineStr">
        <is>
          <t>Dom 10 may 2026</t>
        </is>
      </c>
      <c r="B104" s="22" t="n">
        <v>46152</v>
      </c>
      <c r="C104" s="18" t="inlineStr">
        <is>
          <t>S19</t>
        </is>
      </c>
      <c r="D104" s="20">
        <f>IFERROR(SUMIFS(Ordenes!$P$2:$P$840,Ordenes!$C$2:$C$840,$B104,Ordenes!$T$2:$T$840,"Válida",Ordenes!$F$2:$F$840,"B Hormigón")/SUMIFS(Ordenes!$Q$2:$Q$840,Ordenes!$C$2:$C$840,$B104,Ordenes!$T$2:$T$840,"Válida",Ordenes!$F$2:$F$840,"B Hormigón"),"")</f>
        <v/>
      </c>
      <c r="E104" s="20">
        <f>IFERROR(SUMIFS(Ordenes!$P$2:$P$840,Ordenes!$C$2:$C$840,$B104,Ordenes!$T$2:$T$840,"Válida",Ordenes!$F$2:$F$840,"Redondo liso")/SUMIFS(Ordenes!$Q$2:$Q$840,Ordenes!$C$2:$C$840,$B104,Ordenes!$T$2:$T$840,"Válida",Ordenes!$F$2:$F$840,"Redondo liso"),"")</f>
        <v/>
      </c>
      <c r="F104" s="20">
        <f>IFERROR(SUMIFS(Ordenes!$P$2:$P$840,Ordenes!$C$2:$C$840,$B104,Ordenes!$T$2:$T$840,"Válida",Ordenes!$F$2:$F$840,"Plana")/SUMIFS(Ordenes!$Q$2:$Q$840,Ordenes!$C$2:$C$840,$B104,Ordenes!$T$2:$T$840,"Válida",Ordenes!$F$2:$F$840,"Plana"),"")</f>
        <v/>
      </c>
      <c r="G104" s="20">
        <f>IFERROR(SUMIFS(Ordenes!$P$2:$P$840,Ordenes!$C$2:$C$840,$B104,Ordenes!$T$2:$T$840,"Válida",Ordenes!$F$2:$F$840,"Ángulo")/SUMIFS(Ordenes!$Q$2:$Q$840,Ordenes!$C$2:$C$840,$B104,Ordenes!$T$2:$T$840,"Válida",Ordenes!$F$2:$F$840,"Ángulo"),"")</f>
        <v/>
      </c>
      <c r="H104" s="20">
        <f>IFERROR(SUMIFS(Ordenes!$P$2:$P$840,Ordenes!$C$2:$C$840,$B104,Ordenes!$T$2:$T$840,"Válida",Ordenes!$F$2:$F$840,"Cuadrado")/SUMIFS(Ordenes!$Q$2:$Q$840,Ordenes!$C$2:$C$840,$B104,Ordenes!$T$2:$T$840,"Válida",Ordenes!$F$2:$F$840,"Cuadrado"),"")</f>
        <v/>
      </c>
      <c r="I104" s="20">
        <f>IFERROR(SUMIFS(Ordenes!$P$2:$P$840,Ordenes!$C$2:$C$840,$B104,Ordenes!$T$2:$T$840,"Válida",Ordenes!$F$2:$F$840,"Estrella")/SUMIFS(Ordenes!$Q$2:$Q$840,Ordenes!$C$2:$C$840,$B104,Ordenes!$T$2:$T$840,"Válida",Ordenes!$F$2:$F$840,"Estrella"),"")</f>
        <v/>
      </c>
      <c r="J104" s="20">
        <f>IFERROR(SUMIFS(Ordenes!$P$2:$P$840,Ordenes!$C$2:$C$840,$B104,Ordenes!$T$2:$T$840,"Válida",Ordenes!$F$2:$F$840,"Saferock")/SUMIFS(Ordenes!$Q$2:$Q$840,Ordenes!$C$2:$C$840,$B104,Ordenes!$T$2:$T$840,"Válida",Ordenes!$F$2:$F$840,"Saferock"),"")</f>
        <v/>
      </c>
      <c r="K104" s="20">
        <f>IFERROR(SUMIFS(Ordenes!$P$2:$P$840,Ordenes!$C$2:$C$840,$B104,Ordenes!$T$2:$T$840,"Válida",Ordenes!$F$2:$F$840,"Hexágono")/SUMIFS(Ordenes!$Q$2:$Q$840,Ordenes!$C$2:$C$840,$B104,Ordenes!$T$2:$T$840,"Válida",Ordenes!$F$2:$F$840,"Hexágono"),"")</f>
        <v/>
      </c>
      <c r="L104" s="24">
        <f>IFERROR(SUMIFS(Ordenes!$P$2:$P$840,Ordenes!$C$2:$C$840,$B104,Ordenes!$T$2:$T$840,"Válida",Ordenes!$F$2:$F$840,"*")/SUMIFS(Ordenes!$Q$2:$Q$840,Ordenes!$C$2:$C$840,$B104,Ordenes!$T$2:$T$840,"Válida",Ordenes!$F$2:$F$840,"*"),"")</f>
        <v/>
      </c>
      <c r="M104" s="20">
        <f>IFERROR(SUMIFS(Ordenes!$V$2:$V$840,Ordenes!$C$2:$C$840,$B104,Ordenes!$T$2:$T$840,"Válida")/SUMIFS(Ordenes!$Q$2:$Q$840,Ordenes!$C$2:$C$840,$B104,Ordenes!$T$2:$T$840,"Válida"),"")</f>
        <v/>
      </c>
      <c r="N104" s="21">
        <f>IFERROR((L104-M104)*100,"")</f>
        <v/>
      </c>
      <c r="O104" s="19">
        <f>SUMIFS(Ordenes!$P$2:$P$840,Ordenes!$C$2:$C$840,$B104,Ordenes!$T$2:$T$840,"Válida")</f>
        <v/>
      </c>
      <c r="P104" s="19">
        <f>SUMIFS(Ordenes!$Q$2:$Q$840,Ordenes!$C$2:$C$840,$B104,Ordenes!$T$2:$T$840,"Válida")</f>
        <v/>
      </c>
      <c r="Q104" s="18">
        <f>COUNTIFS(Ordenes!$C$2:$C$840,$B104,Ordenes!$T$2:$T$840,"Válida")</f>
        <v/>
      </c>
    </row>
    <row r="105">
      <c r="A105" s="18" t="inlineStr">
        <is>
          <t>Lun 11 may 2026</t>
        </is>
      </c>
      <c r="B105" s="22" t="n">
        <v>46153</v>
      </c>
      <c r="C105" s="18" t="inlineStr">
        <is>
          <t>S20</t>
        </is>
      </c>
      <c r="D105" s="20">
        <f>IFERROR(SUMIFS(Ordenes!$P$2:$P$840,Ordenes!$C$2:$C$840,$B105,Ordenes!$T$2:$T$840,"Válida",Ordenes!$F$2:$F$840,"B Hormigón")/SUMIFS(Ordenes!$Q$2:$Q$840,Ordenes!$C$2:$C$840,$B105,Ordenes!$T$2:$T$840,"Válida",Ordenes!$F$2:$F$840,"B Hormigón"),"")</f>
        <v/>
      </c>
      <c r="E105" s="20">
        <f>IFERROR(SUMIFS(Ordenes!$P$2:$P$840,Ordenes!$C$2:$C$840,$B105,Ordenes!$T$2:$T$840,"Válida",Ordenes!$F$2:$F$840,"Redondo liso")/SUMIFS(Ordenes!$Q$2:$Q$840,Ordenes!$C$2:$C$840,$B105,Ordenes!$T$2:$T$840,"Válida",Ordenes!$F$2:$F$840,"Redondo liso"),"")</f>
        <v/>
      </c>
      <c r="F105" s="20">
        <f>IFERROR(SUMIFS(Ordenes!$P$2:$P$840,Ordenes!$C$2:$C$840,$B105,Ordenes!$T$2:$T$840,"Válida",Ordenes!$F$2:$F$840,"Plana")/SUMIFS(Ordenes!$Q$2:$Q$840,Ordenes!$C$2:$C$840,$B105,Ordenes!$T$2:$T$840,"Válida",Ordenes!$F$2:$F$840,"Plana"),"")</f>
        <v/>
      </c>
      <c r="G105" s="20">
        <f>IFERROR(SUMIFS(Ordenes!$P$2:$P$840,Ordenes!$C$2:$C$840,$B105,Ordenes!$T$2:$T$840,"Válida",Ordenes!$F$2:$F$840,"Ángulo")/SUMIFS(Ordenes!$Q$2:$Q$840,Ordenes!$C$2:$C$840,$B105,Ordenes!$T$2:$T$840,"Válida",Ordenes!$F$2:$F$840,"Ángulo"),"")</f>
        <v/>
      </c>
      <c r="H105" s="20">
        <f>IFERROR(SUMIFS(Ordenes!$P$2:$P$840,Ordenes!$C$2:$C$840,$B105,Ordenes!$T$2:$T$840,"Válida",Ordenes!$F$2:$F$840,"Cuadrado")/SUMIFS(Ordenes!$Q$2:$Q$840,Ordenes!$C$2:$C$840,$B105,Ordenes!$T$2:$T$840,"Válida",Ordenes!$F$2:$F$840,"Cuadrado"),"")</f>
        <v/>
      </c>
      <c r="I105" s="20">
        <f>IFERROR(SUMIFS(Ordenes!$P$2:$P$840,Ordenes!$C$2:$C$840,$B105,Ordenes!$T$2:$T$840,"Válida",Ordenes!$F$2:$F$840,"Estrella")/SUMIFS(Ordenes!$Q$2:$Q$840,Ordenes!$C$2:$C$840,$B105,Ordenes!$T$2:$T$840,"Válida",Ordenes!$F$2:$F$840,"Estrella"),"")</f>
        <v/>
      </c>
      <c r="J105" s="20">
        <f>IFERROR(SUMIFS(Ordenes!$P$2:$P$840,Ordenes!$C$2:$C$840,$B105,Ordenes!$T$2:$T$840,"Válida",Ordenes!$F$2:$F$840,"Saferock")/SUMIFS(Ordenes!$Q$2:$Q$840,Ordenes!$C$2:$C$840,$B105,Ordenes!$T$2:$T$840,"Válida",Ordenes!$F$2:$F$840,"Saferock"),"")</f>
        <v/>
      </c>
      <c r="K105" s="20">
        <f>IFERROR(SUMIFS(Ordenes!$P$2:$P$840,Ordenes!$C$2:$C$840,$B105,Ordenes!$T$2:$T$840,"Válida",Ordenes!$F$2:$F$840,"Hexágono")/SUMIFS(Ordenes!$Q$2:$Q$840,Ordenes!$C$2:$C$840,$B105,Ordenes!$T$2:$T$840,"Válida",Ordenes!$F$2:$F$840,"Hexágono"),"")</f>
        <v/>
      </c>
      <c r="L105" s="24">
        <f>IFERROR(SUMIFS(Ordenes!$P$2:$P$840,Ordenes!$C$2:$C$840,$B105,Ordenes!$T$2:$T$840,"Válida",Ordenes!$F$2:$F$840,"*")/SUMIFS(Ordenes!$Q$2:$Q$840,Ordenes!$C$2:$C$840,$B105,Ordenes!$T$2:$T$840,"Válida",Ordenes!$F$2:$F$840,"*"),"")</f>
        <v/>
      </c>
      <c r="M105" s="20">
        <f>IFERROR(SUMIFS(Ordenes!$V$2:$V$840,Ordenes!$C$2:$C$840,$B105,Ordenes!$T$2:$T$840,"Válida")/SUMIFS(Ordenes!$Q$2:$Q$840,Ordenes!$C$2:$C$840,$B105,Ordenes!$T$2:$T$840,"Válida"),"")</f>
        <v/>
      </c>
      <c r="N105" s="21">
        <f>IFERROR((L105-M105)*100,"")</f>
        <v/>
      </c>
      <c r="O105" s="19">
        <f>SUMIFS(Ordenes!$P$2:$P$840,Ordenes!$C$2:$C$840,$B105,Ordenes!$T$2:$T$840,"Válida")</f>
        <v/>
      </c>
      <c r="P105" s="19">
        <f>SUMIFS(Ordenes!$Q$2:$Q$840,Ordenes!$C$2:$C$840,$B105,Ordenes!$T$2:$T$840,"Válida")</f>
        <v/>
      </c>
      <c r="Q105" s="18">
        <f>COUNTIFS(Ordenes!$C$2:$C$840,$B105,Ordenes!$T$2:$T$840,"Válida")</f>
        <v/>
      </c>
    </row>
    <row r="106">
      <c r="A106" s="18" t="inlineStr">
        <is>
          <t>Mar 12 may 2026</t>
        </is>
      </c>
      <c r="B106" s="22" t="n">
        <v>46154</v>
      </c>
      <c r="C106" s="18" t="inlineStr">
        <is>
          <t>S20</t>
        </is>
      </c>
      <c r="D106" s="20">
        <f>IFERROR(SUMIFS(Ordenes!$P$2:$P$840,Ordenes!$C$2:$C$840,$B106,Ordenes!$T$2:$T$840,"Válida",Ordenes!$F$2:$F$840,"B Hormigón")/SUMIFS(Ordenes!$Q$2:$Q$840,Ordenes!$C$2:$C$840,$B106,Ordenes!$T$2:$T$840,"Válida",Ordenes!$F$2:$F$840,"B Hormigón"),"")</f>
        <v/>
      </c>
      <c r="E106" s="20">
        <f>IFERROR(SUMIFS(Ordenes!$P$2:$P$840,Ordenes!$C$2:$C$840,$B106,Ordenes!$T$2:$T$840,"Válida",Ordenes!$F$2:$F$840,"Redondo liso")/SUMIFS(Ordenes!$Q$2:$Q$840,Ordenes!$C$2:$C$840,$B106,Ordenes!$T$2:$T$840,"Válida",Ordenes!$F$2:$F$840,"Redondo liso"),"")</f>
        <v/>
      </c>
      <c r="F106" s="20">
        <f>IFERROR(SUMIFS(Ordenes!$P$2:$P$840,Ordenes!$C$2:$C$840,$B106,Ordenes!$T$2:$T$840,"Válida",Ordenes!$F$2:$F$840,"Plana")/SUMIFS(Ordenes!$Q$2:$Q$840,Ordenes!$C$2:$C$840,$B106,Ordenes!$T$2:$T$840,"Válida",Ordenes!$F$2:$F$840,"Plana"),"")</f>
        <v/>
      </c>
      <c r="G106" s="20">
        <f>IFERROR(SUMIFS(Ordenes!$P$2:$P$840,Ordenes!$C$2:$C$840,$B106,Ordenes!$T$2:$T$840,"Válida",Ordenes!$F$2:$F$840,"Ángulo")/SUMIFS(Ordenes!$Q$2:$Q$840,Ordenes!$C$2:$C$840,$B106,Ordenes!$T$2:$T$840,"Válida",Ordenes!$F$2:$F$840,"Ángulo"),"")</f>
        <v/>
      </c>
      <c r="H106" s="20">
        <f>IFERROR(SUMIFS(Ordenes!$P$2:$P$840,Ordenes!$C$2:$C$840,$B106,Ordenes!$T$2:$T$840,"Válida",Ordenes!$F$2:$F$840,"Cuadrado")/SUMIFS(Ordenes!$Q$2:$Q$840,Ordenes!$C$2:$C$840,$B106,Ordenes!$T$2:$T$840,"Válida",Ordenes!$F$2:$F$840,"Cuadrado"),"")</f>
        <v/>
      </c>
      <c r="I106" s="20">
        <f>IFERROR(SUMIFS(Ordenes!$P$2:$P$840,Ordenes!$C$2:$C$840,$B106,Ordenes!$T$2:$T$840,"Válida",Ordenes!$F$2:$F$840,"Estrella")/SUMIFS(Ordenes!$Q$2:$Q$840,Ordenes!$C$2:$C$840,$B106,Ordenes!$T$2:$T$840,"Válida",Ordenes!$F$2:$F$840,"Estrella"),"")</f>
        <v/>
      </c>
      <c r="J106" s="20">
        <f>IFERROR(SUMIFS(Ordenes!$P$2:$P$840,Ordenes!$C$2:$C$840,$B106,Ordenes!$T$2:$T$840,"Válida",Ordenes!$F$2:$F$840,"Saferock")/SUMIFS(Ordenes!$Q$2:$Q$840,Ordenes!$C$2:$C$840,$B106,Ordenes!$T$2:$T$840,"Válida",Ordenes!$F$2:$F$840,"Saferock"),"")</f>
        <v/>
      </c>
      <c r="K106" s="20">
        <f>IFERROR(SUMIFS(Ordenes!$P$2:$P$840,Ordenes!$C$2:$C$840,$B106,Ordenes!$T$2:$T$840,"Válida",Ordenes!$F$2:$F$840,"Hexágono")/SUMIFS(Ordenes!$Q$2:$Q$840,Ordenes!$C$2:$C$840,$B106,Ordenes!$T$2:$T$840,"Válida",Ordenes!$F$2:$F$840,"Hexágono"),"")</f>
        <v/>
      </c>
      <c r="L106" s="24">
        <f>IFERROR(SUMIFS(Ordenes!$P$2:$P$840,Ordenes!$C$2:$C$840,$B106,Ordenes!$T$2:$T$840,"Válida",Ordenes!$F$2:$F$840,"*")/SUMIFS(Ordenes!$Q$2:$Q$840,Ordenes!$C$2:$C$840,$B106,Ordenes!$T$2:$T$840,"Válida",Ordenes!$F$2:$F$840,"*"),"")</f>
        <v/>
      </c>
      <c r="M106" s="20">
        <f>IFERROR(SUMIFS(Ordenes!$V$2:$V$840,Ordenes!$C$2:$C$840,$B106,Ordenes!$T$2:$T$840,"Válida")/SUMIFS(Ordenes!$Q$2:$Q$840,Ordenes!$C$2:$C$840,$B106,Ordenes!$T$2:$T$840,"Válida"),"")</f>
        <v/>
      </c>
      <c r="N106" s="21">
        <f>IFERROR((L106-M106)*100,"")</f>
        <v/>
      </c>
      <c r="O106" s="19">
        <f>SUMIFS(Ordenes!$P$2:$P$840,Ordenes!$C$2:$C$840,$B106,Ordenes!$T$2:$T$840,"Válida")</f>
        <v/>
      </c>
      <c r="P106" s="19">
        <f>SUMIFS(Ordenes!$Q$2:$Q$840,Ordenes!$C$2:$C$840,$B106,Ordenes!$T$2:$T$840,"Válida")</f>
        <v/>
      </c>
      <c r="Q106" s="18">
        <f>COUNTIFS(Ordenes!$C$2:$C$840,$B106,Ordenes!$T$2:$T$840,"Válida")</f>
        <v/>
      </c>
    </row>
    <row r="107">
      <c r="A107" s="18" t="inlineStr">
        <is>
          <t>Mié 13 may 2026</t>
        </is>
      </c>
      <c r="B107" s="22" t="n">
        <v>46155</v>
      </c>
      <c r="C107" s="18" t="inlineStr">
        <is>
          <t>S20</t>
        </is>
      </c>
      <c r="D107" s="20">
        <f>IFERROR(SUMIFS(Ordenes!$P$2:$P$840,Ordenes!$C$2:$C$840,$B107,Ordenes!$T$2:$T$840,"Válida",Ordenes!$F$2:$F$840,"B Hormigón")/SUMIFS(Ordenes!$Q$2:$Q$840,Ordenes!$C$2:$C$840,$B107,Ordenes!$T$2:$T$840,"Válida",Ordenes!$F$2:$F$840,"B Hormigón"),"")</f>
        <v/>
      </c>
      <c r="E107" s="20">
        <f>IFERROR(SUMIFS(Ordenes!$P$2:$P$840,Ordenes!$C$2:$C$840,$B107,Ordenes!$T$2:$T$840,"Válida",Ordenes!$F$2:$F$840,"Redondo liso")/SUMIFS(Ordenes!$Q$2:$Q$840,Ordenes!$C$2:$C$840,$B107,Ordenes!$T$2:$T$840,"Válida",Ordenes!$F$2:$F$840,"Redondo liso"),"")</f>
        <v/>
      </c>
      <c r="F107" s="20">
        <f>IFERROR(SUMIFS(Ordenes!$P$2:$P$840,Ordenes!$C$2:$C$840,$B107,Ordenes!$T$2:$T$840,"Válida",Ordenes!$F$2:$F$840,"Plana")/SUMIFS(Ordenes!$Q$2:$Q$840,Ordenes!$C$2:$C$840,$B107,Ordenes!$T$2:$T$840,"Válida",Ordenes!$F$2:$F$840,"Plana"),"")</f>
        <v/>
      </c>
      <c r="G107" s="20">
        <f>IFERROR(SUMIFS(Ordenes!$P$2:$P$840,Ordenes!$C$2:$C$840,$B107,Ordenes!$T$2:$T$840,"Válida",Ordenes!$F$2:$F$840,"Ángulo")/SUMIFS(Ordenes!$Q$2:$Q$840,Ordenes!$C$2:$C$840,$B107,Ordenes!$T$2:$T$840,"Válida",Ordenes!$F$2:$F$840,"Ángulo"),"")</f>
        <v/>
      </c>
      <c r="H107" s="20">
        <f>IFERROR(SUMIFS(Ordenes!$P$2:$P$840,Ordenes!$C$2:$C$840,$B107,Ordenes!$T$2:$T$840,"Válida",Ordenes!$F$2:$F$840,"Cuadrado")/SUMIFS(Ordenes!$Q$2:$Q$840,Ordenes!$C$2:$C$840,$B107,Ordenes!$T$2:$T$840,"Válida",Ordenes!$F$2:$F$840,"Cuadrado"),"")</f>
        <v/>
      </c>
      <c r="I107" s="20">
        <f>IFERROR(SUMIFS(Ordenes!$P$2:$P$840,Ordenes!$C$2:$C$840,$B107,Ordenes!$T$2:$T$840,"Válida",Ordenes!$F$2:$F$840,"Estrella")/SUMIFS(Ordenes!$Q$2:$Q$840,Ordenes!$C$2:$C$840,$B107,Ordenes!$T$2:$T$840,"Válida",Ordenes!$F$2:$F$840,"Estrella"),"")</f>
        <v/>
      </c>
      <c r="J107" s="20">
        <f>IFERROR(SUMIFS(Ordenes!$P$2:$P$840,Ordenes!$C$2:$C$840,$B107,Ordenes!$T$2:$T$840,"Válida",Ordenes!$F$2:$F$840,"Saferock")/SUMIFS(Ordenes!$Q$2:$Q$840,Ordenes!$C$2:$C$840,$B107,Ordenes!$T$2:$T$840,"Válida",Ordenes!$F$2:$F$840,"Saferock"),"")</f>
        <v/>
      </c>
      <c r="K107" s="20">
        <f>IFERROR(SUMIFS(Ordenes!$P$2:$P$840,Ordenes!$C$2:$C$840,$B107,Ordenes!$T$2:$T$840,"Válida",Ordenes!$F$2:$F$840,"Hexágono")/SUMIFS(Ordenes!$Q$2:$Q$840,Ordenes!$C$2:$C$840,$B107,Ordenes!$T$2:$T$840,"Válida",Ordenes!$F$2:$F$840,"Hexágono"),"")</f>
        <v/>
      </c>
      <c r="L107" s="24">
        <f>IFERROR(SUMIFS(Ordenes!$P$2:$P$840,Ordenes!$C$2:$C$840,$B107,Ordenes!$T$2:$T$840,"Válida",Ordenes!$F$2:$F$840,"*")/SUMIFS(Ordenes!$Q$2:$Q$840,Ordenes!$C$2:$C$840,$B107,Ordenes!$T$2:$T$840,"Válida",Ordenes!$F$2:$F$840,"*"),"")</f>
        <v/>
      </c>
      <c r="M107" s="20">
        <f>IFERROR(SUMIFS(Ordenes!$V$2:$V$840,Ordenes!$C$2:$C$840,$B107,Ordenes!$T$2:$T$840,"Válida")/SUMIFS(Ordenes!$Q$2:$Q$840,Ordenes!$C$2:$C$840,$B107,Ordenes!$T$2:$T$840,"Válida"),"")</f>
        <v/>
      </c>
      <c r="N107" s="21">
        <f>IFERROR((L107-M107)*100,"")</f>
        <v/>
      </c>
      <c r="O107" s="19">
        <f>SUMIFS(Ordenes!$P$2:$P$840,Ordenes!$C$2:$C$840,$B107,Ordenes!$T$2:$T$840,"Válida")</f>
        <v/>
      </c>
      <c r="P107" s="19">
        <f>SUMIFS(Ordenes!$Q$2:$Q$840,Ordenes!$C$2:$C$840,$B107,Ordenes!$T$2:$T$840,"Válida")</f>
        <v/>
      </c>
      <c r="Q107" s="18">
        <f>COUNTIFS(Ordenes!$C$2:$C$840,$B107,Ordenes!$T$2:$T$840,"Válida")</f>
        <v/>
      </c>
    </row>
    <row r="108">
      <c r="A108" s="18" t="inlineStr">
        <is>
          <t>Jue 14 may 2026</t>
        </is>
      </c>
      <c r="B108" s="22" t="n">
        <v>46156</v>
      </c>
      <c r="C108" s="18" t="inlineStr">
        <is>
          <t>S20</t>
        </is>
      </c>
      <c r="D108" s="20">
        <f>IFERROR(SUMIFS(Ordenes!$P$2:$P$840,Ordenes!$C$2:$C$840,$B108,Ordenes!$T$2:$T$840,"Válida",Ordenes!$F$2:$F$840,"B Hormigón")/SUMIFS(Ordenes!$Q$2:$Q$840,Ordenes!$C$2:$C$840,$B108,Ordenes!$T$2:$T$840,"Válida",Ordenes!$F$2:$F$840,"B Hormigón"),"")</f>
        <v/>
      </c>
      <c r="E108" s="20">
        <f>IFERROR(SUMIFS(Ordenes!$P$2:$P$840,Ordenes!$C$2:$C$840,$B108,Ordenes!$T$2:$T$840,"Válida",Ordenes!$F$2:$F$840,"Redondo liso")/SUMIFS(Ordenes!$Q$2:$Q$840,Ordenes!$C$2:$C$840,$B108,Ordenes!$T$2:$T$840,"Válida",Ordenes!$F$2:$F$840,"Redondo liso"),"")</f>
        <v/>
      </c>
      <c r="F108" s="20">
        <f>IFERROR(SUMIFS(Ordenes!$P$2:$P$840,Ordenes!$C$2:$C$840,$B108,Ordenes!$T$2:$T$840,"Válida",Ordenes!$F$2:$F$840,"Plana")/SUMIFS(Ordenes!$Q$2:$Q$840,Ordenes!$C$2:$C$840,$B108,Ordenes!$T$2:$T$840,"Válida",Ordenes!$F$2:$F$840,"Plana"),"")</f>
        <v/>
      </c>
      <c r="G108" s="20">
        <f>IFERROR(SUMIFS(Ordenes!$P$2:$P$840,Ordenes!$C$2:$C$840,$B108,Ordenes!$T$2:$T$840,"Válida",Ordenes!$F$2:$F$840,"Ángulo")/SUMIFS(Ordenes!$Q$2:$Q$840,Ordenes!$C$2:$C$840,$B108,Ordenes!$T$2:$T$840,"Válida",Ordenes!$F$2:$F$840,"Ángulo"),"")</f>
        <v/>
      </c>
      <c r="H108" s="20">
        <f>IFERROR(SUMIFS(Ordenes!$P$2:$P$840,Ordenes!$C$2:$C$840,$B108,Ordenes!$T$2:$T$840,"Válida",Ordenes!$F$2:$F$840,"Cuadrado")/SUMIFS(Ordenes!$Q$2:$Q$840,Ordenes!$C$2:$C$840,$B108,Ordenes!$T$2:$T$840,"Válida",Ordenes!$F$2:$F$840,"Cuadrado"),"")</f>
        <v/>
      </c>
      <c r="I108" s="20">
        <f>IFERROR(SUMIFS(Ordenes!$P$2:$P$840,Ordenes!$C$2:$C$840,$B108,Ordenes!$T$2:$T$840,"Válida",Ordenes!$F$2:$F$840,"Estrella")/SUMIFS(Ordenes!$Q$2:$Q$840,Ordenes!$C$2:$C$840,$B108,Ordenes!$T$2:$T$840,"Válida",Ordenes!$F$2:$F$840,"Estrella"),"")</f>
        <v/>
      </c>
      <c r="J108" s="20">
        <f>IFERROR(SUMIFS(Ordenes!$P$2:$P$840,Ordenes!$C$2:$C$840,$B108,Ordenes!$T$2:$T$840,"Válida",Ordenes!$F$2:$F$840,"Saferock")/SUMIFS(Ordenes!$Q$2:$Q$840,Ordenes!$C$2:$C$840,$B108,Ordenes!$T$2:$T$840,"Válida",Ordenes!$F$2:$F$840,"Saferock"),"")</f>
        <v/>
      </c>
      <c r="K108" s="20">
        <f>IFERROR(SUMIFS(Ordenes!$P$2:$P$840,Ordenes!$C$2:$C$840,$B108,Ordenes!$T$2:$T$840,"Válida",Ordenes!$F$2:$F$840,"Hexágono")/SUMIFS(Ordenes!$Q$2:$Q$840,Ordenes!$C$2:$C$840,$B108,Ordenes!$T$2:$T$840,"Válida",Ordenes!$F$2:$F$840,"Hexágono"),"")</f>
        <v/>
      </c>
      <c r="L108" s="24">
        <f>IFERROR(SUMIFS(Ordenes!$P$2:$P$840,Ordenes!$C$2:$C$840,$B108,Ordenes!$T$2:$T$840,"Válida",Ordenes!$F$2:$F$840,"*")/SUMIFS(Ordenes!$Q$2:$Q$840,Ordenes!$C$2:$C$840,$B108,Ordenes!$T$2:$T$840,"Válida",Ordenes!$F$2:$F$840,"*"),"")</f>
        <v/>
      </c>
      <c r="M108" s="20">
        <f>IFERROR(SUMIFS(Ordenes!$V$2:$V$840,Ordenes!$C$2:$C$840,$B108,Ordenes!$T$2:$T$840,"Válida")/SUMIFS(Ordenes!$Q$2:$Q$840,Ordenes!$C$2:$C$840,$B108,Ordenes!$T$2:$T$840,"Válida"),"")</f>
        <v/>
      </c>
      <c r="N108" s="21">
        <f>IFERROR((L108-M108)*100,"")</f>
        <v/>
      </c>
      <c r="O108" s="19">
        <f>SUMIFS(Ordenes!$P$2:$P$840,Ordenes!$C$2:$C$840,$B108,Ordenes!$T$2:$T$840,"Válida")</f>
        <v/>
      </c>
      <c r="P108" s="19">
        <f>SUMIFS(Ordenes!$Q$2:$Q$840,Ordenes!$C$2:$C$840,$B108,Ordenes!$T$2:$T$840,"Válida")</f>
        <v/>
      </c>
      <c r="Q108" s="18">
        <f>COUNTIFS(Ordenes!$C$2:$C$840,$B108,Ordenes!$T$2:$T$840,"Válida")</f>
        <v/>
      </c>
    </row>
    <row r="109">
      <c r="A109" s="18" t="inlineStr">
        <is>
          <t>Vie 15 may 2026</t>
        </is>
      </c>
      <c r="B109" s="22" t="n">
        <v>46157</v>
      </c>
      <c r="C109" s="18" t="inlineStr">
        <is>
          <t>S20</t>
        </is>
      </c>
      <c r="D109" s="20">
        <f>IFERROR(SUMIFS(Ordenes!$P$2:$P$840,Ordenes!$C$2:$C$840,$B109,Ordenes!$T$2:$T$840,"Válida",Ordenes!$F$2:$F$840,"B Hormigón")/SUMIFS(Ordenes!$Q$2:$Q$840,Ordenes!$C$2:$C$840,$B109,Ordenes!$T$2:$T$840,"Válida",Ordenes!$F$2:$F$840,"B Hormigón"),"")</f>
        <v/>
      </c>
      <c r="E109" s="20">
        <f>IFERROR(SUMIFS(Ordenes!$P$2:$P$840,Ordenes!$C$2:$C$840,$B109,Ordenes!$T$2:$T$840,"Válida",Ordenes!$F$2:$F$840,"Redondo liso")/SUMIFS(Ordenes!$Q$2:$Q$840,Ordenes!$C$2:$C$840,$B109,Ordenes!$T$2:$T$840,"Válida",Ordenes!$F$2:$F$840,"Redondo liso"),"")</f>
        <v/>
      </c>
      <c r="F109" s="20">
        <f>IFERROR(SUMIFS(Ordenes!$P$2:$P$840,Ordenes!$C$2:$C$840,$B109,Ordenes!$T$2:$T$840,"Válida",Ordenes!$F$2:$F$840,"Plana")/SUMIFS(Ordenes!$Q$2:$Q$840,Ordenes!$C$2:$C$840,$B109,Ordenes!$T$2:$T$840,"Válida",Ordenes!$F$2:$F$840,"Plana"),"")</f>
        <v/>
      </c>
      <c r="G109" s="20">
        <f>IFERROR(SUMIFS(Ordenes!$P$2:$P$840,Ordenes!$C$2:$C$840,$B109,Ordenes!$T$2:$T$840,"Válida",Ordenes!$F$2:$F$840,"Ángulo")/SUMIFS(Ordenes!$Q$2:$Q$840,Ordenes!$C$2:$C$840,$B109,Ordenes!$T$2:$T$840,"Válida",Ordenes!$F$2:$F$840,"Ángulo"),"")</f>
        <v/>
      </c>
      <c r="H109" s="20">
        <f>IFERROR(SUMIFS(Ordenes!$P$2:$P$840,Ordenes!$C$2:$C$840,$B109,Ordenes!$T$2:$T$840,"Válida",Ordenes!$F$2:$F$840,"Cuadrado")/SUMIFS(Ordenes!$Q$2:$Q$840,Ordenes!$C$2:$C$840,$B109,Ordenes!$T$2:$T$840,"Válida",Ordenes!$F$2:$F$840,"Cuadrado"),"")</f>
        <v/>
      </c>
      <c r="I109" s="20">
        <f>IFERROR(SUMIFS(Ordenes!$P$2:$P$840,Ordenes!$C$2:$C$840,$B109,Ordenes!$T$2:$T$840,"Válida",Ordenes!$F$2:$F$840,"Estrella")/SUMIFS(Ordenes!$Q$2:$Q$840,Ordenes!$C$2:$C$840,$B109,Ordenes!$T$2:$T$840,"Válida",Ordenes!$F$2:$F$840,"Estrella"),"")</f>
        <v/>
      </c>
      <c r="J109" s="20">
        <f>IFERROR(SUMIFS(Ordenes!$P$2:$P$840,Ordenes!$C$2:$C$840,$B109,Ordenes!$T$2:$T$840,"Válida",Ordenes!$F$2:$F$840,"Saferock")/SUMIFS(Ordenes!$Q$2:$Q$840,Ordenes!$C$2:$C$840,$B109,Ordenes!$T$2:$T$840,"Válida",Ordenes!$F$2:$F$840,"Saferock"),"")</f>
        <v/>
      </c>
      <c r="K109" s="20">
        <f>IFERROR(SUMIFS(Ordenes!$P$2:$P$840,Ordenes!$C$2:$C$840,$B109,Ordenes!$T$2:$T$840,"Válida",Ordenes!$F$2:$F$840,"Hexágono")/SUMIFS(Ordenes!$Q$2:$Q$840,Ordenes!$C$2:$C$840,$B109,Ordenes!$T$2:$T$840,"Válida",Ordenes!$F$2:$F$840,"Hexágono"),"")</f>
        <v/>
      </c>
      <c r="L109" s="24">
        <f>IFERROR(SUMIFS(Ordenes!$P$2:$P$840,Ordenes!$C$2:$C$840,$B109,Ordenes!$T$2:$T$840,"Válida",Ordenes!$F$2:$F$840,"*")/SUMIFS(Ordenes!$Q$2:$Q$840,Ordenes!$C$2:$C$840,$B109,Ordenes!$T$2:$T$840,"Válida",Ordenes!$F$2:$F$840,"*"),"")</f>
        <v/>
      </c>
      <c r="M109" s="20">
        <f>IFERROR(SUMIFS(Ordenes!$V$2:$V$840,Ordenes!$C$2:$C$840,$B109,Ordenes!$T$2:$T$840,"Válida")/SUMIFS(Ordenes!$Q$2:$Q$840,Ordenes!$C$2:$C$840,$B109,Ordenes!$T$2:$T$840,"Válida"),"")</f>
        <v/>
      </c>
      <c r="N109" s="21">
        <f>IFERROR((L109-M109)*100,"")</f>
        <v/>
      </c>
      <c r="O109" s="19">
        <f>SUMIFS(Ordenes!$P$2:$P$840,Ordenes!$C$2:$C$840,$B109,Ordenes!$T$2:$T$840,"Válida")</f>
        <v/>
      </c>
      <c r="P109" s="19">
        <f>SUMIFS(Ordenes!$Q$2:$Q$840,Ordenes!$C$2:$C$840,$B109,Ordenes!$T$2:$T$840,"Válida")</f>
        <v/>
      </c>
      <c r="Q109" s="18">
        <f>COUNTIFS(Ordenes!$C$2:$C$840,$B109,Ordenes!$T$2:$T$840,"Válida")</f>
        <v/>
      </c>
    </row>
    <row r="110">
      <c r="A110" s="18" t="inlineStr">
        <is>
          <t>Sáb 16 may 2026</t>
        </is>
      </c>
      <c r="B110" s="22" t="n">
        <v>46158</v>
      </c>
      <c r="C110" s="18" t="inlineStr">
        <is>
          <t>S20</t>
        </is>
      </c>
      <c r="D110" s="20">
        <f>IFERROR(SUMIFS(Ordenes!$P$2:$P$840,Ordenes!$C$2:$C$840,$B110,Ordenes!$T$2:$T$840,"Válida",Ordenes!$F$2:$F$840,"B Hormigón")/SUMIFS(Ordenes!$Q$2:$Q$840,Ordenes!$C$2:$C$840,$B110,Ordenes!$T$2:$T$840,"Válida",Ordenes!$F$2:$F$840,"B Hormigón"),"")</f>
        <v/>
      </c>
      <c r="E110" s="20">
        <f>IFERROR(SUMIFS(Ordenes!$P$2:$P$840,Ordenes!$C$2:$C$840,$B110,Ordenes!$T$2:$T$840,"Válida",Ordenes!$F$2:$F$840,"Redondo liso")/SUMIFS(Ordenes!$Q$2:$Q$840,Ordenes!$C$2:$C$840,$B110,Ordenes!$T$2:$T$840,"Válida",Ordenes!$F$2:$F$840,"Redondo liso"),"")</f>
        <v/>
      </c>
      <c r="F110" s="20">
        <f>IFERROR(SUMIFS(Ordenes!$P$2:$P$840,Ordenes!$C$2:$C$840,$B110,Ordenes!$T$2:$T$840,"Válida",Ordenes!$F$2:$F$840,"Plana")/SUMIFS(Ordenes!$Q$2:$Q$840,Ordenes!$C$2:$C$840,$B110,Ordenes!$T$2:$T$840,"Válida",Ordenes!$F$2:$F$840,"Plana"),"")</f>
        <v/>
      </c>
      <c r="G110" s="20">
        <f>IFERROR(SUMIFS(Ordenes!$P$2:$P$840,Ordenes!$C$2:$C$840,$B110,Ordenes!$T$2:$T$840,"Válida",Ordenes!$F$2:$F$840,"Ángulo")/SUMIFS(Ordenes!$Q$2:$Q$840,Ordenes!$C$2:$C$840,$B110,Ordenes!$T$2:$T$840,"Válida",Ordenes!$F$2:$F$840,"Ángulo"),"")</f>
        <v/>
      </c>
      <c r="H110" s="20">
        <f>IFERROR(SUMIFS(Ordenes!$P$2:$P$840,Ordenes!$C$2:$C$840,$B110,Ordenes!$T$2:$T$840,"Válida",Ordenes!$F$2:$F$840,"Cuadrado")/SUMIFS(Ordenes!$Q$2:$Q$840,Ordenes!$C$2:$C$840,$B110,Ordenes!$T$2:$T$840,"Válida",Ordenes!$F$2:$F$840,"Cuadrado"),"")</f>
        <v/>
      </c>
      <c r="I110" s="20">
        <f>IFERROR(SUMIFS(Ordenes!$P$2:$P$840,Ordenes!$C$2:$C$840,$B110,Ordenes!$T$2:$T$840,"Válida",Ordenes!$F$2:$F$840,"Estrella")/SUMIFS(Ordenes!$Q$2:$Q$840,Ordenes!$C$2:$C$840,$B110,Ordenes!$T$2:$T$840,"Válida",Ordenes!$F$2:$F$840,"Estrella"),"")</f>
        <v/>
      </c>
      <c r="J110" s="20">
        <f>IFERROR(SUMIFS(Ordenes!$P$2:$P$840,Ordenes!$C$2:$C$840,$B110,Ordenes!$T$2:$T$840,"Válida",Ordenes!$F$2:$F$840,"Saferock")/SUMIFS(Ordenes!$Q$2:$Q$840,Ordenes!$C$2:$C$840,$B110,Ordenes!$T$2:$T$840,"Válida",Ordenes!$F$2:$F$840,"Saferock"),"")</f>
        <v/>
      </c>
      <c r="K110" s="20">
        <f>IFERROR(SUMIFS(Ordenes!$P$2:$P$840,Ordenes!$C$2:$C$840,$B110,Ordenes!$T$2:$T$840,"Válida",Ordenes!$F$2:$F$840,"Hexágono")/SUMIFS(Ordenes!$Q$2:$Q$840,Ordenes!$C$2:$C$840,$B110,Ordenes!$T$2:$T$840,"Válida",Ordenes!$F$2:$F$840,"Hexágono"),"")</f>
        <v/>
      </c>
      <c r="L110" s="24">
        <f>IFERROR(SUMIFS(Ordenes!$P$2:$P$840,Ordenes!$C$2:$C$840,$B110,Ordenes!$T$2:$T$840,"Válida",Ordenes!$F$2:$F$840,"*")/SUMIFS(Ordenes!$Q$2:$Q$840,Ordenes!$C$2:$C$840,$B110,Ordenes!$T$2:$T$840,"Válida",Ordenes!$F$2:$F$840,"*"),"")</f>
        <v/>
      </c>
      <c r="M110" s="20">
        <f>IFERROR(SUMIFS(Ordenes!$V$2:$V$840,Ordenes!$C$2:$C$840,$B110,Ordenes!$T$2:$T$840,"Válida")/SUMIFS(Ordenes!$Q$2:$Q$840,Ordenes!$C$2:$C$840,$B110,Ordenes!$T$2:$T$840,"Válida"),"")</f>
        <v/>
      </c>
      <c r="N110" s="21">
        <f>IFERROR((L110-M110)*100,"")</f>
        <v/>
      </c>
      <c r="O110" s="19">
        <f>SUMIFS(Ordenes!$P$2:$P$840,Ordenes!$C$2:$C$840,$B110,Ordenes!$T$2:$T$840,"Válida")</f>
        <v/>
      </c>
      <c r="P110" s="19">
        <f>SUMIFS(Ordenes!$Q$2:$Q$840,Ordenes!$C$2:$C$840,$B110,Ordenes!$T$2:$T$840,"Válida")</f>
        <v/>
      </c>
      <c r="Q110" s="18">
        <f>COUNTIFS(Ordenes!$C$2:$C$840,$B110,Ordenes!$T$2:$T$840,"Válida")</f>
        <v/>
      </c>
    </row>
    <row r="111">
      <c r="A111" s="18" t="inlineStr">
        <is>
          <t>Lun 18 may 2026</t>
        </is>
      </c>
      <c r="B111" s="22" t="n">
        <v>46160</v>
      </c>
      <c r="C111" s="18" t="inlineStr">
        <is>
          <t>S21</t>
        </is>
      </c>
      <c r="D111" s="20">
        <f>IFERROR(SUMIFS(Ordenes!$P$2:$P$840,Ordenes!$C$2:$C$840,$B111,Ordenes!$T$2:$T$840,"Válida",Ordenes!$F$2:$F$840,"B Hormigón")/SUMIFS(Ordenes!$Q$2:$Q$840,Ordenes!$C$2:$C$840,$B111,Ordenes!$T$2:$T$840,"Válida",Ordenes!$F$2:$F$840,"B Hormigón"),"")</f>
        <v/>
      </c>
      <c r="E111" s="20">
        <f>IFERROR(SUMIFS(Ordenes!$P$2:$P$840,Ordenes!$C$2:$C$840,$B111,Ordenes!$T$2:$T$840,"Válida",Ordenes!$F$2:$F$840,"Redondo liso")/SUMIFS(Ordenes!$Q$2:$Q$840,Ordenes!$C$2:$C$840,$B111,Ordenes!$T$2:$T$840,"Válida",Ordenes!$F$2:$F$840,"Redondo liso"),"")</f>
        <v/>
      </c>
      <c r="F111" s="20">
        <f>IFERROR(SUMIFS(Ordenes!$P$2:$P$840,Ordenes!$C$2:$C$840,$B111,Ordenes!$T$2:$T$840,"Válida",Ordenes!$F$2:$F$840,"Plana")/SUMIFS(Ordenes!$Q$2:$Q$840,Ordenes!$C$2:$C$840,$B111,Ordenes!$T$2:$T$840,"Válida",Ordenes!$F$2:$F$840,"Plana"),"")</f>
        <v/>
      </c>
      <c r="G111" s="20">
        <f>IFERROR(SUMIFS(Ordenes!$P$2:$P$840,Ordenes!$C$2:$C$840,$B111,Ordenes!$T$2:$T$840,"Válida",Ordenes!$F$2:$F$840,"Ángulo")/SUMIFS(Ordenes!$Q$2:$Q$840,Ordenes!$C$2:$C$840,$B111,Ordenes!$T$2:$T$840,"Válida",Ordenes!$F$2:$F$840,"Ángulo"),"")</f>
        <v/>
      </c>
      <c r="H111" s="20">
        <f>IFERROR(SUMIFS(Ordenes!$P$2:$P$840,Ordenes!$C$2:$C$840,$B111,Ordenes!$T$2:$T$840,"Válida",Ordenes!$F$2:$F$840,"Cuadrado")/SUMIFS(Ordenes!$Q$2:$Q$840,Ordenes!$C$2:$C$840,$B111,Ordenes!$T$2:$T$840,"Válida",Ordenes!$F$2:$F$840,"Cuadrado"),"")</f>
        <v/>
      </c>
      <c r="I111" s="20">
        <f>IFERROR(SUMIFS(Ordenes!$P$2:$P$840,Ordenes!$C$2:$C$840,$B111,Ordenes!$T$2:$T$840,"Válida",Ordenes!$F$2:$F$840,"Estrella")/SUMIFS(Ordenes!$Q$2:$Q$840,Ordenes!$C$2:$C$840,$B111,Ordenes!$T$2:$T$840,"Válida",Ordenes!$F$2:$F$840,"Estrella"),"")</f>
        <v/>
      </c>
      <c r="J111" s="20">
        <f>IFERROR(SUMIFS(Ordenes!$P$2:$P$840,Ordenes!$C$2:$C$840,$B111,Ordenes!$T$2:$T$840,"Válida",Ordenes!$F$2:$F$840,"Saferock")/SUMIFS(Ordenes!$Q$2:$Q$840,Ordenes!$C$2:$C$840,$B111,Ordenes!$T$2:$T$840,"Válida",Ordenes!$F$2:$F$840,"Saferock"),"")</f>
        <v/>
      </c>
      <c r="K111" s="20">
        <f>IFERROR(SUMIFS(Ordenes!$P$2:$P$840,Ordenes!$C$2:$C$840,$B111,Ordenes!$T$2:$T$840,"Válida",Ordenes!$F$2:$F$840,"Hexágono")/SUMIFS(Ordenes!$Q$2:$Q$840,Ordenes!$C$2:$C$840,$B111,Ordenes!$T$2:$T$840,"Válida",Ordenes!$F$2:$F$840,"Hexágono"),"")</f>
        <v/>
      </c>
      <c r="L111" s="24">
        <f>IFERROR(SUMIFS(Ordenes!$P$2:$P$840,Ordenes!$C$2:$C$840,$B111,Ordenes!$T$2:$T$840,"Válida",Ordenes!$F$2:$F$840,"*")/SUMIFS(Ordenes!$Q$2:$Q$840,Ordenes!$C$2:$C$840,$B111,Ordenes!$T$2:$T$840,"Válida",Ordenes!$F$2:$F$840,"*"),"")</f>
        <v/>
      </c>
      <c r="M111" s="20">
        <f>IFERROR(SUMIFS(Ordenes!$V$2:$V$840,Ordenes!$C$2:$C$840,$B111,Ordenes!$T$2:$T$840,"Válida")/SUMIFS(Ordenes!$Q$2:$Q$840,Ordenes!$C$2:$C$840,$B111,Ordenes!$T$2:$T$840,"Válida"),"")</f>
        <v/>
      </c>
      <c r="N111" s="21">
        <f>IFERROR((L111-M111)*100,"")</f>
        <v/>
      </c>
      <c r="O111" s="19">
        <f>SUMIFS(Ordenes!$P$2:$P$840,Ordenes!$C$2:$C$840,$B111,Ordenes!$T$2:$T$840,"Válida")</f>
        <v/>
      </c>
      <c r="P111" s="19">
        <f>SUMIFS(Ordenes!$Q$2:$Q$840,Ordenes!$C$2:$C$840,$B111,Ordenes!$T$2:$T$840,"Válida")</f>
        <v/>
      </c>
      <c r="Q111" s="18">
        <f>COUNTIFS(Ordenes!$C$2:$C$840,$B111,Ordenes!$T$2:$T$840,"Válida")</f>
        <v/>
      </c>
    </row>
    <row r="112">
      <c r="A112" s="18" t="inlineStr">
        <is>
          <t>Mar 19 may 2026</t>
        </is>
      </c>
      <c r="B112" s="22" t="n">
        <v>46161</v>
      </c>
      <c r="C112" s="18" t="inlineStr">
        <is>
          <t>S21</t>
        </is>
      </c>
      <c r="D112" s="20">
        <f>IFERROR(SUMIFS(Ordenes!$P$2:$P$840,Ordenes!$C$2:$C$840,$B112,Ordenes!$T$2:$T$840,"Válida",Ordenes!$F$2:$F$840,"B Hormigón")/SUMIFS(Ordenes!$Q$2:$Q$840,Ordenes!$C$2:$C$840,$B112,Ordenes!$T$2:$T$840,"Válida",Ordenes!$F$2:$F$840,"B Hormigón"),"")</f>
        <v/>
      </c>
      <c r="E112" s="20">
        <f>IFERROR(SUMIFS(Ordenes!$P$2:$P$840,Ordenes!$C$2:$C$840,$B112,Ordenes!$T$2:$T$840,"Válida",Ordenes!$F$2:$F$840,"Redondo liso")/SUMIFS(Ordenes!$Q$2:$Q$840,Ordenes!$C$2:$C$840,$B112,Ordenes!$T$2:$T$840,"Válida",Ordenes!$F$2:$F$840,"Redondo liso"),"")</f>
        <v/>
      </c>
      <c r="F112" s="20">
        <f>IFERROR(SUMIFS(Ordenes!$P$2:$P$840,Ordenes!$C$2:$C$840,$B112,Ordenes!$T$2:$T$840,"Válida",Ordenes!$F$2:$F$840,"Plana")/SUMIFS(Ordenes!$Q$2:$Q$840,Ordenes!$C$2:$C$840,$B112,Ordenes!$T$2:$T$840,"Válida",Ordenes!$F$2:$F$840,"Plana"),"")</f>
        <v/>
      </c>
      <c r="G112" s="20">
        <f>IFERROR(SUMIFS(Ordenes!$P$2:$P$840,Ordenes!$C$2:$C$840,$B112,Ordenes!$T$2:$T$840,"Válida",Ordenes!$F$2:$F$840,"Ángulo")/SUMIFS(Ordenes!$Q$2:$Q$840,Ordenes!$C$2:$C$840,$B112,Ordenes!$T$2:$T$840,"Válida",Ordenes!$F$2:$F$840,"Ángulo"),"")</f>
        <v/>
      </c>
      <c r="H112" s="20">
        <f>IFERROR(SUMIFS(Ordenes!$P$2:$P$840,Ordenes!$C$2:$C$840,$B112,Ordenes!$T$2:$T$840,"Válida",Ordenes!$F$2:$F$840,"Cuadrado")/SUMIFS(Ordenes!$Q$2:$Q$840,Ordenes!$C$2:$C$840,$B112,Ordenes!$T$2:$T$840,"Válida",Ordenes!$F$2:$F$840,"Cuadrado"),"")</f>
        <v/>
      </c>
      <c r="I112" s="20">
        <f>IFERROR(SUMIFS(Ordenes!$P$2:$P$840,Ordenes!$C$2:$C$840,$B112,Ordenes!$T$2:$T$840,"Válida",Ordenes!$F$2:$F$840,"Estrella")/SUMIFS(Ordenes!$Q$2:$Q$840,Ordenes!$C$2:$C$840,$B112,Ordenes!$T$2:$T$840,"Válida",Ordenes!$F$2:$F$840,"Estrella"),"")</f>
        <v/>
      </c>
      <c r="J112" s="20">
        <f>IFERROR(SUMIFS(Ordenes!$P$2:$P$840,Ordenes!$C$2:$C$840,$B112,Ordenes!$T$2:$T$840,"Válida",Ordenes!$F$2:$F$840,"Saferock")/SUMIFS(Ordenes!$Q$2:$Q$840,Ordenes!$C$2:$C$840,$B112,Ordenes!$T$2:$T$840,"Válida",Ordenes!$F$2:$F$840,"Saferock"),"")</f>
        <v/>
      </c>
      <c r="K112" s="20">
        <f>IFERROR(SUMIFS(Ordenes!$P$2:$P$840,Ordenes!$C$2:$C$840,$B112,Ordenes!$T$2:$T$840,"Válida",Ordenes!$F$2:$F$840,"Hexágono")/SUMIFS(Ordenes!$Q$2:$Q$840,Ordenes!$C$2:$C$840,$B112,Ordenes!$T$2:$T$840,"Válida",Ordenes!$F$2:$F$840,"Hexágono"),"")</f>
        <v/>
      </c>
      <c r="L112" s="24">
        <f>IFERROR(SUMIFS(Ordenes!$P$2:$P$840,Ordenes!$C$2:$C$840,$B112,Ordenes!$T$2:$T$840,"Válida",Ordenes!$F$2:$F$840,"*")/SUMIFS(Ordenes!$Q$2:$Q$840,Ordenes!$C$2:$C$840,$B112,Ordenes!$T$2:$T$840,"Válida",Ordenes!$F$2:$F$840,"*"),"")</f>
        <v/>
      </c>
      <c r="M112" s="20">
        <f>IFERROR(SUMIFS(Ordenes!$V$2:$V$840,Ordenes!$C$2:$C$840,$B112,Ordenes!$T$2:$T$840,"Válida")/SUMIFS(Ordenes!$Q$2:$Q$840,Ordenes!$C$2:$C$840,$B112,Ordenes!$T$2:$T$840,"Válida"),"")</f>
        <v/>
      </c>
      <c r="N112" s="21">
        <f>IFERROR((L112-M112)*100,"")</f>
        <v/>
      </c>
      <c r="O112" s="19">
        <f>SUMIFS(Ordenes!$P$2:$P$840,Ordenes!$C$2:$C$840,$B112,Ordenes!$T$2:$T$840,"Válida")</f>
        <v/>
      </c>
      <c r="P112" s="19">
        <f>SUMIFS(Ordenes!$Q$2:$Q$840,Ordenes!$C$2:$C$840,$B112,Ordenes!$T$2:$T$840,"Válida")</f>
        <v/>
      </c>
      <c r="Q112" s="18">
        <f>COUNTIFS(Ordenes!$C$2:$C$840,$B112,Ordenes!$T$2:$T$840,"Válida")</f>
        <v/>
      </c>
    </row>
    <row r="113">
      <c r="A113" s="18" t="inlineStr">
        <is>
          <t>Mié 20 may 2026</t>
        </is>
      </c>
      <c r="B113" s="22" t="n">
        <v>46162</v>
      </c>
      <c r="C113" s="18" t="inlineStr">
        <is>
          <t>S21</t>
        </is>
      </c>
      <c r="D113" s="20">
        <f>IFERROR(SUMIFS(Ordenes!$P$2:$P$840,Ordenes!$C$2:$C$840,$B113,Ordenes!$T$2:$T$840,"Válida",Ordenes!$F$2:$F$840,"B Hormigón")/SUMIFS(Ordenes!$Q$2:$Q$840,Ordenes!$C$2:$C$840,$B113,Ordenes!$T$2:$T$840,"Válida",Ordenes!$F$2:$F$840,"B Hormigón"),"")</f>
        <v/>
      </c>
      <c r="E113" s="20">
        <f>IFERROR(SUMIFS(Ordenes!$P$2:$P$840,Ordenes!$C$2:$C$840,$B113,Ordenes!$T$2:$T$840,"Válida",Ordenes!$F$2:$F$840,"Redondo liso")/SUMIFS(Ordenes!$Q$2:$Q$840,Ordenes!$C$2:$C$840,$B113,Ordenes!$T$2:$T$840,"Válida",Ordenes!$F$2:$F$840,"Redondo liso"),"")</f>
        <v/>
      </c>
      <c r="F113" s="20">
        <f>IFERROR(SUMIFS(Ordenes!$P$2:$P$840,Ordenes!$C$2:$C$840,$B113,Ordenes!$T$2:$T$840,"Válida",Ordenes!$F$2:$F$840,"Plana")/SUMIFS(Ordenes!$Q$2:$Q$840,Ordenes!$C$2:$C$840,$B113,Ordenes!$T$2:$T$840,"Válida",Ordenes!$F$2:$F$840,"Plana"),"")</f>
        <v/>
      </c>
      <c r="G113" s="20">
        <f>IFERROR(SUMIFS(Ordenes!$P$2:$P$840,Ordenes!$C$2:$C$840,$B113,Ordenes!$T$2:$T$840,"Válida",Ordenes!$F$2:$F$840,"Ángulo")/SUMIFS(Ordenes!$Q$2:$Q$840,Ordenes!$C$2:$C$840,$B113,Ordenes!$T$2:$T$840,"Válida",Ordenes!$F$2:$F$840,"Ángulo"),"")</f>
        <v/>
      </c>
      <c r="H113" s="20">
        <f>IFERROR(SUMIFS(Ordenes!$P$2:$P$840,Ordenes!$C$2:$C$840,$B113,Ordenes!$T$2:$T$840,"Válida",Ordenes!$F$2:$F$840,"Cuadrado")/SUMIFS(Ordenes!$Q$2:$Q$840,Ordenes!$C$2:$C$840,$B113,Ordenes!$T$2:$T$840,"Válida",Ordenes!$F$2:$F$840,"Cuadrado"),"")</f>
        <v/>
      </c>
      <c r="I113" s="20">
        <f>IFERROR(SUMIFS(Ordenes!$P$2:$P$840,Ordenes!$C$2:$C$840,$B113,Ordenes!$T$2:$T$840,"Válida",Ordenes!$F$2:$F$840,"Estrella")/SUMIFS(Ordenes!$Q$2:$Q$840,Ordenes!$C$2:$C$840,$B113,Ordenes!$T$2:$T$840,"Válida",Ordenes!$F$2:$F$840,"Estrella"),"")</f>
        <v/>
      </c>
      <c r="J113" s="20">
        <f>IFERROR(SUMIFS(Ordenes!$P$2:$P$840,Ordenes!$C$2:$C$840,$B113,Ordenes!$T$2:$T$840,"Válida",Ordenes!$F$2:$F$840,"Saferock")/SUMIFS(Ordenes!$Q$2:$Q$840,Ordenes!$C$2:$C$840,$B113,Ordenes!$T$2:$T$840,"Válida",Ordenes!$F$2:$F$840,"Saferock"),"")</f>
        <v/>
      </c>
      <c r="K113" s="20">
        <f>IFERROR(SUMIFS(Ordenes!$P$2:$P$840,Ordenes!$C$2:$C$840,$B113,Ordenes!$T$2:$T$840,"Válida",Ordenes!$F$2:$F$840,"Hexágono")/SUMIFS(Ordenes!$Q$2:$Q$840,Ordenes!$C$2:$C$840,$B113,Ordenes!$T$2:$T$840,"Válida",Ordenes!$F$2:$F$840,"Hexágono"),"")</f>
        <v/>
      </c>
      <c r="L113" s="24">
        <f>IFERROR(SUMIFS(Ordenes!$P$2:$P$840,Ordenes!$C$2:$C$840,$B113,Ordenes!$T$2:$T$840,"Válida",Ordenes!$F$2:$F$840,"*")/SUMIFS(Ordenes!$Q$2:$Q$840,Ordenes!$C$2:$C$840,$B113,Ordenes!$T$2:$T$840,"Válida",Ordenes!$F$2:$F$840,"*"),"")</f>
        <v/>
      </c>
      <c r="M113" s="20">
        <f>IFERROR(SUMIFS(Ordenes!$V$2:$V$840,Ordenes!$C$2:$C$840,$B113,Ordenes!$T$2:$T$840,"Válida")/SUMIFS(Ordenes!$Q$2:$Q$840,Ordenes!$C$2:$C$840,$B113,Ordenes!$T$2:$T$840,"Válida"),"")</f>
        <v/>
      </c>
      <c r="N113" s="21">
        <f>IFERROR((L113-M113)*100,"")</f>
        <v/>
      </c>
      <c r="O113" s="19">
        <f>SUMIFS(Ordenes!$P$2:$P$840,Ordenes!$C$2:$C$840,$B113,Ordenes!$T$2:$T$840,"Válida")</f>
        <v/>
      </c>
      <c r="P113" s="19">
        <f>SUMIFS(Ordenes!$Q$2:$Q$840,Ordenes!$C$2:$C$840,$B113,Ordenes!$T$2:$T$840,"Válida")</f>
        <v/>
      </c>
      <c r="Q113" s="18">
        <f>COUNTIFS(Ordenes!$C$2:$C$840,$B113,Ordenes!$T$2:$T$840,"Válida")</f>
        <v/>
      </c>
    </row>
    <row r="114">
      <c r="A114" s="18" t="inlineStr">
        <is>
          <t>Jue 21 may 2026</t>
        </is>
      </c>
      <c r="B114" s="22" t="n">
        <v>46163</v>
      </c>
      <c r="C114" s="18" t="inlineStr">
        <is>
          <t>S21</t>
        </is>
      </c>
      <c r="D114" s="20">
        <f>IFERROR(SUMIFS(Ordenes!$P$2:$P$840,Ordenes!$C$2:$C$840,$B114,Ordenes!$T$2:$T$840,"Válida",Ordenes!$F$2:$F$840,"B Hormigón")/SUMIFS(Ordenes!$Q$2:$Q$840,Ordenes!$C$2:$C$840,$B114,Ordenes!$T$2:$T$840,"Válida",Ordenes!$F$2:$F$840,"B Hormigón"),"")</f>
        <v/>
      </c>
      <c r="E114" s="20">
        <f>IFERROR(SUMIFS(Ordenes!$P$2:$P$840,Ordenes!$C$2:$C$840,$B114,Ordenes!$T$2:$T$840,"Válida",Ordenes!$F$2:$F$840,"Redondo liso")/SUMIFS(Ordenes!$Q$2:$Q$840,Ordenes!$C$2:$C$840,$B114,Ordenes!$T$2:$T$840,"Válida",Ordenes!$F$2:$F$840,"Redondo liso"),"")</f>
        <v/>
      </c>
      <c r="F114" s="20">
        <f>IFERROR(SUMIFS(Ordenes!$P$2:$P$840,Ordenes!$C$2:$C$840,$B114,Ordenes!$T$2:$T$840,"Válida",Ordenes!$F$2:$F$840,"Plana")/SUMIFS(Ordenes!$Q$2:$Q$840,Ordenes!$C$2:$C$840,$B114,Ordenes!$T$2:$T$840,"Válida",Ordenes!$F$2:$F$840,"Plana"),"")</f>
        <v/>
      </c>
      <c r="G114" s="20">
        <f>IFERROR(SUMIFS(Ordenes!$P$2:$P$840,Ordenes!$C$2:$C$840,$B114,Ordenes!$T$2:$T$840,"Válida",Ordenes!$F$2:$F$840,"Ángulo")/SUMIFS(Ordenes!$Q$2:$Q$840,Ordenes!$C$2:$C$840,$B114,Ordenes!$T$2:$T$840,"Válida",Ordenes!$F$2:$F$840,"Ángulo"),"")</f>
        <v/>
      </c>
      <c r="H114" s="20">
        <f>IFERROR(SUMIFS(Ordenes!$P$2:$P$840,Ordenes!$C$2:$C$840,$B114,Ordenes!$T$2:$T$840,"Válida",Ordenes!$F$2:$F$840,"Cuadrado")/SUMIFS(Ordenes!$Q$2:$Q$840,Ordenes!$C$2:$C$840,$B114,Ordenes!$T$2:$T$840,"Válida",Ordenes!$F$2:$F$840,"Cuadrado"),"")</f>
        <v/>
      </c>
      <c r="I114" s="20">
        <f>IFERROR(SUMIFS(Ordenes!$P$2:$P$840,Ordenes!$C$2:$C$840,$B114,Ordenes!$T$2:$T$840,"Válida",Ordenes!$F$2:$F$840,"Estrella")/SUMIFS(Ordenes!$Q$2:$Q$840,Ordenes!$C$2:$C$840,$B114,Ordenes!$T$2:$T$840,"Válida",Ordenes!$F$2:$F$840,"Estrella"),"")</f>
        <v/>
      </c>
      <c r="J114" s="20">
        <f>IFERROR(SUMIFS(Ordenes!$P$2:$P$840,Ordenes!$C$2:$C$840,$B114,Ordenes!$T$2:$T$840,"Válida",Ordenes!$F$2:$F$840,"Saferock")/SUMIFS(Ordenes!$Q$2:$Q$840,Ordenes!$C$2:$C$840,$B114,Ordenes!$T$2:$T$840,"Válida",Ordenes!$F$2:$F$840,"Saferock"),"")</f>
        <v/>
      </c>
      <c r="K114" s="20">
        <f>IFERROR(SUMIFS(Ordenes!$P$2:$P$840,Ordenes!$C$2:$C$840,$B114,Ordenes!$T$2:$T$840,"Válida",Ordenes!$F$2:$F$840,"Hexágono")/SUMIFS(Ordenes!$Q$2:$Q$840,Ordenes!$C$2:$C$840,$B114,Ordenes!$T$2:$T$840,"Válida",Ordenes!$F$2:$F$840,"Hexágono"),"")</f>
        <v/>
      </c>
      <c r="L114" s="24">
        <f>IFERROR(SUMIFS(Ordenes!$P$2:$P$840,Ordenes!$C$2:$C$840,$B114,Ordenes!$T$2:$T$840,"Válida",Ordenes!$F$2:$F$840,"*")/SUMIFS(Ordenes!$Q$2:$Q$840,Ordenes!$C$2:$C$840,$B114,Ordenes!$T$2:$T$840,"Válida",Ordenes!$F$2:$F$840,"*"),"")</f>
        <v/>
      </c>
      <c r="M114" s="20">
        <f>IFERROR(SUMIFS(Ordenes!$V$2:$V$840,Ordenes!$C$2:$C$840,$B114,Ordenes!$T$2:$T$840,"Válida")/SUMIFS(Ordenes!$Q$2:$Q$840,Ordenes!$C$2:$C$840,$B114,Ordenes!$T$2:$T$840,"Válida"),"")</f>
        <v/>
      </c>
      <c r="N114" s="21">
        <f>IFERROR((L114-M114)*100,"")</f>
        <v/>
      </c>
      <c r="O114" s="19">
        <f>SUMIFS(Ordenes!$P$2:$P$840,Ordenes!$C$2:$C$840,$B114,Ordenes!$T$2:$T$840,"Válida")</f>
        <v/>
      </c>
      <c r="P114" s="19">
        <f>SUMIFS(Ordenes!$Q$2:$Q$840,Ordenes!$C$2:$C$840,$B114,Ordenes!$T$2:$T$840,"Válida")</f>
        <v/>
      </c>
      <c r="Q114" s="18">
        <f>COUNTIFS(Ordenes!$C$2:$C$840,$B114,Ordenes!$T$2:$T$840,"Válida")</f>
        <v/>
      </c>
    </row>
    <row r="115">
      <c r="A115" s="18" t="inlineStr">
        <is>
          <t>Vie 22 may 2026</t>
        </is>
      </c>
      <c r="B115" s="22" t="n">
        <v>46164</v>
      </c>
      <c r="C115" s="18" t="inlineStr">
        <is>
          <t>S21</t>
        </is>
      </c>
      <c r="D115" s="20">
        <f>IFERROR(SUMIFS(Ordenes!$P$2:$P$840,Ordenes!$C$2:$C$840,$B115,Ordenes!$T$2:$T$840,"Válida",Ordenes!$F$2:$F$840,"B Hormigón")/SUMIFS(Ordenes!$Q$2:$Q$840,Ordenes!$C$2:$C$840,$B115,Ordenes!$T$2:$T$840,"Válida",Ordenes!$F$2:$F$840,"B Hormigón"),"")</f>
        <v/>
      </c>
      <c r="E115" s="20">
        <f>IFERROR(SUMIFS(Ordenes!$P$2:$P$840,Ordenes!$C$2:$C$840,$B115,Ordenes!$T$2:$T$840,"Válida",Ordenes!$F$2:$F$840,"Redondo liso")/SUMIFS(Ordenes!$Q$2:$Q$840,Ordenes!$C$2:$C$840,$B115,Ordenes!$T$2:$T$840,"Válida",Ordenes!$F$2:$F$840,"Redondo liso"),"")</f>
        <v/>
      </c>
      <c r="F115" s="20">
        <f>IFERROR(SUMIFS(Ordenes!$P$2:$P$840,Ordenes!$C$2:$C$840,$B115,Ordenes!$T$2:$T$840,"Válida",Ordenes!$F$2:$F$840,"Plana")/SUMIFS(Ordenes!$Q$2:$Q$840,Ordenes!$C$2:$C$840,$B115,Ordenes!$T$2:$T$840,"Válida",Ordenes!$F$2:$F$840,"Plana"),"")</f>
        <v/>
      </c>
      <c r="G115" s="20">
        <f>IFERROR(SUMIFS(Ordenes!$P$2:$P$840,Ordenes!$C$2:$C$840,$B115,Ordenes!$T$2:$T$840,"Válida",Ordenes!$F$2:$F$840,"Ángulo")/SUMIFS(Ordenes!$Q$2:$Q$840,Ordenes!$C$2:$C$840,$B115,Ordenes!$T$2:$T$840,"Válida",Ordenes!$F$2:$F$840,"Ángulo"),"")</f>
        <v/>
      </c>
      <c r="H115" s="20">
        <f>IFERROR(SUMIFS(Ordenes!$P$2:$P$840,Ordenes!$C$2:$C$840,$B115,Ordenes!$T$2:$T$840,"Válida",Ordenes!$F$2:$F$840,"Cuadrado")/SUMIFS(Ordenes!$Q$2:$Q$840,Ordenes!$C$2:$C$840,$B115,Ordenes!$T$2:$T$840,"Válida",Ordenes!$F$2:$F$840,"Cuadrado"),"")</f>
        <v/>
      </c>
      <c r="I115" s="20">
        <f>IFERROR(SUMIFS(Ordenes!$P$2:$P$840,Ordenes!$C$2:$C$840,$B115,Ordenes!$T$2:$T$840,"Válida",Ordenes!$F$2:$F$840,"Estrella")/SUMIFS(Ordenes!$Q$2:$Q$840,Ordenes!$C$2:$C$840,$B115,Ordenes!$T$2:$T$840,"Válida",Ordenes!$F$2:$F$840,"Estrella"),"")</f>
        <v/>
      </c>
      <c r="J115" s="20">
        <f>IFERROR(SUMIFS(Ordenes!$P$2:$P$840,Ordenes!$C$2:$C$840,$B115,Ordenes!$T$2:$T$840,"Válida",Ordenes!$F$2:$F$840,"Saferock")/SUMIFS(Ordenes!$Q$2:$Q$840,Ordenes!$C$2:$C$840,$B115,Ordenes!$T$2:$T$840,"Válida",Ordenes!$F$2:$F$840,"Saferock"),"")</f>
        <v/>
      </c>
      <c r="K115" s="20">
        <f>IFERROR(SUMIFS(Ordenes!$P$2:$P$840,Ordenes!$C$2:$C$840,$B115,Ordenes!$T$2:$T$840,"Válida",Ordenes!$F$2:$F$840,"Hexágono")/SUMIFS(Ordenes!$Q$2:$Q$840,Ordenes!$C$2:$C$840,$B115,Ordenes!$T$2:$T$840,"Válida",Ordenes!$F$2:$F$840,"Hexágono"),"")</f>
        <v/>
      </c>
      <c r="L115" s="24">
        <f>IFERROR(SUMIFS(Ordenes!$P$2:$P$840,Ordenes!$C$2:$C$840,$B115,Ordenes!$T$2:$T$840,"Válida",Ordenes!$F$2:$F$840,"*")/SUMIFS(Ordenes!$Q$2:$Q$840,Ordenes!$C$2:$C$840,$B115,Ordenes!$T$2:$T$840,"Válida",Ordenes!$F$2:$F$840,"*"),"")</f>
        <v/>
      </c>
      <c r="M115" s="20">
        <f>IFERROR(SUMIFS(Ordenes!$V$2:$V$840,Ordenes!$C$2:$C$840,$B115,Ordenes!$T$2:$T$840,"Válida")/SUMIFS(Ordenes!$Q$2:$Q$840,Ordenes!$C$2:$C$840,$B115,Ordenes!$T$2:$T$840,"Válida"),"")</f>
        <v/>
      </c>
      <c r="N115" s="21">
        <f>IFERROR((L115-M115)*100,"")</f>
        <v/>
      </c>
      <c r="O115" s="19">
        <f>SUMIFS(Ordenes!$P$2:$P$840,Ordenes!$C$2:$C$840,$B115,Ordenes!$T$2:$T$840,"Válida")</f>
        <v/>
      </c>
      <c r="P115" s="19">
        <f>SUMIFS(Ordenes!$Q$2:$Q$840,Ordenes!$C$2:$C$840,$B115,Ordenes!$T$2:$T$840,"Válida")</f>
        <v/>
      </c>
      <c r="Q115" s="18">
        <f>COUNTIFS(Ordenes!$C$2:$C$840,$B115,Ordenes!$T$2:$T$840,"Válida")</f>
        <v/>
      </c>
    </row>
    <row r="116">
      <c r="A116" s="18" t="inlineStr">
        <is>
          <t>Sáb 23 may 2026</t>
        </is>
      </c>
      <c r="B116" s="22" t="n">
        <v>46165</v>
      </c>
      <c r="C116" s="18" t="inlineStr">
        <is>
          <t>S21</t>
        </is>
      </c>
      <c r="D116" s="20">
        <f>IFERROR(SUMIFS(Ordenes!$P$2:$P$840,Ordenes!$C$2:$C$840,$B116,Ordenes!$T$2:$T$840,"Válida",Ordenes!$F$2:$F$840,"B Hormigón")/SUMIFS(Ordenes!$Q$2:$Q$840,Ordenes!$C$2:$C$840,$B116,Ordenes!$T$2:$T$840,"Válida",Ordenes!$F$2:$F$840,"B Hormigón"),"")</f>
        <v/>
      </c>
      <c r="E116" s="20">
        <f>IFERROR(SUMIFS(Ordenes!$P$2:$P$840,Ordenes!$C$2:$C$840,$B116,Ordenes!$T$2:$T$840,"Válida",Ordenes!$F$2:$F$840,"Redondo liso")/SUMIFS(Ordenes!$Q$2:$Q$840,Ordenes!$C$2:$C$840,$B116,Ordenes!$T$2:$T$840,"Válida",Ordenes!$F$2:$F$840,"Redondo liso"),"")</f>
        <v/>
      </c>
      <c r="F116" s="20">
        <f>IFERROR(SUMIFS(Ordenes!$P$2:$P$840,Ordenes!$C$2:$C$840,$B116,Ordenes!$T$2:$T$840,"Válida",Ordenes!$F$2:$F$840,"Plana")/SUMIFS(Ordenes!$Q$2:$Q$840,Ordenes!$C$2:$C$840,$B116,Ordenes!$T$2:$T$840,"Válida",Ordenes!$F$2:$F$840,"Plana"),"")</f>
        <v/>
      </c>
      <c r="G116" s="20">
        <f>IFERROR(SUMIFS(Ordenes!$P$2:$P$840,Ordenes!$C$2:$C$840,$B116,Ordenes!$T$2:$T$840,"Válida",Ordenes!$F$2:$F$840,"Ángulo")/SUMIFS(Ordenes!$Q$2:$Q$840,Ordenes!$C$2:$C$840,$B116,Ordenes!$T$2:$T$840,"Válida",Ordenes!$F$2:$F$840,"Ángulo"),"")</f>
        <v/>
      </c>
      <c r="H116" s="20">
        <f>IFERROR(SUMIFS(Ordenes!$P$2:$P$840,Ordenes!$C$2:$C$840,$B116,Ordenes!$T$2:$T$840,"Válida",Ordenes!$F$2:$F$840,"Cuadrado")/SUMIFS(Ordenes!$Q$2:$Q$840,Ordenes!$C$2:$C$840,$B116,Ordenes!$T$2:$T$840,"Válida",Ordenes!$F$2:$F$840,"Cuadrado"),"")</f>
        <v/>
      </c>
      <c r="I116" s="20">
        <f>IFERROR(SUMIFS(Ordenes!$P$2:$P$840,Ordenes!$C$2:$C$840,$B116,Ordenes!$T$2:$T$840,"Válida",Ordenes!$F$2:$F$840,"Estrella")/SUMIFS(Ordenes!$Q$2:$Q$840,Ordenes!$C$2:$C$840,$B116,Ordenes!$T$2:$T$840,"Válida",Ordenes!$F$2:$F$840,"Estrella"),"")</f>
        <v/>
      </c>
      <c r="J116" s="20">
        <f>IFERROR(SUMIFS(Ordenes!$P$2:$P$840,Ordenes!$C$2:$C$840,$B116,Ordenes!$T$2:$T$840,"Válida",Ordenes!$F$2:$F$840,"Saferock")/SUMIFS(Ordenes!$Q$2:$Q$840,Ordenes!$C$2:$C$840,$B116,Ordenes!$T$2:$T$840,"Válida",Ordenes!$F$2:$F$840,"Saferock"),"")</f>
        <v/>
      </c>
      <c r="K116" s="20">
        <f>IFERROR(SUMIFS(Ordenes!$P$2:$P$840,Ordenes!$C$2:$C$840,$B116,Ordenes!$T$2:$T$840,"Válida",Ordenes!$F$2:$F$840,"Hexágono")/SUMIFS(Ordenes!$Q$2:$Q$840,Ordenes!$C$2:$C$840,$B116,Ordenes!$T$2:$T$840,"Válida",Ordenes!$F$2:$F$840,"Hexágono"),"")</f>
        <v/>
      </c>
      <c r="L116" s="24">
        <f>IFERROR(SUMIFS(Ordenes!$P$2:$P$840,Ordenes!$C$2:$C$840,$B116,Ordenes!$T$2:$T$840,"Válida",Ordenes!$F$2:$F$840,"*")/SUMIFS(Ordenes!$Q$2:$Q$840,Ordenes!$C$2:$C$840,$B116,Ordenes!$T$2:$T$840,"Válida",Ordenes!$F$2:$F$840,"*"),"")</f>
        <v/>
      </c>
      <c r="M116" s="20">
        <f>IFERROR(SUMIFS(Ordenes!$V$2:$V$840,Ordenes!$C$2:$C$840,$B116,Ordenes!$T$2:$T$840,"Válida")/SUMIFS(Ordenes!$Q$2:$Q$840,Ordenes!$C$2:$C$840,$B116,Ordenes!$T$2:$T$840,"Válida"),"")</f>
        <v/>
      </c>
      <c r="N116" s="21">
        <f>IFERROR((L116-M116)*100,"")</f>
        <v/>
      </c>
      <c r="O116" s="19">
        <f>SUMIFS(Ordenes!$P$2:$P$840,Ordenes!$C$2:$C$840,$B116,Ordenes!$T$2:$T$840,"Válida")</f>
        <v/>
      </c>
      <c r="P116" s="19">
        <f>SUMIFS(Ordenes!$Q$2:$Q$840,Ordenes!$C$2:$C$840,$B116,Ordenes!$T$2:$T$840,"Válida")</f>
        <v/>
      </c>
      <c r="Q116" s="18">
        <f>COUNTIFS(Ordenes!$C$2:$C$840,$B116,Ordenes!$T$2:$T$840,"Válida")</f>
        <v/>
      </c>
    </row>
    <row r="117">
      <c r="A117" s="18" t="inlineStr">
        <is>
          <t>Dom 24 may 2026</t>
        </is>
      </c>
      <c r="B117" s="22" t="n">
        <v>46166</v>
      </c>
      <c r="C117" s="18" t="inlineStr">
        <is>
          <t>S21</t>
        </is>
      </c>
      <c r="D117" s="20">
        <f>IFERROR(SUMIFS(Ordenes!$P$2:$P$840,Ordenes!$C$2:$C$840,$B117,Ordenes!$T$2:$T$840,"Válida",Ordenes!$F$2:$F$840,"B Hormigón")/SUMIFS(Ordenes!$Q$2:$Q$840,Ordenes!$C$2:$C$840,$B117,Ordenes!$T$2:$T$840,"Válida",Ordenes!$F$2:$F$840,"B Hormigón"),"")</f>
        <v/>
      </c>
      <c r="E117" s="20">
        <f>IFERROR(SUMIFS(Ordenes!$P$2:$P$840,Ordenes!$C$2:$C$840,$B117,Ordenes!$T$2:$T$840,"Válida",Ordenes!$F$2:$F$840,"Redondo liso")/SUMIFS(Ordenes!$Q$2:$Q$840,Ordenes!$C$2:$C$840,$B117,Ordenes!$T$2:$T$840,"Válida",Ordenes!$F$2:$F$840,"Redondo liso"),"")</f>
        <v/>
      </c>
      <c r="F117" s="20">
        <f>IFERROR(SUMIFS(Ordenes!$P$2:$P$840,Ordenes!$C$2:$C$840,$B117,Ordenes!$T$2:$T$840,"Válida",Ordenes!$F$2:$F$840,"Plana")/SUMIFS(Ordenes!$Q$2:$Q$840,Ordenes!$C$2:$C$840,$B117,Ordenes!$T$2:$T$840,"Válida",Ordenes!$F$2:$F$840,"Plana"),"")</f>
        <v/>
      </c>
      <c r="G117" s="20">
        <f>IFERROR(SUMIFS(Ordenes!$P$2:$P$840,Ordenes!$C$2:$C$840,$B117,Ordenes!$T$2:$T$840,"Válida",Ordenes!$F$2:$F$840,"Ángulo")/SUMIFS(Ordenes!$Q$2:$Q$840,Ordenes!$C$2:$C$840,$B117,Ordenes!$T$2:$T$840,"Válida",Ordenes!$F$2:$F$840,"Ángulo"),"")</f>
        <v/>
      </c>
      <c r="H117" s="20">
        <f>IFERROR(SUMIFS(Ordenes!$P$2:$P$840,Ordenes!$C$2:$C$840,$B117,Ordenes!$T$2:$T$840,"Válida",Ordenes!$F$2:$F$840,"Cuadrado")/SUMIFS(Ordenes!$Q$2:$Q$840,Ordenes!$C$2:$C$840,$B117,Ordenes!$T$2:$T$840,"Válida",Ordenes!$F$2:$F$840,"Cuadrado"),"")</f>
        <v/>
      </c>
      <c r="I117" s="20">
        <f>IFERROR(SUMIFS(Ordenes!$P$2:$P$840,Ordenes!$C$2:$C$840,$B117,Ordenes!$T$2:$T$840,"Válida",Ordenes!$F$2:$F$840,"Estrella")/SUMIFS(Ordenes!$Q$2:$Q$840,Ordenes!$C$2:$C$840,$B117,Ordenes!$T$2:$T$840,"Válida",Ordenes!$F$2:$F$840,"Estrella"),"")</f>
        <v/>
      </c>
      <c r="J117" s="20">
        <f>IFERROR(SUMIFS(Ordenes!$P$2:$P$840,Ordenes!$C$2:$C$840,$B117,Ordenes!$T$2:$T$840,"Válida",Ordenes!$F$2:$F$840,"Saferock")/SUMIFS(Ordenes!$Q$2:$Q$840,Ordenes!$C$2:$C$840,$B117,Ordenes!$T$2:$T$840,"Válida",Ordenes!$F$2:$F$840,"Saferock"),"")</f>
        <v/>
      </c>
      <c r="K117" s="20">
        <f>IFERROR(SUMIFS(Ordenes!$P$2:$P$840,Ordenes!$C$2:$C$840,$B117,Ordenes!$T$2:$T$840,"Válida",Ordenes!$F$2:$F$840,"Hexágono")/SUMIFS(Ordenes!$Q$2:$Q$840,Ordenes!$C$2:$C$840,$B117,Ordenes!$T$2:$T$840,"Válida",Ordenes!$F$2:$F$840,"Hexágono"),"")</f>
        <v/>
      </c>
      <c r="L117" s="24">
        <f>IFERROR(SUMIFS(Ordenes!$P$2:$P$840,Ordenes!$C$2:$C$840,$B117,Ordenes!$T$2:$T$840,"Válida",Ordenes!$F$2:$F$840,"*")/SUMIFS(Ordenes!$Q$2:$Q$840,Ordenes!$C$2:$C$840,$B117,Ordenes!$T$2:$T$840,"Válida",Ordenes!$F$2:$F$840,"*"),"")</f>
        <v/>
      </c>
      <c r="M117" s="20">
        <f>IFERROR(SUMIFS(Ordenes!$V$2:$V$840,Ordenes!$C$2:$C$840,$B117,Ordenes!$T$2:$T$840,"Válida")/SUMIFS(Ordenes!$Q$2:$Q$840,Ordenes!$C$2:$C$840,$B117,Ordenes!$T$2:$T$840,"Válida"),"")</f>
        <v/>
      </c>
      <c r="N117" s="21">
        <f>IFERROR((L117-M117)*100,"")</f>
        <v/>
      </c>
      <c r="O117" s="19">
        <f>SUMIFS(Ordenes!$P$2:$P$840,Ordenes!$C$2:$C$840,$B117,Ordenes!$T$2:$T$840,"Válida")</f>
        <v/>
      </c>
      <c r="P117" s="19">
        <f>SUMIFS(Ordenes!$Q$2:$Q$840,Ordenes!$C$2:$C$840,$B117,Ordenes!$T$2:$T$840,"Válida")</f>
        <v/>
      </c>
      <c r="Q117" s="18">
        <f>COUNTIFS(Ordenes!$C$2:$C$840,$B117,Ordenes!$T$2:$T$840,"Válida")</f>
        <v/>
      </c>
    </row>
    <row r="118">
      <c r="A118" s="18" t="inlineStr">
        <is>
          <t>Lun 25 may 2026</t>
        </is>
      </c>
      <c r="B118" s="22" t="n">
        <v>46167</v>
      </c>
      <c r="C118" s="18" t="inlineStr">
        <is>
          <t>S22</t>
        </is>
      </c>
      <c r="D118" s="20">
        <f>IFERROR(SUMIFS(Ordenes!$P$2:$P$840,Ordenes!$C$2:$C$840,$B118,Ordenes!$T$2:$T$840,"Válida",Ordenes!$F$2:$F$840,"B Hormigón")/SUMIFS(Ordenes!$Q$2:$Q$840,Ordenes!$C$2:$C$840,$B118,Ordenes!$T$2:$T$840,"Válida",Ordenes!$F$2:$F$840,"B Hormigón"),"")</f>
        <v/>
      </c>
      <c r="E118" s="20">
        <f>IFERROR(SUMIFS(Ordenes!$P$2:$P$840,Ordenes!$C$2:$C$840,$B118,Ordenes!$T$2:$T$840,"Válida",Ordenes!$F$2:$F$840,"Redondo liso")/SUMIFS(Ordenes!$Q$2:$Q$840,Ordenes!$C$2:$C$840,$B118,Ordenes!$T$2:$T$840,"Válida",Ordenes!$F$2:$F$840,"Redondo liso"),"")</f>
        <v/>
      </c>
      <c r="F118" s="20">
        <f>IFERROR(SUMIFS(Ordenes!$P$2:$P$840,Ordenes!$C$2:$C$840,$B118,Ordenes!$T$2:$T$840,"Válida",Ordenes!$F$2:$F$840,"Plana")/SUMIFS(Ordenes!$Q$2:$Q$840,Ordenes!$C$2:$C$840,$B118,Ordenes!$T$2:$T$840,"Válida",Ordenes!$F$2:$F$840,"Plana"),"")</f>
        <v/>
      </c>
      <c r="G118" s="20">
        <f>IFERROR(SUMIFS(Ordenes!$P$2:$P$840,Ordenes!$C$2:$C$840,$B118,Ordenes!$T$2:$T$840,"Válida",Ordenes!$F$2:$F$840,"Ángulo")/SUMIFS(Ordenes!$Q$2:$Q$840,Ordenes!$C$2:$C$840,$B118,Ordenes!$T$2:$T$840,"Válida",Ordenes!$F$2:$F$840,"Ángulo"),"")</f>
        <v/>
      </c>
      <c r="H118" s="20">
        <f>IFERROR(SUMIFS(Ordenes!$P$2:$P$840,Ordenes!$C$2:$C$840,$B118,Ordenes!$T$2:$T$840,"Válida",Ordenes!$F$2:$F$840,"Cuadrado")/SUMIFS(Ordenes!$Q$2:$Q$840,Ordenes!$C$2:$C$840,$B118,Ordenes!$T$2:$T$840,"Válida",Ordenes!$F$2:$F$840,"Cuadrado"),"")</f>
        <v/>
      </c>
      <c r="I118" s="20">
        <f>IFERROR(SUMIFS(Ordenes!$P$2:$P$840,Ordenes!$C$2:$C$840,$B118,Ordenes!$T$2:$T$840,"Válida",Ordenes!$F$2:$F$840,"Estrella")/SUMIFS(Ordenes!$Q$2:$Q$840,Ordenes!$C$2:$C$840,$B118,Ordenes!$T$2:$T$840,"Válida",Ordenes!$F$2:$F$840,"Estrella"),"")</f>
        <v/>
      </c>
      <c r="J118" s="20">
        <f>IFERROR(SUMIFS(Ordenes!$P$2:$P$840,Ordenes!$C$2:$C$840,$B118,Ordenes!$T$2:$T$840,"Válida",Ordenes!$F$2:$F$840,"Saferock")/SUMIFS(Ordenes!$Q$2:$Q$840,Ordenes!$C$2:$C$840,$B118,Ordenes!$T$2:$T$840,"Válida",Ordenes!$F$2:$F$840,"Saferock"),"")</f>
        <v/>
      </c>
      <c r="K118" s="20">
        <f>IFERROR(SUMIFS(Ordenes!$P$2:$P$840,Ordenes!$C$2:$C$840,$B118,Ordenes!$T$2:$T$840,"Válida",Ordenes!$F$2:$F$840,"Hexágono")/SUMIFS(Ordenes!$Q$2:$Q$840,Ordenes!$C$2:$C$840,$B118,Ordenes!$T$2:$T$840,"Válida",Ordenes!$F$2:$F$840,"Hexágono"),"")</f>
        <v/>
      </c>
      <c r="L118" s="24">
        <f>IFERROR(SUMIFS(Ordenes!$P$2:$P$840,Ordenes!$C$2:$C$840,$B118,Ordenes!$T$2:$T$840,"Válida",Ordenes!$F$2:$F$840,"*")/SUMIFS(Ordenes!$Q$2:$Q$840,Ordenes!$C$2:$C$840,$B118,Ordenes!$T$2:$T$840,"Válida",Ordenes!$F$2:$F$840,"*"),"")</f>
        <v/>
      </c>
      <c r="M118" s="20">
        <f>IFERROR(SUMIFS(Ordenes!$V$2:$V$840,Ordenes!$C$2:$C$840,$B118,Ordenes!$T$2:$T$840,"Válida")/SUMIFS(Ordenes!$Q$2:$Q$840,Ordenes!$C$2:$C$840,$B118,Ordenes!$T$2:$T$840,"Válida"),"")</f>
        <v/>
      </c>
      <c r="N118" s="21">
        <f>IFERROR((L118-M118)*100,"")</f>
        <v/>
      </c>
      <c r="O118" s="19">
        <f>SUMIFS(Ordenes!$P$2:$P$840,Ordenes!$C$2:$C$840,$B118,Ordenes!$T$2:$T$840,"Válida")</f>
        <v/>
      </c>
      <c r="P118" s="19">
        <f>SUMIFS(Ordenes!$Q$2:$Q$840,Ordenes!$C$2:$C$840,$B118,Ordenes!$T$2:$T$840,"Válida")</f>
        <v/>
      </c>
      <c r="Q118" s="18">
        <f>COUNTIFS(Ordenes!$C$2:$C$840,$B118,Ordenes!$T$2:$T$840,"Válida")</f>
        <v/>
      </c>
    </row>
    <row r="119">
      <c r="A119" s="18" t="inlineStr">
        <is>
          <t>Mar 26 may 2026</t>
        </is>
      </c>
      <c r="B119" s="22" t="n">
        <v>46168</v>
      </c>
      <c r="C119" s="18" t="inlineStr">
        <is>
          <t>S22</t>
        </is>
      </c>
      <c r="D119" s="20">
        <f>IFERROR(SUMIFS(Ordenes!$P$2:$P$840,Ordenes!$C$2:$C$840,$B119,Ordenes!$T$2:$T$840,"Válida",Ordenes!$F$2:$F$840,"B Hormigón")/SUMIFS(Ordenes!$Q$2:$Q$840,Ordenes!$C$2:$C$840,$B119,Ordenes!$T$2:$T$840,"Válida",Ordenes!$F$2:$F$840,"B Hormigón"),"")</f>
        <v/>
      </c>
      <c r="E119" s="20">
        <f>IFERROR(SUMIFS(Ordenes!$P$2:$P$840,Ordenes!$C$2:$C$840,$B119,Ordenes!$T$2:$T$840,"Válida",Ordenes!$F$2:$F$840,"Redondo liso")/SUMIFS(Ordenes!$Q$2:$Q$840,Ordenes!$C$2:$C$840,$B119,Ordenes!$T$2:$T$840,"Válida",Ordenes!$F$2:$F$840,"Redondo liso"),"")</f>
        <v/>
      </c>
      <c r="F119" s="20">
        <f>IFERROR(SUMIFS(Ordenes!$P$2:$P$840,Ordenes!$C$2:$C$840,$B119,Ordenes!$T$2:$T$840,"Válida",Ordenes!$F$2:$F$840,"Plana")/SUMIFS(Ordenes!$Q$2:$Q$840,Ordenes!$C$2:$C$840,$B119,Ordenes!$T$2:$T$840,"Válida",Ordenes!$F$2:$F$840,"Plana"),"")</f>
        <v/>
      </c>
      <c r="G119" s="20">
        <f>IFERROR(SUMIFS(Ordenes!$P$2:$P$840,Ordenes!$C$2:$C$840,$B119,Ordenes!$T$2:$T$840,"Válida",Ordenes!$F$2:$F$840,"Ángulo")/SUMIFS(Ordenes!$Q$2:$Q$840,Ordenes!$C$2:$C$840,$B119,Ordenes!$T$2:$T$840,"Válida",Ordenes!$F$2:$F$840,"Ángulo"),"")</f>
        <v/>
      </c>
      <c r="H119" s="20">
        <f>IFERROR(SUMIFS(Ordenes!$P$2:$P$840,Ordenes!$C$2:$C$840,$B119,Ordenes!$T$2:$T$840,"Válida",Ordenes!$F$2:$F$840,"Cuadrado")/SUMIFS(Ordenes!$Q$2:$Q$840,Ordenes!$C$2:$C$840,$B119,Ordenes!$T$2:$T$840,"Válida",Ordenes!$F$2:$F$840,"Cuadrado"),"")</f>
        <v/>
      </c>
      <c r="I119" s="20">
        <f>IFERROR(SUMIFS(Ordenes!$P$2:$P$840,Ordenes!$C$2:$C$840,$B119,Ordenes!$T$2:$T$840,"Válida",Ordenes!$F$2:$F$840,"Estrella")/SUMIFS(Ordenes!$Q$2:$Q$840,Ordenes!$C$2:$C$840,$B119,Ordenes!$T$2:$T$840,"Válida",Ordenes!$F$2:$F$840,"Estrella"),"")</f>
        <v/>
      </c>
      <c r="J119" s="20">
        <f>IFERROR(SUMIFS(Ordenes!$P$2:$P$840,Ordenes!$C$2:$C$840,$B119,Ordenes!$T$2:$T$840,"Válida",Ordenes!$F$2:$F$840,"Saferock")/SUMIFS(Ordenes!$Q$2:$Q$840,Ordenes!$C$2:$C$840,$B119,Ordenes!$T$2:$T$840,"Válida",Ordenes!$F$2:$F$840,"Saferock"),"")</f>
        <v/>
      </c>
      <c r="K119" s="20">
        <f>IFERROR(SUMIFS(Ordenes!$P$2:$P$840,Ordenes!$C$2:$C$840,$B119,Ordenes!$T$2:$T$840,"Válida",Ordenes!$F$2:$F$840,"Hexágono")/SUMIFS(Ordenes!$Q$2:$Q$840,Ordenes!$C$2:$C$840,$B119,Ordenes!$T$2:$T$840,"Válida",Ordenes!$F$2:$F$840,"Hexágono"),"")</f>
        <v/>
      </c>
      <c r="L119" s="24">
        <f>IFERROR(SUMIFS(Ordenes!$P$2:$P$840,Ordenes!$C$2:$C$840,$B119,Ordenes!$T$2:$T$840,"Válida",Ordenes!$F$2:$F$840,"*")/SUMIFS(Ordenes!$Q$2:$Q$840,Ordenes!$C$2:$C$840,$B119,Ordenes!$T$2:$T$840,"Válida",Ordenes!$F$2:$F$840,"*"),"")</f>
        <v/>
      </c>
      <c r="M119" s="20">
        <f>IFERROR(SUMIFS(Ordenes!$V$2:$V$840,Ordenes!$C$2:$C$840,$B119,Ordenes!$T$2:$T$840,"Válida")/SUMIFS(Ordenes!$Q$2:$Q$840,Ordenes!$C$2:$C$840,$B119,Ordenes!$T$2:$T$840,"Válida"),"")</f>
        <v/>
      </c>
      <c r="N119" s="21">
        <f>IFERROR((L119-M119)*100,"")</f>
        <v/>
      </c>
      <c r="O119" s="19">
        <f>SUMIFS(Ordenes!$P$2:$P$840,Ordenes!$C$2:$C$840,$B119,Ordenes!$T$2:$T$840,"Válida")</f>
        <v/>
      </c>
      <c r="P119" s="19">
        <f>SUMIFS(Ordenes!$Q$2:$Q$840,Ordenes!$C$2:$C$840,$B119,Ordenes!$T$2:$T$840,"Válida")</f>
        <v/>
      </c>
      <c r="Q119" s="18">
        <f>COUNTIFS(Ordenes!$C$2:$C$840,$B119,Ordenes!$T$2:$T$840,"Válida")</f>
        <v/>
      </c>
    </row>
    <row r="120">
      <c r="A120" s="18" t="inlineStr">
        <is>
          <t>Mié 27 may 2026</t>
        </is>
      </c>
      <c r="B120" s="22" t="n">
        <v>46169</v>
      </c>
      <c r="C120" s="18" t="inlineStr">
        <is>
          <t>S22</t>
        </is>
      </c>
      <c r="D120" s="20">
        <f>IFERROR(SUMIFS(Ordenes!$P$2:$P$840,Ordenes!$C$2:$C$840,$B120,Ordenes!$T$2:$T$840,"Válida",Ordenes!$F$2:$F$840,"B Hormigón")/SUMIFS(Ordenes!$Q$2:$Q$840,Ordenes!$C$2:$C$840,$B120,Ordenes!$T$2:$T$840,"Válida",Ordenes!$F$2:$F$840,"B Hormigón"),"")</f>
        <v/>
      </c>
      <c r="E120" s="20">
        <f>IFERROR(SUMIFS(Ordenes!$P$2:$P$840,Ordenes!$C$2:$C$840,$B120,Ordenes!$T$2:$T$840,"Válida",Ordenes!$F$2:$F$840,"Redondo liso")/SUMIFS(Ordenes!$Q$2:$Q$840,Ordenes!$C$2:$C$840,$B120,Ordenes!$T$2:$T$840,"Válida",Ordenes!$F$2:$F$840,"Redondo liso"),"")</f>
        <v/>
      </c>
      <c r="F120" s="20">
        <f>IFERROR(SUMIFS(Ordenes!$P$2:$P$840,Ordenes!$C$2:$C$840,$B120,Ordenes!$T$2:$T$840,"Válida",Ordenes!$F$2:$F$840,"Plana")/SUMIFS(Ordenes!$Q$2:$Q$840,Ordenes!$C$2:$C$840,$B120,Ordenes!$T$2:$T$840,"Válida",Ordenes!$F$2:$F$840,"Plana"),"")</f>
        <v/>
      </c>
      <c r="G120" s="20">
        <f>IFERROR(SUMIFS(Ordenes!$P$2:$P$840,Ordenes!$C$2:$C$840,$B120,Ordenes!$T$2:$T$840,"Válida",Ordenes!$F$2:$F$840,"Ángulo")/SUMIFS(Ordenes!$Q$2:$Q$840,Ordenes!$C$2:$C$840,$B120,Ordenes!$T$2:$T$840,"Válida",Ordenes!$F$2:$F$840,"Ángulo"),"")</f>
        <v/>
      </c>
      <c r="H120" s="20">
        <f>IFERROR(SUMIFS(Ordenes!$P$2:$P$840,Ordenes!$C$2:$C$840,$B120,Ordenes!$T$2:$T$840,"Válida",Ordenes!$F$2:$F$840,"Cuadrado")/SUMIFS(Ordenes!$Q$2:$Q$840,Ordenes!$C$2:$C$840,$B120,Ordenes!$T$2:$T$840,"Válida",Ordenes!$F$2:$F$840,"Cuadrado"),"")</f>
        <v/>
      </c>
      <c r="I120" s="20">
        <f>IFERROR(SUMIFS(Ordenes!$P$2:$P$840,Ordenes!$C$2:$C$840,$B120,Ordenes!$T$2:$T$840,"Válida",Ordenes!$F$2:$F$840,"Estrella")/SUMIFS(Ordenes!$Q$2:$Q$840,Ordenes!$C$2:$C$840,$B120,Ordenes!$T$2:$T$840,"Válida",Ordenes!$F$2:$F$840,"Estrella"),"")</f>
        <v/>
      </c>
      <c r="J120" s="20">
        <f>IFERROR(SUMIFS(Ordenes!$P$2:$P$840,Ordenes!$C$2:$C$840,$B120,Ordenes!$T$2:$T$840,"Válida",Ordenes!$F$2:$F$840,"Saferock")/SUMIFS(Ordenes!$Q$2:$Q$840,Ordenes!$C$2:$C$840,$B120,Ordenes!$T$2:$T$840,"Válida",Ordenes!$F$2:$F$840,"Saferock"),"")</f>
        <v/>
      </c>
      <c r="K120" s="20">
        <f>IFERROR(SUMIFS(Ordenes!$P$2:$P$840,Ordenes!$C$2:$C$840,$B120,Ordenes!$T$2:$T$840,"Válida",Ordenes!$F$2:$F$840,"Hexágono")/SUMIFS(Ordenes!$Q$2:$Q$840,Ordenes!$C$2:$C$840,$B120,Ordenes!$T$2:$T$840,"Válida",Ordenes!$F$2:$F$840,"Hexágono"),"")</f>
        <v/>
      </c>
      <c r="L120" s="24">
        <f>IFERROR(SUMIFS(Ordenes!$P$2:$P$840,Ordenes!$C$2:$C$840,$B120,Ordenes!$T$2:$T$840,"Válida",Ordenes!$F$2:$F$840,"*")/SUMIFS(Ordenes!$Q$2:$Q$840,Ordenes!$C$2:$C$840,$B120,Ordenes!$T$2:$T$840,"Válida",Ordenes!$F$2:$F$840,"*"),"")</f>
        <v/>
      </c>
      <c r="M120" s="20">
        <f>IFERROR(SUMIFS(Ordenes!$V$2:$V$840,Ordenes!$C$2:$C$840,$B120,Ordenes!$T$2:$T$840,"Válida")/SUMIFS(Ordenes!$Q$2:$Q$840,Ordenes!$C$2:$C$840,$B120,Ordenes!$T$2:$T$840,"Válida"),"")</f>
        <v/>
      </c>
      <c r="N120" s="21">
        <f>IFERROR((L120-M120)*100,"")</f>
        <v/>
      </c>
      <c r="O120" s="19">
        <f>SUMIFS(Ordenes!$P$2:$P$840,Ordenes!$C$2:$C$840,$B120,Ordenes!$T$2:$T$840,"Válida")</f>
        <v/>
      </c>
      <c r="P120" s="19">
        <f>SUMIFS(Ordenes!$Q$2:$Q$840,Ordenes!$C$2:$C$840,$B120,Ordenes!$T$2:$T$840,"Válida")</f>
        <v/>
      </c>
      <c r="Q120" s="18">
        <f>COUNTIFS(Ordenes!$C$2:$C$840,$B120,Ordenes!$T$2:$T$840,"Válida")</f>
        <v/>
      </c>
    </row>
    <row r="121">
      <c r="A121" s="18" t="inlineStr">
        <is>
          <t>Jue 28 may 2026</t>
        </is>
      </c>
      <c r="B121" s="22" t="n">
        <v>46170</v>
      </c>
      <c r="C121" s="18" t="inlineStr">
        <is>
          <t>S22</t>
        </is>
      </c>
      <c r="D121" s="20">
        <f>IFERROR(SUMIFS(Ordenes!$P$2:$P$840,Ordenes!$C$2:$C$840,$B121,Ordenes!$T$2:$T$840,"Válida",Ordenes!$F$2:$F$840,"B Hormigón")/SUMIFS(Ordenes!$Q$2:$Q$840,Ordenes!$C$2:$C$840,$B121,Ordenes!$T$2:$T$840,"Válida",Ordenes!$F$2:$F$840,"B Hormigón"),"")</f>
        <v/>
      </c>
      <c r="E121" s="20">
        <f>IFERROR(SUMIFS(Ordenes!$P$2:$P$840,Ordenes!$C$2:$C$840,$B121,Ordenes!$T$2:$T$840,"Válida",Ordenes!$F$2:$F$840,"Redondo liso")/SUMIFS(Ordenes!$Q$2:$Q$840,Ordenes!$C$2:$C$840,$B121,Ordenes!$T$2:$T$840,"Válida",Ordenes!$F$2:$F$840,"Redondo liso"),"")</f>
        <v/>
      </c>
      <c r="F121" s="20">
        <f>IFERROR(SUMIFS(Ordenes!$P$2:$P$840,Ordenes!$C$2:$C$840,$B121,Ordenes!$T$2:$T$840,"Válida",Ordenes!$F$2:$F$840,"Plana")/SUMIFS(Ordenes!$Q$2:$Q$840,Ordenes!$C$2:$C$840,$B121,Ordenes!$T$2:$T$840,"Válida",Ordenes!$F$2:$F$840,"Plana"),"")</f>
        <v/>
      </c>
      <c r="G121" s="20">
        <f>IFERROR(SUMIFS(Ordenes!$P$2:$P$840,Ordenes!$C$2:$C$840,$B121,Ordenes!$T$2:$T$840,"Válida",Ordenes!$F$2:$F$840,"Ángulo")/SUMIFS(Ordenes!$Q$2:$Q$840,Ordenes!$C$2:$C$840,$B121,Ordenes!$T$2:$T$840,"Válida",Ordenes!$F$2:$F$840,"Ángulo"),"")</f>
        <v/>
      </c>
      <c r="H121" s="20">
        <f>IFERROR(SUMIFS(Ordenes!$P$2:$P$840,Ordenes!$C$2:$C$840,$B121,Ordenes!$T$2:$T$840,"Válida",Ordenes!$F$2:$F$840,"Cuadrado")/SUMIFS(Ordenes!$Q$2:$Q$840,Ordenes!$C$2:$C$840,$B121,Ordenes!$T$2:$T$840,"Válida",Ordenes!$F$2:$F$840,"Cuadrado"),"")</f>
        <v/>
      </c>
      <c r="I121" s="20">
        <f>IFERROR(SUMIFS(Ordenes!$P$2:$P$840,Ordenes!$C$2:$C$840,$B121,Ordenes!$T$2:$T$840,"Válida",Ordenes!$F$2:$F$840,"Estrella")/SUMIFS(Ordenes!$Q$2:$Q$840,Ordenes!$C$2:$C$840,$B121,Ordenes!$T$2:$T$840,"Válida",Ordenes!$F$2:$F$840,"Estrella"),"")</f>
        <v/>
      </c>
      <c r="J121" s="20">
        <f>IFERROR(SUMIFS(Ordenes!$P$2:$P$840,Ordenes!$C$2:$C$840,$B121,Ordenes!$T$2:$T$840,"Válida",Ordenes!$F$2:$F$840,"Saferock")/SUMIFS(Ordenes!$Q$2:$Q$840,Ordenes!$C$2:$C$840,$B121,Ordenes!$T$2:$T$840,"Válida",Ordenes!$F$2:$F$840,"Saferock"),"")</f>
        <v/>
      </c>
      <c r="K121" s="20">
        <f>IFERROR(SUMIFS(Ordenes!$P$2:$P$840,Ordenes!$C$2:$C$840,$B121,Ordenes!$T$2:$T$840,"Válida",Ordenes!$F$2:$F$840,"Hexágono")/SUMIFS(Ordenes!$Q$2:$Q$840,Ordenes!$C$2:$C$840,$B121,Ordenes!$T$2:$T$840,"Válida",Ordenes!$F$2:$F$840,"Hexágono"),"")</f>
        <v/>
      </c>
      <c r="L121" s="24">
        <f>IFERROR(SUMIFS(Ordenes!$P$2:$P$840,Ordenes!$C$2:$C$840,$B121,Ordenes!$T$2:$T$840,"Válida",Ordenes!$F$2:$F$840,"*")/SUMIFS(Ordenes!$Q$2:$Q$840,Ordenes!$C$2:$C$840,$B121,Ordenes!$T$2:$T$840,"Válida",Ordenes!$F$2:$F$840,"*"),"")</f>
        <v/>
      </c>
      <c r="M121" s="20">
        <f>IFERROR(SUMIFS(Ordenes!$V$2:$V$840,Ordenes!$C$2:$C$840,$B121,Ordenes!$T$2:$T$840,"Válida")/SUMIFS(Ordenes!$Q$2:$Q$840,Ordenes!$C$2:$C$840,$B121,Ordenes!$T$2:$T$840,"Válida"),"")</f>
        <v/>
      </c>
      <c r="N121" s="21">
        <f>IFERROR((L121-M121)*100,"")</f>
        <v/>
      </c>
      <c r="O121" s="19">
        <f>SUMIFS(Ordenes!$P$2:$P$840,Ordenes!$C$2:$C$840,$B121,Ordenes!$T$2:$T$840,"Válida")</f>
        <v/>
      </c>
      <c r="P121" s="19">
        <f>SUMIFS(Ordenes!$Q$2:$Q$840,Ordenes!$C$2:$C$840,$B121,Ordenes!$T$2:$T$840,"Válida")</f>
        <v/>
      </c>
      <c r="Q121" s="18">
        <f>COUNTIFS(Ordenes!$C$2:$C$840,$B121,Ordenes!$T$2:$T$840,"Válida")</f>
        <v/>
      </c>
    </row>
    <row r="122">
      <c r="A122" s="18" t="inlineStr">
        <is>
          <t>Vie 29 may 2026</t>
        </is>
      </c>
      <c r="B122" s="22" t="n">
        <v>46171</v>
      </c>
      <c r="C122" s="18" t="inlineStr">
        <is>
          <t>S22</t>
        </is>
      </c>
      <c r="D122" s="20">
        <f>IFERROR(SUMIFS(Ordenes!$P$2:$P$840,Ordenes!$C$2:$C$840,$B122,Ordenes!$T$2:$T$840,"Válida",Ordenes!$F$2:$F$840,"B Hormigón")/SUMIFS(Ordenes!$Q$2:$Q$840,Ordenes!$C$2:$C$840,$B122,Ordenes!$T$2:$T$840,"Válida",Ordenes!$F$2:$F$840,"B Hormigón"),"")</f>
        <v/>
      </c>
      <c r="E122" s="20">
        <f>IFERROR(SUMIFS(Ordenes!$P$2:$P$840,Ordenes!$C$2:$C$840,$B122,Ordenes!$T$2:$T$840,"Válida",Ordenes!$F$2:$F$840,"Redondo liso")/SUMIFS(Ordenes!$Q$2:$Q$840,Ordenes!$C$2:$C$840,$B122,Ordenes!$T$2:$T$840,"Válida",Ordenes!$F$2:$F$840,"Redondo liso"),"")</f>
        <v/>
      </c>
      <c r="F122" s="20">
        <f>IFERROR(SUMIFS(Ordenes!$P$2:$P$840,Ordenes!$C$2:$C$840,$B122,Ordenes!$T$2:$T$840,"Válida",Ordenes!$F$2:$F$840,"Plana")/SUMIFS(Ordenes!$Q$2:$Q$840,Ordenes!$C$2:$C$840,$B122,Ordenes!$T$2:$T$840,"Válida",Ordenes!$F$2:$F$840,"Plana"),"")</f>
        <v/>
      </c>
      <c r="G122" s="20">
        <f>IFERROR(SUMIFS(Ordenes!$P$2:$P$840,Ordenes!$C$2:$C$840,$B122,Ordenes!$T$2:$T$840,"Válida",Ordenes!$F$2:$F$840,"Ángulo")/SUMIFS(Ordenes!$Q$2:$Q$840,Ordenes!$C$2:$C$840,$B122,Ordenes!$T$2:$T$840,"Válida",Ordenes!$F$2:$F$840,"Ángulo"),"")</f>
        <v/>
      </c>
      <c r="H122" s="20">
        <f>IFERROR(SUMIFS(Ordenes!$P$2:$P$840,Ordenes!$C$2:$C$840,$B122,Ordenes!$T$2:$T$840,"Válida",Ordenes!$F$2:$F$840,"Cuadrado")/SUMIFS(Ordenes!$Q$2:$Q$840,Ordenes!$C$2:$C$840,$B122,Ordenes!$T$2:$T$840,"Válida",Ordenes!$F$2:$F$840,"Cuadrado"),"")</f>
        <v/>
      </c>
      <c r="I122" s="20">
        <f>IFERROR(SUMIFS(Ordenes!$P$2:$P$840,Ordenes!$C$2:$C$840,$B122,Ordenes!$T$2:$T$840,"Válida",Ordenes!$F$2:$F$840,"Estrella")/SUMIFS(Ordenes!$Q$2:$Q$840,Ordenes!$C$2:$C$840,$B122,Ordenes!$T$2:$T$840,"Válida",Ordenes!$F$2:$F$840,"Estrella"),"")</f>
        <v/>
      </c>
      <c r="J122" s="20">
        <f>IFERROR(SUMIFS(Ordenes!$P$2:$P$840,Ordenes!$C$2:$C$840,$B122,Ordenes!$T$2:$T$840,"Válida",Ordenes!$F$2:$F$840,"Saferock")/SUMIFS(Ordenes!$Q$2:$Q$840,Ordenes!$C$2:$C$840,$B122,Ordenes!$T$2:$T$840,"Válida",Ordenes!$F$2:$F$840,"Saferock"),"")</f>
        <v/>
      </c>
      <c r="K122" s="20">
        <f>IFERROR(SUMIFS(Ordenes!$P$2:$P$840,Ordenes!$C$2:$C$840,$B122,Ordenes!$T$2:$T$840,"Válida",Ordenes!$F$2:$F$840,"Hexágono")/SUMIFS(Ordenes!$Q$2:$Q$840,Ordenes!$C$2:$C$840,$B122,Ordenes!$T$2:$T$840,"Válida",Ordenes!$F$2:$F$840,"Hexágono"),"")</f>
        <v/>
      </c>
      <c r="L122" s="24">
        <f>IFERROR(SUMIFS(Ordenes!$P$2:$P$840,Ordenes!$C$2:$C$840,$B122,Ordenes!$T$2:$T$840,"Válida",Ordenes!$F$2:$F$840,"*")/SUMIFS(Ordenes!$Q$2:$Q$840,Ordenes!$C$2:$C$840,$B122,Ordenes!$T$2:$T$840,"Válida",Ordenes!$F$2:$F$840,"*"),"")</f>
        <v/>
      </c>
      <c r="M122" s="20">
        <f>IFERROR(SUMIFS(Ordenes!$V$2:$V$840,Ordenes!$C$2:$C$840,$B122,Ordenes!$T$2:$T$840,"Válida")/SUMIFS(Ordenes!$Q$2:$Q$840,Ordenes!$C$2:$C$840,$B122,Ordenes!$T$2:$T$840,"Válida"),"")</f>
        <v/>
      </c>
      <c r="N122" s="21">
        <f>IFERROR((L122-M122)*100,"")</f>
        <v/>
      </c>
      <c r="O122" s="19">
        <f>SUMIFS(Ordenes!$P$2:$P$840,Ordenes!$C$2:$C$840,$B122,Ordenes!$T$2:$T$840,"Válida")</f>
        <v/>
      </c>
      <c r="P122" s="19">
        <f>SUMIFS(Ordenes!$Q$2:$Q$840,Ordenes!$C$2:$C$840,$B122,Ordenes!$T$2:$T$840,"Válida")</f>
        <v/>
      </c>
      <c r="Q122" s="18">
        <f>COUNTIFS(Ordenes!$C$2:$C$840,$B122,Ordenes!$T$2:$T$840,"Válida")</f>
        <v/>
      </c>
    </row>
    <row r="123">
      <c r="A123" s="18" t="inlineStr">
        <is>
          <t>Sáb 30 may 2026</t>
        </is>
      </c>
      <c r="B123" s="22" t="n">
        <v>46172</v>
      </c>
      <c r="C123" s="18" t="inlineStr">
        <is>
          <t>S22</t>
        </is>
      </c>
      <c r="D123" s="20">
        <f>IFERROR(SUMIFS(Ordenes!$P$2:$P$840,Ordenes!$C$2:$C$840,$B123,Ordenes!$T$2:$T$840,"Válida",Ordenes!$F$2:$F$840,"B Hormigón")/SUMIFS(Ordenes!$Q$2:$Q$840,Ordenes!$C$2:$C$840,$B123,Ordenes!$T$2:$T$840,"Válida",Ordenes!$F$2:$F$840,"B Hormigón"),"")</f>
        <v/>
      </c>
      <c r="E123" s="20">
        <f>IFERROR(SUMIFS(Ordenes!$P$2:$P$840,Ordenes!$C$2:$C$840,$B123,Ordenes!$T$2:$T$840,"Válida",Ordenes!$F$2:$F$840,"Redondo liso")/SUMIFS(Ordenes!$Q$2:$Q$840,Ordenes!$C$2:$C$840,$B123,Ordenes!$T$2:$T$840,"Válida",Ordenes!$F$2:$F$840,"Redondo liso"),"")</f>
        <v/>
      </c>
      <c r="F123" s="20">
        <f>IFERROR(SUMIFS(Ordenes!$P$2:$P$840,Ordenes!$C$2:$C$840,$B123,Ordenes!$T$2:$T$840,"Válida",Ordenes!$F$2:$F$840,"Plana")/SUMIFS(Ordenes!$Q$2:$Q$840,Ordenes!$C$2:$C$840,$B123,Ordenes!$T$2:$T$840,"Válida",Ordenes!$F$2:$F$840,"Plana"),"")</f>
        <v/>
      </c>
      <c r="G123" s="20">
        <f>IFERROR(SUMIFS(Ordenes!$P$2:$P$840,Ordenes!$C$2:$C$840,$B123,Ordenes!$T$2:$T$840,"Válida",Ordenes!$F$2:$F$840,"Ángulo")/SUMIFS(Ordenes!$Q$2:$Q$840,Ordenes!$C$2:$C$840,$B123,Ordenes!$T$2:$T$840,"Válida",Ordenes!$F$2:$F$840,"Ángulo"),"")</f>
        <v/>
      </c>
      <c r="H123" s="20">
        <f>IFERROR(SUMIFS(Ordenes!$P$2:$P$840,Ordenes!$C$2:$C$840,$B123,Ordenes!$T$2:$T$840,"Válida",Ordenes!$F$2:$F$840,"Cuadrado")/SUMIFS(Ordenes!$Q$2:$Q$840,Ordenes!$C$2:$C$840,$B123,Ordenes!$T$2:$T$840,"Válida",Ordenes!$F$2:$F$840,"Cuadrado"),"")</f>
        <v/>
      </c>
      <c r="I123" s="20">
        <f>IFERROR(SUMIFS(Ordenes!$P$2:$P$840,Ordenes!$C$2:$C$840,$B123,Ordenes!$T$2:$T$840,"Válida",Ordenes!$F$2:$F$840,"Estrella")/SUMIFS(Ordenes!$Q$2:$Q$840,Ordenes!$C$2:$C$840,$B123,Ordenes!$T$2:$T$840,"Válida",Ordenes!$F$2:$F$840,"Estrella"),"")</f>
        <v/>
      </c>
      <c r="J123" s="20">
        <f>IFERROR(SUMIFS(Ordenes!$P$2:$P$840,Ordenes!$C$2:$C$840,$B123,Ordenes!$T$2:$T$840,"Válida",Ordenes!$F$2:$F$840,"Saferock")/SUMIFS(Ordenes!$Q$2:$Q$840,Ordenes!$C$2:$C$840,$B123,Ordenes!$T$2:$T$840,"Válida",Ordenes!$F$2:$F$840,"Saferock"),"")</f>
        <v/>
      </c>
      <c r="K123" s="20">
        <f>IFERROR(SUMIFS(Ordenes!$P$2:$P$840,Ordenes!$C$2:$C$840,$B123,Ordenes!$T$2:$T$840,"Válida",Ordenes!$F$2:$F$840,"Hexágono")/SUMIFS(Ordenes!$Q$2:$Q$840,Ordenes!$C$2:$C$840,$B123,Ordenes!$T$2:$T$840,"Válida",Ordenes!$F$2:$F$840,"Hexágono"),"")</f>
        <v/>
      </c>
      <c r="L123" s="24">
        <f>IFERROR(SUMIFS(Ordenes!$P$2:$P$840,Ordenes!$C$2:$C$840,$B123,Ordenes!$T$2:$T$840,"Válida",Ordenes!$F$2:$F$840,"*")/SUMIFS(Ordenes!$Q$2:$Q$840,Ordenes!$C$2:$C$840,$B123,Ordenes!$T$2:$T$840,"Válida",Ordenes!$F$2:$F$840,"*"),"")</f>
        <v/>
      </c>
      <c r="M123" s="20">
        <f>IFERROR(SUMIFS(Ordenes!$V$2:$V$840,Ordenes!$C$2:$C$840,$B123,Ordenes!$T$2:$T$840,"Válida")/SUMIFS(Ordenes!$Q$2:$Q$840,Ordenes!$C$2:$C$840,$B123,Ordenes!$T$2:$T$840,"Válida"),"")</f>
        <v/>
      </c>
      <c r="N123" s="21">
        <f>IFERROR((L123-M123)*100,"")</f>
        <v/>
      </c>
      <c r="O123" s="19">
        <f>SUMIFS(Ordenes!$P$2:$P$840,Ordenes!$C$2:$C$840,$B123,Ordenes!$T$2:$T$840,"Válida")</f>
        <v/>
      </c>
      <c r="P123" s="19">
        <f>SUMIFS(Ordenes!$Q$2:$Q$840,Ordenes!$C$2:$C$840,$B123,Ordenes!$T$2:$T$840,"Válida")</f>
        <v/>
      </c>
      <c r="Q123" s="18">
        <f>COUNTIFS(Ordenes!$C$2:$C$840,$B123,Ordenes!$T$2:$T$840,"Válida")</f>
        <v/>
      </c>
    </row>
    <row r="124">
      <c r="A124" s="18" t="inlineStr">
        <is>
          <t>Dom 31 may 2026</t>
        </is>
      </c>
      <c r="B124" s="22" t="n">
        <v>46173</v>
      </c>
      <c r="C124" s="18" t="inlineStr">
        <is>
          <t>S22</t>
        </is>
      </c>
      <c r="D124" s="20">
        <f>IFERROR(SUMIFS(Ordenes!$P$2:$P$840,Ordenes!$C$2:$C$840,$B124,Ordenes!$T$2:$T$840,"Válida",Ordenes!$F$2:$F$840,"B Hormigón")/SUMIFS(Ordenes!$Q$2:$Q$840,Ordenes!$C$2:$C$840,$B124,Ordenes!$T$2:$T$840,"Válida",Ordenes!$F$2:$F$840,"B Hormigón"),"")</f>
        <v/>
      </c>
      <c r="E124" s="20">
        <f>IFERROR(SUMIFS(Ordenes!$P$2:$P$840,Ordenes!$C$2:$C$840,$B124,Ordenes!$T$2:$T$840,"Válida",Ordenes!$F$2:$F$840,"Redondo liso")/SUMIFS(Ordenes!$Q$2:$Q$840,Ordenes!$C$2:$C$840,$B124,Ordenes!$T$2:$T$840,"Válida",Ordenes!$F$2:$F$840,"Redondo liso"),"")</f>
        <v/>
      </c>
      <c r="F124" s="20">
        <f>IFERROR(SUMIFS(Ordenes!$P$2:$P$840,Ordenes!$C$2:$C$840,$B124,Ordenes!$T$2:$T$840,"Válida",Ordenes!$F$2:$F$840,"Plana")/SUMIFS(Ordenes!$Q$2:$Q$840,Ordenes!$C$2:$C$840,$B124,Ordenes!$T$2:$T$840,"Válida",Ordenes!$F$2:$F$840,"Plana"),"")</f>
        <v/>
      </c>
      <c r="G124" s="20">
        <f>IFERROR(SUMIFS(Ordenes!$P$2:$P$840,Ordenes!$C$2:$C$840,$B124,Ordenes!$T$2:$T$840,"Válida",Ordenes!$F$2:$F$840,"Ángulo")/SUMIFS(Ordenes!$Q$2:$Q$840,Ordenes!$C$2:$C$840,$B124,Ordenes!$T$2:$T$840,"Válida",Ordenes!$F$2:$F$840,"Ángulo"),"")</f>
        <v/>
      </c>
      <c r="H124" s="20">
        <f>IFERROR(SUMIFS(Ordenes!$P$2:$P$840,Ordenes!$C$2:$C$840,$B124,Ordenes!$T$2:$T$840,"Válida",Ordenes!$F$2:$F$840,"Cuadrado")/SUMIFS(Ordenes!$Q$2:$Q$840,Ordenes!$C$2:$C$840,$B124,Ordenes!$T$2:$T$840,"Válida",Ordenes!$F$2:$F$840,"Cuadrado"),"")</f>
        <v/>
      </c>
      <c r="I124" s="20">
        <f>IFERROR(SUMIFS(Ordenes!$P$2:$P$840,Ordenes!$C$2:$C$840,$B124,Ordenes!$T$2:$T$840,"Válida",Ordenes!$F$2:$F$840,"Estrella")/SUMIFS(Ordenes!$Q$2:$Q$840,Ordenes!$C$2:$C$840,$B124,Ordenes!$T$2:$T$840,"Válida",Ordenes!$F$2:$F$840,"Estrella"),"")</f>
        <v/>
      </c>
      <c r="J124" s="20">
        <f>IFERROR(SUMIFS(Ordenes!$P$2:$P$840,Ordenes!$C$2:$C$840,$B124,Ordenes!$T$2:$T$840,"Válida",Ordenes!$F$2:$F$840,"Saferock")/SUMIFS(Ordenes!$Q$2:$Q$840,Ordenes!$C$2:$C$840,$B124,Ordenes!$T$2:$T$840,"Válida",Ordenes!$F$2:$F$840,"Saferock"),"")</f>
        <v/>
      </c>
      <c r="K124" s="20">
        <f>IFERROR(SUMIFS(Ordenes!$P$2:$P$840,Ordenes!$C$2:$C$840,$B124,Ordenes!$T$2:$T$840,"Válida",Ordenes!$F$2:$F$840,"Hexágono")/SUMIFS(Ordenes!$Q$2:$Q$840,Ordenes!$C$2:$C$840,$B124,Ordenes!$T$2:$T$840,"Válida",Ordenes!$F$2:$F$840,"Hexágono"),"")</f>
        <v/>
      </c>
      <c r="L124" s="24">
        <f>IFERROR(SUMIFS(Ordenes!$P$2:$P$840,Ordenes!$C$2:$C$840,$B124,Ordenes!$T$2:$T$840,"Válida",Ordenes!$F$2:$F$840,"*")/SUMIFS(Ordenes!$Q$2:$Q$840,Ordenes!$C$2:$C$840,$B124,Ordenes!$T$2:$T$840,"Válida",Ordenes!$F$2:$F$840,"*"),"")</f>
        <v/>
      </c>
      <c r="M124" s="20">
        <f>IFERROR(SUMIFS(Ordenes!$V$2:$V$840,Ordenes!$C$2:$C$840,$B124,Ordenes!$T$2:$T$840,"Válida")/SUMIFS(Ordenes!$Q$2:$Q$840,Ordenes!$C$2:$C$840,$B124,Ordenes!$T$2:$T$840,"Válida"),"")</f>
        <v/>
      </c>
      <c r="N124" s="21">
        <f>IFERROR((L124-M124)*100,"")</f>
        <v/>
      </c>
      <c r="O124" s="19">
        <f>SUMIFS(Ordenes!$P$2:$P$840,Ordenes!$C$2:$C$840,$B124,Ordenes!$T$2:$T$840,"Válida")</f>
        <v/>
      </c>
      <c r="P124" s="19">
        <f>SUMIFS(Ordenes!$Q$2:$Q$840,Ordenes!$C$2:$C$840,$B124,Ordenes!$T$2:$T$840,"Válida")</f>
        <v/>
      </c>
      <c r="Q124" s="18">
        <f>COUNTIFS(Ordenes!$C$2:$C$840,$B124,Ordenes!$T$2:$T$840,"Válida")</f>
        <v/>
      </c>
    </row>
    <row r="125">
      <c r="A125" s="18" t="inlineStr">
        <is>
          <t>Lun 1 jun 2026</t>
        </is>
      </c>
      <c r="B125" s="22" t="n">
        <v>46174</v>
      </c>
      <c r="C125" s="18" t="inlineStr">
        <is>
          <t>S23</t>
        </is>
      </c>
      <c r="D125" s="20">
        <f>IFERROR(SUMIFS(Ordenes!$P$2:$P$840,Ordenes!$C$2:$C$840,$B125,Ordenes!$T$2:$T$840,"Válida",Ordenes!$F$2:$F$840,"B Hormigón")/SUMIFS(Ordenes!$Q$2:$Q$840,Ordenes!$C$2:$C$840,$B125,Ordenes!$T$2:$T$840,"Válida",Ordenes!$F$2:$F$840,"B Hormigón"),"")</f>
        <v/>
      </c>
      <c r="E125" s="20">
        <f>IFERROR(SUMIFS(Ordenes!$P$2:$P$840,Ordenes!$C$2:$C$840,$B125,Ordenes!$T$2:$T$840,"Válida",Ordenes!$F$2:$F$840,"Redondo liso")/SUMIFS(Ordenes!$Q$2:$Q$840,Ordenes!$C$2:$C$840,$B125,Ordenes!$T$2:$T$840,"Válida",Ordenes!$F$2:$F$840,"Redondo liso"),"")</f>
        <v/>
      </c>
      <c r="F125" s="20">
        <f>IFERROR(SUMIFS(Ordenes!$P$2:$P$840,Ordenes!$C$2:$C$840,$B125,Ordenes!$T$2:$T$840,"Válida",Ordenes!$F$2:$F$840,"Plana")/SUMIFS(Ordenes!$Q$2:$Q$840,Ordenes!$C$2:$C$840,$B125,Ordenes!$T$2:$T$840,"Válida",Ordenes!$F$2:$F$840,"Plana"),"")</f>
        <v/>
      </c>
      <c r="G125" s="20">
        <f>IFERROR(SUMIFS(Ordenes!$P$2:$P$840,Ordenes!$C$2:$C$840,$B125,Ordenes!$T$2:$T$840,"Válida",Ordenes!$F$2:$F$840,"Ángulo")/SUMIFS(Ordenes!$Q$2:$Q$840,Ordenes!$C$2:$C$840,$B125,Ordenes!$T$2:$T$840,"Válida",Ordenes!$F$2:$F$840,"Ángulo"),"")</f>
        <v/>
      </c>
      <c r="H125" s="20">
        <f>IFERROR(SUMIFS(Ordenes!$P$2:$P$840,Ordenes!$C$2:$C$840,$B125,Ordenes!$T$2:$T$840,"Válida",Ordenes!$F$2:$F$840,"Cuadrado")/SUMIFS(Ordenes!$Q$2:$Q$840,Ordenes!$C$2:$C$840,$B125,Ordenes!$T$2:$T$840,"Válida",Ordenes!$F$2:$F$840,"Cuadrado"),"")</f>
        <v/>
      </c>
      <c r="I125" s="20">
        <f>IFERROR(SUMIFS(Ordenes!$P$2:$P$840,Ordenes!$C$2:$C$840,$B125,Ordenes!$T$2:$T$840,"Válida",Ordenes!$F$2:$F$840,"Estrella")/SUMIFS(Ordenes!$Q$2:$Q$840,Ordenes!$C$2:$C$840,$B125,Ordenes!$T$2:$T$840,"Válida",Ordenes!$F$2:$F$840,"Estrella"),"")</f>
        <v/>
      </c>
      <c r="J125" s="20">
        <f>IFERROR(SUMIFS(Ordenes!$P$2:$P$840,Ordenes!$C$2:$C$840,$B125,Ordenes!$T$2:$T$840,"Válida",Ordenes!$F$2:$F$840,"Saferock")/SUMIFS(Ordenes!$Q$2:$Q$840,Ordenes!$C$2:$C$840,$B125,Ordenes!$T$2:$T$840,"Válida",Ordenes!$F$2:$F$840,"Saferock"),"")</f>
        <v/>
      </c>
      <c r="K125" s="20">
        <f>IFERROR(SUMIFS(Ordenes!$P$2:$P$840,Ordenes!$C$2:$C$840,$B125,Ordenes!$T$2:$T$840,"Válida",Ordenes!$F$2:$F$840,"Hexágono")/SUMIFS(Ordenes!$Q$2:$Q$840,Ordenes!$C$2:$C$840,$B125,Ordenes!$T$2:$T$840,"Válida",Ordenes!$F$2:$F$840,"Hexágono"),"")</f>
        <v/>
      </c>
      <c r="L125" s="24">
        <f>IFERROR(SUMIFS(Ordenes!$P$2:$P$840,Ordenes!$C$2:$C$840,$B125,Ordenes!$T$2:$T$840,"Válida",Ordenes!$F$2:$F$840,"*")/SUMIFS(Ordenes!$Q$2:$Q$840,Ordenes!$C$2:$C$840,$B125,Ordenes!$T$2:$T$840,"Válida",Ordenes!$F$2:$F$840,"*"),"")</f>
        <v/>
      </c>
      <c r="M125" s="20">
        <f>IFERROR(SUMIFS(Ordenes!$V$2:$V$840,Ordenes!$C$2:$C$840,$B125,Ordenes!$T$2:$T$840,"Válida")/SUMIFS(Ordenes!$Q$2:$Q$840,Ordenes!$C$2:$C$840,$B125,Ordenes!$T$2:$T$840,"Válida"),"")</f>
        <v/>
      </c>
      <c r="N125" s="21">
        <f>IFERROR((L125-M125)*100,"")</f>
        <v/>
      </c>
      <c r="O125" s="19">
        <f>SUMIFS(Ordenes!$P$2:$P$840,Ordenes!$C$2:$C$840,$B125,Ordenes!$T$2:$T$840,"Válida")</f>
        <v/>
      </c>
      <c r="P125" s="19">
        <f>SUMIFS(Ordenes!$Q$2:$Q$840,Ordenes!$C$2:$C$840,$B125,Ordenes!$T$2:$T$840,"Válida")</f>
        <v/>
      </c>
      <c r="Q125" s="18">
        <f>COUNTIFS(Ordenes!$C$2:$C$840,$B125,Ordenes!$T$2:$T$840,"Válida")</f>
        <v/>
      </c>
    </row>
    <row r="126">
      <c r="A126" s="18" t="inlineStr">
        <is>
          <t>Mar 2 jun 2026</t>
        </is>
      </c>
      <c r="B126" s="22" t="n">
        <v>46175</v>
      </c>
      <c r="C126" s="18" t="inlineStr">
        <is>
          <t>S23</t>
        </is>
      </c>
      <c r="D126" s="20">
        <f>IFERROR(SUMIFS(Ordenes!$P$2:$P$840,Ordenes!$C$2:$C$840,$B126,Ordenes!$T$2:$T$840,"Válida",Ordenes!$F$2:$F$840,"B Hormigón")/SUMIFS(Ordenes!$Q$2:$Q$840,Ordenes!$C$2:$C$840,$B126,Ordenes!$T$2:$T$840,"Válida",Ordenes!$F$2:$F$840,"B Hormigón"),"")</f>
        <v/>
      </c>
      <c r="E126" s="20">
        <f>IFERROR(SUMIFS(Ordenes!$P$2:$P$840,Ordenes!$C$2:$C$840,$B126,Ordenes!$T$2:$T$840,"Válida",Ordenes!$F$2:$F$840,"Redondo liso")/SUMIFS(Ordenes!$Q$2:$Q$840,Ordenes!$C$2:$C$840,$B126,Ordenes!$T$2:$T$840,"Válida",Ordenes!$F$2:$F$840,"Redondo liso"),"")</f>
        <v/>
      </c>
      <c r="F126" s="20">
        <f>IFERROR(SUMIFS(Ordenes!$P$2:$P$840,Ordenes!$C$2:$C$840,$B126,Ordenes!$T$2:$T$840,"Válida",Ordenes!$F$2:$F$840,"Plana")/SUMIFS(Ordenes!$Q$2:$Q$840,Ordenes!$C$2:$C$840,$B126,Ordenes!$T$2:$T$840,"Válida",Ordenes!$F$2:$F$840,"Plana"),"")</f>
        <v/>
      </c>
      <c r="G126" s="20">
        <f>IFERROR(SUMIFS(Ordenes!$P$2:$P$840,Ordenes!$C$2:$C$840,$B126,Ordenes!$T$2:$T$840,"Válida",Ordenes!$F$2:$F$840,"Ángulo")/SUMIFS(Ordenes!$Q$2:$Q$840,Ordenes!$C$2:$C$840,$B126,Ordenes!$T$2:$T$840,"Válida",Ordenes!$F$2:$F$840,"Ángulo"),"")</f>
        <v/>
      </c>
      <c r="H126" s="20">
        <f>IFERROR(SUMIFS(Ordenes!$P$2:$P$840,Ordenes!$C$2:$C$840,$B126,Ordenes!$T$2:$T$840,"Válida",Ordenes!$F$2:$F$840,"Cuadrado")/SUMIFS(Ordenes!$Q$2:$Q$840,Ordenes!$C$2:$C$840,$B126,Ordenes!$T$2:$T$840,"Válida",Ordenes!$F$2:$F$840,"Cuadrado"),"")</f>
        <v/>
      </c>
      <c r="I126" s="20">
        <f>IFERROR(SUMIFS(Ordenes!$P$2:$P$840,Ordenes!$C$2:$C$840,$B126,Ordenes!$T$2:$T$840,"Válida",Ordenes!$F$2:$F$840,"Estrella")/SUMIFS(Ordenes!$Q$2:$Q$840,Ordenes!$C$2:$C$840,$B126,Ordenes!$T$2:$T$840,"Válida",Ordenes!$F$2:$F$840,"Estrella"),"")</f>
        <v/>
      </c>
      <c r="J126" s="20">
        <f>IFERROR(SUMIFS(Ordenes!$P$2:$P$840,Ordenes!$C$2:$C$840,$B126,Ordenes!$T$2:$T$840,"Válida",Ordenes!$F$2:$F$840,"Saferock")/SUMIFS(Ordenes!$Q$2:$Q$840,Ordenes!$C$2:$C$840,$B126,Ordenes!$T$2:$T$840,"Válida",Ordenes!$F$2:$F$840,"Saferock"),"")</f>
        <v/>
      </c>
      <c r="K126" s="20">
        <f>IFERROR(SUMIFS(Ordenes!$P$2:$P$840,Ordenes!$C$2:$C$840,$B126,Ordenes!$T$2:$T$840,"Válida",Ordenes!$F$2:$F$840,"Hexágono")/SUMIFS(Ordenes!$Q$2:$Q$840,Ordenes!$C$2:$C$840,$B126,Ordenes!$T$2:$T$840,"Válida",Ordenes!$F$2:$F$840,"Hexágono"),"")</f>
        <v/>
      </c>
      <c r="L126" s="24">
        <f>IFERROR(SUMIFS(Ordenes!$P$2:$P$840,Ordenes!$C$2:$C$840,$B126,Ordenes!$T$2:$T$840,"Válida",Ordenes!$F$2:$F$840,"*")/SUMIFS(Ordenes!$Q$2:$Q$840,Ordenes!$C$2:$C$840,$B126,Ordenes!$T$2:$T$840,"Válida",Ordenes!$F$2:$F$840,"*"),"")</f>
        <v/>
      </c>
      <c r="M126" s="20">
        <f>IFERROR(SUMIFS(Ordenes!$V$2:$V$840,Ordenes!$C$2:$C$840,$B126,Ordenes!$T$2:$T$840,"Válida")/SUMIFS(Ordenes!$Q$2:$Q$840,Ordenes!$C$2:$C$840,$B126,Ordenes!$T$2:$T$840,"Válida"),"")</f>
        <v/>
      </c>
      <c r="N126" s="21">
        <f>IFERROR((L126-M126)*100,"")</f>
        <v/>
      </c>
      <c r="O126" s="19">
        <f>SUMIFS(Ordenes!$P$2:$P$840,Ordenes!$C$2:$C$840,$B126,Ordenes!$T$2:$T$840,"Válida")</f>
        <v/>
      </c>
      <c r="P126" s="19">
        <f>SUMIFS(Ordenes!$Q$2:$Q$840,Ordenes!$C$2:$C$840,$B126,Ordenes!$T$2:$T$840,"Válida")</f>
        <v/>
      </c>
      <c r="Q126" s="18">
        <f>COUNTIFS(Ordenes!$C$2:$C$840,$B126,Ordenes!$T$2:$T$840,"Válida")</f>
        <v/>
      </c>
    </row>
    <row r="127">
      <c r="A127" s="18" t="inlineStr">
        <is>
          <t>Mié 3 jun 2026</t>
        </is>
      </c>
      <c r="B127" s="22" t="n">
        <v>46176</v>
      </c>
      <c r="C127" s="18" t="inlineStr">
        <is>
          <t>S23</t>
        </is>
      </c>
      <c r="D127" s="20">
        <f>IFERROR(SUMIFS(Ordenes!$P$2:$P$840,Ordenes!$C$2:$C$840,$B127,Ordenes!$T$2:$T$840,"Válida",Ordenes!$F$2:$F$840,"B Hormigón")/SUMIFS(Ordenes!$Q$2:$Q$840,Ordenes!$C$2:$C$840,$B127,Ordenes!$T$2:$T$840,"Válida",Ordenes!$F$2:$F$840,"B Hormigón"),"")</f>
        <v/>
      </c>
      <c r="E127" s="20">
        <f>IFERROR(SUMIFS(Ordenes!$P$2:$P$840,Ordenes!$C$2:$C$840,$B127,Ordenes!$T$2:$T$840,"Válida",Ordenes!$F$2:$F$840,"Redondo liso")/SUMIFS(Ordenes!$Q$2:$Q$840,Ordenes!$C$2:$C$840,$B127,Ordenes!$T$2:$T$840,"Válida",Ordenes!$F$2:$F$840,"Redondo liso"),"")</f>
        <v/>
      </c>
      <c r="F127" s="20">
        <f>IFERROR(SUMIFS(Ordenes!$P$2:$P$840,Ordenes!$C$2:$C$840,$B127,Ordenes!$T$2:$T$840,"Válida",Ordenes!$F$2:$F$840,"Plana")/SUMIFS(Ordenes!$Q$2:$Q$840,Ordenes!$C$2:$C$840,$B127,Ordenes!$T$2:$T$840,"Válida",Ordenes!$F$2:$F$840,"Plana"),"")</f>
        <v/>
      </c>
      <c r="G127" s="20">
        <f>IFERROR(SUMIFS(Ordenes!$P$2:$P$840,Ordenes!$C$2:$C$840,$B127,Ordenes!$T$2:$T$840,"Válida",Ordenes!$F$2:$F$840,"Ángulo")/SUMIFS(Ordenes!$Q$2:$Q$840,Ordenes!$C$2:$C$840,$B127,Ordenes!$T$2:$T$840,"Válida",Ordenes!$F$2:$F$840,"Ángulo"),"")</f>
        <v/>
      </c>
      <c r="H127" s="20">
        <f>IFERROR(SUMIFS(Ordenes!$P$2:$P$840,Ordenes!$C$2:$C$840,$B127,Ordenes!$T$2:$T$840,"Válida",Ordenes!$F$2:$F$840,"Cuadrado")/SUMIFS(Ordenes!$Q$2:$Q$840,Ordenes!$C$2:$C$840,$B127,Ordenes!$T$2:$T$840,"Válida",Ordenes!$F$2:$F$840,"Cuadrado"),"")</f>
        <v/>
      </c>
      <c r="I127" s="20">
        <f>IFERROR(SUMIFS(Ordenes!$P$2:$P$840,Ordenes!$C$2:$C$840,$B127,Ordenes!$T$2:$T$840,"Válida",Ordenes!$F$2:$F$840,"Estrella")/SUMIFS(Ordenes!$Q$2:$Q$840,Ordenes!$C$2:$C$840,$B127,Ordenes!$T$2:$T$840,"Válida",Ordenes!$F$2:$F$840,"Estrella"),"")</f>
        <v/>
      </c>
      <c r="J127" s="20">
        <f>IFERROR(SUMIFS(Ordenes!$P$2:$P$840,Ordenes!$C$2:$C$840,$B127,Ordenes!$T$2:$T$840,"Válida",Ordenes!$F$2:$F$840,"Saferock")/SUMIFS(Ordenes!$Q$2:$Q$840,Ordenes!$C$2:$C$840,$B127,Ordenes!$T$2:$T$840,"Válida",Ordenes!$F$2:$F$840,"Saferock"),"")</f>
        <v/>
      </c>
      <c r="K127" s="20">
        <f>IFERROR(SUMIFS(Ordenes!$P$2:$P$840,Ordenes!$C$2:$C$840,$B127,Ordenes!$T$2:$T$840,"Válida",Ordenes!$F$2:$F$840,"Hexágono")/SUMIFS(Ordenes!$Q$2:$Q$840,Ordenes!$C$2:$C$840,$B127,Ordenes!$T$2:$T$840,"Válida",Ordenes!$F$2:$F$840,"Hexágono"),"")</f>
        <v/>
      </c>
      <c r="L127" s="24">
        <f>IFERROR(SUMIFS(Ordenes!$P$2:$P$840,Ordenes!$C$2:$C$840,$B127,Ordenes!$T$2:$T$840,"Válida",Ordenes!$F$2:$F$840,"*")/SUMIFS(Ordenes!$Q$2:$Q$840,Ordenes!$C$2:$C$840,$B127,Ordenes!$T$2:$T$840,"Válida",Ordenes!$F$2:$F$840,"*"),"")</f>
        <v/>
      </c>
      <c r="M127" s="20">
        <f>IFERROR(SUMIFS(Ordenes!$V$2:$V$840,Ordenes!$C$2:$C$840,$B127,Ordenes!$T$2:$T$840,"Válida")/SUMIFS(Ordenes!$Q$2:$Q$840,Ordenes!$C$2:$C$840,$B127,Ordenes!$T$2:$T$840,"Válida"),"")</f>
        <v/>
      </c>
      <c r="N127" s="21">
        <f>IFERROR((L127-M127)*100,"")</f>
        <v/>
      </c>
      <c r="O127" s="19">
        <f>SUMIFS(Ordenes!$P$2:$P$840,Ordenes!$C$2:$C$840,$B127,Ordenes!$T$2:$T$840,"Válida")</f>
        <v/>
      </c>
      <c r="P127" s="19">
        <f>SUMIFS(Ordenes!$Q$2:$Q$840,Ordenes!$C$2:$C$840,$B127,Ordenes!$T$2:$T$840,"Válida")</f>
        <v/>
      </c>
      <c r="Q127" s="18">
        <f>COUNTIFS(Ordenes!$C$2:$C$840,$B127,Ordenes!$T$2:$T$840,"Válida")</f>
        <v/>
      </c>
    </row>
    <row r="128">
      <c r="A128" s="18" t="inlineStr">
        <is>
          <t>Jue 4 jun 2026</t>
        </is>
      </c>
      <c r="B128" s="22" t="n">
        <v>46177</v>
      </c>
      <c r="C128" s="18" t="inlineStr">
        <is>
          <t>S23</t>
        </is>
      </c>
      <c r="D128" s="20">
        <f>IFERROR(SUMIFS(Ordenes!$P$2:$P$840,Ordenes!$C$2:$C$840,$B128,Ordenes!$T$2:$T$840,"Válida",Ordenes!$F$2:$F$840,"B Hormigón")/SUMIFS(Ordenes!$Q$2:$Q$840,Ordenes!$C$2:$C$840,$B128,Ordenes!$T$2:$T$840,"Válida",Ordenes!$F$2:$F$840,"B Hormigón"),"")</f>
        <v/>
      </c>
      <c r="E128" s="20">
        <f>IFERROR(SUMIFS(Ordenes!$P$2:$P$840,Ordenes!$C$2:$C$840,$B128,Ordenes!$T$2:$T$840,"Válida",Ordenes!$F$2:$F$840,"Redondo liso")/SUMIFS(Ordenes!$Q$2:$Q$840,Ordenes!$C$2:$C$840,$B128,Ordenes!$T$2:$T$840,"Válida",Ordenes!$F$2:$F$840,"Redondo liso"),"")</f>
        <v/>
      </c>
      <c r="F128" s="20">
        <f>IFERROR(SUMIFS(Ordenes!$P$2:$P$840,Ordenes!$C$2:$C$840,$B128,Ordenes!$T$2:$T$840,"Válida",Ordenes!$F$2:$F$840,"Plana")/SUMIFS(Ordenes!$Q$2:$Q$840,Ordenes!$C$2:$C$840,$B128,Ordenes!$T$2:$T$840,"Válida",Ordenes!$F$2:$F$840,"Plana"),"")</f>
        <v/>
      </c>
      <c r="G128" s="20">
        <f>IFERROR(SUMIFS(Ordenes!$P$2:$P$840,Ordenes!$C$2:$C$840,$B128,Ordenes!$T$2:$T$840,"Válida",Ordenes!$F$2:$F$840,"Ángulo")/SUMIFS(Ordenes!$Q$2:$Q$840,Ordenes!$C$2:$C$840,$B128,Ordenes!$T$2:$T$840,"Válida",Ordenes!$F$2:$F$840,"Ángulo"),"")</f>
        <v/>
      </c>
      <c r="H128" s="20">
        <f>IFERROR(SUMIFS(Ordenes!$P$2:$P$840,Ordenes!$C$2:$C$840,$B128,Ordenes!$T$2:$T$840,"Válida",Ordenes!$F$2:$F$840,"Cuadrado")/SUMIFS(Ordenes!$Q$2:$Q$840,Ordenes!$C$2:$C$840,$B128,Ordenes!$T$2:$T$840,"Válida",Ordenes!$F$2:$F$840,"Cuadrado"),"")</f>
        <v/>
      </c>
      <c r="I128" s="20">
        <f>IFERROR(SUMIFS(Ordenes!$P$2:$P$840,Ordenes!$C$2:$C$840,$B128,Ordenes!$T$2:$T$840,"Válida",Ordenes!$F$2:$F$840,"Estrella")/SUMIFS(Ordenes!$Q$2:$Q$840,Ordenes!$C$2:$C$840,$B128,Ordenes!$T$2:$T$840,"Válida",Ordenes!$F$2:$F$840,"Estrella"),"")</f>
        <v/>
      </c>
      <c r="J128" s="20">
        <f>IFERROR(SUMIFS(Ordenes!$P$2:$P$840,Ordenes!$C$2:$C$840,$B128,Ordenes!$T$2:$T$840,"Válida",Ordenes!$F$2:$F$840,"Saferock")/SUMIFS(Ordenes!$Q$2:$Q$840,Ordenes!$C$2:$C$840,$B128,Ordenes!$T$2:$T$840,"Válida",Ordenes!$F$2:$F$840,"Saferock"),"")</f>
        <v/>
      </c>
      <c r="K128" s="20">
        <f>IFERROR(SUMIFS(Ordenes!$P$2:$P$840,Ordenes!$C$2:$C$840,$B128,Ordenes!$T$2:$T$840,"Válida",Ordenes!$F$2:$F$840,"Hexágono")/SUMIFS(Ordenes!$Q$2:$Q$840,Ordenes!$C$2:$C$840,$B128,Ordenes!$T$2:$T$840,"Válida",Ordenes!$F$2:$F$840,"Hexágono"),"")</f>
        <v/>
      </c>
      <c r="L128" s="24">
        <f>IFERROR(SUMIFS(Ordenes!$P$2:$P$840,Ordenes!$C$2:$C$840,$B128,Ordenes!$T$2:$T$840,"Válida",Ordenes!$F$2:$F$840,"*")/SUMIFS(Ordenes!$Q$2:$Q$840,Ordenes!$C$2:$C$840,$B128,Ordenes!$T$2:$T$840,"Válida",Ordenes!$F$2:$F$840,"*"),"")</f>
        <v/>
      </c>
      <c r="M128" s="20">
        <f>IFERROR(SUMIFS(Ordenes!$V$2:$V$840,Ordenes!$C$2:$C$840,$B128,Ordenes!$T$2:$T$840,"Válida")/SUMIFS(Ordenes!$Q$2:$Q$840,Ordenes!$C$2:$C$840,$B128,Ordenes!$T$2:$T$840,"Válida"),"")</f>
        <v/>
      </c>
      <c r="N128" s="21">
        <f>IFERROR((L128-M128)*100,"")</f>
        <v/>
      </c>
      <c r="O128" s="19">
        <f>SUMIFS(Ordenes!$P$2:$P$840,Ordenes!$C$2:$C$840,$B128,Ordenes!$T$2:$T$840,"Válida")</f>
        <v/>
      </c>
      <c r="P128" s="19">
        <f>SUMIFS(Ordenes!$Q$2:$Q$840,Ordenes!$C$2:$C$840,$B128,Ordenes!$T$2:$T$840,"Válida")</f>
        <v/>
      </c>
      <c r="Q128" s="18">
        <f>COUNTIFS(Ordenes!$C$2:$C$840,$B128,Ordenes!$T$2:$T$840,"Válida")</f>
        <v/>
      </c>
    </row>
    <row r="129">
      <c r="A129" s="18" t="inlineStr">
        <is>
          <t>Vie 5 jun 2026</t>
        </is>
      </c>
      <c r="B129" s="22" t="n">
        <v>46178</v>
      </c>
      <c r="C129" s="18" t="inlineStr">
        <is>
          <t>S23</t>
        </is>
      </c>
      <c r="D129" s="20">
        <f>IFERROR(SUMIFS(Ordenes!$P$2:$P$840,Ordenes!$C$2:$C$840,$B129,Ordenes!$T$2:$T$840,"Válida",Ordenes!$F$2:$F$840,"B Hormigón")/SUMIFS(Ordenes!$Q$2:$Q$840,Ordenes!$C$2:$C$840,$B129,Ordenes!$T$2:$T$840,"Válida",Ordenes!$F$2:$F$840,"B Hormigón"),"")</f>
        <v/>
      </c>
      <c r="E129" s="20">
        <f>IFERROR(SUMIFS(Ordenes!$P$2:$P$840,Ordenes!$C$2:$C$840,$B129,Ordenes!$T$2:$T$840,"Válida",Ordenes!$F$2:$F$840,"Redondo liso")/SUMIFS(Ordenes!$Q$2:$Q$840,Ordenes!$C$2:$C$840,$B129,Ordenes!$T$2:$T$840,"Válida",Ordenes!$F$2:$F$840,"Redondo liso"),"")</f>
        <v/>
      </c>
      <c r="F129" s="20">
        <f>IFERROR(SUMIFS(Ordenes!$P$2:$P$840,Ordenes!$C$2:$C$840,$B129,Ordenes!$T$2:$T$840,"Válida",Ordenes!$F$2:$F$840,"Plana")/SUMIFS(Ordenes!$Q$2:$Q$840,Ordenes!$C$2:$C$840,$B129,Ordenes!$T$2:$T$840,"Válida",Ordenes!$F$2:$F$840,"Plana"),"")</f>
        <v/>
      </c>
      <c r="G129" s="20">
        <f>IFERROR(SUMIFS(Ordenes!$P$2:$P$840,Ordenes!$C$2:$C$840,$B129,Ordenes!$T$2:$T$840,"Válida",Ordenes!$F$2:$F$840,"Ángulo")/SUMIFS(Ordenes!$Q$2:$Q$840,Ordenes!$C$2:$C$840,$B129,Ordenes!$T$2:$T$840,"Válida",Ordenes!$F$2:$F$840,"Ángulo"),"")</f>
        <v/>
      </c>
      <c r="H129" s="20">
        <f>IFERROR(SUMIFS(Ordenes!$P$2:$P$840,Ordenes!$C$2:$C$840,$B129,Ordenes!$T$2:$T$840,"Válida",Ordenes!$F$2:$F$840,"Cuadrado")/SUMIFS(Ordenes!$Q$2:$Q$840,Ordenes!$C$2:$C$840,$B129,Ordenes!$T$2:$T$840,"Válida",Ordenes!$F$2:$F$840,"Cuadrado"),"")</f>
        <v/>
      </c>
      <c r="I129" s="20">
        <f>IFERROR(SUMIFS(Ordenes!$P$2:$P$840,Ordenes!$C$2:$C$840,$B129,Ordenes!$T$2:$T$840,"Válida",Ordenes!$F$2:$F$840,"Estrella")/SUMIFS(Ordenes!$Q$2:$Q$840,Ordenes!$C$2:$C$840,$B129,Ordenes!$T$2:$T$840,"Válida",Ordenes!$F$2:$F$840,"Estrella"),"")</f>
        <v/>
      </c>
      <c r="J129" s="20">
        <f>IFERROR(SUMIFS(Ordenes!$P$2:$P$840,Ordenes!$C$2:$C$840,$B129,Ordenes!$T$2:$T$840,"Válida",Ordenes!$F$2:$F$840,"Saferock")/SUMIFS(Ordenes!$Q$2:$Q$840,Ordenes!$C$2:$C$840,$B129,Ordenes!$T$2:$T$840,"Válida",Ordenes!$F$2:$F$840,"Saferock"),"")</f>
        <v/>
      </c>
      <c r="K129" s="20">
        <f>IFERROR(SUMIFS(Ordenes!$P$2:$P$840,Ordenes!$C$2:$C$840,$B129,Ordenes!$T$2:$T$840,"Válida",Ordenes!$F$2:$F$840,"Hexágono")/SUMIFS(Ordenes!$Q$2:$Q$840,Ordenes!$C$2:$C$840,$B129,Ordenes!$T$2:$T$840,"Válida",Ordenes!$F$2:$F$840,"Hexágono"),"")</f>
        <v/>
      </c>
      <c r="L129" s="24">
        <f>IFERROR(SUMIFS(Ordenes!$P$2:$P$840,Ordenes!$C$2:$C$840,$B129,Ordenes!$T$2:$T$840,"Válida",Ordenes!$F$2:$F$840,"*")/SUMIFS(Ordenes!$Q$2:$Q$840,Ordenes!$C$2:$C$840,$B129,Ordenes!$T$2:$T$840,"Válida",Ordenes!$F$2:$F$840,"*"),"")</f>
        <v/>
      </c>
      <c r="M129" s="20">
        <f>IFERROR(SUMIFS(Ordenes!$V$2:$V$840,Ordenes!$C$2:$C$840,$B129,Ordenes!$T$2:$T$840,"Válida")/SUMIFS(Ordenes!$Q$2:$Q$840,Ordenes!$C$2:$C$840,$B129,Ordenes!$T$2:$T$840,"Válida"),"")</f>
        <v/>
      </c>
      <c r="N129" s="21">
        <f>IFERROR((L129-M129)*100,"")</f>
        <v/>
      </c>
      <c r="O129" s="19">
        <f>SUMIFS(Ordenes!$P$2:$P$840,Ordenes!$C$2:$C$840,$B129,Ordenes!$T$2:$T$840,"Válida")</f>
        <v/>
      </c>
      <c r="P129" s="19">
        <f>SUMIFS(Ordenes!$Q$2:$Q$840,Ordenes!$C$2:$C$840,$B129,Ordenes!$T$2:$T$840,"Válida")</f>
        <v/>
      </c>
      <c r="Q129" s="18">
        <f>COUNTIFS(Ordenes!$C$2:$C$840,$B129,Ordenes!$T$2:$T$840,"Válida")</f>
        <v/>
      </c>
    </row>
    <row r="130">
      <c r="A130" s="18" t="inlineStr">
        <is>
          <t>Sáb 6 jun 2026</t>
        </is>
      </c>
      <c r="B130" s="22" t="n">
        <v>46179</v>
      </c>
      <c r="C130" s="18" t="inlineStr">
        <is>
          <t>S23</t>
        </is>
      </c>
      <c r="D130" s="20">
        <f>IFERROR(SUMIFS(Ordenes!$P$2:$P$840,Ordenes!$C$2:$C$840,$B130,Ordenes!$T$2:$T$840,"Válida",Ordenes!$F$2:$F$840,"B Hormigón")/SUMIFS(Ordenes!$Q$2:$Q$840,Ordenes!$C$2:$C$840,$B130,Ordenes!$T$2:$T$840,"Válida",Ordenes!$F$2:$F$840,"B Hormigón"),"")</f>
        <v/>
      </c>
      <c r="E130" s="20">
        <f>IFERROR(SUMIFS(Ordenes!$P$2:$P$840,Ordenes!$C$2:$C$840,$B130,Ordenes!$T$2:$T$840,"Válida",Ordenes!$F$2:$F$840,"Redondo liso")/SUMIFS(Ordenes!$Q$2:$Q$840,Ordenes!$C$2:$C$840,$B130,Ordenes!$T$2:$T$840,"Válida",Ordenes!$F$2:$F$840,"Redondo liso"),"")</f>
        <v/>
      </c>
      <c r="F130" s="20">
        <f>IFERROR(SUMIFS(Ordenes!$P$2:$P$840,Ordenes!$C$2:$C$840,$B130,Ordenes!$T$2:$T$840,"Válida",Ordenes!$F$2:$F$840,"Plana")/SUMIFS(Ordenes!$Q$2:$Q$840,Ordenes!$C$2:$C$840,$B130,Ordenes!$T$2:$T$840,"Válida",Ordenes!$F$2:$F$840,"Plana"),"")</f>
        <v/>
      </c>
      <c r="G130" s="20">
        <f>IFERROR(SUMIFS(Ordenes!$P$2:$P$840,Ordenes!$C$2:$C$840,$B130,Ordenes!$T$2:$T$840,"Válida",Ordenes!$F$2:$F$840,"Ángulo")/SUMIFS(Ordenes!$Q$2:$Q$840,Ordenes!$C$2:$C$840,$B130,Ordenes!$T$2:$T$840,"Válida",Ordenes!$F$2:$F$840,"Ángulo"),"")</f>
        <v/>
      </c>
      <c r="H130" s="20">
        <f>IFERROR(SUMIFS(Ordenes!$P$2:$P$840,Ordenes!$C$2:$C$840,$B130,Ordenes!$T$2:$T$840,"Válida",Ordenes!$F$2:$F$840,"Cuadrado")/SUMIFS(Ordenes!$Q$2:$Q$840,Ordenes!$C$2:$C$840,$B130,Ordenes!$T$2:$T$840,"Válida",Ordenes!$F$2:$F$840,"Cuadrado"),"")</f>
        <v/>
      </c>
      <c r="I130" s="20">
        <f>IFERROR(SUMIFS(Ordenes!$P$2:$P$840,Ordenes!$C$2:$C$840,$B130,Ordenes!$T$2:$T$840,"Válida",Ordenes!$F$2:$F$840,"Estrella")/SUMIFS(Ordenes!$Q$2:$Q$840,Ordenes!$C$2:$C$840,$B130,Ordenes!$T$2:$T$840,"Válida",Ordenes!$F$2:$F$840,"Estrella"),"")</f>
        <v/>
      </c>
      <c r="J130" s="20">
        <f>IFERROR(SUMIFS(Ordenes!$P$2:$P$840,Ordenes!$C$2:$C$840,$B130,Ordenes!$T$2:$T$840,"Válida",Ordenes!$F$2:$F$840,"Saferock")/SUMIFS(Ordenes!$Q$2:$Q$840,Ordenes!$C$2:$C$840,$B130,Ordenes!$T$2:$T$840,"Válida",Ordenes!$F$2:$F$840,"Saferock"),"")</f>
        <v/>
      </c>
      <c r="K130" s="20">
        <f>IFERROR(SUMIFS(Ordenes!$P$2:$P$840,Ordenes!$C$2:$C$840,$B130,Ordenes!$T$2:$T$840,"Válida",Ordenes!$F$2:$F$840,"Hexágono")/SUMIFS(Ordenes!$Q$2:$Q$840,Ordenes!$C$2:$C$840,$B130,Ordenes!$T$2:$T$840,"Válida",Ordenes!$F$2:$F$840,"Hexágono"),"")</f>
        <v/>
      </c>
      <c r="L130" s="24">
        <f>IFERROR(SUMIFS(Ordenes!$P$2:$P$840,Ordenes!$C$2:$C$840,$B130,Ordenes!$T$2:$T$840,"Válida",Ordenes!$F$2:$F$840,"*")/SUMIFS(Ordenes!$Q$2:$Q$840,Ordenes!$C$2:$C$840,$B130,Ordenes!$T$2:$T$840,"Válida",Ordenes!$F$2:$F$840,"*"),"")</f>
        <v/>
      </c>
      <c r="M130" s="20">
        <f>IFERROR(SUMIFS(Ordenes!$V$2:$V$840,Ordenes!$C$2:$C$840,$B130,Ordenes!$T$2:$T$840,"Válida")/SUMIFS(Ordenes!$Q$2:$Q$840,Ordenes!$C$2:$C$840,$B130,Ordenes!$T$2:$T$840,"Válida"),"")</f>
        <v/>
      </c>
      <c r="N130" s="21">
        <f>IFERROR((L130-M130)*100,"")</f>
        <v/>
      </c>
      <c r="O130" s="19">
        <f>SUMIFS(Ordenes!$P$2:$P$840,Ordenes!$C$2:$C$840,$B130,Ordenes!$T$2:$T$840,"Válida")</f>
        <v/>
      </c>
      <c r="P130" s="19">
        <f>SUMIFS(Ordenes!$Q$2:$Q$840,Ordenes!$C$2:$C$840,$B130,Ordenes!$T$2:$T$840,"Válida")</f>
        <v/>
      </c>
      <c r="Q130" s="18">
        <f>COUNTIFS(Ordenes!$C$2:$C$840,$B130,Ordenes!$T$2:$T$840,"Válida")</f>
        <v/>
      </c>
    </row>
    <row r="131">
      <c r="A131" s="18" t="inlineStr">
        <is>
          <t>Dom 7 jun 2026</t>
        </is>
      </c>
      <c r="B131" s="22" t="n">
        <v>46180</v>
      </c>
      <c r="C131" s="18" t="inlineStr">
        <is>
          <t>S23</t>
        </is>
      </c>
      <c r="D131" s="20">
        <f>IFERROR(SUMIFS(Ordenes!$P$2:$P$840,Ordenes!$C$2:$C$840,$B131,Ordenes!$T$2:$T$840,"Válida",Ordenes!$F$2:$F$840,"B Hormigón")/SUMIFS(Ordenes!$Q$2:$Q$840,Ordenes!$C$2:$C$840,$B131,Ordenes!$T$2:$T$840,"Válida",Ordenes!$F$2:$F$840,"B Hormigón"),"")</f>
        <v/>
      </c>
      <c r="E131" s="20">
        <f>IFERROR(SUMIFS(Ordenes!$P$2:$P$840,Ordenes!$C$2:$C$840,$B131,Ordenes!$T$2:$T$840,"Válida",Ordenes!$F$2:$F$840,"Redondo liso")/SUMIFS(Ordenes!$Q$2:$Q$840,Ordenes!$C$2:$C$840,$B131,Ordenes!$T$2:$T$840,"Válida",Ordenes!$F$2:$F$840,"Redondo liso"),"")</f>
        <v/>
      </c>
      <c r="F131" s="20">
        <f>IFERROR(SUMIFS(Ordenes!$P$2:$P$840,Ordenes!$C$2:$C$840,$B131,Ordenes!$T$2:$T$840,"Válida",Ordenes!$F$2:$F$840,"Plana")/SUMIFS(Ordenes!$Q$2:$Q$840,Ordenes!$C$2:$C$840,$B131,Ordenes!$T$2:$T$840,"Válida",Ordenes!$F$2:$F$840,"Plana"),"")</f>
        <v/>
      </c>
      <c r="G131" s="20">
        <f>IFERROR(SUMIFS(Ordenes!$P$2:$P$840,Ordenes!$C$2:$C$840,$B131,Ordenes!$T$2:$T$840,"Válida",Ordenes!$F$2:$F$840,"Ángulo")/SUMIFS(Ordenes!$Q$2:$Q$840,Ordenes!$C$2:$C$840,$B131,Ordenes!$T$2:$T$840,"Válida",Ordenes!$F$2:$F$840,"Ángulo"),"")</f>
        <v/>
      </c>
      <c r="H131" s="20">
        <f>IFERROR(SUMIFS(Ordenes!$P$2:$P$840,Ordenes!$C$2:$C$840,$B131,Ordenes!$T$2:$T$840,"Válida",Ordenes!$F$2:$F$840,"Cuadrado")/SUMIFS(Ordenes!$Q$2:$Q$840,Ordenes!$C$2:$C$840,$B131,Ordenes!$T$2:$T$840,"Válida",Ordenes!$F$2:$F$840,"Cuadrado"),"")</f>
        <v/>
      </c>
      <c r="I131" s="20">
        <f>IFERROR(SUMIFS(Ordenes!$P$2:$P$840,Ordenes!$C$2:$C$840,$B131,Ordenes!$T$2:$T$840,"Válida",Ordenes!$F$2:$F$840,"Estrella")/SUMIFS(Ordenes!$Q$2:$Q$840,Ordenes!$C$2:$C$840,$B131,Ordenes!$T$2:$T$840,"Válida",Ordenes!$F$2:$F$840,"Estrella"),"")</f>
        <v/>
      </c>
      <c r="J131" s="20">
        <f>IFERROR(SUMIFS(Ordenes!$P$2:$P$840,Ordenes!$C$2:$C$840,$B131,Ordenes!$T$2:$T$840,"Válida",Ordenes!$F$2:$F$840,"Saferock")/SUMIFS(Ordenes!$Q$2:$Q$840,Ordenes!$C$2:$C$840,$B131,Ordenes!$T$2:$T$840,"Válida",Ordenes!$F$2:$F$840,"Saferock"),"")</f>
        <v/>
      </c>
      <c r="K131" s="20">
        <f>IFERROR(SUMIFS(Ordenes!$P$2:$P$840,Ordenes!$C$2:$C$840,$B131,Ordenes!$T$2:$T$840,"Válida",Ordenes!$F$2:$F$840,"Hexágono")/SUMIFS(Ordenes!$Q$2:$Q$840,Ordenes!$C$2:$C$840,$B131,Ordenes!$T$2:$T$840,"Válida",Ordenes!$F$2:$F$840,"Hexágono"),"")</f>
        <v/>
      </c>
      <c r="L131" s="24">
        <f>IFERROR(SUMIFS(Ordenes!$P$2:$P$840,Ordenes!$C$2:$C$840,$B131,Ordenes!$T$2:$T$840,"Válida",Ordenes!$F$2:$F$840,"*")/SUMIFS(Ordenes!$Q$2:$Q$840,Ordenes!$C$2:$C$840,$B131,Ordenes!$T$2:$T$840,"Válida",Ordenes!$F$2:$F$840,"*"),"")</f>
        <v/>
      </c>
      <c r="M131" s="20">
        <f>IFERROR(SUMIFS(Ordenes!$V$2:$V$840,Ordenes!$C$2:$C$840,$B131,Ordenes!$T$2:$T$840,"Válida")/SUMIFS(Ordenes!$Q$2:$Q$840,Ordenes!$C$2:$C$840,$B131,Ordenes!$T$2:$T$840,"Válida"),"")</f>
        <v/>
      </c>
      <c r="N131" s="21">
        <f>IFERROR((L131-M131)*100,"")</f>
        <v/>
      </c>
      <c r="O131" s="19">
        <f>SUMIFS(Ordenes!$P$2:$P$840,Ordenes!$C$2:$C$840,$B131,Ordenes!$T$2:$T$840,"Válida")</f>
        <v/>
      </c>
      <c r="P131" s="19">
        <f>SUMIFS(Ordenes!$Q$2:$Q$840,Ordenes!$C$2:$C$840,$B131,Ordenes!$T$2:$T$840,"Válida")</f>
        <v/>
      </c>
      <c r="Q131" s="18">
        <f>COUNTIFS(Ordenes!$C$2:$C$840,$B131,Ordenes!$T$2:$T$840,"Válida")</f>
        <v/>
      </c>
    </row>
    <row r="132">
      <c r="A132" s="18" t="inlineStr">
        <is>
          <t>Lun 8 jun 2026</t>
        </is>
      </c>
      <c r="B132" s="22" t="n">
        <v>46181</v>
      </c>
      <c r="C132" s="18" t="inlineStr">
        <is>
          <t>S24</t>
        </is>
      </c>
      <c r="D132" s="20">
        <f>IFERROR(SUMIFS(Ordenes!$P$2:$P$840,Ordenes!$C$2:$C$840,$B132,Ordenes!$T$2:$T$840,"Válida",Ordenes!$F$2:$F$840,"B Hormigón")/SUMIFS(Ordenes!$Q$2:$Q$840,Ordenes!$C$2:$C$840,$B132,Ordenes!$T$2:$T$840,"Válida",Ordenes!$F$2:$F$840,"B Hormigón"),"")</f>
        <v/>
      </c>
      <c r="E132" s="20">
        <f>IFERROR(SUMIFS(Ordenes!$P$2:$P$840,Ordenes!$C$2:$C$840,$B132,Ordenes!$T$2:$T$840,"Válida",Ordenes!$F$2:$F$840,"Redondo liso")/SUMIFS(Ordenes!$Q$2:$Q$840,Ordenes!$C$2:$C$840,$B132,Ordenes!$T$2:$T$840,"Válida",Ordenes!$F$2:$F$840,"Redondo liso"),"")</f>
        <v/>
      </c>
      <c r="F132" s="20">
        <f>IFERROR(SUMIFS(Ordenes!$P$2:$P$840,Ordenes!$C$2:$C$840,$B132,Ordenes!$T$2:$T$840,"Válida",Ordenes!$F$2:$F$840,"Plana")/SUMIFS(Ordenes!$Q$2:$Q$840,Ordenes!$C$2:$C$840,$B132,Ordenes!$T$2:$T$840,"Válida",Ordenes!$F$2:$F$840,"Plana"),"")</f>
        <v/>
      </c>
      <c r="G132" s="20">
        <f>IFERROR(SUMIFS(Ordenes!$P$2:$P$840,Ordenes!$C$2:$C$840,$B132,Ordenes!$T$2:$T$840,"Válida",Ordenes!$F$2:$F$840,"Ángulo")/SUMIFS(Ordenes!$Q$2:$Q$840,Ordenes!$C$2:$C$840,$B132,Ordenes!$T$2:$T$840,"Válida",Ordenes!$F$2:$F$840,"Ángulo"),"")</f>
        <v/>
      </c>
      <c r="H132" s="20">
        <f>IFERROR(SUMIFS(Ordenes!$P$2:$P$840,Ordenes!$C$2:$C$840,$B132,Ordenes!$T$2:$T$840,"Válida",Ordenes!$F$2:$F$840,"Cuadrado")/SUMIFS(Ordenes!$Q$2:$Q$840,Ordenes!$C$2:$C$840,$B132,Ordenes!$T$2:$T$840,"Válida",Ordenes!$F$2:$F$840,"Cuadrado"),"")</f>
        <v/>
      </c>
      <c r="I132" s="20">
        <f>IFERROR(SUMIFS(Ordenes!$P$2:$P$840,Ordenes!$C$2:$C$840,$B132,Ordenes!$T$2:$T$840,"Válida",Ordenes!$F$2:$F$840,"Estrella")/SUMIFS(Ordenes!$Q$2:$Q$840,Ordenes!$C$2:$C$840,$B132,Ordenes!$T$2:$T$840,"Válida",Ordenes!$F$2:$F$840,"Estrella"),"")</f>
        <v/>
      </c>
      <c r="J132" s="20">
        <f>IFERROR(SUMIFS(Ordenes!$P$2:$P$840,Ordenes!$C$2:$C$840,$B132,Ordenes!$T$2:$T$840,"Válida",Ordenes!$F$2:$F$840,"Saferock")/SUMIFS(Ordenes!$Q$2:$Q$840,Ordenes!$C$2:$C$840,$B132,Ordenes!$T$2:$T$840,"Válida",Ordenes!$F$2:$F$840,"Saferock"),"")</f>
        <v/>
      </c>
      <c r="K132" s="20">
        <f>IFERROR(SUMIFS(Ordenes!$P$2:$P$840,Ordenes!$C$2:$C$840,$B132,Ordenes!$T$2:$T$840,"Válida",Ordenes!$F$2:$F$840,"Hexágono")/SUMIFS(Ordenes!$Q$2:$Q$840,Ordenes!$C$2:$C$840,$B132,Ordenes!$T$2:$T$840,"Válida",Ordenes!$F$2:$F$840,"Hexágono"),"")</f>
        <v/>
      </c>
      <c r="L132" s="24">
        <f>IFERROR(SUMIFS(Ordenes!$P$2:$P$840,Ordenes!$C$2:$C$840,$B132,Ordenes!$T$2:$T$840,"Válida",Ordenes!$F$2:$F$840,"*")/SUMIFS(Ordenes!$Q$2:$Q$840,Ordenes!$C$2:$C$840,$B132,Ordenes!$T$2:$T$840,"Válida",Ordenes!$F$2:$F$840,"*"),"")</f>
        <v/>
      </c>
      <c r="M132" s="20">
        <f>IFERROR(SUMIFS(Ordenes!$V$2:$V$840,Ordenes!$C$2:$C$840,$B132,Ordenes!$T$2:$T$840,"Válida")/SUMIFS(Ordenes!$Q$2:$Q$840,Ordenes!$C$2:$C$840,$B132,Ordenes!$T$2:$T$840,"Válida"),"")</f>
        <v/>
      </c>
      <c r="N132" s="21">
        <f>IFERROR((L132-M132)*100,"")</f>
        <v/>
      </c>
      <c r="O132" s="19">
        <f>SUMIFS(Ordenes!$P$2:$P$840,Ordenes!$C$2:$C$840,$B132,Ordenes!$T$2:$T$840,"Válida")</f>
        <v/>
      </c>
      <c r="P132" s="19">
        <f>SUMIFS(Ordenes!$Q$2:$Q$840,Ordenes!$C$2:$C$840,$B132,Ordenes!$T$2:$T$840,"Válida")</f>
        <v/>
      </c>
      <c r="Q132" s="18">
        <f>COUNTIFS(Ordenes!$C$2:$C$840,$B132,Ordenes!$T$2:$T$840,"Válida")</f>
        <v/>
      </c>
    </row>
    <row r="133">
      <c r="A133" s="18" t="inlineStr">
        <is>
          <t>Mar 9 jun 2026</t>
        </is>
      </c>
      <c r="B133" s="22" t="n">
        <v>46182</v>
      </c>
      <c r="C133" s="18" t="inlineStr">
        <is>
          <t>S24</t>
        </is>
      </c>
      <c r="D133" s="20">
        <f>IFERROR(SUMIFS(Ordenes!$P$2:$P$840,Ordenes!$C$2:$C$840,$B133,Ordenes!$T$2:$T$840,"Válida",Ordenes!$F$2:$F$840,"B Hormigón")/SUMIFS(Ordenes!$Q$2:$Q$840,Ordenes!$C$2:$C$840,$B133,Ordenes!$T$2:$T$840,"Válida",Ordenes!$F$2:$F$840,"B Hormigón"),"")</f>
        <v/>
      </c>
      <c r="E133" s="20">
        <f>IFERROR(SUMIFS(Ordenes!$P$2:$P$840,Ordenes!$C$2:$C$840,$B133,Ordenes!$T$2:$T$840,"Válida",Ordenes!$F$2:$F$840,"Redondo liso")/SUMIFS(Ordenes!$Q$2:$Q$840,Ordenes!$C$2:$C$840,$B133,Ordenes!$T$2:$T$840,"Válida",Ordenes!$F$2:$F$840,"Redondo liso"),"")</f>
        <v/>
      </c>
      <c r="F133" s="20">
        <f>IFERROR(SUMIFS(Ordenes!$P$2:$P$840,Ordenes!$C$2:$C$840,$B133,Ordenes!$T$2:$T$840,"Válida",Ordenes!$F$2:$F$840,"Plana")/SUMIFS(Ordenes!$Q$2:$Q$840,Ordenes!$C$2:$C$840,$B133,Ordenes!$T$2:$T$840,"Válida",Ordenes!$F$2:$F$840,"Plana"),"")</f>
        <v/>
      </c>
      <c r="G133" s="20">
        <f>IFERROR(SUMIFS(Ordenes!$P$2:$P$840,Ordenes!$C$2:$C$840,$B133,Ordenes!$T$2:$T$840,"Válida",Ordenes!$F$2:$F$840,"Ángulo")/SUMIFS(Ordenes!$Q$2:$Q$840,Ordenes!$C$2:$C$840,$B133,Ordenes!$T$2:$T$840,"Válida",Ordenes!$F$2:$F$840,"Ángulo"),"")</f>
        <v/>
      </c>
      <c r="H133" s="20">
        <f>IFERROR(SUMIFS(Ordenes!$P$2:$P$840,Ordenes!$C$2:$C$840,$B133,Ordenes!$T$2:$T$840,"Válida",Ordenes!$F$2:$F$840,"Cuadrado")/SUMIFS(Ordenes!$Q$2:$Q$840,Ordenes!$C$2:$C$840,$B133,Ordenes!$T$2:$T$840,"Válida",Ordenes!$F$2:$F$840,"Cuadrado"),"")</f>
        <v/>
      </c>
      <c r="I133" s="20">
        <f>IFERROR(SUMIFS(Ordenes!$P$2:$P$840,Ordenes!$C$2:$C$840,$B133,Ordenes!$T$2:$T$840,"Válida",Ordenes!$F$2:$F$840,"Estrella")/SUMIFS(Ordenes!$Q$2:$Q$840,Ordenes!$C$2:$C$840,$B133,Ordenes!$T$2:$T$840,"Válida",Ordenes!$F$2:$F$840,"Estrella"),"")</f>
        <v/>
      </c>
      <c r="J133" s="20">
        <f>IFERROR(SUMIFS(Ordenes!$P$2:$P$840,Ordenes!$C$2:$C$840,$B133,Ordenes!$T$2:$T$840,"Válida",Ordenes!$F$2:$F$840,"Saferock")/SUMIFS(Ordenes!$Q$2:$Q$840,Ordenes!$C$2:$C$840,$B133,Ordenes!$T$2:$T$840,"Válida",Ordenes!$F$2:$F$840,"Saferock"),"")</f>
        <v/>
      </c>
      <c r="K133" s="20">
        <f>IFERROR(SUMIFS(Ordenes!$P$2:$P$840,Ordenes!$C$2:$C$840,$B133,Ordenes!$T$2:$T$840,"Válida",Ordenes!$F$2:$F$840,"Hexágono")/SUMIFS(Ordenes!$Q$2:$Q$840,Ordenes!$C$2:$C$840,$B133,Ordenes!$T$2:$T$840,"Válida",Ordenes!$F$2:$F$840,"Hexágono"),"")</f>
        <v/>
      </c>
      <c r="L133" s="24">
        <f>IFERROR(SUMIFS(Ordenes!$P$2:$P$840,Ordenes!$C$2:$C$840,$B133,Ordenes!$T$2:$T$840,"Válida",Ordenes!$F$2:$F$840,"*")/SUMIFS(Ordenes!$Q$2:$Q$840,Ordenes!$C$2:$C$840,$B133,Ordenes!$T$2:$T$840,"Válida",Ordenes!$F$2:$F$840,"*"),"")</f>
        <v/>
      </c>
      <c r="M133" s="20">
        <f>IFERROR(SUMIFS(Ordenes!$V$2:$V$840,Ordenes!$C$2:$C$840,$B133,Ordenes!$T$2:$T$840,"Válida")/SUMIFS(Ordenes!$Q$2:$Q$840,Ordenes!$C$2:$C$840,$B133,Ordenes!$T$2:$T$840,"Válida"),"")</f>
        <v/>
      </c>
      <c r="N133" s="21">
        <f>IFERROR((L133-M133)*100,"")</f>
        <v/>
      </c>
      <c r="O133" s="19">
        <f>SUMIFS(Ordenes!$P$2:$P$840,Ordenes!$C$2:$C$840,$B133,Ordenes!$T$2:$T$840,"Válida")</f>
        <v/>
      </c>
      <c r="P133" s="19">
        <f>SUMIFS(Ordenes!$Q$2:$Q$840,Ordenes!$C$2:$C$840,$B133,Ordenes!$T$2:$T$840,"Válida")</f>
        <v/>
      </c>
      <c r="Q133" s="18">
        <f>COUNTIFS(Ordenes!$C$2:$C$840,$B133,Ordenes!$T$2:$T$840,"Válida")</f>
        <v/>
      </c>
    </row>
    <row r="134">
      <c r="A134" s="18" t="inlineStr">
        <is>
          <t>Mié 10 jun 2026</t>
        </is>
      </c>
      <c r="B134" s="22" t="n">
        <v>46183</v>
      </c>
      <c r="C134" s="18" t="inlineStr">
        <is>
          <t>S24</t>
        </is>
      </c>
      <c r="D134" s="20">
        <f>IFERROR(SUMIFS(Ordenes!$P$2:$P$840,Ordenes!$C$2:$C$840,$B134,Ordenes!$T$2:$T$840,"Válida",Ordenes!$F$2:$F$840,"B Hormigón")/SUMIFS(Ordenes!$Q$2:$Q$840,Ordenes!$C$2:$C$840,$B134,Ordenes!$T$2:$T$840,"Válida",Ordenes!$F$2:$F$840,"B Hormigón"),"")</f>
        <v/>
      </c>
      <c r="E134" s="20">
        <f>IFERROR(SUMIFS(Ordenes!$P$2:$P$840,Ordenes!$C$2:$C$840,$B134,Ordenes!$T$2:$T$840,"Válida",Ordenes!$F$2:$F$840,"Redondo liso")/SUMIFS(Ordenes!$Q$2:$Q$840,Ordenes!$C$2:$C$840,$B134,Ordenes!$T$2:$T$840,"Válida",Ordenes!$F$2:$F$840,"Redondo liso"),"")</f>
        <v/>
      </c>
      <c r="F134" s="20">
        <f>IFERROR(SUMIFS(Ordenes!$P$2:$P$840,Ordenes!$C$2:$C$840,$B134,Ordenes!$T$2:$T$840,"Válida",Ordenes!$F$2:$F$840,"Plana")/SUMIFS(Ordenes!$Q$2:$Q$840,Ordenes!$C$2:$C$840,$B134,Ordenes!$T$2:$T$840,"Válida",Ordenes!$F$2:$F$840,"Plana"),"")</f>
        <v/>
      </c>
      <c r="G134" s="20">
        <f>IFERROR(SUMIFS(Ordenes!$P$2:$P$840,Ordenes!$C$2:$C$840,$B134,Ordenes!$T$2:$T$840,"Válida",Ordenes!$F$2:$F$840,"Ángulo")/SUMIFS(Ordenes!$Q$2:$Q$840,Ordenes!$C$2:$C$840,$B134,Ordenes!$T$2:$T$840,"Válida",Ordenes!$F$2:$F$840,"Ángulo"),"")</f>
        <v/>
      </c>
      <c r="H134" s="20">
        <f>IFERROR(SUMIFS(Ordenes!$P$2:$P$840,Ordenes!$C$2:$C$840,$B134,Ordenes!$T$2:$T$840,"Válida",Ordenes!$F$2:$F$840,"Cuadrado")/SUMIFS(Ordenes!$Q$2:$Q$840,Ordenes!$C$2:$C$840,$B134,Ordenes!$T$2:$T$840,"Válida",Ordenes!$F$2:$F$840,"Cuadrado"),"")</f>
        <v/>
      </c>
      <c r="I134" s="20">
        <f>IFERROR(SUMIFS(Ordenes!$P$2:$P$840,Ordenes!$C$2:$C$840,$B134,Ordenes!$T$2:$T$840,"Válida",Ordenes!$F$2:$F$840,"Estrella")/SUMIFS(Ordenes!$Q$2:$Q$840,Ordenes!$C$2:$C$840,$B134,Ordenes!$T$2:$T$840,"Válida",Ordenes!$F$2:$F$840,"Estrella"),"")</f>
        <v/>
      </c>
      <c r="J134" s="20">
        <f>IFERROR(SUMIFS(Ordenes!$P$2:$P$840,Ordenes!$C$2:$C$840,$B134,Ordenes!$T$2:$T$840,"Válida",Ordenes!$F$2:$F$840,"Saferock")/SUMIFS(Ordenes!$Q$2:$Q$840,Ordenes!$C$2:$C$840,$B134,Ordenes!$T$2:$T$840,"Válida",Ordenes!$F$2:$F$840,"Saferock"),"")</f>
        <v/>
      </c>
      <c r="K134" s="20">
        <f>IFERROR(SUMIFS(Ordenes!$P$2:$P$840,Ordenes!$C$2:$C$840,$B134,Ordenes!$T$2:$T$840,"Válida",Ordenes!$F$2:$F$840,"Hexágono")/SUMIFS(Ordenes!$Q$2:$Q$840,Ordenes!$C$2:$C$840,$B134,Ordenes!$T$2:$T$840,"Válida",Ordenes!$F$2:$F$840,"Hexágono"),"")</f>
        <v/>
      </c>
      <c r="L134" s="24">
        <f>IFERROR(SUMIFS(Ordenes!$P$2:$P$840,Ordenes!$C$2:$C$840,$B134,Ordenes!$T$2:$T$840,"Válida",Ordenes!$F$2:$F$840,"*")/SUMIFS(Ordenes!$Q$2:$Q$840,Ordenes!$C$2:$C$840,$B134,Ordenes!$T$2:$T$840,"Válida",Ordenes!$F$2:$F$840,"*"),"")</f>
        <v/>
      </c>
      <c r="M134" s="20">
        <f>IFERROR(SUMIFS(Ordenes!$V$2:$V$840,Ordenes!$C$2:$C$840,$B134,Ordenes!$T$2:$T$840,"Válida")/SUMIFS(Ordenes!$Q$2:$Q$840,Ordenes!$C$2:$C$840,$B134,Ordenes!$T$2:$T$840,"Válida"),"")</f>
        <v/>
      </c>
      <c r="N134" s="21">
        <f>IFERROR((L134-M134)*100,"")</f>
        <v/>
      </c>
      <c r="O134" s="19">
        <f>SUMIFS(Ordenes!$P$2:$P$840,Ordenes!$C$2:$C$840,$B134,Ordenes!$T$2:$T$840,"Válida")</f>
        <v/>
      </c>
      <c r="P134" s="19">
        <f>SUMIFS(Ordenes!$Q$2:$Q$840,Ordenes!$C$2:$C$840,$B134,Ordenes!$T$2:$T$840,"Válida")</f>
        <v/>
      </c>
      <c r="Q134" s="18">
        <f>COUNTIFS(Ordenes!$C$2:$C$840,$B134,Ordenes!$T$2:$T$840,"Válida")</f>
        <v/>
      </c>
    </row>
    <row r="135">
      <c r="A135" s="18" t="inlineStr">
        <is>
          <t>Jue 11 jun 2026</t>
        </is>
      </c>
      <c r="B135" s="22" t="n">
        <v>46184</v>
      </c>
      <c r="C135" s="18" t="inlineStr">
        <is>
          <t>S24</t>
        </is>
      </c>
      <c r="D135" s="20">
        <f>IFERROR(SUMIFS(Ordenes!$P$2:$P$840,Ordenes!$C$2:$C$840,$B135,Ordenes!$T$2:$T$840,"Válida",Ordenes!$F$2:$F$840,"B Hormigón")/SUMIFS(Ordenes!$Q$2:$Q$840,Ordenes!$C$2:$C$840,$B135,Ordenes!$T$2:$T$840,"Válida",Ordenes!$F$2:$F$840,"B Hormigón"),"")</f>
        <v/>
      </c>
      <c r="E135" s="20">
        <f>IFERROR(SUMIFS(Ordenes!$P$2:$P$840,Ordenes!$C$2:$C$840,$B135,Ordenes!$T$2:$T$840,"Válida",Ordenes!$F$2:$F$840,"Redondo liso")/SUMIFS(Ordenes!$Q$2:$Q$840,Ordenes!$C$2:$C$840,$B135,Ordenes!$T$2:$T$840,"Válida",Ordenes!$F$2:$F$840,"Redondo liso"),"")</f>
        <v/>
      </c>
      <c r="F135" s="20">
        <f>IFERROR(SUMIFS(Ordenes!$P$2:$P$840,Ordenes!$C$2:$C$840,$B135,Ordenes!$T$2:$T$840,"Válida",Ordenes!$F$2:$F$840,"Plana")/SUMIFS(Ordenes!$Q$2:$Q$840,Ordenes!$C$2:$C$840,$B135,Ordenes!$T$2:$T$840,"Válida",Ordenes!$F$2:$F$840,"Plana"),"")</f>
        <v/>
      </c>
      <c r="G135" s="20">
        <f>IFERROR(SUMIFS(Ordenes!$P$2:$P$840,Ordenes!$C$2:$C$840,$B135,Ordenes!$T$2:$T$840,"Válida",Ordenes!$F$2:$F$840,"Ángulo")/SUMIFS(Ordenes!$Q$2:$Q$840,Ordenes!$C$2:$C$840,$B135,Ordenes!$T$2:$T$840,"Válida",Ordenes!$F$2:$F$840,"Ángulo"),"")</f>
        <v/>
      </c>
      <c r="H135" s="20">
        <f>IFERROR(SUMIFS(Ordenes!$P$2:$P$840,Ordenes!$C$2:$C$840,$B135,Ordenes!$T$2:$T$840,"Válida",Ordenes!$F$2:$F$840,"Cuadrado")/SUMIFS(Ordenes!$Q$2:$Q$840,Ordenes!$C$2:$C$840,$B135,Ordenes!$T$2:$T$840,"Válida",Ordenes!$F$2:$F$840,"Cuadrado"),"")</f>
        <v/>
      </c>
      <c r="I135" s="20">
        <f>IFERROR(SUMIFS(Ordenes!$P$2:$P$840,Ordenes!$C$2:$C$840,$B135,Ordenes!$T$2:$T$840,"Válida",Ordenes!$F$2:$F$840,"Estrella")/SUMIFS(Ordenes!$Q$2:$Q$840,Ordenes!$C$2:$C$840,$B135,Ordenes!$T$2:$T$840,"Válida",Ordenes!$F$2:$F$840,"Estrella"),"")</f>
        <v/>
      </c>
      <c r="J135" s="20">
        <f>IFERROR(SUMIFS(Ordenes!$P$2:$P$840,Ordenes!$C$2:$C$840,$B135,Ordenes!$T$2:$T$840,"Válida",Ordenes!$F$2:$F$840,"Saferock")/SUMIFS(Ordenes!$Q$2:$Q$840,Ordenes!$C$2:$C$840,$B135,Ordenes!$T$2:$T$840,"Válida",Ordenes!$F$2:$F$840,"Saferock"),"")</f>
        <v/>
      </c>
      <c r="K135" s="20">
        <f>IFERROR(SUMIFS(Ordenes!$P$2:$P$840,Ordenes!$C$2:$C$840,$B135,Ordenes!$T$2:$T$840,"Válida",Ordenes!$F$2:$F$840,"Hexágono")/SUMIFS(Ordenes!$Q$2:$Q$840,Ordenes!$C$2:$C$840,$B135,Ordenes!$T$2:$T$840,"Válida",Ordenes!$F$2:$F$840,"Hexágono"),"")</f>
        <v/>
      </c>
      <c r="L135" s="24">
        <f>IFERROR(SUMIFS(Ordenes!$P$2:$P$840,Ordenes!$C$2:$C$840,$B135,Ordenes!$T$2:$T$840,"Válida",Ordenes!$F$2:$F$840,"*")/SUMIFS(Ordenes!$Q$2:$Q$840,Ordenes!$C$2:$C$840,$B135,Ordenes!$T$2:$T$840,"Válida",Ordenes!$F$2:$F$840,"*"),"")</f>
        <v/>
      </c>
      <c r="M135" s="20">
        <f>IFERROR(SUMIFS(Ordenes!$V$2:$V$840,Ordenes!$C$2:$C$840,$B135,Ordenes!$T$2:$T$840,"Válida")/SUMIFS(Ordenes!$Q$2:$Q$840,Ordenes!$C$2:$C$840,$B135,Ordenes!$T$2:$T$840,"Válida"),"")</f>
        <v/>
      </c>
      <c r="N135" s="21">
        <f>IFERROR((L135-M135)*100,"")</f>
        <v/>
      </c>
      <c r="O135" s="19">
        <f>SUMIFS(Ordenes!$P$2:$P$840,Ordenes!$C$2:$C$840,$B135,Ordenes!$T$2:$T$840,"Válida")</f>
        <v/>
      </c>
      <c r="P135" s="19">
        <f>SUMIFS(Ordenes!$Q$2:$Q$840,Ordenes!$C$2:$C$840,$B135,Ordenes!$T$2:$T$840,"Válida")</f>
        <v/>
      </c>
      <c r="Q135" s="18">
        <f>COUNTIFS(Ordenes!$C$2:$C$840,$B135,Ordenes!$T$2:$T$840,"Válida")</f>
        <v/>
      </c>
    </row>
    <row r="136">
      <c r="A136" s="18" t="inlineStr">
        <is>
          <t>Vie 12 jun 2026</t>
        </is>
      </c>
      <c r="B136" s="22" t="n">
        <v>46185</v>
      </c>
      <c r="C136" s="18" t="inlineStr">
        <is>
          <t>S24</t>
        </is>
      </c>
      <c r="D136" s="20">
        <f>IFERROR(SUMIFS(Ordenes!$P$2:$P$840,Ordenes!$C$2:$C$840,$B136,Ordenes!$T$2:$T$840,"Válida",Ordenes!$F$2:$F$840,"B Hormigón")/SUMIFS(Ordenes!$Q$2:$Q$840,Ordenes!$C$2:$C$840,$B136,Ordenes!$T$2:$T$840,"Válida",Ordenes!$F$2:$F$840,"B Hormigón"),"")</f>
        <v/>
      </c>
      <c r="E136" s="20">
        <f>IFERROR(SUMIFS(Ordenes!$P$2:$P$840,Ordenes!$C$2:$C$840,$B136,Ordenes!$T$2:$T$840,"Válida",Ordenes!$F$2:$F$840,"Redondo liso")/SUMIFS(Ordenes!$Q$2:$Q$840,Ordenes!$C$2:$C$840,$B136,Ordenes!$T$2:$T$840,"Válida",Ordenes!$F$2:$F$840,"Redondo liso"),"")</f>
        <v/>
      </c>
      <c r="F136" s="20">
        <f>IFERROR(SUMIFS(Ordenes!$P$2:$P$840,Ordenes!$C$2:$C$840,$B136,Ordenes!$T$2:$T$840,"Válida",Ordenes!$F$2:$F$840,"Plana")/SUMIFS(Ordenes!$Q$2:$Q$840,Ordenes!$C$2:$C$840,$B136,Ordenes!$T$2:$T$840,"Válida",Ordenes!$F$2:$F$840,"Plana"),"")</f>
        <v/>
      </c>
      <c r="G136" s="20">
        <f>IFERROR(SUMIFS(Ordenes!$P$2:$P$840,Ordenes!$C$2:$C$840,$B136,Ordenes!$T$2:$T$840,"Válida",Ordenes!$F$2:$F$840,"Ángulo")/SUMIFS(Ordenes!$Q$2:$Q$840,Ordenes!$C$2:$C$840,$B136,Ordenes!$T$2:$T$840,"Válida",Ordenes!$F$2:$F$840,"Ángulo"),"")</f>
        <v/>
      </c>
      <c r="H136" s="20">
        <f>IFERROR(SUMIFS(Ordenes!$P$2:$P$840,Ordenes!$C$2:$C$840,$B136,Ordenes!$T$2:$T$840,"Válida",Ordenes!$F$2:$F$840,"Cuadrado")/SUMIFS(Ordenes!$Q$2:$Q$840,Ordenes!$C$2:$C$840,$B136,Ordenes!$T$2:$T$840,"Válida",Ordenes!$F$2:$F$840,"Cuadrado"),"")</f>
        <v/>
      </c>
      <c r="I136" s="20">
        <f>IFERROR(SUMIFS(Ordenes!$P$2:$P$840,Ordenes!$C$2:$C$840,$B136,Ordenes!$T$2:$T$840,"Válida",Ordenes!$F$2:$F$840,"Estrella")/SUMIFS(Ordenes!$Q$2:$Q$840,Ordenes!$C$2:$C$840,$B136,Ordenes!$T$2:$T$840,"Válida",Ordenes!$F$2:$F$840,"Estrella"),"")</f>
        <v/>
      </c>
      <c r="J136" s="20">
        <f>IFERROR(SUMIFS(Ordenes!$P$2:$P$840,Ordenes!$C$2:$C$840,$B136,Ordenes!$T$2:$T$840,"Válida",Ordenes!$F$2:$F$840,"Saferock")/SUMIFS(Ordenes!$Q$2:$Q$840,Ordenes!$C$2:$C$840,$B136,Ordenes!$T$2:$T$840,"Válida",Ordenes!$F$2:$F$840,"Saferock"),"")</f>
        <v/>
      </c>
      <c r="K136" s="20">
        <f>IFERROR(SUMIFS(Ordenes!$P$2:$P$840,Ordenes!$C$2:$C$840,$B136,Ordenes!$T$2:$T$840,"Válida",Ordenes!$F$2:$F$840,"Hexágono")/SUMIFS(Ordenes!$Q$2:$Q$840,Ordenes!$C$2:$C$840,$B136,Ordenes!$T$2:$T$840,"Válida",Ordenes!$F$2:$F$840,"Hexágono"),"")</f>
        <v/>
      </c>
      <c r="L136" s="24">
        <f>IFERROR(SUMIFS(Ordenes!$P$2:$P$840,Ordenes!$C$2:$C$840,$B136,Ordenes!$T$2:$T$840,"Válida",Ordenes!$F$2:$F$840,"*")/SUMIFS(Ordenes!$Q$2:$Q$840,Ordenes!$C$2:$C$840,$B136,Ordenes!$T$2:$T$840,"Válida",Ordenes!$F$2:$F$840,"*"),"")</f>
        <v/>
      </c>
      <c r="M136" s="20">
        <f>IFERROR(SUMIFS(Ordenes!$V$2:$V$840,Ordenes!$C$2:$C$840,$B136,Ordenes!$T$2:$T$840,"Válida")/SUMIFS(Ordenes!$Q$2:$Q$840,Ordenes!$C$2:$C$840,$B136,Ordenes!$T$2:$T$840,"Válida"),"")</f>
        <v/>
      </c>
      <c r="N136" s="21">
        <f>IFERROR((L136-M136)*100,"")</f>
        <v/>
      </c>
      <c r="O136" s="19">
        <f>SUMIFS(Ordenes!$P$2:$P$840,Ordenes!$C$2:$C$840,$B136,Ordenes!$T$2:$T$840,"Válida")</f>
        <v/>
      </c>
      <c r="P136" s="19">
        <f>SUMIFS(Ordenes!$Q$2:$Q$840,Ordenes!$C$2:$C$840,$B136,Ordenes!$T$2:$T$840,"Válida")</f>
        <v/>
      </c>
      <c r="Q136" s="18">
        <f>COUNTIFS(Ordenes!$C$2:$C$840,$B136,Ordenes!$T$2:$T$840,"Válida")</f>
        <v/>
      </c>
    </row>
    <row r="137">
      <c r="A137" s="18" t="inlineStr">
        <is>
          <t>Sáb 13 jun 2026</t>
        </is>
      </c>
      <c r="B137" s="22" t="n">
        <v>46186</v>
      </c>
      <c r="C137" s="18" t="inlineStr">
        <is>
          <t>S24</t>
        </is>
      </c>
      <c r="D137" s="20">
        <f>IFERROR(SUMIFS(Ordenes!$P$2:$P$840,Ordenes!$C$2:$C$840,$B137,Ordenes!$T$2:$T$840,"Válida",Ordenes!$F$2:$F$840,"B Hormigón")/SUMIFS(Ordenes!$Q$2:$Q$840,Ordenes!$C$2:$C$840,$B137,Ordenes!$T$2:$T$840,"Válida",Ordenes!$F$2:$F$840,"B Hormigón"),"")</f>
        <v/>
      </c>
      <c r="E137" s="20">
        <f>IFERROR(SUMIFS(Ordenes!$P$2:$P$840,Ordenes!$C$2:$C$840,$B137,Ordenes!$T$2:$T$840,"Válida",Ordenes!$F$2:$F$840,"Redondo liso")/SUMIFS(Ordenes!$Q$2:$Q$840,Ordenes!$C$2:$C$840,$B137,Ordenes!$T$2:$T$840,"Válida",Ordenes!$F$2:$F$840,"Redondo liso"),"")</f>
        <v/>
      </c>
      <c r="F137" s="20">
        <f>IFERROR(SUMIFS(Ordenes!$P$2:$P$840,Ordenes!$C$2:$C$840,$B137,Ordenes!$T$2:$T$840,"Válida",Ordenes!$F$2:$F$840,"Plana")/SUMIFS(Ordenes!$Q$2:$Q$840,Ordenes!$C$2:$C$840,$B137,Ordenes!$T$2:$T$840,"Válida",Ordenes!$F$2:$F$840,"Plana"),"")</f>
        <v/>
      </c>
      <c r="G137" s="20">
        <f>IFERROR(SUMIFS(Ordenes!$P$2:$P$840,Ordenes!$C$2:$C$840,$B137,Ordenes!$T$2:$T$840,"Válida",Ordenes!$F$2:$F$840,"Ángulo")/SUMIFS(Ordenes!$Q$2:$Q$840,Ordenes!$C$2:$C$840,$B137,Ordenes!$T$2:$T$840,"Válida",Ordenes!$F$2:$F$840,"Ángulo"),"")</f>
        <v/>
      </c>
      <c r="H137" s="20">
        <f>IFERROR(SUMIFS(Ordenes!$P$2:$P$840,Ordenes!$C$2:$C$840,$B137,Ordenes!$T$2:$T$840,"Válida",Ordenes!$F$2:$F$840,"Cuadrado")/SUMIFS(Ordenes!$Q$2:$Q$840,Ordenes!$C$2:$C$840,$B137,Ordenes!$T$2:$T$840,"Válida",Ordenes!$F$2:$F$840,"Cuadrado"),"")</f>
        <v/>
      </c>
      <c r="I137" s="20">
        <f>IFERROR(SUMIFS(Ordenes!$P$2:$P$840,Ordenes!$C$2:$C$840,$B137,Ordenes!$T$2:$T$840,"Válida",Ordenes!$F$2:$F$840,"Estrella")/SUMIFS(Ordenes!$Q$2:$Q$840,Ordenes!$C$2:$C$840,$B137,Ordenes!$T$2:$T$840,"Válida",Ordenes!$F$2:$F$840,"Estrella"),"")</f>
        <v/>
      </c>
      <c r="J137" s="20">
        <f>IFERROR(SUMIFS(Ordenes!$P$2:$P$840,Ordenes!$C$2:$C$840,$B137,Ordenes!$T$2:$T$840,"Válida",Ordenes!$F$2:$F$840,"Saferock")/SUMIFS(Ordenes!$Q$2:$Q$840,Ordenes!$C$2:$C$840,$B137,Ordenes!$T$2:$T$840,"Válida",Ordenes!$F$2:$F$840,"Saferock"),"")</f>
        <v/>
      </c>
      <c r="K137" s="20">
        <f>IFERROR(SUMIFS(Ordenes!$P$2:$P$840,Ordenes!$C$2:$C$840,$B137,Ordenes!$T$2:$T$840,"Válida",Ordenes!$F$2:$F$840,"Hexágono")/SUMIFS(Ordenes!$Q$2:$Q$840,Ordenes!$C$2:$C$840,$B137,Ordenes!$T$2:$T$840,"Válida",Ordenes!$F$2:$F$840,"Hexágono"),"")</f>
        <v/>
      </c>
      <c r="L137" s="24">
        <f>IFERROR(SUMIFS(Ordenes!$P$2:$P$840,Ordenes!$C$2:$C$840,$B137,Ordenes!$T$2:$T$840,"Válida",Ordenes!$F$2:$F$840,"*")/SUMIFS(Ordenes!$Q$2:$Q$840,Ordenes!$C$2:$C$840,$B137,Ordenes!$T$2:$T$840,"Válida",Ordenes!$F$2:$F$840,"*"),"")</f>
        <v/>
      </c>
      <c r="M137" s="20">
        <f>IFERROR(SUMIFS(Ordenes!$V$2:$V$840,Ordenes!$C$2:$C$840,$B137,Ordenes!$T$2:$T$840,"Válida")/SUMIFS(Ordenes!$Q$2:$Q$840,Ordenes!$C$2:$C$840,$B137,Ordenes!$T$2:$T$840,"Válida"),"")</f>
        <v/>
      </c>
      <c r="N137" s="21">
        <f>IFERROR((L137-M137)*100,"")</f>
        <v/>
      </c>
      <c r="O137" s="19">
        <f>SUMIFS(Ordenes!$P$2:$P$840,Ordenes!$C$2:$C$840,$B137,Ordenes!$T$2:$T$840,"Válida")</f>
        <v/>
      </c>
      <c r="P137" s="19">
        <f>SUMIFS(Ordenes!$Q$2:$Q$840,Ordenes!$C$2:$C$840,$B137,Ordenes!$T$2:$T$840,"Válida")</f>
        <v/>
      </c>
      <c r="Q137" s="18">
        <f>COUNTIFS(Ordenes!$C$2:$C$840,$B137,Ordenes!$T$2:$T$840,"Válida")</f>
        <v/>
      </c>
    </row>
    <row r="138">
      <c r="A138" s="18" t="inlineStr">
        <is>
          <t>Dom 14 jun 2026</t>
        </is>
      </c>
      <c r="B138" s="22" t="n">
        <v>46187</v>
      </c>
      <c r="C138" s="18" t="inlineStr">
        <is>
          <t>S24</t>
        </is>
      </c>
      <c r="D138" s="20">
        <f>IFERROR(SUMIFS(Ordenes!$P$2:$P$840,Ordenes!$C$2:$C$840,$B138,Ordenes!$T$2:$T$840,"Válida",Ordenes!$F$2:$F$840,"B Hormigón")/SUMIFS(Ordenes!$Q$2:$Q$840,Ordenes!$C$2:$C$840,$B138,Ordenes!$T$2:$T$840,"Válida",Ordenes!$F$2:$F$840,"B Hormigón"),"")</f>
        <v/>
      </c>
      <c r="E138" s="20">
        <f>IFERROR(SUMIFS(Ordenes!$P$2:$P$840,Ordenes!$C$2:$C$840,$B138,Ordenes!$T$2:$T$840,"Válida",Ordenes!$F$2:$F$840,"Redondo liso")/SUMIFS(Ordenes!$Q$2:$Q$840,Ordenes!$C$2:$C$840,$B138,Ordenes!$T$2:$T$840,"Válida",Ordenes!$F$2:$F$840,"Redondo liso"),"")</f>
        <v/>
      </c>
      <c r="F138" s="20">
        <f>IFERROR(SUMIFS(Ordenes!$P$2:$P$840,Ordenes!$C$2:$C$840,$B138,Ordenes!$T$2:$T$840,"Válida",Ordenes!$F$2:$F$840,"Plana")/SUMIFS(Ordenes!$Q$2:$Q$840,Ordenes!$C$2:$C$840,$B138,Ordenes!$T$2:$T$840,"Válida",Ordenes!$F$2:$F$840,"Plana"),"")</f>
        <v/>
      </c>
      <c r="G138" s="20">
        <f>IFERROR(SUMIFS(Ordenes!$P$2:$P$840,Ordenes!$C$2:$C$840,$B138,Ordenes!$T$2:$T$840,"Válida",Ordenes!$F$2:$F$840,"Ángulo")/SUMIFS(Ordenes!$Q$2:$Q$840,Ordenes!$C$2:$C$840,$B138,Ordenes!$T$2:$T$840,"Válida",Ordenes!$F$2:$F$840,"Ángulo"),"")</f>
        <v/>
      </c>
      <c r="H138" s="20">
        <f>IFERROR(SUMIFS(Ordenes!$P$2:$P$840,Ordenes!$C$2:$C$840,$B138,Ordenes!$T$2:$T$840,"Válida",Ordenes!$F$2:$F$840,"Cuadrado")/SUMIFS(Ordenes!$Q$2:$Q$840,Ordenes!$C$2:$C$840,$B138,Ordenes!$T$2:$T$840,"Válida",Ordenes!$F$2:$F$840,"Cuadrado"),"")</f>
        <v/>
      </c>
      <c r="I138" s="20">
        <f>IFERROR(SUMIFS(Ordenes!$P$2:$P$840,Ordenes!$C$2:$C$840,$B138,Ordenes!$T$2:$T$840,"Válida",Ordenes!$F$2:$F$840,"Estrella")/SUMIFS(Ordenes!$Q$2:$Q$840,Ordenes!$C$2:$C$840,$B138,Ordenes!$T$2:$T$840,"Válida",Ordenes!$F$2:$F$840,"Estrella"),"")</f>
        <v/>
      </c>
      <c r="J138" s="20">
        <f>IFERROR(SUMIFS(Ordenes!$P$2:$P$840,Ordenes!$C$2:$C$840,$B138,Ordenes!$T$2:$T$840,"Válida",Ordenes!$F$2:$F$840,"Saferock")/SUMIFS(Ordenes!$Q$2:$Q$840,Ordenes!$C$2:$C$840,$B138,Ordenes!$T$2:$T$840,"Válida",Ordenes!$F$2:$F$840,"Saferock"),"")</f>
        <v/>
      </c>
      <c r="K138" s="20">
        <f>IFERROR(SUMIFS(Ordenes!$P$2:$P$840,Ordenes!$C$2:$C$840,$B138,Ordenes!$T$2:$T$840,"Válida",Ordenes!$F$2:$F$840,"Hexágono")/SUMIFS(Ordenes!$Q$2:$Q$840,Ordenes!$C$2:$C$840,$B138,Ordenes!$T$2:$T$840,"Válida",Ordenes!$F$2:$F$840,"Hexágono"),"")</f>
        <v/>
      </c>
      <c r="L138" s="24">
        <f>IFERROR(SUMIFS(Ordenes!$P$2:$P$840,Ordenes!$C$2:$C$840,$B138,Ordenes!$T$2:$T$840,"Válida",Ordenes!$F$2:$F$840,"*")/SUMIFS(Ordenes!$Q$2:$Q$840,Ordenes!$C$2:$C$840,$B138,Ordenes!$T$2:$T$840,"Válida",Ordenes!$F$2:$F$840,"*"),"")</f>
        <v/>
      </c>
      <c r="M138" s="20">
        <f>IFERROR(SUMIFS(Ordenes!$V$2:$V$840,Ordenes!$C$2:$C$840,$B138,Ordenes!$T$2:$T$840,"Válida")/SUMIFS(Ordenes!$Q$2:$Q$840,Ordenes!$C$2:$C$840,$B138,Ordenes!$T$2:$T$840,"Válida"),"")</f>
        <v/>
      </c>
      <c r="N138" s="21">
        <f>IFERROR((L138-M138)*100,"")</f>
        <v/>
      </c>
      <c r="O138" s="19">
        <f>SUMIFS(Ordenes!$P$2:$P$840,Ordenes!$C$2:$C$840,$B138,Ordenes!$T$2:$T$840,"Válida")</f>
        <v/>
      </c>
      <c r="P138" s="19">
        <f>SUMIFS(Ordenes!$Q$2:$Q$840,Ordenes!$C$2:$C$840,$B138,Ordenes!$T$2:$T$840,"Válida")</f>
        <v/>
      </c>
      <c r="Q138" s="18">
        <f>COUNTIFS(Ordenes!$C$2:$C$840,$B138,Ordenes!$T$2:$T$840,"Válida")</f>
        <v/>
      </c>
    </row>
    <row r="139">
      <c r="A139" s="18" t="inlineStr">
        <is>
          <t>Lun 15 jun 2026</t>
        </is>
      </c>
      <c r="B139" s="22" t="n">
        <v>46188</v>
      </c>
      <c r="C139" s="18" t="inlineStr">
        <is>
          <t>S25</t>
        </is>
      </c>
      <c r="D139" s="20">
        <f>IFERROR(SUMIFS(Ordenes!$P$2:$P$840,Ordenes!$C$2:$C$840,$B139,Ordenes!$T$2:$T$840,"Válida",Ordenes!$F$2:$F$840,"B Hormigón")/SUMIFS(Ordenes!$Q$2:$Q$840,Ordenes!$C$2:$C$840,$B139,Ordenes!$T$2:$T$840,"Válida",Ordenes!$F$2:$F$840,"B Hormigón"),"")</f>
        <v/>
      </c>
      <c r="E139" s="20">
        <f>IFERROR(SUMIFS(Ordenes!$P$2:$P$840,Ordenes!$C$2:$C$840,$B139,Ordenes!$T$2:$T$840,"Válida",Ordenes!$F$2:$F$840,"Redondo liso")/SUMIFS(Ordenes!$Q$2:$Q$840,Ordenes!$C$2:$C$840,$B139,Ordenes!$T$2:$T$840,"Válida",Ordenes!$F$2:$F$840,"Redondo liso"),"")</f>
        <v/>
      </c>
      <c r="F139" s="20">
        <f>IFERROR(SUMIFS(Ordenes!$P$2:$P$840,Ordenes!$C$2:$C$840,$B139,Ordenes!$T$2:$T$840,"Válida",Ordenes!$F$2:$F$840,"Plana")/SUMIFS(Ordenes!$Q$2:$Q$840,Ordenes!$C$2:$C$840,$B139,Ordenes!$T$2:$T$840,"Válida",Ordenes!$F$2:$F$840,"Plana"),"")</f>
        <v/>
      </c>
      <c r="G139" s="20">
        <f>IFERROR(SUMIFS(Ordenes!$P$2:$P$840,Ordenes!$C$2:$C$840,$B139,Ordenes!$T$2:$T$840,"Válida",Ordenes!$F$2:$F$840,"Ángulo")/SUMIFS(Ordenes!$Q$2:$Q$840,Ordenes!$C$2:$C$840,$B139,Ordenes!$T$2:$T$840,"Válida",Ordenes!$F$2:$F$840,"Ángulo"),"")</f>
        <v/>
      </c>
      <c r="H139" s="20">
        <f>IFERROR(SUMIFS(Ordenes!$P$2:$P$840,Ordenes!$C$2:$C$840,$B139,Ordenes!$T$2:$T$840,"Válida",Ordenes!$F$2:$F$840,"Cuadrado")/SUMIFS(Ordenes!$Q$2:$Q$840,Ordenes!$C$2:$C$840,$B139,Ordenes!$T$2:$T$840,"Válida",Ordenes!$F$2:$F$840,"Cuadrado"),"")</f>
        <v/>
      </c>
      <c r="I139" s="20">
        <f>IFERROR(SUMIFS(Ordenes!$P$2:$P$840,Ordenes!$C$2:$C$840,$B139,Ordenes!$T$2:$T$840,"Válida",Ordenes!$F$2:$F$840,"Estrella")/SUMIFS(Ordenes!$Q$2:$Q$840,Ordenes!$C$2:$C$840,$B139,Ordenes!$T$2:$T$840,"Válida",Ordenes!$F$2:$F$840,"Estrella"),"")</f>
        <v/>
      </c>
      <c r="J139" s="20">
        <f>IFERROR(SUMIFS(Ordenes!$P$2:$P$840,Ordenes!$C$2:$C$840,$B139,Ordenes!$T$2:$T$840,"Válida",Ordenes!$F$2:$F$840,"Saferock")/SUMIFS(Ordenes!$Q$2:$Q$840,Ordenes!$C$2:$C$840,$B139,Ordenes!$T$2:$T$840,"Válida",Ordenes!$F$2:$F$840,"Saferock"),"")</f>
        <v/>
      </c>
      <c r="K139" s="20">
        <f>IFERROR(SUMIFS(Ordenes!$P$2:$P$840,Ordenes!$C$2:$C$840,$B139,Ordenes!$T$2:$T$840,"Válida",Ordenes!$F$2:$F$840,"Hexágono")/SUMIFS(Ordenes!$Q$2:$Q$840,Ordenes!$C$2:$C$840,$B139,Ordenes!$T$2:$T$840,"Válida",Ordenes!$F$2:$F$840,"Hexágono"),"")</f>
        <v/>
      </c>
      <c r="L139" s="24">
        <f>IFERROR(SUMIFS(Ordenes!$P$2:$P$840,Ordenes!$C$2:$C$840,$B139,Ordenes!$T$2:$T$840,"Válida",Ordenes!$F$2:$F$840,"*")/SUMIFS(Ordenes!$Q$2:$Q$840,Ordenes!$C$2:$C$840,$B139,Ordenes!$T$2:$T$840,"Válida",Ordenes!$F$2:$F$840,"*"),"")</f>
        <v/>
      </c>
      <c r="M139" s="20">
        <f>IFERROR(SUMIFS(Ordenes!$V$2:$V$840,Ordenes!$C$2:$C$840,$B139,Ordenes!$T$2:$T$840,"Válida")/SUMIFS(Ordenes!$Q$2:$Q$840,Ordenes!$C$2:$C$840,$B139,Ordenes!$T$2:$T$840,"Válida"),"")</f>
        <v/>
      </c>
      <c r="N139" s="21">
        <f>IFERROR((L139-M139)*100,"")</f>
        <v/>
      </c>
      <c r="O139" s="19">
        <f>SUMIFS(Ordenes!$P$2:$P$840,Ordenes!$C$2:$C$840,$B139,Ordenes!$T$2:$T$840,"Válida")</f>
        <v/>
      </c>
      <c r="P139" s="19">
        <f>SUMIFS(Ordenes!$Q$2:$Q$840,Ordenes!$C$2:$C$840,$B139,Ordenes!$T$2:$T$840,"Válida")</f>
        <v/>
      </c>
      <c r="Q139" s="18">
        <f>COUNTIFS(Ordenes!$C$2:$C$840,$B139,Ordenes!$T$2:$T$840,"Válida")</f>
        <v/>
      </c>
    </row>
    <row r="140">
      <c r="A140" s="18" t="inlineStr">
        <is>
          <t>Mar 16 jun 2026</t>
        </is>
      </c>
      <c r="B140" s="22" t="n">
        <v>46189</v>
      </c>
      <c r="C140" s="18" t="inlineStr">
        <is>
          <t>S25</t>
        </is>
      </c>
      <c r="D140" s="20">
        <f>IFERROR(SUMIFS(Ordenes!$P$2:$P$840,Ordenes!$C$2:$C$840,$B140,Ordenes!$T$2:$T$840,"Válida",Ordenes!$F$2:$F$840,"B Hormigón")/SUMIFS(Ordenes!$Q$2:$Q$840,Ordenes!$C$2:$C$840,$B140,Ordenes!$T$2:$T$840,"Válida",Ordenes!$F$2:$F$840,"B Hormigón"),"")</f>
        <v/>
      </c>
      <c r="E140" s="20">
        <f>IFERROR(SUMIFS(Ordenes!$P$2:$P$840,Ordenes!$C$2:$C$840,$B140,Ordenes!$T$2:$T$840,"Válida",Ordenes!$F$2:$F$840,"Redondo liso")/SUMIFS(Ordenes!$Q$2:$Q$840,Ordenes!$C$2:$C$840,$B140,Ordenes!$T$2:$T$840,"Válida",Ordenes!$F$2:$F$840,"Redondo liso"),"")</f>
        <v/>
      </c>
      <c r="F140" s="20">
        <f>IFERROR(SUMIFS(Ordenes!$P$2:$P$840,Ordenes!$C$2:$C$840,$B140,Ordenes!$T$2:$T$840,"Válida",Ordenes!$F$2:$F$840,"Plana")/SUMIFS(Ordenes!$Q$2:$Q$840,Ordenes!$C$2:$C$840,$B140,Ordenes!$T$2:$T$840,"Válida",Ordenes!$F$2:$F$840,"Plana"),"")</f>
        <v/>
      </c>
      <c r="G140" s="20">
        <f>IFERROR(SUMIFS(Ordenes!$P$2:$P$840,Ordenes!$C$2:$C$840,$B140,Ordenes!$T$2:$T$840,"Válida",Ordenes!$F$2:$F$840,"Ángulo")/SUMIFS(Ordenes!$Q$2:$Q$840,Ordenes!$C$2:$C$840,$B140,Ordenes!$T$2:$T$840,"Válida",Ordenes!$F$2:$F$840,"Ángulo"),"")</f>
        <v/>
      </c>
      <c r="H140" s="20">
        <f>IFERROR(SUMIFS(Ordenes!$P$2:$P$840,Ordenes!$C$2:$C$840,$B140,Ordenes!$T$2:$T$840,"Válida",Ordenes!$F$2:$F$840,"Cuadrado")/SUMIFS(Ordenes!$Q$2:$Q$840,Ordenes!$C$2:$C$840,$B140,Ordenes!$T$2:$T$840,"Válida",Ordenes!$F$2:$F$840,"Cuadrado"),"")</f>
        <v/>
      </c>
      <c r="I140" s="20">
        <f>IFERROR(SUMIFS(Ordenes!$P$2:$P$840,Ordenes!$C$2:$C$840,$B140,Ordenes!$T$2:$T$840,"Válida",Ordenes!$F$2:$F$840,"Estrella")/SUMIFS(Ordenes!$Q$2:$Q$840,Ordenes!$C$2:$C$840,$B140,Ordenes!$T$2:$T$840,"Válida",Ordenes!$F$2:$F$840,"Estrella"),"")</f>
        <v/>
      </c>
      <c r="J140" s="20">
        <f>IFERROR(SUMIFS(Ordenes!$P$2:$P$840,Ordenes!$C$2:$C$840,$B140,Ordenes!$T$2:$T$840,"Válida",Ordenes!$F$2:$F$840,"Saferock")/SUMIFS(Ordenes!$Q$2:$Q$840,Ordenes!$C$2:$C$840,$B140,Ordenes!$T$2:$T$840,"Válida",Ordenes!$F$2:$F$840,"Saferock"),"")</f>
        <v/>
      </c>
      <c r="K140" s="20">
        <f>IFERROR(SUMIFS(Ordenes!$P$2:$P$840,Ordenes!$C$2:$C$840,$B140,Ordenes!$T$2:$T$840,"Válida",Ordenes!$F$2:$F$840,"Hexágono")/SUMIFS(Ordenes!$Q$2:$Q$840,Ordenes!$C$2:$C$840,$B140,Ordenes!$T$2:$T$840,"Válida",Ordenes!$F$2:$F$840,"Hexágono"),"")</f>
        <v/>
      </c>
      <c r="L140" s="24">
        <f>IFERROR(SUMIFS(Ordenes!$P$2:$P$840,Ordenes!$C$2:$C$840,$B140,Ordenes!$T$2:$T$840,"Válida",Ordenes!$F$2:$F$840,"*")/SUMIFS(Ordenes!$Q$2:$Q$840,Ordenes!$C$2:$C$840,$B140,Ordenes!$T$2:$T$840,"Válida",Ordenes!$F$2:$F$840,"*"),"")</f>
        <v/>
      </c>
      <c r="M140" s="20">
        <f>IFERROR(SUMIFS(Ordenes!$V$2:$V$840,Ordenes!$C$2:$C$840,$B140,Ordenes!$T$2:$T$840,"Válida")/SUMIFS(Ordenes!$Q$2:$Q$840,Ordenes!$C$2:$C$840,$B140,Ordenes!$T$2:$T$840,"Válida"),"")</f>
        <v/>
      </c>
      <c r="N140" s="21">
        <f>IFERROR((L140-M140)*100,"")</f>
        <v/>
      </c>
      <c r="O140" s="19">
        <f>SUMIFS(Ordenes!$P$2:$P$840,Ordenes!$C$2:$C$840,$B140,Ordenes!$T$2:$T$840,"Válida")</f>
        <v/>
      </c>
      <c r="P140" s="19">
        <f>SUMIFS(Ordenes!$Q$2:$Q$840,Ordenes!$C$2:$C$840,$B140,Ordenes!$T$2:$T$840,"Válida")</f>
        <v/>
      </c>
      <c r="Q140" s="18">
        <f>COUNTIFS(Ordenes!$C$2:$C$840,$B140,Ordenes!$T$2:$T$840,"Válida")</f>
        <v/>
      </c>
    </row>
    <row r="141">
      <c r="A141" s="18" t="inlineStr">
        <is>
          <t>Mié 17 jun 2026</t>
        </is>
      </c>
      <c r="B141" s="22" t="n">
        <v>46190</v>
      </c>
      <c r="C141" s="18" t="inlineStr">
        <is>
          <t>S25</t>
        </is>
      </c>
      <c r="D141" s="20">
        <f>IFERROR(SUMIFS(Ordenes!$P$2:$P$840,Ordenes!$C$2:$C$840,$B141,Ordenes!$T$2:$T$840,"Válida",Ordenes!$F$2:$F$840,"B Hormigón")/SUMIFS(Ordenes!$Q$2:$Q$840,Ordenes!$C$2:$C$840,$B141,Ordenes!$T$2:$T$840,"Válida",Ordenes!$F$2:$F$840,"B Hormigón"),"")</f>
        <v/>
      </c>
      <c r="E141" s="20">
        <f>IFERROR(SUMIFS(Ordenes!$P$2:$P$840,Ordenes!$C$2:$C$840,$B141,Ordenes!$T$2:$T$840,"Válida",Ordenes!$F$2:$F$840,"Redondo liso")/SUMIFS(Ordenes!$Q$2:$Q$840,Ordenes!$C$2:$C$840,$B141,Ordenes!$T$2:$T$840,"Válida",Ordenes!$F$2:$F$840,"Redondo liso"),"")</f>
        <v/>
      </c>
      <c r="F141" s="20">
        <f>IFERROR(SUMIFS(Ordenes!$P$2:$P$840,Ordenes!$C$2:$C$840,$B141,Ordenes!$T$2:$T$840,"Válida",Ordenes!$F$2:$F$840,"Plana")/SUMIFS(Ordenes!$Q$2:$Q$840,Ordenes!$C$2:$C$840,$B141,Ordenes!$T$2:$T$840,"Válida",Ordenes!$F$2:$F$840,"Plana"),"")</f>
        <v/>
      </c>
      <c r="G141" s="20">
        <f>IFERROR(SUMIFS(Ordenes!$P$2:$P$840,Ordenes!$C$2:$C$840,$B141,Ordenes!$T$2:$T$840,"Válida",Ordenes!$F$2:$F$840,"Ángulo")/SUMIFS(Ordenes!$Q$2:$Q$840,Ordenes!$C$2:$C$840,$B141,Ordenes!$T$2:$T$840,"Válida",Ordenes!$F$2:$F$840,"Ángulo"),"")</f>
        <v/>
      </c>
      <c r="H141" s="20">
        <f>IFERROR(SUMIFS(Ordenes!$P$2:$P$840,Ordenes!$C$2:$C$840,$B141,Ordenes!$T$2:$T$840,"Válida",Ordenes!$F$2:$F$840,"Cuadrado")/SUMIFS(Ordenes!$Q$2:$Q$840,Ordenes!$C$2:$C$840,$B141,Ordenes!$T$2:$T$840,"Válida",Ordenes!$F$2:$F$840,"Cuadrado"),"")</f>
        <v/>
      </c>
      <c r="I141" s="20">
        <f>IFERROR(SUMIFS(Ordenes!$P$2:$P$840,Ordenes!$C$2:$C$840,$B141,Ordenes!$T$2:$T$840,"Válida",Ordenes!$F$2:$F$840,"Estrella")/SUMIFS(Ordenes!$Q$2:$Q$840,Ordenes!$C$2:$C$840,$B141,Ordenes!$T$2:$T$840,"Válida",Ordenes!$F$2:$F$840,"Estrella"),"")</f>
        <v/>
      </c>
      <c r="J141" s="20">
        <f>IFERROR(SUMIFS(Ordenes!$P$2:$P$840,Ordenes!$C$2:$C$840,$B141,Ordenes!$T$2:$T$840,"Válida",Ordenes!$F$2:$F$840,"Saferock")/SUMIFS(Ordenes!$Q$2:$Q$840,Ordenes!$C$2:$C$840,$B141,Ordenes!$T$2:$T$840,"Válida",Ordenes!$F$2:$F$840,"Saferock"),"")</f>
        <v/>
      </c>
      <c r="K141" s="20">
        <f>IFERROR(SUMIFS(Ordenes!$P$2:$P$840,Ordenes!$C$2:$C$840,$B141,Ordenes!$T$2:$T$840,"Válida",Ordenes!$F$2:$F$840,"Hexágono")/SUMIFS(Ordenes!$Q$2:$Q$840,Ordenes!$C$2:$C$840,$B141,Ordenes!$T$2:$T$840,"Válida",Ordenes!$F$2:$F$840,"Hexágono"),"")</f>
        <v/>
      </c>
      <c r="L141" s="24">
        <f>IFERROR(SUMIFS(Ordenes!$P$2:$P$840,Ordenes!$C$2:$C$840,$B141,Ordenes!$T$2:$T$840,"Válida",Ordenes!$F$2:$F$840,"*")/SUMIFS(Ordenes!$Q$2:$Q$840,Ordenes!$C$2:$C$840,$B141,Ordenes!$T$2:$T$840,"Válida",Ordenes!$F$2:$F$840,"*"),"")</f>
        <v/>
      </c>
      <c r="M141" s="20">
        <f>IFERROR(SUMIFS(Ordenes!$V$2:$V$840,Ordenes!$C$2:$C$840,$B141,Ordenes!$T$2:$T$840,"Válida")/SUMIFS(Ordenes!$Q$2:$Q$840,Ordenes!$C$2:$C$840,$B141,Ordenes!$T$2:$T$840,"Válida"),"")</f>
        <v/>
      </c>
      <c r="N141" s="21">
        <f>IFERROR((L141-M141)*100,"")</f>
        <v/>
      </c>
      <c r="O141" s="19">
        <f>SUMIFS(Ordenes!$P$2:$P$840,Ordenes!$C$2:$C$840,$B141,Ordenes!$T$2:$T$840,"Válida")</f>
        <v/>
      </c>
      <c r="P141" s="19">
        <f>SUMIFS(Ordenes!$Q$2:$Q$840,Ordenes!$C$2:$C$840,$B141,Ordenes!$T$2:$T$840,"Válida")</f>
        <v/>
      </c>
      <c r="Q141" s="18">
        <f>COUNTIFS(Ordenes!$C$2:$C$840,$B141,Ordenes!$T$2:$T$840,"Válida")</f>
        <v/>
      </c>
    </row>
    <row r="142">
      <c r="A142" s="18" t="inlineStr">
        <is>
          <t>Jue 18 jun 2026</t>
        </is>
      </c>
      <c r="B142" s="22" t="n">
        <v>46191</v>
      </c>
      <c r="C142" s="18" t="inlineStr">
        <is>
          <t>S25</t>
        </is>
      </c>
      <c r="D142" s="20">
        <f>IFERROR(SUMIFS(Ordenes!$P$2:$P$840,Ordenes!$C$2:$C$840,$B142,Ordenes!$T$2:$T$840,"Válida",Ordenes!$F$2:$F$840,"B Hormigón")/SUMIFS(Ordenes!$Q$2:$Q$840,Ordenes!$C$2:$C$840,$B142,Ordenes!$T$2:$T$840,"Válida",Ordenes!$F$2:$F$840,"B Hormigón"),"")</f>
        <v/>
      </c>
      <c r="E142" s="20">
        <f>IFERROR(SUMIFS(Ordenes!$P$2:$P$840,Ordenes!$C$2:$C$840,$B142,Ordenes!$T$2:$T$840,"Válida",Ordenes!$F$2:$F$840,"Redondo liso")/SUMIFS(Ordenes!$Q$2:$Q$840,Ordenes!$C$2:$C$840,$B142,Ordenes!$T$2:$T$840,"Válida",Ordenes!$F$2:$F$840,"Redondo liso"),"")</f>
        <v/>
      </c>
      <c r="F142" s="20">
        <f>IFERROR(SUMIFS(Ordenes!$P$2:$P$840,Ordenes!$C$2:$C$840,$B142,Ordenes!$T$2:$T$840,"Válida",Ordenes!$F$2:$F$840,"Plana")/SUMIFS(Ordenes!$Q$2:$Q$840,Ordenes!$C$2:$C$840,$B142,Ordenes!$T$2:$T$840,"Válida",Ordenes!$F$2:$F$840,"Plana"),"")</f>
        <v/>
      </c>
      <c r="G142" s="20">
        <f>IFERROR(SUMIFS(Ordenes!$P$2:$P$840,Ordenes!$C$2:$C$840,$B142,Ordenes!$T$2:$T$840,"Válida",Ordenes!$F$2:$F$840,"Ángulo")/SUMIFS(Ordenes!$Q$2:$Q$840,Ordenes!$C$2:$C$840,$B142,Ordenes!$T$2:$T$840,"Válida",Ordenes!$F$2:$F$840,"Ángulo"),"")</f>
        <v/>
      </c>
      <c r="H142" s="20">
        <f>IFERROR(SUMIFS(Ordenes!$P$2:$P$840,Ordenes!$C$2:$C$840,$B142,Ordenes!$T$2:$T$840,"Válida",Ordenes!$F$2:$F$840,"Cuadrado")/SUMIFS(Ordenes!$Q$2:$Q$840,Ordenes!$C$2:$C$840,$B142,Ordenes!$T$2:$T$840,"Válida",Ordenes!$F$2:$F$840,"Cuadrado"),"")</f>
        <v/>
      </c>
      <c r="I142" s="20">
        <f>IFERROR(SUMIFS(Ordenes!$P$2:$P$840,Ordenes!$C$2:$C$840,$B142,Ordenes!$T$2:$T$840,"Válida",Ordenes!$F$2:$F$840,"Estrella")/SUMIFS(Ordenes!$Q$2:$Q$840,Ordenes!$C$2:$C$840,$B142,Ordenes!$T$2:$T$840,"Válida",Ordenes!$F$2:$F$840,"Estrella"),"")</f>
        <v/>
      </c>
      <c r="J142" s="20">
        <f>IFERROR(SUMIFS(Ordenes!$P$2:$P$840,Ordenes!$C$2:$C$840,$B142,Ordenes!$T$2:$T$840,"Válida",Ordenes!$F$2:$F$840,"Saferock")/SUMIFS(Ordenes!$Q$2:$Q$840,Ordenes!$C$2:$C$840,$B142,Ordenes!$T$2:$T$840,"Válida",Ordenes!$F$2:$F$840,"Saferock"),"")</f>
        <v/>
      </c>
      <c r="K142" s="20">
        <f>IFERROR(SUMIFS(Ordenes!$P$2:$P$840,Ordenes!$C$2:$C$840,$B142,Ordenes!$T$2:$T$840,"Válida",Ordenes!$F$2:$F$840,"Hexágono")/SUMIFS(Ordenes!$Q$2:$Q$840,Ordenes!$C$2:$C$840,$B142,Ordenes!$T$2:$T$840,"Válida",Ordenes!$F$2:$F$840,"Hexágono"),"")</f>
        <v/>
      </c>
      <c r="L142" s="24">
        <f>IFERROR(SUMIFS(Ordenes!$P$2:$P$840,Ordenes!$C$2:$C$840,$B142,Ordenes!$T$2:$T$840,"Válida",Ordenes!$F$2:$F$840,"*")/SUMIFS(Ordenes!$Q$2:$Q$840,Ordenes!$C$2:$C$840,$B142,Ordenes!$T$2:$T$840,"Válida",Ordenes!$F$2:$F$840,"*"),"")</f>
        <v/>
      </c>
      <c r="M142" s="20">
        <f>IFERROR(SUMIFS(Ordenes!$V$2:$V$840,Ordenes!$C$2:$C$840,$B142,Ordenes!$T$2:$T$840,"Válida")/SUMIFS(Ordenes!$Q$2:$Q$840,Ordenes!$C$2:$C$840,$B142,Ordenes!$T$2:$T$840,"Válida"),"")</f>
        <v/>
      </c>
      <c r="N142" s="21">
        <f>IFERROR((L142-M142)*100,"")</f>
        <v/>
      </c>
      <c r="O142" s="19">
        <f>SUMIFS(Ordenes!$P$2:$P$840,Ordenes!$C$2:$C$840,$B142,Ordenes!$T$2:$T$840,"Válida")</f>
        <v/>
      </c>
      <c r="P142" s="19">
        <f>SUMIFS(Ordenes!$Q$2:$Q$840,Ordenes!$C$2:$C$840,$B142,Ordenes!$T$2:$T$840,"Válida")</f>
        <v/>
      </c>
      <c r="Q142" s="18">
        <f>COUNTIFS(Ordenes!$C$2:$C$840,$B142,Ordenes!$T$2:$T$840,"Válida")</f>
        <v/>
      </c>
    </row>
    <row r="143">
      <c r="A143" s="18" t="inlineStr">
        <is>
          <t>Vie 19 jun 2026</t>
        </is>
      </c>
      <c r="B143" s="22" t="n">
        <v>46192</v>
      </c>
      <c r="C143" s="18" t="inlineStr">
        <is>
          <t>S25</t>
        </is>
      </c>
      <c r="D143" s="20">
        <f>IFERROR(SUMIFS(Ordenes!$P$2:$P$840,Ordenes!$C$2:$C$840,$B143,Ordenes!$T$2:$T$840,"Válida",Ordenes!$F$2:$F$840,"B Hormigón")/SUMIFS(Ordenes!$Q$2:$Q$840,Ordenes!$C$2:$C$840,$B143,Ordenes!$T$2:$T$840,"Válida",Ordenes!$F$2:$F$840,"B Hormigón"),"")</f>
        <v/>
      </c>
      <c r="E143" s="20">
        <f>IFERROR(SUMIFS(Ordenes!$P$2:$P$840,Ordenes!$C$2:$C$840,$B143,Ordenes!$T$2:$T$840,"Válida",Ordenes!$F$2:$F$840,"Redondo liso")/SUMIFS(Ordenes!$Q$2:$Q$840,Ordenes!$C$2:$C$840,$B143,Ordenes!$T$2:$T$840,"Válida",Ordenes!$F$2:$F$840,"Redondo liso"),"")</f>
        <v/>
      </c>
      <c r="F143" s="20">
        <f>IFERROR(SUMIFS(Ordenes!$P$2:$P$840,Ordenes!$C$2:$C$840,$B143,Ordenes!$T$2:$T$840,"Válida",Ordenes!$F$2:$F$840,"Plana")/SUMIFS(Ordenes!$Q$2:$Q$840,Ordenes!$C$2:$C$840,$B143,Ordenes!$T$2:$T$840,"Válida",Ordenes!$F$2:$F$840,"Plana"),"")</f>
        <v/>
      </c>
      <c r="G143" s="20">
        <f>IFERROR(SUMIFS(Ordenes!$P$2:$P$840,Ordenes!$C$2:$C$840,$B143,Ordenes!$T$2:$T$840,"Válida",Ordenes!$F$2:$F$840,"Ángulo")/SUMIFS(Ordenes!$Q$2:$Q$840,Ordenes!$C$2:$C$840,$B143,Ordenes!$T$2:$T$840,"Válida",Ordenes!$F$2:$F$840,"Ángulo"),"")</f>
        <v/>
      </c>
      <c r="H143" s="20">
        <f>IFERROR(SUMIFS(Ordenes!$P$2:$P$840,Ordenes!$C$2:$C$840,$B143,Ordenes!$T$2:$T$840,"Válida",Ordenes!$F$2:$F$840,"Cuadrado")/SUMIFS(Ordenes!$Q$2:$Q$840,Ordenes!$C$2:$C$840,$B143,Ordenes!$T$2:$T$840,"Válida",Ordenes!$F$2:$F$840,"Cuadrado"),"")</f>
        <v/>
      </c>
      <c r="I143" s="20">
        <f>IFERROR(SUMIFS(Ordenes!$P$2:$P$840,Ordenes!$C$2:$C$840,$B143,Ordenes!$T$2:$T$840,"Válida",Ordenes!$F$2:$F$840,"Estrella")/SUMIFS(Ordenes!$Q$2:$Q$840,Ordenes!$C$2:$C$840,$B143,Ordenes!$T$2:$T$840,"Válida",Ordenes!$F$2:$F$840,"Estrella"),"")</f>
        <v/>
      </c>
      <c r="J143" s="20">
        <f>IFERROR(SUMIFS(Ordenes!$P$2:$P$840,Ordenes!$C$2:$C$840,$B143,Ordenes!$T$2:$T$840,"Válida",Ordenes!$F$2:$F$840,"Saferock")/SUMIFS(Ordenes!$Q$2:$Q$840,Ordenes!$C$2:$C$840,$B143,Ordenes!$T$2:$T$840,"Válida",Ordenes!$F$2:$F$840,"Saferock"),"")</f>
        <v/>
      </c>
      <c r="K143" s="20">
        <f>IFERROR(SUMIFS(Ordenes!$P$2:$P$840,Ordenes!$C$2:$C$840,$B143,Ordenes!$T$2:$T$840,"Válida",Ordenes!$F$2:$F$840,"Hexágono")/SUMIFS(Ordenes!$Q$2:$Q$840,Ordenes!$C$2:$C$840,$B143,Ordenes!$T$2:$T$840,"Válida",Ordenes!$F$2:$F$840,"Hexágono"),"")</f>
        <v/>
      </c>
      <c r="L143" s="24">
        <f>IFERROR(SUMIFS(Ordenes!$P$2:$P$840,Ordenes!$C$2:$C$840,$B143,Ordenes!$T$2:$T$840,"Válida",Ordenes!$F$2:$F$840,"*")/SUMIFS(Ordenes!$Q$2:$Q$840,Ordenes!$C$2:$C$840,$B143,Ordenes!$T$2:$T$840,"Válida",Ordenes!$F$2:$F$840,"*"),"")</f>
        <v/>
      </c>
      <c r="M143" s="20">
        <f>IFERROR(SUMIFS(Ordenes!$V$2:$V$840,Ordenes!$C$2:$C$840,$B143,Ordenes!$T$2:$T$840,"Válida")/SUMIFS(Ordenes!$Q$2:$Q$840,Ordenes!$C$2:$C$840,$B143,Ordenes!$T$2:$T$840,"Válida"),"")</f>
        <v/>
      </c>
      <c r="N143" s="21">
        <f>IFERROR((L143-M143)*100,"")</f>
        <v/>
      </c>
      <c r="O143" s="19">
        <f>SUMIFS(Ordenes!$P$2:$P$840,Ordenes!$C$2:$C$840,$B143,Ordenes!$T$2:$T$840,"Válida")</f>
        <v/>
      </c>
      <c r="P143" s="19">
        <f>SUMIFS(Ordenes!$Q$2:$Q$840,Ordenes!$C$2:$C$840,$B143,Ordenes!$T$2:$T$840,"Válida")</f>
        <v/>
      </c>
      <c r="Q143" s="18">
        <f>COUNTIFS(Ordenes!$C$2:$C$840,$B143,Ordenes!$T$2:$T$840,"Válida")</f>
        <v/>
      </c>
    </row>
    <row r="144">
      <c r="A144" s="18" t="inlineStr">
        <is>
          <t>Dom 21 jun 2026</t>
        </is>
      </c>
      <c r="B144" s="22" t="n">
        <v>46194</v>
      </c>
      <c r="C144" s="18" t="inlineStr">
        <is>
          <t>S25</t>
        </is>
      </c>
      <c r="D144" s="20">
        <f>IFERROR(SUMIFS(Ordenes!$P$2:$P$840,Ordenes!$C$2:$C$840,$B144,Ordenes!$T$2:$T$840,"Válida",Ordenes!$F$2:$F$840,"B Hormigón")/SUMIFS(Ordenes!$Q$2:$Q$840,Ordenes!$C$2:$C$840,$B144,Ordenes!$T$2:$T$840,"Válida",Ordenes!$F$2:$F$840,"B Hormigón"),"")</f>
        <v/>
      </c>
      <c r="E144" s="20">
        <f>IFERROR(SUMIFS(Ordenes!$P$2:$P$840,Ordenes!$C$2:$C$840,$B144,Ordenes!$T$2:$T$840,"Válida",Ordenes!$F$2:$F$840,"Redondo liso")/SUMIFS(Ordenes!$Q$2:$Q$840,Ordenes!$C$2:$C$840,$B144,Ordenes!$T$2:$T$840,"Válida",Ordenes!$F$2:$F$840,"Redondo liso"),"")</f>
        <v/>
      </c>
      <c r="F144" s="20">
        <f>IFERROR(SUMIFS(Ordenes!$P$2:$P$840,Ordenes!$C$2:$C$840,$B144,Ordenes!$T$2:$T$840,"Válida",Ordenes!$F$2:$F$840,"Plana")/SUMIFS(Ordenes!$Q$2:$Q$840,Ordenes!$C$2:$C$840,$B144,Ordenes!$T$2:$T$840,"Válida",Ordenes!$F$2:$F$840,"Plana"),"")</f>
        <v/>
      </c>
      <c r="G144" s="20">
        <f>IFERROR(SUMIFS(Ordenes!$P$2:$P$840,Ordenes!$C$2:$C$840,$B144,Ordenes!$T$2:$T$840,"Válida",Ordenes!$F$2:$F$840,"Ángulo")/SUMIFS(Ordenes!$Q$2:$Q$840,Ordenes!$C$2:$C$840,$B144,Ordenes!$T$2:$T$840,"Válida",Ordenes!$F$2:$F$840,"Ángulo"),"")</f>
        <v/>
      </c>
      <c r="H144" s="20">
        <f>IFERROR(SUMIFS(Ordenes!$P$2:$P$840,Ordenes!$C$2:$C$840,$B144,Ordenes!$T$2:$T$840,"Válida",Ordenes!$F$2:$F$840,"Cuadrado")/SUMIFS(Ordenes!$Q$2:$Q$840,Ordenes!$C$2:$C$840,$B144,Ordenes!$T$2:$T$840,"Válida",Ordenes!$F$2:$F$840,"Cuadrado"),"")</f>
        <v/>
      </c>
      <c r="I144" s="20">
        <f>IFERROR(SUMIFS(Ordenes!$P$2:$P$840,Ordenes!$C$2:$C$840,$B144,Ordenes!$T$2:$T$840,"Válida",Ordenes!$F$2:$F$840,"Estrella")/SUMIFS(Ordenes!$Q$2:$Q$840,Ordenes!$C$2:$C$840,$B144,Ordenes!$T$2:$T$840,"Válida",Ordenes!$F$2:$F$840,"Estrella"),"")</f>
        <v/>
      </c>
      <c r="J144" s="20">
        <f>IFERROR(SUMIFS(Ordenes!$P$2:$P$840,Ordenes!$C$2:$C$840,$B144,Ordenes!$T$2:$T$840,"Válida",Ordenes!$F$2:$F$840,"Saferock")/SUMIFS(Ordenes!$Q$2:$Q$840,Ordenes!$C$2:$C$840,$B144,Ordenes!$T$2:$T$840,"Válida",Ordenes!$F$2:$F$840,"Saferock"),"")</f>
        <v/>
      </c>
      <c r="K144" s="20">
        <f>IFERROR(SUMIFS(Ordenes!$P$2:$P$840,Ordenes!$C$2:$C$840,$B144,Ordenes!$T$2:$T$840,"Válida",Ordenes!$F$2:$F$840,"Hexágono")/SUMIFS(Ordenes!$Q$2:$Q$840,Ordenes!$C$2:$C$840,$B144,Ordenes!$T$2:$T$840,"Válida",Ordenes!$F$2:$F$840,"Hexágono"),"")</f>
        <v/>
      </c>
      <c r="L144" s="24">
        <f>IFERROR(SUMIFS(Ordenes!$P$2:$P$840,Ordenes!$C$2:$C$840,$B144,Ordenes!$T$2:$T$840,"Válida",Ordenes!$F$2:$F$840,"*")/SUMIFS(Ordenes!$Q$2:$Q$840,Ordenes!$C$2:$C$840,$B144,Ordenes!$T$2:$T$840,"Válida",Ordenes!$F$2:$F$840,"*"),"")</f>
        <v/>
      </c>
      <c r="M144" s="20">
        <f>IFERROR(SUMIFS(Ordenes!$V$2:$V$840,Ordenes!$C$2:$C$840,$B144,Ordenes!$T$2:$T$840,"Válida")/SUMIFS(Ordenes!$Q$2:$Q$840,Ordenes!$C$2:$C$840,$B144,Ordenes!$T$2:$T$840,"Válida"),"")</f>
        <v/>
      </c>
      <c r="N144" s="21">
        <f>IFERROR((L144-M144)*100,"")</f>
        <v/>
      </c>
      <c r="O144" s="19">
        <f>SUMIFS(Ordenes!$P$2:$P$840,Ordenes!$C$2:$C$840,$B144,Ordenes!$T$2:$T$840,"Válida")</f>
        <v/>
      </c>
      <c r="P144" s="19">
        <f>SUMIFS(Ordenes!$Q$2:$Q$840,Ordenes!$C$2:$C$840,$B144,Ordenes!$T$2:$T$840,"Válida")</f>
        <v/>
      </c>
      <c r="Q144" s="18">
        <f>COUNTIFS(Ordenes!$C$2:$C$840,$B144,Ordenes!$T$2:$T$840,"Válida")</f>
        <v/>
      </c>
    </row>
    <row r="145">
      <c r="A145" s="18" t="inlineStr">
        <is>
          <t>Lun 22 jun 2026</t>
        </is>
      </c>
      <c r="B145" s="22" t="n">
        <v>46195</v>
      </c>
      <c r="C145" s="18" t="inlineStr">
        <is>
          <t>S26</t>
        </is>
      </c>
      <c r="D145" s="20">
        <f>IFERROR(SUMIFS(Ordenes!$P$2:$P$840,Ordenes!$C$2:$C$840,$B145,Ordenes!$T$2:$T$840,"Válida",Ordenes!$F$2:$F$840,"B Hormigón")/SUMIFS(Ordenes!$Q$2:$Q$840,Ordenes!$C$2:$C$840,$B145,Ordenes!$T$2:$T$840,"Válida",Ordenes!$F$2:$F$840,"B Hormigón"),"")</f>
        <v/>
      </c>
      <c r="E145" s="20">
        <f>IFERROR(SUMIFS(Ordenes!$P$2:$P$840,Ordenes!$C$2:$C$840,$B145,Ordenes!$T$2:$T$840,"Válida",Ordenes!$F$2:$F$840,"Redondo liso")/SUMIFS(Ordenes!$Q$2:$Q$840,Ordenes!$C$2:$C$840,$B145,Ordenes!$T$2:$T$840,"Válida",Ordenes!$F$2:$F$840,"Redondo liso"),"")</f>
        <v/>
      </c>
      <c r="F145" s="20">
        <f>IFERROR(SUMIFS(Ordenes!$P$2:$P$840,Ordenes!$C$2:$C$840,$B145,Ordenes!$T$2:$T$840,"Válida",Ordenes!$F$2:$F$840,"Plana")/SUMIFS(Ordenes!$Q$2:$Q$840,Ordenes!$C$2:$C$840,$B145,Ordenes!$T$2:$T$840,"Válida",Ordenes!$F$2:$F$840,"Plana"),"")</f>
        <v/>
      </c>
      <c r="G145" s="20">
        <f>IFERROR(SUMIFS(Ordenes!$P$2:$P$840,Ordenes!$C$2:$C$840,$B145,Ordenes!$T$2:$T$840,"Válida",Ordenes!$F$2:$F$840,"Ángulo")/SUMIFS(Ordenes!$Q$2:$Q$840,Ordenes!$C$2:$C$840,$B145,Ordenes!$T$2:$T$840,"Válida",Ordenes!$F$2:$F$840,"Ángulo"),"")</f>
        <v/>
      </c>
      <c r="H145" s="20">
        <f>IFERROR(SUMIFS(Ordenes!$P$2:$P$840,Ordenes!$C$2:$C$840,$B145,Ordenes!$T$2:$T$840,"Válida",Ordenes!$F$2:$F$840,"Cuadrado")/SUMIFS(Ordenes!$Q$2:$Q$840,Ordenes!$C$2:$C$840,$B145,Ordenes!$T$2:$T$840,"Válida",Ordenes!$F$2:$F$840,"Cuadrado"),"")</f>
        <v/>
      </c>
      <c r="I145" s="20">
        <f>IFERROR(SUMIFS(Ordenes!$P$2:$P$840,Ordenes!$C$2:$C$840,$B145,Ordenes!$T$2:$T$840,"Válida",Ordenes!$F$2:$F$840,"Estrella")/SUMIFS(Ordenes!$Q$2:$Q$840,Ordenes!$C$2:$C$840,$B145,Ordenes!$T$2:$T$840,"Válida",Ordenes!$F$2:$F$840,"Estrella"),"")</f>
        <v/>
      </c>
      <c r="J145" s="20">
        <f>IFERROR(SUMIFS(Ordenes!$P$2:$P$840,Ordenes!$C$2:$C$840,$B145,Ordenes!$T$2:$T$840,"Válida",Ordenes!$F$2:$F$840,"Saferock")/SUMIFS(Ordenes!$Q$2:$Q$840,Ordenes!$C$2:$C$840,$B145,Ordenes!$T$2:$T$840,"Válida",Ordenes!$F$2:$F$840,"Saferock"),"")</f>
        <v/>
      </c>
      <c r="K145" s="20">
        <f>IFERROR(SUMIFS(Ordenes!$P$2:$P$840,Ordenes!$C$2:$C$840,$B145,Ordenes!$T$2:$T$840,"Válida",Ordenes!$F$2:$F$840,"Hexágono")/SUMIFS(Ordenes!$Q$2:$Q$840,Ordenes!$C$2:$C$840,$B145,Ordenes!$T$2:$T$840,"Válida",Ordenes!$F$2:$F$840,"Hexágono"),"")</f>
        <v/>
      </c>
      <c r="L145" s="24">
        <f>IFERROR(SUMIFS(Ordenes!$P$2:$P$840,Ordenes!$C$2:$C$840,$B145,Ordenes!$T$2:$T$840,"Válida",Ordenes!$F$2:$F$840,"*")/SUMIFS(Ordenes!$Q$2:$Q$840,Ordenes!$C$2:$C$840,$B145,Ordenes!$T$2:$T$840,"Válida",Ordenes!$F$2:$F$840,"*"),"")</f>
        <v/>
      </c>
      <c r="M145" s="20">
        <f>IFERROR(SUMIFS(Ordenes!$V$2:$V$840,Ordenes!$C$2:$C$840,$B145,Ordenes!$T$2:$T$840,"Válida")/SUMIFS(Ordenes!$Q$2:$Q$840,Ordenes!$C$2:$C$840,$B145,Ordenes!$T$2:$T$840,"Válida"),"")</f>
        <v/>
      </c>
      <c r="N145" s="21">
        <f>IFERROR((L145-M145)*100,"")</f>
        <v/>
      </c>
      <c r="O145" s="19">
        <f>SUMIFS(Ordenes!$P$2:$P$840,Ordenes!$C$2:$C$840,$B145,Ordenes!$T$2:$T$840,"Válida")</f>
        <v/>
      </c>
      <c r="P145" s="19">
        <f>SUMIFS(Ordenes!$Q$2:$Q$840,Ordenes!$C$2:$C$840,$B145,Ordenes!$T$2:$T$840,"Válida")</f>
        <v/>
      </c>
      <c r="Q145" s="18">
        <f>COUNTIFS(Ordenes!$C$2:$C$840,$B145,Ordenes!$T$2:$T$840,"Válida")</f>
        <v/>
      </c>
    </row>
    <row r="146">
      <c r="A146" s="18" t="inlineStr">
        <is>
          <t>Mar 23 jun 2026</t>
        </is>
      </c>
      <c r="B146" s="22" t="n">
        <v>46196</v>
      </c>
      <c r="C146" s="18" t="inlineStr">
        <is>
          <t>S26</t>
        </is>
      </c>
      <c r="D146" s="20">
        <f>IFERROR(SUMIFS(Ordenes!$P$2:$P$840,Ordenes!$C$2:$C$840,$B146,Ordenes!$T$2:$T$840,"Válida",Ordenes!$F$2:$F$840,"B Hormigón")/SUMIFS(Ordenes!$Q$2:$Q$840,Ordenes!$C$2:$C$840,$B146,Ordenes!$T$2:$T$840,"Válida",Ordenes!$F$2:$F$840,"B Hormigón"),"")</f>
        <v/>
      </c>
      <c r="E146" s="20">
        <f>IFERROR(SUMIFS(Ordenes!$P$2:$P$840,Ordenes!$C$2:$C$840,$B146,Ordenes!$T$2:$T$840,"Válida",Ordenes!$F$2:$F$840,"Redondo liso")/SUMIFS(Ordenes!$Q$2:$Q$840,Ordenes!$C$2:$C$840,$B146,Ordenes!$T$2:$T$840,"Válida",Ordenes!$F$2:$F$840,"Redondo liso"),"")</f>
        <v/>
      </c>
      <c r="F146" s="20">
        <f>IFERROR(SUMIFS(Ordenes!$P$2:$P$840,Ordenes!$C$2:$C$840,$B146,Ordenes!$T$2:$T$840,"Válida",Ordenes!$F$2:$F$840,"Plana")/SUMIFS(Ordenes!$Q$2:$Q$840,Ordenes!$C$2:$C$840,$B146,Ordenes!$T$2:$T$840,"Válida",Ordenes!$F$2:$F$840,"Plana"),"")</f>
        <v/>
      </c>
      <c r="G146" s="20">
        <f>IFERROR(SUMIFS(Ordenes!$P$2:$P$840,Ordenes!$C$2:$C$840,$B146,Ordenes!$T$2:$T$840,"Válida",Ordenes!$F$2:$F$840,"Ángulo")/SUMIFS(Ordenes!$Q$2:$Q$840,Ordenes!$C$2:$C$840,$B146,Ordenes!$T$2:$T$840,"Válida",Ordenes!$F$2:$F$840,"Ángulo"),"")</f>
        <v/>
      </c>
      <c r="H146" s="20">
        <f>IFERROR(SUMIFS(Ordenes!$P$2:$P$840,Ordenes!$C$2:$C$840,$B146,Ordenes!$T$2:$T$840,"Válida",Ordenes!$F$2:$F$840,"Cuadrado")/SUMIFS(Ordenes!$Q$2:$Q$840,Ordenes!$C$2:$C$840,$B146,Ordenes!$T$2:$T$840,"Válida",Ordenes!$F$2:$F$840,"Cuadrado"),"")</f>
        <v/>
      </c>
      <c r="I146" s="20">
        <f>IFERROR(SUMIFS(Ordenes!$P$2:$P$840,Ordenes!$C$2:$C$840,$B146,Ordenes!$T$2:$T$840,"Válida",Ordenes!$F$2:$F$840,"Estrella")/SUMIFS(Ordenes!$Q$2:$Q$840,Ordenes!$C$2:$C$840,$B146,Ordenes!$T$2:$T$840,"Válida",Ordenes!$F$2:$F$840,"Estrella"),"")</f>
        <v/>
      </c>
      <c r="J146" s="20">
        <f>IFERROR(SUMIFS(Ordenes!$P$2:$P$840,Ordenes!$C$2:$C$840,$B146,Ordenes!$T$2:$T$840,"Válida",Ordenes!$F$2:$F$840,"Saferock")/SUMIFS(Ordenes!$Q$2:$Q$840,Ordenes!$C$2:$C$840,$B146,Ordenes!$T$2:$T$840,"Válida",Ordenes!$F$2:$F$840,"Saferock"),"")</f>
        <v/>
      </c>
      <c r="K146" s="20">
        <f>IFERROR(SUMIFS(Ordenes!$P$2:$P$840,Ordenes!$C$2:$C$840,$B146,Ordenes!$T$2:$T$840,"Válida",Ordenes!$F$2:$F$840,"Hexágono")/SUMIFS(Ordenes!$Q$2:$Q$840,Ordenes!$C$2:$C$840,$B146,Ordenes!$T$2:$T$840,"Válida",Ordenes!$F$2:$F$840,"Hexágono"),"")</f>
        <v/>
      </c>
      <c r="L146" s="24">
        <f>IFERROR(SUMIFS(Ordenes!$P$2:$P$840,Ordenes!$C$2:$C$840,$B146,Ordenes!$T$2:$T$840,"Válida",Ordenes!$F$2:$F$840,"*")/SUMIFS(Ordenes!$Q$2:$Q$840,Ordenes!$C$2:$C$840,$B146,Ordenes!$T$2:$T$840,"Válida",Ordenes!$F$2:$F$840,"*"),"")</f>
        <v/>
      </c>
      <c r="M146" s="20">
        <f>IFERROR(SUMIFS(Ordenes!$V$2:$V$840,Ordenes!$C$2:$C$840,$B146,Ordenes!$T$2:$T$840,"Válida")/SUMIFS(Ordenes!$Q$2:$Q$840,Ordenes!$C$2:$C$840,$B146,Ordenes!$T$2:$T$840,"Válida"),"")</f>
        <v/>
      </c>
      <c r="N146" s="21">
        <f>IFERROR((L146-M146)*100,"")</f>
        <v/>
      </c>
      <c r="O146" s="19">
        <f>SUMIFS(Ordenes!$P$2:$P$840,Ordenes!$C$2:$C$840,$B146,Ordenes!$T$2:$T$840,"Válida")</f>
        <v/>
      </c>
      <c r="P146" s="19">
        <f>SUMIFS(Ordenes!$Q$2:$Q$840,Ordenes!$C$2:$C$840,$B146,Ordenes!$T$2:$T$840,"Válida")</f>
        <v/>
      </c>
      <c r="Q146" s="18">
        <f>COUNTIFS(Ordenes!$C$2:$C$840,$B146,Ordenes!$T$2:$T$840,"Válida")</f>
        <v/>
      </c>
    </row>
    <row r="147">
      <c r="A147" s="18" t="inlineStr">
        <is>
          <t>Mié 24 jun 2026</t>
        </is>
      </c>
      <c r="B147" s="22" t="n">
        <v>46197</v>
      </c>
      <c r="C147" s="18" t="inlineStr">
        <is>
          <t>S26</t>
        </is>
      </c>
      <c r="D147" s="20">
        <f>IFERROR(SUMIFS(Ordenes!$P$2:$P$840,Ordenes!$C$2:$C$840,$B147,Ordenes!$T$2:$T$840,"Válida",Ordenes!$F$2:$F$840,"B Hormigón")/SUMIFS(Ordenes!$Q$2:$Q$840,Ordenes!$C$2:$C$840,$B147,Ordenes!$T$2:$T$840,"Válida",Ordenes!$F$2:$F$840,"B Hormigón"),"")</f>
        <v/>
      </c>
      <c r="E147" s="20">
        <f>IFERROR(SUMIFS(Ordenes!$P$2:$P$840,Ordenes!$C$2:$C$840,$B147,Ordenes!$T$2:$T$840,"Válida",Ordenes!$F$2:$F$840,"Redondo liso")/SUMIFS(Ordenes!$Q$2:$Q$840,Ordenes!$C$2:$C$840,$B147,Ordenes!$T$2:$T$840,"Válida",Ordenes!$F$2:$F$840,"Redondo liso"),"")</f>
        <v/>
      </c>
      <c r="F147" s="20">
        <f>IFERROR(SUMIFS(Ordenes!$P$2:$P$840,Ordenes!$C$2:$C$840,$B147,Ordenes!$T$2:$T$840,"Válida",Ordenes!$F$2:$F$840,"Plana")/SUMIFS(Ordenes!$Q$2:$Q$840,Ordenes!$C$2:$C$840,$B147,Ordenes!$T$2:$T$840,"Válida",Ordenes!$F$2:$F$840,"Plana"),"")</f>
        <v/>
      </c>
      <c r="G147" s="20">
        <f>IFERROR(SUMIFS(Ordenes!$P$2:$P$840,Ordenes!$C$2:$C$840,$B147,Ordenes!$T$2:$T$840,"Válida",Ordenes!$F$2:$F$840,"Ángulo")/SUMIFS(Ordenes!$Q$2:$Q$840,Ordenes!$C$2:$C$840,$B147,Ordenes!$T$2:$T$840,"Válida",Ordenes!$F$2:$F$840,"Ángulo"),"")</f>
        <v/>
      </c>
      <c r="H147" s="20">
        <f>IFERROR(SUMIFS(Ordenes!$P$2:$P$840,Ordenes!$C$2:$C$840,$B147,Ordenes!$T$2:$T$840,"Válida",Ordenes!$F$2:$F$840,"Cuadrado")/SUMIFS(Ordenes!$Q$2:$Q$840,Ordenes!$C$2:$C$840,$B147,Ordenes!$T$2:$T$840,"Válida",Ordenes!$F$2:$F$840,"Cuadrado"),"")</f>
        <v/>
      </c>
      <c r="I147" s="20">
        <f>IFERROR(SUMIFS(Ordenes!$P$2:$P$840,Ordenes!$C$2:$C$840,$B147,Ordenes!$T$2:$T$840,"Válida",Ordenes!$F$2:$F$840,"Estrella")/SUMIFS(Ordenes!$Q$2:$Q$840,Ordenes!$C$2:$C$840,$B147,Ordenes!$T$2:$T$840,"Válida",Ordenes!$F$2:$F$840,"Estrella"),"")</f>
        <v/>
      </c>
      <c r="J147" s="20">
        <f>IFERROR(SUMIFS(Ordenes!$P$2:$P$840,Ordenes!$C$2:$C$840,$B147,Ordenes!$T$2:$T$840,"Válida",Ordenes!$F$2:$F$840,"Saferock")/SUMIFS(Ordenes!$Q$2:$Q$840,Ordenes!$C$2:$C$840,$B147,Ordenes!$T$2:$T$840,"Válida",Ordenes!$F$2:$F$840,"Saferock"),"")</f>
        <v/>
      </c>
      <c r="K147" s="20">
        <f>IFERROR(SUMIFS(Ordenes!$P$2:$P$840,Ordenes!$C$2:$C$840,$B147,Ordenes!$T$2:$T$840,"Válida",Ordenes!$F$2:$F$840,"Hexágono")/SUMIFS(Ordenes!$Q$2:$Q$840,Ordenes!$C$2:$C$840,$B147,Ordenes!$T$2:$T$840,"Válida",Ordenes!$F$2:$F$840,"Hexágono"),"")</f>
        <v/>
      </c>
      <c r="L147" s="24">
        <f>IFERROR(SUMIFS(Ordenes!$P$2:$P$840,Ordenes!$C$2:$C$840,$B147,Ordenes!$T$2:$T$840,"Válida",Ordenes!$F$2:$F$840,"*")/SUMIFS(Ordenes!$Q$2:$Q$840,Ordenes!$C$2:$C$840,$B147,Ordenes!$T$2:$T$840,"Válida",Ordenes!$F$2:$F$840,"*"),"")</f>
        <v/>
      </c>
      <c r="M147" s="20">
        <f>IFERROR(SUMIFS(Ordenes!$V$2:$V$840,Ordenes!$C$2:$C$840,$B147,Ordenes!$T$2:$T$840,"Válida")/SUMIFS(Ordenes!$Q$2:$Q$840,Ordenes!$C$2:$C$840,$B147,Ordenes!$T$2:$T$840,"Válida"),"")</f>
        <v/>
      </c>
      <c r="N147" s="21">
        <f>IFERROR((L147-M147)*100,"")</f>
        <v/>
      </c>
      <c r="O147" s="19">
        <f>SUMIFS(Ordenes!$P$2:$P$840,Ordenes!$C$2:$C$840,$B147,Ordenes!$T$2:$T$840,"Válida")</f>
        <v/>
      </c>
      <c r="P147" s="19">
        <f>SUMIFS(Ordenes!$Q$2:$Q$840,Ordenes!$C$2:$C$840,$B147,Ordenes!$T$2:$T$840,"Válida")</f>
        <v/>
      </c>
      <c r="Q147" s="18">
        <f>COUNTIFS(Ordenes!$C$2:$C$840,$B147,Ordenes!$T$2:$T$840,"Válida")</f>
        <v/>
      </c>
    </row>
    <row r="148">
      <c r="A148" s="18" t="inlineStr">
        <is>
          <t>Jue 25 jun 2026</t>
        </is>
      </c>
      <c r="B148" s="22" t="n">
        <v>46198</v>
      </c>
      <c r="C148" s="18" t="inlineStr">
        <is>
          <t>S26</t>
        </is>
      </c>
      <c r="D148" s="20">
        <f>IFERROR(SUMIFS(Ordenes!$P$2:$P$840,Ordenes!$C$2:$C$840,$B148,Ordenes!$T$2:$T$840,"Válida",Ordenes!$F$2:$F$840,"B Hormigón")/SUMIFS(Ordenes!$Q$2:$Q$840,Ordenes!$C$2:$C$840,$B148,Ordenes!$T$2:$T$840,"Válida",Ordenes!$F$2:$F$840,"B Hormigón"),"")</f>
        <v/>
      </c>
      <c r="E148" s="20">
        <f>IFERROR(SUMIFS(Ordenes!$P$2:$P$840,Ordenes!$C$2:$C$840,$B148,Ordenes!$T$2:$T$840,"Válida",Ordenes!$F$2:$F$840,"Redondo liso")/SUMIFS(Ordenes!$Q$2:$Q$840,Ordenes!$C$2:$C$840,$B148,Ordenes!$T$2:$T$840,"Válida",Ordenes!$F$2:$F$840,"Redondo liso"),"")</f>
        <v/>
      </c>
      <c r="F148" s="20">
        <f>IFERROR(SUMIFS(Ordenes!$P$2:$P$840,Ordenes!$C$2:$C$840,$B148,Ordenes!$T$2:$T$840,"Válida",Ordenes!$F$2:$F$840,"Plana")/SUMIFS(Ordenes!$Q$2:$Q$840,Ordenes!$C$2:$C$840,$B148,Ordenes!$T$2:$T$840,"Válida",Ordenes!$F$2:$F$840,"Plana"),"")</f>
        <v/>
      </c>
      <c r="G148" s="20">
        <f>IFERROR(SUMIFS(Ordenes!$P$2:$P$840,Ordenes!$C$2:$C$840,$B148,Ordenes!$T$2:$T$840,"Válida",Ordenes!$F$2:$F$840,"Ángulo")/SUMIFS(Ordenes!$Q$2:$Q$840,Ordenes!$C$2:$C$840,$B148,Ordenes!$T$2:$T$840,"Válida",Ordenes!$F$2:$F$840,"Ángulo"),"")</f>
        <v/>
      </c>
      <c r="H148" s="20">
        <f>IFERROR(SUMIFS(Ordenes!$P$2:$P$840,Ordenes!$C$2:$C$840,$B148,Ordenes!$T$2:$T$840,"Válida",Ordenes!$F$2:$F$840,"Cuadrado")/SUMIFS(Ordenes!$Q$2:$Q$840,Ordenes!$C$2:$C$840,$B148,Ordenes!$T$2:$T$840,"Válida",Ordenes!$F$2:$F$840,"Cuadrado"),"")</f>
        <v/>
      </c>
      <c r="I148" s="20">
        <f>IFERROR(SUMIFS(Ordenes!$P$2:$P$840,Ordenes!$C$2:$C$840,$B148,Ordenes!$T$2:$T$840,"Válida",Ordenes!$F$2:$F$840,"Estrella")/SUMIFS(Ordenes!$Q$2:$Q$840,Ordenes!$C$2:$C$840,$B148,Ordenes!$T$2:$T$840,"Válida",Ordenes!$F$2:$F$840,"Estrella"),"")</f>
        <v/>
      </c>
      <c r="J148" s="20">
        <f>IFERROR(SUMIFS(Ordenes!$P$2:$P$840,Ordenes!$C$2:$C$840,$B148,Ordenes!$T$2:$T$840,"Válida",Ordenes!$F$2:$F$840,"Saferock")/SUMIFS(Ordenes!$Q$2:$Q$840,Ordenes!$C$2:$C$840,$B148,Ordenes!$T$2:$T$840,"Válida",Ordenes!$F$2:$F$840,"Saferock"),"")</f>
        <v/>
      </c>
      <c r="K148" s="20">
        <f>IFERROR(SUMIFS(Ordenes!$P$2:$P$840,Ordenes!$C$2:$C$840,$B148,Ordenes!$T$2:$T$840,"Válida",Ordenes!$F$2:$F$840,"Hexágono")/SUMIFS(Ordenes!$Q$2:$Q$840,Ordenes!$C$2:$C$840,$B148,Ordenes!$T$2:$T$840,"Válida",Ordenes!$F$2:$F$840,"Hexágono"),"")</f>
        <v/>
      </c>
      <c r="L148" s="24">
        <f>IFERROR(SUMIFS(Ordenes!$P$2:$P$840,Ordenes!$C$2:$C$840,$B148,Ordenes!$T$2:$T$840,"Válida",Ordenes!$F$2:$F$840,"*")/SUMIFS(Ordenes!$Q$2:$Q$840,Ordenes!$C$2:$C$840,$B148,Ordenes!$T$2:$T$840,"Válida",Ordenes!$F$2:$F$840,"*"),"")</f>
        <v/>
      </c>
      <c r="M148" s="20">
        <f>IFERROR(SUMIFS(Ordenes!$V$2:$V$840,Ordenes!$C$2:$C$840,$B148,Ordenes!$T$2:$T$840,"Válida")/SUMIFS(Ordenes!$Q$2:$Q$840,Ordenes!$C$2:$C$840,$B148,Ordenes!$T$2:$T$840,"Válida"),"")</f>
        <v/>
      </c>
      <c r="N148" s="21">
        <f>IFERROR((L148-M148)*100,"")</f>
        <v/>
      </c>
      <c r="O148" s="19">
        <f>SUMIFS(Ordenes!$P$2:$P$840,Ordenes!$C$2:$C$840,$B148,Ordenes!$T$2:$T$840,"Válida")</f>
        <v/>
      </c>
      <c r="P148" s="19">
        <f>SUMIFS(Ordenes!$Q$2:$Q$840,Ordenes!$C$2:$C$840,$B148,Ordenes!$T$2:$T$840,"Válida")</f>
        <v/>
      </c>
      <c r="Q148" s="18">
        <f>COUNTIFS(Ordenes!$C$2:$C$840,$B148,Ordenes!$T$2:$T$840,"Válida")</f>
        <v/>
      </c>
    </row>
    <row r="149">
      <c r="A149" s="18" t="inlineStr">
        <is>
          <t>Vie 26 jun 2026</t>
        </is>
      </c>
      <c r="B149" s="22" t="n">
        <v>46199</v>
      </c>
      <c r="C149" s="18" t="inlineStr">
        <is>
          <t>S26</t>
        </is>
      </c>
      <c r="D149" s="20">
        <f>IFERROR(SUMIFS(Ordenes!$P$2:$P$840,Ordenes!$C$2:$C$840,$B149,Ordenes!$T$2:$T$840,"Válida",Ordenes!$F$2:$F$840,"B Hormigón")/SUMIFS(Ordenes!$Q$2:$Q$840,Ordenes!$C$2:$C$840,$B149,Ordenes!$T$2:$T$840,"Válida",Ordenes!$F$2:$F$840,"B Hormigón"),"")</f>
        <v/>
      </c>
      <c r="E149" s="20">
        <f>IFERROR(SUMIFS(Ordenes!$P$2:$P$840,Ordenes!$C$2:$C$840,$B149,Ordenes!$T$2:$T$840,"Válida",Ordenes!$F$2:$F$840,"Redondo liso")/SUMIFS(Ordenes!$Q$2:$Q$840,Ordenes!$C$2:$C$840,$B149,Ordenes!$T$2:$T$840,"Válida",Ordenes!$F$2:$F$840,"Redondo liso"),"")</f>
        <v/>
      </c>
      <c r="F149" s="20">
        <f>IFERROR(SUMIFS(Ordenes!$P$2:$P$840,Ordenes!$C$2:$C$840,$B149,Ordenes!$T$2:$T$840,"Válida",Ordenes!$F$2:$F$840,"Plana")/SUMIFS(Ordenes!$Q$2:$Q$840,Ordenes!$C$2:$C$840,$B149,Ordenes!$T$2:$T$840,"Válida",Ordenes!$F$2:$F$840,"Plana"),"")</f>
        <v/>
      </c>
      <c r="G149" s="20">
        <f>IFERROR(SUMIFS(Ordenes!$P$2:$P$840,Ordenes!$C$2:$C$840,$B149,Ordenes!$T$2:$T$840,"Válida",Ordenes!$F$2:$F$840,"Ángulo")/SUMIFS(Ordenes!$Q$2:$Q$840,Ordenes!$C$2:$C$840,$B149,Ordenes!$T$2:$T$840,"Válida",Ordenes!$F$2:$F$840,"Ángulo"),"")</f>
        <v/>
      </c>
      <c r="H149" s="20">
        <f>IFERROR(SUMIFS(Ordenes!$P$2:$P$840,Ordenes!$C$2:$C$840,$B149,Ordenes!$T$2:$T$840,"Válida",Ordenes!$F$2:$F$840,"Cuadrado")/SUMIFS(Ordenes!$Q$2:$Q$840,Ordenes!$C$2:$C$840,$B149,Ordenes!$T$2:$T$840,"Válida",Ordenes!$F$2:$F$840,"Cuadrado"),"")</f>
        <v/>
      </c>
      <c r="I149" s="20">
        <f>IFERROR(SUMIFS(Ordenes!$P$2:$P$840,Ordenes!$C$2:$C$840,$B149,Ordenes!$T$2:$T$840,"Válida",Ordenes!$F$2:$F$840,"Estrella")/SUMIFS(Ordenes!$Q$2:$Q$840,Ordenes!$C$2:$C$840,$B149,Ordenes!$T$2:$T$840,"Válida",Ordenes!$F$2:$F$840,"Estrella"),"")</f>
        <v/>
      </c>
      <c r="J149" s="20">
        <f>IFERROR(SUMIFS(Ordenes!$P$2:$P$840,Ordenes!$C$2:$C$840,$B149,Ordenes!$T$2:$T$840,"Válida",Ordenes!$F$2:$F$840,"Saferock")/SUMIFS(Ordenes!$Q$2:$Q$840,Ordenes!$C$2:$C$840,$B149,Ordenes!$T$2:$T$840,"Válida",Ordenes!$F$2:$F$840,"Saferock"),"")</f>
        <v/>
      </c>
      <c r="K149" s="20">
        <f>IFERROR(SUMIFS(Ordenes!$P$2:$P$840,Ordenes!$C$2:$C$840,$B149,Ordenes!$T$2:$T$840,"Válida",Ordenes!$F$2:$F$840,"Hexágono")/SUMIFS(Ordenes!$Q$2:$Q$840,Ordenes!$C$2:$C$840,$B149,Ordenes!$T$2:$T$840,"Válida",Ordenes!$F$2:$F$840,"Hexágono"),"")</f>
        <v/>
      </c>
      <c r="L149" s="24">
        <f>IFERROR(SUMIFS(Ordenes!$P$2:$P$840,Ordenes!$C$2:$C$840,$B149,Ordenes!$T$2:$T$840,"Válida",Ordenes!$F$2:$F$840,"*")/SUMIFS(Ordenes!$Q$2:$Q$840,Ordenes!$C$2:$C$840,$B149,Ordenes!$T$2:$T$840,"Válida",Ordenes!$F$2:$F$840,"*"),"")</f>
        <v/>
      </c>
      <c r="M149" s="20">
        <f>IFERROR(SUMIFS(Ordenes!$V$2:$V$840,Ordenes!$C$2:$C$840,$B149,Ordenes!$T$2:$T$840,"Válida")/SUMIFS(Ordenes!$Q$2:$Q$840,Ordenes!$C$2:$C$840,$B149,Ordenes!$T$2:$T$840,"Válida"),"")</f>
        <v/>
      </c>
      <c r="N149" s="21">
        <f>IFERROR((L149-M149)*100,"")</f>
        <v/>
      </c>
      <c r="O149" s="19">
        <f>SUMIFS(Ordenes!$P$2:$P$840,Ordenes!$C$2:$C$840,$B149,Ordenes!$T$2:$T$840,"Válida")</f>
        <v/>
      </c>
      <c r="P149" s="19">
        <f>SUMIFS(Ordenes!$Q$2:$Q$840,Ordenes!$C$2:$C$840,$B149,Ordenes!$T$2:$T$840,"Válida")</f>
        <v/>
      </c>
      <c r="Q149" s="18">
        <f>COUNTIFS(Ordenes!$C$2:$C$840,$B149,Ordenes!$T$2:$T$840,"Válida")</f>
        <v/>
      </c>
    </row>
    <row r="150">
      <c r="A150" s="18" t="inlineStr">
        <is>
          <t>Sáb 27 jun 2026</t>
        </is>
      </c>
      <c r="B150" s="22" t="n">
        <v>46200</v>
      </c>
      <c r="C150" s="18" t="inlineStr">
        <is>
          <t>S26</t>
        </is>
      </c>
      <c r="D150" s="20">
        <f>IFERROR(SUMIFS(Ordenes!$P$2:$P$840,Ordenes!$C$2:$C$840,$B150,Ordenes!$T$2:$T$840,"Válida",Ordenes!$F$2:$F$840,"B Hormigón")/SUMIFS(Ordenes!$Q$2:$Q$840,Ordenes!$C$2:$C$840,$B150,Ordenes!$T$2:$T$840,"Válida",Ordenes!$F$2:$F$840,"B Hormigón"),"")</f>
        <v/>
      </c>
      <c r="E150" s="20">
        <f>IFERROR(SUMIFS(Ordenes!$P$2:$P$840,Ordenes!$C$2:$C$840,$B150,Ordenes!$T$2:$T$840,"Válida",Ordenes!$F$2:$F$840,"Redondo liso")/SUMIFS(Ordenes!$Q$2:$Q$840,Ordenes!$C$2:$C$840,$B150,Ordenes!$T$2:$T$840,"Válida",Ordenes!$F$2:$F$840,"Redondo liso"),"")</f>
        <v/>
      </c>
      <c r="F150" s="20">
        <f>IFERROR(SUMIFS(Ordenes!$P$2:$P$840,Ordenes!$C$2:$C$840,$B150,Ordenes!$T$2:$T$840,"Válida",Ordenes!$F$2:$F$840,"Plana")/SUMIFS(Ordenes!$Q$2:$Q$840,Ordenes!$C$2:$C$840,$B150,Ordenes!$T$2:$T$840,"Válida",Ordenes!$F$2:$F$840,"Plana"),"")</f>
        <v/>
      </c>
      <c r="G150" s="20">
        <f>IFERROR(SUMIFS(Ordenes!$P$2:$P$840,Ordenes!$C$2:$C$840,$B150,Ordenes!$T$2:$T$840,"Válida",Ordenes!$F$2:$F$840,"Ángulo")/SUMIFS(Ordenes!$Q$2:$Q$840,Ordenes!$C$2:$C$840,$B150,Ordenes!$T$2:$T$840,"Válida",Ordenes!$F$2:$F$840,"Ángulo"),"")</f>
        <v/>
      </c>
      <c r="H150" s="20">
        <f>IFERROR(SUMIFS(Ordenes!$P$2:$P$840,Ordenes!$C$2:$C$840,$B150,Ordenes!$T$2:$T$840,"Válida",Ordenes!$F$2:$F$840,"Cuadrado")/SUMIFS(Ordenes!$Q$2:$Q$840,Ordenes!$C$2:$C$840,$B150,Ordenes!$T$2:$T$840,"Válida",Ordenes!$F$2:$F$840,"Cuadrado"),"")</f>
        <v/>
      </c>
      <c r="I150" s="20">
        <f>IFERROR(SUMIFS(Ordenes!$P$2:$P$840,Ordenes!$C$2:$C$840,$B150,Ordenes!$T$2:$T$840,"Válida",Ordenes!$F$2:$F$840,"Estrella")/SUMIFS(Ordenes!$Q$2:$Q$840,Ordenes!$C$2:$C$840,$B150,Ordenes!$T$2:$T$840,"Válida",Ordenes!$F$2:$F$840,"Estrella"),"")</f>
        <v/>
      </c>
      <c r="J150" s="20">
        <f>IFERROR(SUMIFS(Ordenes!$P$2:$P$840,Ordenes!$C$2:$C$840,$B150,Ordenes!$T$2:$T$840,"Válida",Ordenes!$F$2:$F$840,"Saferock")/SUMIFS(Ordenes!$Q$2:$Q$840,Ordenes!$C$2:$C$840,$B150,Ordenes!$T$2:$T$840,"Válida",Ordenes!$F$2:$F$840,"Saferock"),"")</f>
        <v/>
      </c>
      <c r="K150" s="20">
        <f>IFERROR(SUMIFS(Ordenes!$P$2:$P$840,Ordenes!$C$2:$C$840,$B150,Ordenes!$T$2:$T$840,"Válida",Ordenes!$F$2:$F$840,"Hexágono")/SUMIFS(Ordenes!$Q$2:$Q$840,Ordenes!$C$2:$C$840,$B150,Ordenes!$T$2:$T$840,"Válida",Ordenes!$F$2:$F$840,"Hexágono"),"")</f>
        <v/>
      </c>
      <c r="L150" s="24">
        <f>IFERROR(SUMIFS(Ordenes!$P$2:$P$840,Ordenes!$C$2:$C$840,$B150,Ordenes!$T$2:$T$840,"Válida",Ordenes!$F$2:$F$840,"*")/SUMIFS(Ordenes!$Q$2:$Q$840,Ordenes!$C$2:$C$840,$B150,Ordenes!$T$2:$T$840,"Válida",Ordenes!$F$2:$F$840,"*"),"")</f>
        <v/>
      </c>
      <c r="M150" s="20">
        <f>IFERROR(SUMIFS(Ordenes!$V$2:$V$840,Ordenes!$C$2:$C$840,$B150,Ordenes!$T$2:$T$840,"Válida")/SUMIFS(Ordenes!$Q$2:$Q$840,Ordenes!$C$2:$C$840,$B150,Ordenes!$T$2:$T$840,"Válida"),"")</f>
        <v/>
      </c>
      <c r="N150" s="21">
        <f>IFERROR((L150-M150)*100,"")</f>
        <v/>
      </c>
      <c r="O150" s="19">
        <f>SUMIFS(Ordenes!$P$2:$P$840,Ordenes!$C$2:$C$840,$B150,Ordenes!$T$2:$T$840,"Válida")</f>
        <v/>
      </c>
      <c r="P150" s="19">
        <f>SUMIFS(Ordenes!$Q$2:$Q$840,Ordenes!$C$2:$C$840,$B150,Ordenes!$T$2:$T$840,"Válida")</f>
        <v/>
      </c>
      <c r="Q150" s="18">
        <f>COUNTIFS(Ordenes!$C$2:$C$840,$B150,Ordenes!$T$2:$T$840,"Válida")</f>
        <v/>
      </c>
    </row>
    <row r="151">
      <c r="A151" s="18" t="inlineStr">
        <is>
          <t>Dom 28 jun 2026</t>
        </is>
      </c>
      <c r="B151" s="22" t="n">
        <v>46201</v>
      </c>
      <c r="C151" s="18" t="inlineStr">
        <is>
          <t>S26</t>
        </is>
      </c>
      <c r="D151" s="20">
        <f>IFERROR(SUMIFS(Ordenes!$P$2:$P$840,Ordenes!$C$2:$C$840,$B151,Ordenes!$T$2:$T$840,"Válida",Ordenes!$F$2:$F$840,"B Hormigón")/SUMIFS(Ordenes!$Q$2:$Q$840,Ordenes!$C$2:$C$840,$B151,Ordenes!$T$2:$T$840,"Válida",Ordenes!$F$2:$F$840,"B Hormigón"),"")</f>
        <v/>
      </c>
      <c r="E151" s="20">
        <f>IFERROR(SUMIFS(Ordenes!$P$2:$P$840,Ordenes!$C$2:$C$840,$B151,Ordenes!$T$2:$T$840,"Válida",Ordenes!$F$2:$F$840,"Redondo liso")/SUMIFS(Ordenes!$Q$2:$Q$840,Ordenes!$C$2:$C$840,$B151,Ordenes!$T$2:$T$840,"Válida",Ordenes!$F$2:$F$840,"Redondo liso"),"")</f>
        <v/>
      </c>
      <c r="F151" s="20">
        <f>IFERROR(SUMIFS(Ordenes!$P$2:$P$840,Ordenes!$C$2:$C$840,$B151,Ordenes!$T$2:$T$840,"Válida",Ordenes!$F$2:$F$840,"Plana")/SUMIFS(Ordenes!$Q$2:$Q$840,Ordenes!$C$2:$C$840,$B151,Ordenes!$T$2:$T$840,"Válida",Ordenes!$F$2:$F$840,"Plana"),"")</f>
        <v/>
      </c>
      <c r="G151" s="20">
        <f>IFERROR(SUMIFS(Ordenes!$P$2:$P$840,Ordenes!$C$2:$C$840,$B151,Ordenes!$T$2:$T$840,"Válida",Ordenes!$F$2:$F$840,"Ángulo")/SUMIFS(Ordenes!$Q$2:$Q$840,Ordenes!$C$2:$C$840,$B151,Ordenes!$T$2:$T$840,"Válida",Ordenes!$F$2:$F$840,"Ángulo"),"")</f>
        <v/>
      </c>
      <c r="H151" s="20">
        <f>IFERROR(SUMIFS(Ordenes!$P$2:$P$840,Ordenes!$C$2:$C$840,$B151,Ordenes!$T$2:$T$840,"Válida",Ordenes!$F$2:$F$840,"Cuadrado")/SUMIFS(Ordenes!$Q$2:$Q$840,Ordenes!$C$2:$C$840,$B151,Ordenes!$T$2:$T$840,"Válida",Ordenes!$F$2:$F$840,"Cuadrado"),"")</f>
        <v/>
      </c>
      <c r="I151" s="20">
        <f>IFERROR(SUMIFS(Ordenes!$P$2:$P$840,Ordenes!$C$2:$C$840,$B151,Ordenes!$T$2:$T$840,"Válida",Ordenes!$F$2:$F$840,"Estrella")/SUMIFS(Ordenes!$Q$2:$Q$840,Ordenes!$C$2:$C$840,$B151,Ordenes!$T$2:$T$840,"Válida",Ordenes!$F$2:$F$840,"Estrella"),"")</f>
        <v/>
      </c>
      <c r="J151" s="20">
        <f>IFERROR(SUMIFS(Ordenes!$P$2:$P$840,Ordenes!$C$2:$C$840,$B151,Ordenes!$T$2:$T$840,"Válida",Ordenes!$F$2:$F$840,"Saferock")/SUMIFS(Ordenes!$Q$2:$Q$840,Ordenes!$C$2:$C$840,$B151,Ordenes!$T$2:$T$840,"Válida",Ordenes!$F$2:$F$840,"Saferock"),"")</f>
        <v/>
      </c>
      <c r="K151" s="20">
        <f>IFERROR(SUMIFS(Ordenes!$P$2:$P$840,Ordenes!$C$2:$C$840,$B151,Ordenes!$T$2:$T$840,"Válida",Ordenes!$F$2:$F$840,"Hexágono")/SUMIFS(Ordenes!$Q$2:$Q$840,Ordenes!$C$2:$C$840,$B151,Ordenes!$T$2:$T$840,"Válida",Ordenes!$F$2:$F$840,"Hexágono"),"")</f>
        <v/>
      </c>
      <c r="L151" s="24">
        <f>IFERROR(SUMIFS(Ordenes!$P$2:$P$840,Ordenes!$C$2:$C$840,$B151,Ordenes!$T$2:$T$840,"Válida",Ordenes!$F$2:$F$840,"*")/SUMIFS(Ordenes!$Q$2:$Q$840,Ordenes!$C$2:$C$840,$B151,Ordenes!$T$2:$T$840,"Válida",Ordenes!$F$2:$F$840,"*"),"")</f>
        <v/>
      </c>
      <c r="M151" s="20">
        <f>IFERROR(SUMIFS(Ordenes!$V$2:$V$840,Ordenes!$C$2:$C$840,$B151,Ordenes!$T$2:$T$840,"Válida")/SUMIFS(Ordenes!$Q$2:$Q$840,Ordenes!$C$2:$C$840,$B151,Ordenes!$T$2:$T$840,"Válida"),"")</f>
        <v/>
      </c>
      <c r="N151" s="21">
        <f>IFERROR((L151-M151)*100,"")</f>
        <v/>
      </c>
      <c r="O151" s="19">
        <f>SUMIFS(Ordenes!$P$2:$P$840,Ordenes!$C$2:$C$840,$B151,Ordenes!$T$2:$T$840,"Válida")</f>
        <v/>
      </c>
      <c r="P151" s="19">
        <f>SUMIFS(Ordenes!$Q$2:$Q$840,Ordenes!$C$2:$C$840,$B151,Ordenes!$T$2:$T$840,"Válida")</f>
        <v/>
      </c>
      <c r="Q151" s="18">
        <f>COUNTIFS(Ordenes!$C$2:$C$840,$B151,Ordenes!$T$2:$T$840,"Válida")</f>
        <v/>
      </c>
    </row>
    <row r="152">
      <c r="A152" s="18" t="inlineStr">
        <is>
          <t>Lun 29 jun 2026</t>
        </is>
      </c>
      <c r="B152" s="22" t="n">
        <v>46202</v>
      </c>
      <c r="C152" s="18" t="inlineStr">
        <is>
          <t>S27</t>
        </is>
      </c>
      <c r="D152" s="20">
        <f>IFERROR(SUMIFS(Ordenes!$P$2:$P$840,Ordenes!$C$2:$C$840,$B152,Ordenes!$T$2:$T$840,"Válida",Ordenes!$F$2:$F$840,"B Hormigón")/SUMIFS(Ordenes!$Q$2:$Q$840,Ordenes!$C$2:$C$840,$B152,Ordenes!$T$2:$T$840,"Válida",Ordenes!$F$2:$F$840,"B Hormigón"),"")</f>
        <v/>
      </c>
      <c r="E152" s="20">
        <f>IFERROR(SUMIFS(Ordenes!$P$2:$P$840,Ordenes!$C$2:$C$840,$B152,Ordenes!$T$2:$T$840,"Válida",Ordenes!$F$2:$F$840,"Redondo liso")/SUMIFS(Ordenes!$Q$2:$Q$840,Ordenes!$C$2:$C$840,$B152,Ordenes!$T$2:$T$840,"Válida",Ordenes!$F$2:$F$840,"Redondo liso"),"")</f>
        <v/>
      </c>
      <c r="F152" s="20">
        <f>IFERROR(SUMIFS(Ordenes!$P$2:$P$840,Ordenes!$C$2:$C$840,$B152,Ordenes!$T$2:$T$840,"Válida",Ordenes!$F$2:$F$840,"Plana")/SUMIFS(Ordenes!$Q$2:$Q$840,Ordenes!$C$2:$C$840,$B152,Ordenes!$T$2:$T$840,"Válida",Ordenes!$F$2:$F$840,"Plana"),"")</f>
        <v/>
      </c>
      <c r="G152" s="20">
        <f>IFERROR(SUMIFS(Ordenes!$P$2:$P$840,Ordenes!$C$2:$C$840,$B152,Ordenes!$T$2:$T$840,"Válida",Ordenes!$F$2:$F$840,"Ángulo")/SUMIFS(Ordenes!$Q$2:$Q$840,Ordenes!$C$2:$C$840,$B152,Ordenes!$T$2:$T$840,"Válida",Ordenes!$F$2:$F$840,"Ángulo"),"")</f>
        <v/>
      </c>
      <c r="H152" s="20">
        <f>IFERROR(SUMIFS(Ordenes!$P$2:$P$840,Ordenes!$C$2:$C$840,$B152,Ordenes!$T$2:$T$840,"Válida",Ordenes!$F$2:$F$840,"Cuadrado")/SUMIFS(Ordenes!$Q$2:$Q$840,Ordenes!$C$2:$C$840,$B152,Ordenes!$T$2:$T$840,"Válida",Ordenes!$F$2:$F$840,"Cuadrado"),"")</f>
        <v/>
      </c>
      <c r="I152" s="20">
        <f>IFERROR(SUMIFS(Ordenes!$P$2:$P$840,Ordenes!$C$2:$C$840,$B152,Ordenes!$T$2:$T$840,"Válida",Ordenes!$F$2:$F$840,"Estrella")/SUMIFS(Ordenes!$Q$2:$Q$840,Ordenes!$C$2:$C$840,$B152,Ordenes!$T$2:$T$840,"Válida",Ordenes!$F$2:$F$840,"Estrella"),"")</f>
        <v/>
      </c>
      <c r="J152" s="20">
        <f>IFERROR(SUMIFS(Ordenes!$P$2:$P$840,Ordenes!$C$2:$C$840,$B152,Ordenes!$T$2:$T$840,"Válida",Ordenes!$F$2:$F$840,"Saferock")/SUMIFS(Ordenes!$Q$2:$Q$840,Ordenes!$C$2:$C$840,$B152,Ordenes!$T$2:$T$840,"Válida",Ordenes!$F$2:$F$840,"Saferock"),"")</f>
        <v/>
      </c>
      <c r="K152" s="20">
        <f>IFERROR(SUMIFS(Ordenes!$P$2:$P$840,Ordenes!$C$2:$C$840,$B152,Ordenes!$T$2:$T$840,"Válida",Ordenes!$F$2:$F$840,"Hexágono")/SUMIFS(Ordenes!$Q$2:$Q$840,Ordenes!$C$2:$C$840,$B152,Ordenes!$T$2:$T$840,"Válida",Ordenes!$F$2:$F$840,"Hexágono"),"")</f>
        <v/>
      </c>
      <c r="L152" s="24">
        <f>IFERROR(SUMIFS(Ordenes!$P$2:$P$840,Ordenes!$C$2:$C$840,$B152,Ordenes!$T$2:$T$840,"Válida",Ordenes!$F$2:$F$840,"*")/SUMIFS(Ordenes!$Q$2:$Q$840,Ordenes!$C$2:$C$840,$B152,Ordenes!$T$2:$T$840,"Válida",Ordenes!$F$2:$F$840,"*"),"")</f>
        <v/>
      </c>
      <c r="M152" s="20">
        <f>IFERROR(SUMIFS(Ordenes!$V$2:$V$840,Ordenes!$C$2:$C$840,$B152,Ordenes!$T$2:$T$840,"Válida")/SUMIFS(Ordenes!$Q$2:$Q$840,Ordenes!$C$2:$C$840,$B152,Ordenes!$T$2:$T$840,"Válida"),"")</f>
        <v/>
      </c>
      <c r="N152" s="21">
        <f>IFERROR((L152-M152)*100,"")</f>
        <v/>
      </c>
      <c r="O152" s="19">
        <f>SUMIFS(Ordenes!$P$2:$P$840,Ordenes!$C$2:$C$840,$B152,Ordenes!$T$2:$T$840,"Válida")</f>
        <v/>
      </c>
      <c r="P152" s="19">
        <f>SUMIFS(Ordenes!$Q$2:$Q$840,Ordenes!$C$2:$C$840,$B152,Ordenes!$T$2:$T$840,"Válida")</f>
        <v/>
      </c>
      <c r="Q152" s="18">
        <f>COUNTIFS(Ordenes!$C$2:$C$840,$B152,Ordenes!$T$2:$T$840,"Válida")</f>
        <v/>
      </c>
    </row>
    <row r="153">
      <c r="A153" s="18" t="inlineStr">
        <is>
          <t>Mar 30 jun 2026</t>
        </is>
      </c>
      <c r="B153" s="22" t="n">
        <v>46203</v>
      </c>
      <c r="C153" s="18" t="inlineStr">
        <is>
          <t>S27</t>
        </is>
      </c>
      <c r="D153" s="20">
        <f>IFERROR(SUMIFS(Ordenes!$P$2:$P$840,Ordenes!$C$2:$C$840,$B153,Ordenes!$T$2:$T$840,"Válida",Ordenes!$F$2:$F$840,"B Hormigón")/SUMIFS(Ordenes!$Q$2:$Q$840,Ordenes!$C$2:$C$840,$B153,Ordenes!$T$2:$T$840,"Válida",Ordenes!$F$2:$F$840,"B Hormigón"),"")</f>
        <v/>
      </c>
      <c r="E153" s="20">
        <f>IFERROR(SUMIFS(Ordenes!$P$2:$P$840,Ordenes!$C$2:$C$840,$B153,Ordenes!$T$2:$T$840,"Válida",Ordenes!$F$2:$F$840,"Redondo liso")/SUMIFS(Ordenes!$Q$2:$Q$840,Ordenes!$C$2:$C$840,$B153,Ordenes!$T$2:$T$840,"Válida",Ordenes!$F$2:$F$840,"Redondo liso"),"")</f>
        <v/>
      </c>
      <c r="F153" s="20">
        <f>IFERROR(SUMIFS(Ordenes!$P$2:$P$840,Ordenes!$C$2:$C$840,$B153,Ordenes!$T$2:$T$840,"Válida",Ordenes!$F$2:$F$840,"Plana")/SUMIFS(Ordenes!$Q$2:$Q$840,Ordenes!$C$2:$C$840,$B153,Ordenes!$T$2:$T$840,"Válida",Ordenes!$F$2:$F$840,"Plana"),"")</f>
        <v/>
      </c>
      <c r="G153" s="20">
        <f>IFERROR(SUMIFS(Ordenes!$P$2:$P$840,Ordenes!$C$2:$C$840,$B153,Ordenes!$T$2:$T$840,"Válida",Ordenes!$F$2:$F$840,"Ángulo")/SUMIFS(Ordenes!$Q$2:$Q$840,Ordenes!$C$2:$C$840,$B153,Ordenes!$T$2:$T$840,"Válida",Ordenes!$F$2:$F$840,"Ángulo"),"")</f>
        <v/>
      </c>
      <c r="H153" s="20">
        <f>IFERROR(SUMIFS(Ordenes!$P$2:$P$840,Ordenes!$C$2:$C$840,$B153,Ordenes!$T$2:$T$840,"Válida",Ordenes!$F$2:$F$840,"Cuadrado")/SUMIFS(Ordenes!$Q$2:$Q$840,Ordenes!$C$2:$C$840,$B153,Ordenes!$T$2:$T$840,"Válida",Ordenes!$F$2:$F$840,"Cuadrado"),"")</f>
        <v/>
      </c>
      <c r="I153" s="20">
        <f>IFERROR(SUMIFS(Ordenes!$P$2:$P$840,Ordenes!$C$2:$C$840,$B153,Ordenes!$T$2:$T$840,"Válida",Ordenes!$F$2:$F$840,"Estrella")/SUMIFS(Ordenes!$Q$2:$Q$840,Ordenes!$C$2:$C$840,$B153,Ordenes!$T$2:$T$840,"Válida",Ordenes!$F$2:$F$840,"Estrella"),"")</f>
        <v/>
      </c>
      <c r="J153" s="20">
        <f>IFERROR(SUMIFS(Ordenes!$P$2:$P$840,Ordenes!$C$2:$C$840,$B153,Ordenes!$T$2:$T$840,"Válida",Ordenes!$F$2:$F$840,"Saferock")/SUMIFS(Ordenes!$Q$2:$Q$840,Ordenes!$C$2:$C$840,$B153,Ordenes!$T$2:$T$840,"Válida",Ordenes!$F$2:$F$840,"Saferock"),"")</f>
        <v/>
      </c>
      <c r="K153" s="20">
        <f>IFERROR(SUMIFS(Ordenes!$P$2:$P$840,Ordenes!$C$2:$C$840,$B153,Ordenes!$T$2:$T$840,"Válida",Ordenes!$F$2:$F$840,"Hexágono")/SUMIFS(Ordenes!$Q$2:$Q$840,Ordenes!$C$2:$C$840,$B153,Ordenes!$T$2:$T$840,"Válida",Ordenes!$F$2:$F$840,"Hexágono"),"")</f>
        <v/>
      </c>
      <c r="L153" s="24">
        <f>IFERROR(SUMIFS(Ordenes!$P$2:$P$840,Ordenes!$C$2:$C$840,$B153,Ordenes!$T$2:$T$840,"Válida",Ordenes!$F$2:$F$840,"*")/SUMIFS(Ordenes!$Q$2:$Q$840,Ordenes!$C$2:$C$840,$B153,Ordenes!$T$2:$T$840,"Válida",Ordenes!$F$2:$F$840,"*"),"")</f>
        <v/>
      </c>
      <c r="M153" s="20">
        <f>IFERROR(SUMIFS(Ordenes!$V$2:$V$840,Ordenes!$C$2:$C$840,$B153,Ordenes!$T$2:$T$840,"Válida")/SUMIFS(Ordenes!$Q$2:$Q$840,Ordenes!$C$2:$C$840,$B153,Ordenes!$T$2:$T$840,"Válida"),"")</f>
        <v/>
      </c>
      <c r="N153" s="21">
        <f>IFERROR((L153-M153)*100,"")</f>
        <v/>
      </c>
      <c r="O153" s="19">
        <f>SUMIFS(Ordenes!$P$2:$P$840,Ordenes!$C$2:$C$840,$B153,Ordenes!$T$2:$T$840,"Válida")</f>
        <v/>
      </c>
      <c r="P153" s="19">
        <f>SUMIFS(Ordenes!$Q$2:$Q$840,Ordenes!$C$2:$C$840,$B153,Ordenes!$T$2:$T$840,"Válida")</f>
        <v/>
      </c>
      <c r="Q153" s="18">
        <f>COUNTIFS(Ordenes!$C$2:$C$840,$B153,Ordenes!$T$2:$T$840,"Válida")</f>
        <v/>
      </c>
    </row>
    <row r="154">
      <c r="A154" s="18" t="inlineStr">
        <is>
          <t>Mié 1 jul 2026</t>
        </is>
      </c>
      <c r="B154" s="22" t="n">
        <v>46204</v>
      </c>
      <c r="C154" s="18" t="inlineStr">
        <is>
          <t>S27</t>
        </is>
      </c>
      <c r="D154" s="20">
        <f>IFERROR(SUMIFS(Ordenes!$P$2:$P$840,Ordenes!$C$2:$C$840,$B154,Ordenes!$T$2:$T$840,"Válida",Ordenes!$F$2:$F$840,"B Hormigón")/SUMIFS(Ordenes!$Q$2:$Q$840,Ordenes!$C$2:$C$840,$B154,Ordenes!$T$2:$T$840,"Válida",Ordenes!$F$2:$F$840,"B Hormigón"),"")</f>
        <v/>
      </c>
      <c r="E154" s="20">
        <f>IFERROR(SUMIFS(Ordenes!$P$2:$P$840,Ordenes!$C$2:$C$840,$B154,Ordenes!$T$2:$T$840,"Válida",Ordenes!$F$2:$F$840,"Redondo liso")/SUMIFS(Ordenes!$Q$2:$Q$840,Ordenes!$C$2:$C$840,$B154,Ordenes!$T$2:$T$840,"Válida",Ordenes!$F$2:$F$840,"Redondo liso"),"")</f>
        <v/>
      </c>
      <c r="F154" s="20">
        <f>IFERROR(SUMIFS(Ordenes!$P$2:$P$840,Ordenes!$C$2:$C$840,$B154,Ordenes!$T$2:$T$840,"Válida",Ordenes!$F$2:$F$840,"Plana")/SUMIFS(Ordenes!$Q$2:$Q$840,Ordenes!$C$2:$C$840,$B154,Ordenes!$T$2:$T$840,"Válida",Ordenes!$F$2:$F$840,"Plana"),"")</f>
        <v/>
      </c>
      <c r="G154" s="20">
        <f>IFERROR(SUMIFS(Ordenes!$P$2:$P$840,Ordenes!$C$2:$C$840,$B154,Ordenes!$T$2:$T$840,"Válida",Ordenes!$F$2:$F$840,"Ángulo")/SUMIFS(Ordenes!$Q$2:$Q$840,Ordenes!$C$2:$C$840,$B154,Ordenes!$T$2:$T$840,"Válida",Ordenes!$F$2:$F$840,"Ángulo"),"")</f>
        <v/>
      </c>
      <c r="H154" s="20">
        <f>IFERROR(SUMIFS(Ordenes!$P$2:$P$840,Ordenes!$C$2:$C$840,$B154,Ordenes!$T$2:$T$840,"Válida",Ordenes!$F$2:$F$840,"Cuadrado")/SUMIFS(Ordenes!$Q$2:$Q$840,Ordenes!$C$2:$C$840,$B154,Ordenes!$T$2:$T$840,"Válida",Ordenes!$F$2:$F$840,"Cuadrado"),"")</f>
        <v/>
      </c>
      <c r="I154" s="20">
        <f>IFERROR(SUMIFS(Ordenes!$P$2:$P$840,Ordenes!$C$2:$C$840,$B154,Ordenes!$T$2:$T$840,"Válida",Ordenes!$F$2:$F$840,"Estrella")/SUMIFS(Ordenes!$Q$2:$Q$840,Ordenes!$C$2:$C$840,$B154,Ordenes!$T$2:$T$840,"Válida",Ordenes!$F$2:$F$840,"Estrella"),"")</f>
        <v/>
      </c>
      <c r="J154" s="20">
        <f>IFERROR(SUMIFS(Ordenes!$P$2:$P$840,Ordenes!$C$2:$C$840,$B154,Ordenes!$T$2:$T$840,"Válida",Ordenes!$F$2:$F$840,"Saferock")/SUMIFS(Ordenes!$Q$2:$Q$840,Ordenes!$C$2:$C$840,$B154,Ordenes!$T$2:$T$840,"Válida",Ordenes!$F$2:$F$840,"Saferock"),"")</f>
        <v/>
      </c>
      <c r="K154" s="20">
        <f>IFERROR(SUMIFS(Ordenes!$P$2:$P$840,Ordenes!$C$2:$C$840,$B154,Ordenes!$T$2:$T$840,"Válida",Ordenes!$F$2:$F$840,"Hexágono")/SUMIFS(Ordenes!$Q$2:$Q$840,Ordenes!$C$2:$C$840,$B154,Ordenes!$T$2:$T$840,"Válida",Ordenes!$F$2:$F$840,"Hexágono"),"")</f>
        <v/>
      </c>
      <c r="L154" s="24">
        <f>IFERROR(SUMIFS(Ordenes!$P$2:$P$840,Ordenes!$C$2:$C$840,$B154,Ordenes!$T$2:$T$840,"Válida",Ordenes!$F$2:$F$840,"*")/SUMIFS(Ordenes!$Q$2:$Q$840,Ordenes!$C$2:$C$840,$B154,Ordenes!$T$2:$T$840,"Válida",Ordenes!$F$2:$F$840,"*"),"")</f>
        <v/>
      </c>
      <c r="M154" s="20">
        <f>IFERROR(SUMIFS(Ordenes!$V$2:$V$840,Ordenes!$C$2:$C$840,$B154,Ordenes!$T$2:$T$840,"Válida")/SUMIFS(Ordenes!$Q$2:$Q$840,Ordenes!$C$2:$C$840,$B154,Ordenes!$T$2:$T$840,"Válida"),"")</f>
        <v/>
      </c>
      <c r="N154" s="21">
        <f>IFERROR((L154-M154)*100,"")</f>
        <v/>
      </c>
      <c r="O154" s="19">
        <f>SUMIFS(Ordenes!$P$2:$P$840,Ordenes!$C$2:$C$840,$B154,Ordenes!$T$2:$T$840,"Válida")</f>
        <v/>
      </c>
      <c r="P154" s="19">
        <f>SUMIFS(Ordenes!$Q$2:$Q$840,Ordenes!$C$2:$C$840,$B154,Ordenes!$T$2:$T$840,"Válida")</f>
        <v/>
      </c>
      <c r="Q154" s="18">
        <f>COUNTIFS(Ordenes!$C$2:$C$840,$B154,Ordenes!$T$2:$T$840,"Válida")</f>
        <v/>
      </c>
    </row>
    <row r="155">
      <c r="A155" s="18" t="inlineStr">
        <is>
          <t>Jue 2 jul 2026</t>
        </is>
      </c>
      <c r="B155" s="22" t="n">
        <v>46205</v>
      </c>
      <c r="C155" s="18" t="inlineStr">
        <is>
          <t>S27</t>
        </is>
      </c>
      <c r="D155" s="20">
        <f>IFERROR(SUMIFS(Ordenes!$P$2:$P$840,Ordenes!$C$2:$C$840,$B155,Ordenes!$T$2:$T$840,"Válida",Ordenes!$F$2:$F$840,"B Hormigón")/SUMIFS(Ordenes!$Q$2:$Q$840,Ordenes!$C$2:$C$840,$B155,Ordenes!$T$2:$T$840,"Válida",Ordenes!$F$2:$F$840,"B Hormigón"),"")</f>
        <v/>
      </c>
      <c r="E155" s="20">
        <f>IFERROR(SUMIFS(Ordenes!$P$2:$P$840,Ordenes!$C$2:$C$840,$B155,Ordenes!$T$2:$T$840,"Válida",Ordenes!$F$2:$F$840,"Redondo liso")/SUMIFS(Ordenes!$Q$2:$Q$840,Ordenes!$C$2:$C$840,$B155,Ordenes!$T$2:$T$840,"Válida",Ordenes!$F$2:$F$840,"Redondo liso"),"")</f>
        <v/>
      </c>
      <c r="F155" s="20">
        <f>IFERROR(SUMIFS(Ordenes!$P$2:$P$840,Ordenes!$C$2:$C$840,$B155,Ordenes!$T$2:$T$840,"Válida",Ordenes!$F$2:$F$840,"Plana")/SUMIFS(Ordenes!$Q$2:$Q$840,Ordenes!$C$2:$C$840,$B155,Ordenes!$T$2:$T$840,"Válida",Ordenes!$F$2:$F$840,"Plana"),"")</f>
        <v/>
      </c>
      <c r="G155" s="20">
        <f>IFERROR(SUMIFS(Ordenes!$P$2:$P$840,Ordenes!$C$2:$C$840,$B155,Ordenes!$T$2:$T$840,"Válida",Ordenes!$F$2:$F$840,"Ángulo")/SUMIFS(Ordenes!$Q$2:$Q$840,Ordenes!$C$2:$C$840,$B155,Ordenes!$T$2:$T$840,"Válida",Ordenes!$F$2:$F$840,"Ángulo"),"")</f>
        <v/>
      </c>
      <c r="H155" s="20">
        <f>IFERROR(SUMIFS(Ordenes!$P$2:$P$840,Ordenes!$C$2:$C$840,$B155,Ordenes!$T$2:$T$840,"Válida",Ordenes!$F$2:$F$840,"Cuadrado")/SUMIFS(Ordenes!$Q$2:$Q$840,Ordenes!$C$2:$C$840,$B155,Ordenes!$T$2:$T$840,"Válida",Ordenes!$F$2:$F$840,"Cuadrado"),"")</f>
        <v/>
      </c>
      <c r="I155" s="20">
        <f>IFERROR(SUMIFS(Ordenes!$P$2:$P$840,Ordenes!$C$2:$C$840,$B155,Ordenes!$T$2:$T$840,"Válida",Ordenes!$F$2:$F$840,"Estrella")/SUMIFS(Ordenes!$Q$2:$Q$840,Ordenes!$C$2:$C$840,$B155,Ordenes!$T$2:$T$840,"Válida",Ordenes!$F$2:$F$840,"Estrella"),"")</f>
        <v/>
      </c>
      <c r="J155" s="20">
        <f>IFERROR(SUMIFS(Ordenes!$P$2:$P$840,Ordenes!$C$2:$C$840,$B155,Ordenes!$T$2:$T$840,"Válida",Ordenes!$F$2:$F$840,"Saferock")/SUMIFS(Ordenes!$Q$2:$Q$840,Ordenes!$C$2:$C$840,$B155,Ordenes!$T$2:$T$840,"Válida",Ordenes!$F$2:$F$840,"Saferock"),"")</f>
        <v/>
      </c>
      <c r="K155" s="20">
        <f>IFERROR(SUMIFS(Ordenes!$P$2:$P$840,Ordenes!$C$2:$C$840,$B155,Ordenes!$T$2:$T$840,"Válida",Ordenes!$F$2:$F$840,"Hexágono")/SUMIFS(Ordenes!$Q$2:$Q$840,Ordenes!$C$2:$C$840,$B155,Ordenes!$T$2:$T$840,"Válida",Ordenes!$F$2:$F$840,"Hexágono"),"")</f>
        <v/>
      </c>
      <c r="L155" s="24">
        <f>IFERROR(SUMIFS(Ordenes!$P$2:$P$840,Ordenes!$C$2:$C$840,$B155,Ordenes!$T$2:$T$840,"Válida",Ordenes!$F$2:$F$840,"*")/SUMIFS(Ordenes!$Q$2:$Q$840,Ordenes!$C$2:$C$840,$B155,Ordenes!$T$2:$T$840,"Válida",Ordenes!$F$2:$F$840,"*"),"")</f>
        <v/>
      </c>
      <c r="M155" s="20">
        <f>IFERROR(SUMIFS(Ordenes!$V$2:$V$840,Ordenes!$C$2:$C$840,$B155,Ordenes!$T$2:$T$840,"Válida")/SUMIFS(Ordenes!$Q$2:$Q$840,Ordenes!$C$2:$C$840,$B155,Ordenes!$T$2:$T$840,"Válida"),"")</f>
        <v/>
      </c>
      <c r="N155" s="21">
        <f>IFERROR((L155-M155)*100,"")</f>
        <v/>
      </c>
      <c r="O155" s="19">
        <f>SUMIFS(Ordenes!$P$2:$P$840,Ordenes!$C$2:$C$840,$B155,Ordenes!$T$2:$T$840,"Válida")</f>
        <v/>
      </c>
      <c r="P155" s="19">
        <f>SUMIFS(Ordenes!$Q$2:$Q$840,Ordenes!$C$2:$C$840,$B155,Ordenes!$T$2:$T$840,"Válida")</f>
        <v/>
      </c>
      <c r="Q155" s="18">
        <f>COUNTIFS(Ordenes!$C$2:$C$840,$B155,Ordenes!$T$2:$T$840,"Válida")</f>
        <v/>
      </c>
    </row>
    <row r="156">
      <c r="A156" s="18" t="inlineStr">
        <is>
          <t>Vie 3 jul 2026</t>
        </is>
      </c>
      <c r="B156" s="22" t="n">
        <v>46206</v>
      </c>
      <c r="C156" s="18" t="inlineStr">
        <is>
          <t>S27</t>
        </is>
      </c>
      <c r="D156" s="20">
        <f>IFERROR(SUMIFS(Ordenes!$P$2:$P$840,Ordenes!$C$2:$C$840,$B156,Ordenes!$T$2:$T$840,"Válida",Ordenes!$F$2:$F$840,"B Hormigón")/SUMIFS(Ordenes!$Q$2:$Q$840,Ordenes!$C$2:$C$840,$B156,Ordenes!$T$2:$T$840,"Válida",Ordenes!$F$2:$F$840,"B Hormigón"),"")</f>
        <v/>
      </c>
      <c r="E156" s="20">
        <f>IFERROR(SUMIFS(Ordenes!$P$2:$P$840,Ordenes!$C$2:$C$840,$B156,Ordenes!$T$2:$T$840,"Válida",Ordenes!$F$2:$F$840,"Redondo liso")/SUMIFS(Ordenes!$Q$2:$Q$840,Ordenes!$C$2:$C$840,$B156,Ordenes!$T$2:$T$840,"Válida",Ordenes!$F$2:$F$840,"Redondo liso"),"")</f>
        <v/>
      </c>
      <c r="F156" s="20">
        <f>IFERROR(SUMIFS(Ordenes!$P$2:$P$840,Ordenes!$C$2:$C$840,$B156,Ordenes!$T$2:$T$840,"Válida",Ordenes!$F$2:$F$840,"Plana")/SUMIFS(Ordenes!$Q$2:$Q$840,Ordenes!$C$2:$C$840,$B156,Ordenes!$T$2:$T$840,"Válida",Ordenes!$F$2:$F$840,"Plana"),"")</f>
        <v/>
      </c>
      <c r="G156" s="20">
        <f>IFERROR(SUMIFS(Ordenes!$P$2:$P$840,Ordenes!$C$2:$C$840,$B156,Ordenes!$T$2:$T$840,"Válida",Ordenes!$F$2:$F$840,"Ángulo")/SUMIFS(Ordenes!$Q$2:$Q$840,Ordenes!$C$2:$C$840,$B156,Ordenes!$T$2:$T$840,"Válida",Ordenes!$F$2:$F$840,"Ángulo"),"")</f>
        <v/>
      </c>
      <c r="H156" s="20">
        <f>IFERROR(SUMIFS(Ordenes!$P$2:$P$840,Ordenes!$C$2:$C$840,$B156,Ordenes!$T$2:$T$840,"Válida",Ordenes!$F$2:$F$840,"Cuadrado")/SUMIFS(Ordenes!$Q$2:$Q$840,Ordenes!$C$2:$C$840,$B156,Ordenes!$T$2:$T$840,"Válida",Ordenes!$F$2:$F$840,"Cuadrado"),"")</f>
        <v/>
      </c>
      <c r="I156" s="20">
        <f>IFERROR(SUMIFS(Ordenes!$P$2:$P$840,Ordenes!$C$2:$C$840,$B156,Ordenes!$T$2:$T$840,"Válida",Ordenes!$F$2:$F$840,"Estrella")/SUMIFS(Ordenes!$Q$2:$Q$840,Ordenes!$C$2:$C$840,$B156,Ordenes!$T$2:$T$840,"Válida",Ordenes!$F$2:$F$840,"Estrella"),"")</f>
        <v/>
      </c>
      <c r="J156" s="20">
        <f>IFERROR(SUMIFS(Ordenes!$P$2:$P$840,Ordenes!$C$2:$C$840,$B156,Ordenes!$T$2:$T$840,"Válida",Ordenes!$F$2:$F$840,"Saferock")/SUMIFS(Ordenes!$Q$2:$Q$840,Ordenes!$C$2:$C$840,$B156,Ordenes!$T$2:$T$840,"Válida",Ordenes!$F$2:$F$840,"Saferock"),"")</f>
        <v/>
      </c>
      <c r="K156" s="20">
        <f>IFERROR(SUMIFS(Ordenes!$P$2:$P$840,Ordenes!$C$2:$C$840,$B156,Ordenes!$T$2:$T$840,"Válida",Ordenes!$F$2:$F$840,"Hexágono")/SUMIFS(Ordenes!$Q$2:$Q$840,Ordenes!$C$2:$C$840,$B156,Ordenes!$T$2:$T$840,"Válida",Ordenes!$F$2:$F$840,"Hexágono"),"")</f>
        <v/>
      </c>
      <c r="L156" s="24">
        <f>IFERROR(SUMIFS(Ordenes!$P$2:$P$840,Ordenes!$C$2:$C$840,$B156,Ordenes!$T$2:$T$840,"Válida",Ordenes!$F$2:$F$840,"*")/SUMIFS(Ordenes!$Q$2:$Q$840,Ordenes!$C$2:$C$840,$B156,Ordenes!$T$2:$T$840,"Válida",Ordenes!$F$2:$F$840,"*"),"")</f>
        <v/>
      </c>
      <c r="M156" s="20">
        <f>IFERROR(SUMIFS(Ordenes!$V$2:$V$840,Ordenes!$C$2:$C$840,$B156,Ordenes!$T$2:$T$840,"Válida")/SUMIFS(Ordenes!$Q$2:$Q$840,Ordenes!$C$2:$C$840,$B156,Ordenes!$T$2:$T$840,"Válida"),"")</f>
        <v/>
      </c>
      <c r="N156" s="21">
        <f>IFERROR((L156-M156)*100,"")</f>
        <v/>
      </c>
      <c r="O156" s="19">
        <f>SUMIFS(Ordenes!$P$2:$P$840,Ordenes!$C$2:$C$840,$B156,Ordenes!$T$2:$T$840,"Válida")</f>
        <v/>
      </c>
      <c r="P156" s="19">
        <f>SUMIFS(Ordenes!$Q$2:$Q$840,Ordenes!$C$2:$C$840,$B156,Ordenes!$T$2:$T$840,"Válida")</f>
        <v/>
      </c>
      <c r="Q156" s="18">
        <f>COUNTIFS(Ordenes!$C$2:$C$840,$B156,Ordenes!$T$2:$T$840,"Válida")</f>
        <v/>
      </c>
    </row>
    <row r="157">
      <c r="A157" s="18" t="inlineStr">
        <is>
          <t>Sáb 4 jul 2026</t>
        </is>
      </c>
      <c r="B157" s="22" t="n">
        <v>46207</v>
      </c>
      <c r="C157" s="18" t="inlineStr">
        <is>
          <t>S27</t>
        </is>
      </c>
      <c r="D157" s="20">
        <f>IFERROR(SUMIFS(Ordenes!$P$2:$P$840,Ordenes!$C$2:$C$840,$B157,Ordenes!$T$2:$T$840,"Válida",Ordenes!$F$2:$F$840,"B Hormigón")/SUMIFS(Ordenes!$Q$2:$Q$840,Ordenes!$C$2:$C$840,$B157,Ordenes!$T$2:$T$840,"Válida",Ordenes!$F$2:$F$840,"B Hormigón"),"")</f>
        <v/>
      </c>
      <c r="E157" s="20">
        <f>IFERROR(SUMIFS(Ordenes!$P$2:$P$840,Ordenes!$C$2:$C$840,$B157,Ordenes!$T$2:$T$840,"Válida",Ordenes!$F$2:$F$840,"Redondo liso")/SUMIFS(Ordenes!$Q$2:$Q$840,Ordenes!$C$2:$C$840,$B157,Ordenes!$T$2:$T$840,"Válida",Ordenes!$F$2:$F$840,"Redondo liso"),"")</f>
        <v/>
      </c>
      <c r="F157" s="20">
        <f>IFERROR(SUMIFS(Ordenes!$P$2:$P$840,Ordenes!$C$2:$C$840,$B157,Ordenes!$T$2:$T$840,"Válida",Ordenes!$F$2:$F$840,"Plana")/SUMIFS(Ordenes!$Q$2:$Q$840,Ordenes!$C$2:$C$840,$B157,Ordenes!$T$2:$T$840,"Válida",Ordenes!$F$2:$F$840,"Plana"),"")</f>
        <v/>
      </c>
      <c r="G157" s="20">
        <f>IFERROR(SUMIFS(Ordenes!$P$2:$P$840,Ordenes!$C$2:$C$840,$B157,Ordenes!$T$2:$T$840,"Válida",Ordenes!$F$2:$F$840,"Ángulo")/SUMIFS(Ordenes!$Q$2:$Q$840,Ordenes!$C$2:$C$840,$B157,Ordenes!$T$2:$T$840,"Válida",Ordenes!$F$2:$F$840,"Ángulo"),"")</f>
        <v/>
      </c>
      <c r="H157" s="20">
        <f>IFERROR(SUMIFS(Ordenes!$P$2:$P$840,Ordenes!$C$2:$C$840,$B157,Ordenes!$T$2:$T$840,"Válida",Ordenes!$F$2:$F$840,"Cuadrado")/SUMIFS(Ordenes!$Q$2:$Q$840,Ordenes!$C$2:$C$840,$B157,Ordenes!$T$2:$T$840,"Válida",Ordenes!$F$2:$F$840,"Cuadrado"),"")</f>
        <v/>
      </c>
      <c r="I157" s="20">
        <f>IFERROR(SUMIFS(Ordenes!$P$2:$P$840,Ordenes!$C$2:$C$840,$B157,Ordenes!$T$2:$T$840,"Válida",Ordenes!$F$2:$F$840,"Estrella")/SUMIFS(Ordenes!$Q$2:$Q$840,Ordenes!$C$2:$C$840,$B157,Ordenes!$T$2:$T$840,"Válida",Ordenes!$F$2:$F$840,"Estrella"),"")</f>
        <v/>
      </c>
      <c r="J157" s="20">
        <f>IFERROR(SUMIFS(Ordenes!$P$2:$P$840,Ordenes!$C$2:$C$840,$B157,Ordenes!$T$2:$T$840,"Válida",Ordenes!$F$2:$F$840,"Saferock")/SUMIFS(Ordenes!$Q$2:$Q$840,Ordenes!$C$2:$C$840,$B157,Ordenes!$T$2:$T$840,"Válida",Ordenes!$F$2:$F$840,"Saferock"),"")</f>
        <v/>
      </c>
      <c r="K157" s="20">
        <f>IFERROR(SUMIFS(Ordenes!$P$2:$P$840,Ordenes!$C$2:$C$840,$B157,Ordenes!$T$2:$T$840,"Válida",Ordenes!$F$2:$F$840,"Hexágono")/SUMIFS(Ordenes!$Q$2:$Q$840,Ordenes!$C$2:$C$840,$B157,Ordenes!$T$2:$T$840,"Válida",Ordenes!$F$2:$F$840,"Hexágono"),"")</f>
        <v/>
      </c>
      <c r="L157" s="24">
        <f>IFERROR(SUMIFS(Ordenes!$P$2:$P$840,Ordenes!$C$2:$C$840,$B157,Ordenes!$T$2:$T$840,"Válida",Ordenes!$F$2:$F$840,"*")/SUMIFS(Ordenes!$Q$2:$Q$840,Ordenes!$C$2:$C$840,$B157,Ordenes!$T$2:$T$840,"Válida",Ordenes!$F$2:$F$840,"*"),"")</f>
        <v/>
      </c>
      <c r="M157" s="20">
        <f>IFERROR(SUMIFS(Ordenes!$V$2:$V$840,Ordenes!$C$2:$C$840,$B157,Ordenes!$T$2:$T$840,"Válida")/SUMIFS(Ordenes!$Q$2:$Q$840,Ordenes!$C$2:$C$840,$B157,Ordenes!$T$2:$T$840,"Válida"),"")</f>
        <v/>
      </c>
      <c r="N157" s="21">
        <f>IFERROR((L157-M157)*100,"")</f>
        <v/>
      </c>
      <c r="O157" s="19">
        <f>SUMIFS(Ordenes!$P$2:$P$840,Ordenes!$C$2:$C$840,$B157,Ordenes!$T$2:$T$840,"Válida")</f>
        <v/>
      </c>
      <c r="P157" s="19">
        <f>SUMIFS(Ordenes!$Q$2:$Q$840,Ordenes!$C$2:$C$840,$B157,Ordenes!$T$2:$T$840,"Válida")</f>
        <v/>
      </c>
      <c r="Q157" s="18">
        <f>COUNTIFS(Ordenes!$C$2:$C$840,$B157,Ordenes!$T$2:$T$840,"Válida")</f>
        <v/>
      </c>
    </row>
    <row r="158">
      <c r="A158" s="18" t="inlineStr">
        <is>
          <t>Dom 5 jul 2026</t>
        </is>
      </c>
      <c r="B158" s="22" t="n">
        <v>46208</v>
      </c>
      <c r="C158" s="18" t="inlineStr">
        <is>
          <t>S27</t>
        </is>
      </c>
      <c r="D158" s="20">
        <f>IFERROR(SUMIFS(Ordenes!$P$2:$P$840,Ordenes!$C$2:$C$840,$B158,Ordenes!$T$2:$T$840,"Válida",Ordenes!$F$2:$F$840,"B Hormigón")/SUMIFS(Ordenes!$Q$2:$Q$840,Ordenes!$C$2:$C$840,$B158,Ordenes!$T$2:$T$840,"Válida",Ordenes!$F$2:$F$840,"B Hormigón"),"")</f>
        <v/>
      </c>
      <c r="E158" s="20">
        <f>IFERROR(SUMIFS(Ordenes!$P$2:$P$840,Ordenes!$C$2:$C$840,$B158,Ordenes!$T$2:$T$840,"Válida",Ordenes!$F$2:$F$840,"Redondo liso")/SUMIFS(Ordenes!$Q$2:$Q$840,Ordenes!$C$2:$C$840,$B158,Ordenes!$T$2:$T$840,"Válida",Ordenes!$F$2:$F$840,"Redondo liso"),"")</f>
        <v/>
      </c>
      <c r="F158" s="20">
        <f>IFERROR(SUMIFS(Ordenes!$P$2:$P$840,Ordenes!$C$2:$C$840,$B158,Ordenes!$T$2:$T$840,"Válida",Ordenes!$F$2:$F$840,"Plana")/SUMIFS(Ordenes!$Q$2:$Q$840,Ordenes!$C$2:$C$840,$B158,Ordenes!$T$2:$T$840,"Válida",Ordenes!$F$2:$F$840,"Plana"),"")</f>
        <v/>
      </c>
      <c r="G158" s="20">
        <f>IFERROR(SUMIFS(Ordenes!$P$2:$P$840,Ordenes!$C$2:$C$840,$B158,Ordenes!$T$2:$T$840,"Válida",Ordenes!$F$2:$F$840,"Ángulo")/SUMIFS(Ordenes!$Q$2:$Q$840,Ordenes!$C$2:$C$840,$B158,Ordenes!$T$2:$T$840,"Válida",Ordenes!$F$2:$F$840,"Ángulo"),"")</f>
        <v/>
      </c>
      <c r="H158" s="20">
        <f>IFERROR(SUMIFS(Ordenes!$P$2:$P$840,Ordenes!$C$2:$C$840,$B158,Ordenes!$T$2:$T$840,"Válida",Ordenes!$F$2:$F$840,"Cuadrado")/SUMIFS(Ordenes!$Q$2:$Q$840,Ordenes!$C$2:$C$840,$B158,Ordenes!$T$2:$T$840,"Válida",Ordenes!$F$2:$F$840,"Cuadrado"),"")</f>
        <v/>
      </c>
      <c r="I158" s="20">
        <f>IFERROR(SUMIFS(Ordenes!$P$2:$P$840,Ordenes!$C$2:$C$840,$B158,Ordenes!$T$2:$T$840,"Válida",Ordenes!$F$2:$F$840,"Estrella")/SUMIFS(Ordenes!$Q$2:$Q$840,Ordenes!$C$2:$C$840,$B158,Ordenes!$T$2:$T$840,"Válida",Ordenes!$F$2:$F$840,"Estrella"),"")</f>
        <v/>
      </c>
      <c r="J158" s="20">
        <f>IFERROR(SUMIFS(Ordenes!$P$2:$P$840,Ordenes!$C$2:$C$840,$B158,Ordenes!$T$2:$T$840,"Válida",Ordenes!$F$2:$F$840,"Saferock")/SUMIFS(Ordenes!$Q$2:$Q$840,Ordenes!$C$2:$C$840,$B158,Ordenes!$T$2:$T$840,"Válida",Ordenes!$F$2:$F$840,"Saferock"),"")</f>
        <v/>
      </c>
      <c r="K158" s="20">
        <f>IFERROR(SUMIFS(Ordenes!$P$2:$P$840,Ordenes!$C$2:$C$840,$B158,Ordenes!$T$2:$T$840,"Válida",Ordenes!$F$2:$F$840,"Hexágono")/SUMIFS(Ordenes!$Q$2:$Q$840,Ordenes!$C$2:$C$840,$B158,Ordenes!$T$2:$T$840,"Válida",Ordenes!$F$2:$F$840,"Hexágono"),"")</f>
        <v/>
      </c>
      <c r="L158" s="24">
        <f>IFERROR(SUMIFS(Ordenes!$P$2:$P$840,Ordenes!$C$2:$C$840,$B158,Ordenes!$T$2:$T$840,"Válida",Ordenes!$F$2:$F$840,"*")/SUMIFS(Ordenes!$Q$2:$Q$840,Ordenes!$C$2:$C$840,$B158,Ordenes!$T$2:$T$840,"Válida",Ordenes!$F$2:$F$840,"*"),"")</f>
        <v/>
      </c>
      <c r="M158" s="20">
        <f>IFERROR(SUMIFS(Ordenes!$V$2:$V$840,Ordenes!$C$2:$C$840,$B158,Ordenes!$T$2:$T$840,"Válida")/SUMIFS(Ordenes!$Q$2:$Q$840,Ordenes!$C$2:$C$840,$B158,Ordenes!$T$2:$T$840,"Válida"),"")</f>
        <v/>
      </c>
      <c r="N158" s="21">
        <f>IFERROR((L158-M158)*100,"")</f>
        <v/>
      </c>
      <c r="O158" s="19">
        <f>SUMIFS(Ordenes!$P$2:$P$840,Ordenes!$C$2:$C$840,$B158,Ordenes!$T$2:$T$840,"Válida")</f>
        <v/>
      </c>
      <c r="P158" s="19">
        <f>SUMIFS(Ordenes!$Q$2:$Q$840,Ordenes!$C$2:$C$840,$B158,Ordenes!$T$2:$T$840,"Válida")</f>
        <v/>
      </c>
      <c r="Q158" s="18">
        <f>COUNTIFS(Ordenes!$C$2:$C$840,$B158,Ordenes!$T$2:$T$840,"Válida")</f>
        <v/>
      </c>
    </row>
    <row r="159">
      <c r="A159" s="18" t="inlineStr">
        <is>
          <t>Lun 6 jul 2026</t>
        </is>
      </c>
      <c r="B159" s="22" t="n">
        <v>46209</v>
      </c>
      <c r="C159" s="18" t="inlineStr">
        <is>
          <t>S28</t>
        </is>
      </c>
      <c r="D159" s="20">
        <f>IFERROR(SUMIFS(Ordenes!$P$2:$P$840,Ordenes!$C$2:$C$840,$B159,Ordenes!$T$2:$T$840,"Válida",Ordenes!$F$2:$F$840,"B Hormigón")/SUMIFS(Ordenes!$Q$2:$Q$840,Ordenes!$C$2:$C$840,$B159,Ordenes!$T$2:$T$840,"Válida",Ordenes!$F$2:$F$840,"B Hormigón"),"")</f>
        <v/>
      </c>
      <c r="E159" s="20">
        <f>IFERROR(SUMIFS(Ordenes!$P$2:$P$840,Ordenes!$C$2:$C$840,$B159,Ordenes!$T$2:$T$840,"Válida",Ordenes!$F$2:$F$840,"Redondo liso")/SUMIFS(Ordenes!$Q$2:$Q$840,Ordenes!$C$2:$C$840,$B159,Ordenes!$T$2:$T$840,"Válida",Ordenes!$F$2:$F$840,"Redondo liso"),"")</f>
        <v/>
      </c>
      <c r="F159" s="20">
        <f>IFERROR(SUMIFS(Ordenes!$P$2:$P$840,Ordenes!$C$2:$C$840,$B159,Ordenes!$T$2:$T$840,"Válida",Ordenes!$F$2:$F$840,"Plana")/SUMIFS(Ordenes!$Q$2:$Q$840,Ordenes!$C$2:$C$840,$B159,Ordenes!$T$2:$T$840,"Válida",Ordenes!$F$2:$F$840,"Plana"),"")</f>
        <v/>
      </c>
      <c r="G159" s="20">
        <f>IFERROR(SUMIFS(Ordenes!$P$2:$P$840,Ordenes!$C$2:$C$840,$B159,Ordenes!$T$2:$T$840,"Válida",Ordenes!$F$2:$F$840,"Ángulo")/SUMIFS(Ordenes!$Q$2:$Q$840,Ordenes!$C$2:$C$840,$B159,Ordenes!$T$2:$T$840,"Válida",Ordenes!$F$2:$F$840,"Ángulo"),"")</f>
        <v/>
      </c>
      <c r="H159" s="20">
        <f>IFERROR(SUMIFS(Ordenes!$P$2:$P$840,Ordenes!$C$2:$C$840,$B159,Ordenes!$T$2:$T$840,"Válida",Ordenes!$F$2:$F$840,"Cuadrado")/SUMIFS(Ordenes!$Q$2:$Q$840,Ordenes!$C$2:$C$840,$B159,Ordenes!$T$2:$T$840,"Válida",Ordenes!$F$2:$F$840,"Cuadrado"),"")</f>
        <v/>
      </c>
      <c r="I159" s="20">
        <f>IFERROR(SUMIFS(Ordenes!$P$2:$P$840,Ordenes!$C$2:$C$840,$B159,Ordenes!$T$2:$T$840,"Válida",Ordenes!$F$2:$F$840,"Estrella")/SUMIFS(Ordenes!$Q$2:$Q$840,Ordenes!$C$2:$C$840,$B159,Ordenes!$T$2:$T$840,"Válida",Ordenes!$F$2:$F$840,"Estrella"),"")</f>
        <v/>
      </c>
      <c r="J159" s="20">
        <f>IFERROR(SUMIFS(Ordenes!$P$2:$P$840,Ordenes!$C$2:$C$840,$B159,Ordenes!$T$2:$T$840,"Válida",Ordenes!$F$2:$F$840,"Saferock")/SUMIFS(Ordenes!$Q$2:$Q$840,Ordenes!$C$2:$C$840,$B159,Ordenes!$T$2:$T$840,"Válida",Ordenes!$F$2:$F$840,"Saferock"),"")</f>
        <v/>
      </c>
      <c r="K159" s="20">
        <f>IFERROR(SUMIFS(Ordenes!$P$2:$P$840,Ordenes!$C$2:$C$840,$B159,Ordenes!$T$2:$T$840,"Válida",Ordenes!$F$2:$F$840,"Hexágono")/SUMIFS(Ordenes!$Q$2:$Q$840,Ordenes!$C$2:$C$840,$B159,Ordenes!$T$2:$T$840,"Válida",Ordenes!$F$2:$F$840,"Hexágono"),"")</f>
        <v/>
      </c>
      <c r="L159" s="24">
        <f>IFERROR(SUMIFS(Ordenes!$P$2:$P$840,Ordenes!$C$2:$C$840,$B159,Ordenes!$T$2:$T$840,"Válida",Ordenes!$F$2:$F$840,"*")/SUMIFS(Ordenes!$Q$2:$Q$840,Ordenes!$C$2:$C$840,$B159,Ordenes!$T$2:$T$840,"Válida",Ordenes!$F$2:$F$840,"*"),"")</f>
        <v/>
      </c>
      <c r="M159" s="20">
        <f>IFERROR(SUMIFS(Ordenes!$V$2:$V$840,Ordenes!$C$2:$C$840,$B159,Ordenes!$T$2:$T$840,"Válida")/SUMIFS(Ordenes!$Q$2:$Q$840,Ordenes!$C$2:$C$840,$B159,Ordenes!$T$2:$T$840,"Válida"),"")</f>
        <v/>
      </c>
      <c r="N159" s="21">
        <f>IFERROR((L159-M159)*100,"")</f>
        <v/>
      </c>
      <c r="O159" s="19">
        <f>SUMIFS(Ordenes!$P$2:$P$840,Ordenes!$C$2:$C$840,$B159,Ordenes!$T$2:$T$840,"Válida")</f>
        <v/>
      </c>
      <c r="P159" s="19">
        <f>SUMIFS(Ordenes!$Q$2:$Q$840,Ordenes!$C$2:$C$840,$B159,Ordenes!$T$2:$T$840,"Válida")</f>
        <v/>
      </c>
      <c r="Q159" s="18">
        <f>COUNTIFS(Ordenes!$C$2:$C$840,$B159,Ordenes!$T$2:$T$840,"Válida")</f>
        <v/>
      </c>
    </row>
    <row r="160">
      <c r="A160" s="18" t="inlineStr">
        <is>
          <t>Mar 7 jul 2026</t>
        </is>
      </c>
      <c r="B160" s="22" t="n">
        <v>46210</v>
      </c>
      <c r="C160" s="18" t="inlineStr">
        <is>
          <t>S28</t>
        </is>
      </c>
      <c r="D160" s="20">
        <f>IFERROR(SUMIFS(Ordenes!$P$2:$P$840,Ordenes!$C$2:$C$840,$B160,Ordenes!$T$2:$T$840,"Válida",Ordenes!$F$2:$F$840,"B Hormigón")/SUMIFS(Ordenes!$Q$2:$Q$840,Ordenes!$C$2:$C$840,$B160,Ordenes!$T$2:$T$840,"Válida",Ordenes!$F$2:$F$840,"B Hormigón"),"")</f>
        <v/>
      </c>
      <c r="E160" s="20">
        <f>IFERROR(SUMIFS(Ordenes!$P$2:$P$840,Ordenes!$C$2:$C$840,$B160,Ordenes!$T$2:$T$840,"Válida",Ordenes!$F$2:$F$840,"Redondo liso")/SUMIFS(Ordenes!$Q$2:$Q$840,Ordenes!$C$2:$C$840,$B160,Ordenes!$T$2:$T$840,"Válida",Ordenes!$F$2:$F$840,"Redondo liso"),"")</f>
        <v/>
      </c>
      <c r="F160" s="20">
        <f>IFERROR(SUMIFS(Ordenes!$P$2:$P$840,Ordenes!$C$2:$C$840,$B160,Ordenes!$T$2:$T$840,"Válida",Ordenes!$F$2:$F$840,"Plana")/SUMIFS(Ordenes!$Q$2:$Q$840,Ordenes!$C$2:$C$840,$B160,Ordenes!$T$2:$T$840,"Válida",Ordenes!$F$2:$F$840,"Plana"),"")</f>
        <v/>
      </c>
      <c r="G160" s="20">
        <f>IFERROR(SUMIFS(Ordenes!$P$2:$P$840,Ordenes!$C$2:$C$840,$B160,Ordenes!$T$2:$T$840,"Válida",Ordenes!$F$2:$F$840,"Ángulo")/SUMIFS(Ordenes!$Q$2:$Q$840,Ordenes!$C$2:$C$840,$B160,Ordenes!$T$2:$T$840,"Válida",Ordenes!$F$2:$F$840,"Ángulo"),"")</f>
        <v/>
      </c>
      <c r="H160" s="20">
        <f>IFERROR(SUMIFS(Ordenes!$P$2:$P$840,Ordenes!$C$2:$C$840,$B160,Ordenes!$T$2:$T$840,"Válida",Ordenes!$F$2:$F$840,"Cuadrado")/SUMIFS(Ordenes!$Q$2:$Q$840,Ordenes!$C$2:$C$840,$B160,Ordenes!$T$2:$T$840,"Válida",Ordenes!$F$2:$F$840,"Cuadrado"),"")</f>
        <v/>
      </c>
      <c r="I160" s="20">
        <f>IFERROR(SUMIFS(Ordenes!$P$2:$P$840,Ordenes!$C$2:$C$840,$B160,Ordenes!$T$2:$T$840,"Válida",Ordenes!$F$2:$F$840,"Estrella")/SUMIFS(Ordenes!$Q$2:$Q$840,Ordenes!$C$2:$C$840,$B160,Ordenes!$T$2:$T$840,"Válida",Ordenes!$F$2:$F$840,"Estrella"),"")</f>
        <v/>
      </c>
      <c r="J160" s="20">
        <f>IFERROR(SUMIFS(Ordenes!$P$2:$P$840,Ordenes!$C$2:$C$840,$B160,Ordenes!$T$2:$T$840,"Válida",Ordenes!$F$2:$F$840,"Saferock")/SUMIFS(Ordenes!$Q$2:$Q$840,Ordenes!$C$2:$C$840,$B160,Ordenes!$T$2:$T$840,"Válida",Ordenes!$F$2:$F$840,"Saferock"),"")</f>
        <v/>
      </c>
      <c r="K160" s="20">
        <f>IFERROR(SUMIFS(Ordenes!$P$2:$P$840,Ordenes!$C$2:$C$840,$B160,Ordenes!$T$2:$T$840,"Válida",Ordenes!$F$2:$F$840,"Hexágono")/SUMIFS(Ordenes!$Q$2:$Q$840,Ordenes!$C$2:$C$840,$B160,Ordenes!$T$2:$T$840,"Válida",Ordenes!$F$2:$F$840,"Hexágono"),"")</f>
        <v/>
      </c>
      <c r="L160" s="24">
        <f>IFERROR(SUMIFS(Ordenes!$P$2:$P$840,Ordenes!$C$2:$C$840,$B160,Ordenes!$T$2:$T$840,"Válida",Ordenes!$F$2:$F$840,"*")/SUMIFS(Ordenes!$Q$2:$Q$840,Ordenes!$C$2:$C$840,$B160,Ordenes!$T$2:$T$840,"Válida",Ordenes!$F$2:$F$840,"*"),"")</f>
        <v/>
      </c>
      <c r="M160" s="20">
        <f>IFERROR(SUMIFS(Ordenes!$V$2:$V$840,Ordenes!$C$2:$C$840,$B160,Ordenes!$T$2:$T$840,"Válida")/SUMIFS(Ordenes!$Q$2:$Q$840,Ordenes!$C$2:$C$840,$B160,Ordenes!$T$2:$T$840,"Válida"),"")</f>
        <v/>
      </c>
      <c r="N160" s="21">
        <f>IFERROR((L160-M160)*100,"")</f>
        <v/>
      </c>
      <c r="O160" s="19">
        <f>SUMIFS(Ordenes!$P$2:$P$840,Ordenes!$C$2:$C$840,$B160,Ordenes!$T$2:$T$840,"Válida")</f>
        <v/>
      </c>
      <c r="P160" s="19">
        <f>SUMIFS(Ordenes!$Q$2:$Q$840,Ordenes!$C$2:$C$840,$B160,Ordenes!$T$2:$T$840,"Válida")</f>
        <v/>
      </c>
      <c r="Q160" s="18">
        <f>COUNTIFS(Ordenes!$C$2:$C$840,$B160,Ordenes!$T$2:$T$840,"Válida")</f>
        <v/>
      </c>
    </row>
    <row r="161">
      <c r="A161" s="18" t="inlineStr">
        <is>
          <t>Mié 8 jul 2026</t>
        </is>
      </c>
      <c r="B161" s="22" t="n">
        <v>46211</v>
      </c>
      <c r="C161" s="18" t="inlineStr">
        <is>
          <t>S28</t>
        </is>
      </c>
      <c r="D161" s="20">
        <f>IFERROR(SUMIFS(Ordenes!$P$2:$P$840,Ordenes!$C$2:$C$840,$B161,Ordenes!$T$2:$T$840,"Válida",Ordenes!$F$2:$F$840,"B Hormigón")/SUMIFS(Ordenes!$Q$2:$Q$840,Ordenes!$C$2:$C$840,$B161,Ordenes!$T$2:$T$840,"Válida",Ordenes!$F$2:$F$840,"B Hormigón"),"")</f>
        <v/>
      </c>
      <c r="E161" s="20">
        <f>IFERROR(SUMIFS(Ordenes!$P$2:$P$840,Ordenes!$C$2:$C$840,$B161,Ordenes!$T$2:$T$840,"Válida",Ordenes!$F$2:$F$840,"Redondo liso")/SUMIFS(Ordenes!$Q$2:$Q$840,Ordenes!$C$2:$C$840,$B161,Ordenes!$T$2:$T$840,"Válida",Ordenes!$F$2:$F$840,"Redondo liso"),"")</f>
        <v/>
      </c>
      <c r="F161" s="20">
        <f>IFERROR(SUMIFS(Ordenes!$P$2:$P$840,Ordenes!$C$2:$C$840,$B161,Ordenes!$T$2:$T$840,"Válida",Ordenes!$F$2:$F$840,"Plana")/SUMIFS(Ordenes!$Q$2:$Q$840,Ordenes!$C$2:$C$840,$B161,Ordenes!$T$2:$T$840,"Válida",Ordenes!$F$2:$F$840,"Plana"),"")</f>
        <v/>
      </c>
      <c r="G161" s="20">
        <f>IFERROR(SUMIFS(Ordenes!$P$2:$P$840,Ordenes!$C$2:$C$840,$B161,Ordenes!$T$2:$T$840,"Válida",Ordenes!$F$2:$F$840,"Ángulo")/SUMIFS(Ordenes!$Q$2:$Q$840,Ordenes!$C$2:$C$840,$B161,Ordenes!$T$2:$T$840,"Válida",Ordenes!$F$2:$F$840,"Ángulo"),"")</f>
        <v/>
      </c>
      <c r="H161" s="20">
        <f>IFERROR(SUMIFS(Ordenes!$P$2:$P$840,Ordenes!$C$2:$C$840,$B161,Ordenes!$T$2:$T$840,"Válida",Ordenes!$F$2:$F$840,"Cuadrado")/SUMIFS(Ordenes!$Q$2:$Q$840,Ordenes!$C$2:$C$840,$B161,Ordenes!$T$2:$T$840,"Válida",Ordenes!$F$2:$F$840,"Cuadrado"),"")</f>
        <v/>
      </c>
      <c r="I161" s="20">
        <f>IFERROR(SUMIFS(Ordenes!$P$2:$P$840,Ordenes!$C$2:$C$840,$B161,Ordenes!$T$2:$T$840,"Válida",Ordenes!$F$2:$F$840,"Estrella")/SUMIFS(Ordenes!$Q$2:$Q$840,Ordenes!$C$2:$C$840,$B161,Ordenes!$T$2:$T$840,"Válida",Ordenes!$F$2:$F$840,"Estrella"),"")</f>
        <v/>
      </c>
      <c r="J161" s="20">
        <f>IFERROR(SUMIFS(Ordenes!$P$2:$P$840,Ordenes!$C$2:$C$840,$B161,Ordenes!$T$2:$T$840,"Válida",Ordenes!$F$2:$F$840,"Saferock")/SUMIFS(Ordenes!$Q$2:$Q$840,Ordenes!$C$2:$C$840,$B161,Ordenes!$T$2:$T$840,"Válida",Ordenes!$F$2:$F$840,"Saferock"),"")</f>
        <v/>
      </c>
      <c r="K161" s="20">
        <f>IFERROR(SUMIFS(Ordenes!$P$2:$P$840,Ordenes!$C$2:$C$840,$B161,Ordenes!$T$2:$T$840,"Válida",Ordenes!$F$2:$F$840,"Hexágono")/SUMIFS(Ordenes!$Q$2:$Q$840,Ordenes!$C$2:$C$840,$B161,Ordenes!$T$2:$T$840,"Válida",Ordenes!$F$2:$F$840,"Hexágono"),"")</f>
        <v/>
      </c>
      <c r="L161" s="24">
        <f>IFERROR(SUMIFS(Ordenes!$P$2:$P$840,Ordenes!$C$2:$C$840,$B161,Ordenes!$T$2:$T$840,"Válida",Ordenes!$F$2:$F$840,"*")/SUMIFS(Ordenes!$Q$2:$Q$840,Ordenes!$C$2:$C$840,$B161,Ordenes!$T$2:$T$840,"Válida",Ordenes!$F$2:$F$840,"*"),"")</f>
        <v/>
      </c>
      <c r="M161" s="20">
        <f>IFERROR(SUMIFS(Ordenes!$V$2:$V$840,Ordenes!$C$2:$C$840,$B161,Ordenes!$T$2:$T$840,"Válida")/SUMIFS(Ordenes!$Q$2:$Q$840,Ordenes!$C$2:$C$840,$B161,Ordenes!$T$2:$T$840,"Válida"),"")</f>
        <v/>
      </c>
      <c r="N161" s="21">
        <f>IFERROR((L161-M161)*100,"")</f>
        <v/>
      </c>
      <c r="O161" s="19">
        <f>SUMIFS(Ordenes!$P$2:$P$840,Ordenes!$C$2:$C$840,$B161,Ordenes!$T$2:$T$840,"Válida")</f>
        <v/>
      </c>
      <c r="P161" s="19">
        <f>SUMIFS(Ordenes!$Q$2:$Q$840,Ordenes!$C$2:$C$840,$B161,Ordenes!$T$2:$T$840,"Válida")</f>
        <v/>
      </c>
      <c r="Q161" s="18">
        <f>COUNTIFS(Ordenes!$C$2:$C$840,$B161,Ordenes!$T$2:$T$840,"Válida")</f>
        <v/>
      </c>
    </row>
    <row r="162">
      <c r="A162" s="18" t="inlineStr">
        <is>
          <t>Jue 9 jul 2026</t>
        </is>
      </c>
      <c r="B162" s="22" t="n">
        <v>46212</v>
      </c>
      <c r="C162" s="18" t="inlineStr">
        <is>
          <t>S28</t>
        </is>
      </c>
      <c r="D162" s="20">
        <f>IFERROR(SUMIFS(Ordenes!$P$2:$P$840,Ordenes!$C$2:$C$840,$B162,Ordenes!$T$2:$T$840,"Válida",Ordenes!$F$2:$F$840,"B Hormigón")/SUMIFS(Ordenes!$Q$2:$Q$840,Ordenes!$C$2:$C$840,$B162,Ordenes!$T$2:$T$840,"Válida",Ordenes!$F$2:$F$840,"B Hormigón"),"")</f>
        <v/>
      </c>
      <c r="E162" s="20">
        <f>IFERROR(SUMIFS(Ordenes!$P$2:$P$840,Ordenes!$C$2:$C$840,$B162,Ordenes!$T$2:$T$840,"Válida",Ordenes!$F$2:$F$840,"Redondo liso")/SUMIFS(Ordenes!$Q$2:$Q$840,Ordenes!$C$2:$C$840,$B162,Ordenes!$T$2:$T$840,"Válida",Ordenes!$F$2:$F$840,"Redondo liso"),"")</f>
        <v/>
      </c>
      <c r="F162" s="20">
        <f>IFERROR(SUMIFS(Ordenes!$P$2:$P$840,Ordenes!$C$2:$C$840,$B162,Ordenes!$T$2:$T$840,"Válida",Ordenes!$F$2:$F$840,"Plana")/SUMIFS(Ordenes!$Q$2:$Q$840,Ordenes!$C$2:$C$840,$B162,Ordenes!$T$2:$T$840,"Válida",Ordenes!$F$2:$F$840,"Plana"),"")</f>
        <v/>
      </c>
      <c r="G162" s="20">
        <f>IFERROR(SUMIFS(Ordenes!$P$2:$P$840,Ordenes!$C$2:$C$840,$B162,Ordenes!$T$2:$T$840,"Válida",Ordenes!$F$2:$F$840,"Ángulo")/SUMIFS(Ordenes!$Q$2:$Q$840,Ordenes!$C$2:$C$840,$B162,Ordenes!$T$2:$T$840,"Válida",Ordenes!$F$2:$F$840,"Ángulo"),"")</f>
        <v/>
      </c>
      <c r="H162" s="20">
        <f>IFERROR(SUMIFS(Ordenes!$P$2:$P$840,Ordenes!$C$2:$C$840,$B162,Ordenes!$T$2:$T$840,"Válida",Ordenes!$F$2:$F$840,"Cuadrado")/SUMIFS(Ordenes!$Q$2:$Q$840,Ordenes!$C$2:$C$840,$B162,Ordenes!$T$2:$T$840,"Válida",Ordenes!$F$2:$F$840,"Cuadrado"),"")</f>
        <v/>
      </c>
      <c r="I162" s="20">
        <f>IFERROR(SUMIFS(Ordenes!$P$2:$P$840,Ordenes!$C$2:$C$840,$B162,Ordenes!$T$2:$T$840,"Válida",Ordenes!$F$2:$F$840,"Estrella")/SUMIFS(Ordenes!$Q$2:$Q$840,Ordenes!$C$2:$C$840,$B162,Ordenes!$T$2:$T$840,"Válida",Ordenes!$F$2:$F$840,"Estrella"),"")</f>
        <v/>
      </c>
      <c r="J162" s="20">
        <f>IFERROR(SUMIFS(Ordenes!$P$2:$P$840,Ordenes!$C$2:$C$840,$B162,Ordenes!$T$2:$T$840,"Válida",Ordenes!$F$2:$F$840,"Saferock")/SUMIFS(Ordenes!$Q$2:$Q$840,Ordenes!$C$2:$C$840,$B162,Ordenes!$T$2:$T$840,"Válida",Ordenes!$F$2:$F$840,"Saferock"),"")</f>
        <v/>
      </c>
      <c r="K162" s="20">
        <f>IFERROR(SUMIFS(Ordenes!$P$2:$P$840,Ordenes!$C$2:$C$840,$B162,Ordenes!$T$2:$T$840,"Válida",Ordenes!$F$2:$F$840,"Hexágono")/SUMIFS(Ordenes!$Q$2:$Q$840,Ordenes!$C$2:$C$840,$B162,Ordenes!$T$2:$T$840,"Válida",Ordenes!$F$2:$F$840,"Hexágono"),"")</f>
        <v/>
      </c>
      <c r="L162" s="24">
        <f>IFERROR(SUMIFS(Ordenes!$P$2:$P$840,Ordenes!$C$2:$C$840,$B162,Ordenes!$T$2:$T$840,"Válida",Ordenes!$F$2:$F$840,"*")/SUMIFS(Ordenes!$Q$2:$Q$840,Ordenes!$C$2:$C$840,$B162,Ordenes!$T$2:$T$840,"Válida",Ordenes!$F$2:$F$840,"*"),"")</f>
        <v/>
      </c>
      <c r="M162" s="20">
        <f>IFERROR(SUMIFS(Ordenes!$V$2:$V$840,Ordenes!$C$2:$C$840,$B162,Ordenes!$T$2:$T$840,"Válida")/SUMIFS(Ordenes!$Q$2:$Q$840,Ordenes!$C$2:$C$840,$B162,Ordenes!$T$2:$T$840,"Válida"),"")</f>
        <v/>
      </c>
      <c r="N162" s="21">
        <f>IFERROR((L162-M162)*100,"")</f>
        <v/>
      </c>
      <c r="O162" s="19">
        <f>SUMIFS(Ordenes!$P$2:$P$840,Ordenes!$C$2:$C$840,$B162,Ordenes!$T$2:$T$840,"Válida")</f>
        <v/>
      </c>
      <c r="P162" s="19">
        <f>SUMIFS(Ordenes!$Q$2:$Q$840,Ordenes!$C$2:$C$840,$B162,Ordenes!$T$2:$T$840,"Válida")</f>
        <v/>
      </c>
      <c r="Q162" s="18">
        <f>COUNTIFS(Ordenes!$C$2:$C$840,$B162,Ordenes!$T$2:$T$840,"Válida")</f>
        <v/>
      </c>
    </row>
    <row r="163">
      <c r="A163" s="18" t="inlineStr">
        <is>
          <t>Vie 10 jul 2026</t>
        </is>
      </c>
      <c r="B163" s="22" t="n">
        <v>46213</v>
      </c>
      <c r="C163" s="18" t="inlineStr">
        <is>
          <t>S28</t>
        </is>
      </c>
      <c r="D163" s="20">
        <f>IFERROR(SUMIFS(Ordenes!$P$2:$P$840,Ordenes!$C$2:$C$840,$B163,Ordenes!$T$2:$T$840,"Válida",Ordenes!$F$2:$F$840,"B Hormigón")/SUMIFS(Ordenes!$Q$2:$Q$840,Ordenes!$C$2:$C$840,$B163,Ordenes!$T$2:$T$840,"Válida",Ordenes!$F$2:$F$840,"B Hormigón"),"")</f>
        <v/>
      </c>
      <c r="E163" s="20">
        <f>IFERROR(SUMIFS(Ordenes!$P$2:$P$840,Ordenes!$C$2:$C$840,$B163,Ordenes!$T$2:$T$840,"Válida",Ordenes!$F$2:$F$840,"Redondo liso")/SUMIFS(Ordenes!$Q$2:$Q$840,Ordenes!$C$2:$C$840,$B163,Ordenes!$T$2:$T$840,"Válida",Ordenes!$F$2:$F$840,"Redondo liso"),"")</f>
        <v/>
      </c>
      <c r="F163" s="20">
        <f>IFERROR(SUMIFS(Ordenes!$P$2:$P$840,Ordenes!$C$2:$C$840,$B163,Ordenes!$T$2:$T$840,"Válida",Ordenes!$F$2:$F$840,"Plana")/SUMIFS(Ordenes!$Q$2:$Q$840,Ordenes!$C$2:$C$840,$B163,Ordenes!$T$2:$T$840,"Válida",Ordenes!$F$2:$F$840,"Plana"),"")</f>
        <v/>
      </c>
      <c r="G163" s="20">
        <f>IFERROR(SUMIFS(Ordenes!$P$2:$P$840,Ordenes!$C$2:$C$840,$B163,Ordenes!$T$2:$T$840,"Válida",Ordenes!$F$2:$F$840,"Ángulo")/SUMIFS(Ordenes!$Q$2:$Q$840,Ordenes!$C$2:$C$840,$B163,Ordenes!$T$2:$T$840,"Válida",Ordenes!$F$2:$F$840,"Ángulo"),"")</f>
        <v/>
      </c>
      <c r="H163" s="20">
        <f>IFERROR(SUMIFS(Ordenes!$P$2:$P$840,Ordenes!$C$2:$C$840,$B163,Ordenes!$T$2:$T$840,"Válida",Ordenes!$F$2:$F$840,"Cuadrado")/SUMIFS(Ordenes!$Q$2:$Q$840,Ordenes!$C$2:$C$840,$B163,Ordenes!$T$2:$T$840,"Válida",Ordenes!$F$2:$F$840,"Cuadrado"),"")</f>
        <v/>
      </c>
      <c r="I163" s="20">
        <f>IFERROR(SUMIFS(Ordenes!$P$2:$P$840,Ordenes!$C$2:$C$840,$B163,Ordenes!$T$2:$T$840,"Válida",Ordenes!$F$2:$F$840,"Estrella")/SUMIFS(Ordenes!$Q$2:$Q$840,Ordenes!$C$2:$C$840,$B163,Ordenes!$T$2:$T$840,"Válida",Ordenes!$F$2:$F$840,"Estrella"),"")</f>
        <v/>
      </c>
      <c r="J163" s="20">
        <f>IFERROR(SUMIFS(Ordenes!$P$2:$P$840,Ordenes!$C$2:$C$840,$B163,Ordenes!$T$2:$T$840,"Válida",Ordenes!$F$2:$F$840,"Saferock")/SUMIFS(Ordenes!$Q$2:$Q$840,Ordenes!$C$2:$C$840,$B163,Ordenes!$T$2:$T$840,"Válida",Ordenes!$F$2:$F$840,"Saferock"),"")</f>
        <v/>
      </c>
      <c r="K163" s="20">
        <f>IFERROR(SUMIFS(Ordenes!$P$2:$P$840,Ordenes!$C$2:$C$840,$B163,Ordenes!$T$2:$T$840,"Válida",Ordenes!$F$2:$F$840,"Hexágono")/SUMIFS(Ordenes!$Q$2:$Q$840,Ordenes!$C$2:$C$840,$B163,Ordenes!$T$2:$T$840,"Válida",Ordenes!$F$2:$F$840,"Hexágono"),"")</f>
        <v/>
      </c>
      <c r="L163" s="24">
        <f>IFERROR(SUMIFS(Ordenes!$P$2:$P$840,Ordenes!$C$2:$C$840,$B163,Ordenes!$T$2:$T$840,"Válida",Ordenes!$F$2:$F$840,"*")/SUMIFS(Ordenes!$Q$2:$Q$840,Ordenes!$C$2:$C$840,$B163,Ordenes!$T$2:$T$840,"Válida",Ordenes!$F$2:$F$840,"*"),"")</f>
        <v/>
      </c>
      <c r="M163" s="20">
        <f>IFERROR(SUMIFS(Ordenes!$V$2:$V$840,Ordenes!$C$2:$C$840,$B163,Ordenes!$T$2:$T$840,"Válida")/SUMIFS(Ordenes!$Q$2:$Q$840,Ordenes!$C$2:$C$840,$B163,Ordenes!$T$2:$T$840,"Válida"),"")</f>
        <v/>
      </c>
      <c r="N163" s="21">
        <f>IFERROR((L163-M163)*100,"")</f>
        <v/>
      </c>
      <c r="O163" s="19">
        <f>SUMIFS(Ordenes!$P$2:$P$840,Ordenes!$C$2:$C$840,$B163,Ordenes!$T$2:$T$840,"Válida")</f>
        <v/>
      </c>
      <c r="P163" s="19">
        <f>SUMIFS(Ordenes!$Q$2:$Q$840,Ordenes!$C$2:$C$840,$B163,Ordenes!$T$2:$T$840,"Válida")</f>
        <v/>
      </c>
      <c r="Q163" s="18">
        <f>COUNTIFS(Ordenes!$C$2:$C$840,$B163,Ordenes!$T$2:$T$840,"Válida")</f>
        <v/>
      </c>
    </row>
    <row r="164">
      <c r="A164" s="18" t="inlineStr">
        <is>
          <t>Sáb 11 jul 2026</t>
        </is>
      </c>
      <c r="B164" s="22" t="n">
        <v>46214</v>
      </c>
      <c r="C164" s="18" t="inlineStr">
        <is>
          <t>S28</t>
        </is>
      </c>
      <c r="D164" s="20">
        <f>IFERROR(SUMIFS(Ordenes!$P$2:$P$840,Ordenes!$C$2:$C$840,$B164,Ordenes!$T$2:$T$840,"Válida",Ordenes!$F$2:$F$840,"B Hormigón")/SUMIFS(Ordenes!$Q$2:$Q$840,Ordenes!$C$2:$C$840,$B164,Ordenes!$T$2:$T$840,"Válida",Ordenes!$F$2:$F$840,"B Hormigón"),"")</f>
        <v/>
      </c>
      <c r="E164" s="20">
        <f>IFERROR(SUMIFS(Ordenes!$P$2:$P$840,Ordenes!$C$2:$C$840,$B164,Ordenes!$T$2:$T$840,"Válida",Ordenes!$F$2:$F$840,"Redondo liso")/SUMIFS(Ordenes!$Q$2:$Q$840,Ordenes!$C$2:$C$840,$B164,Ordenes!$T$2:$T$840,"Válida",Ordenes!$F$2:$F$840,"Redondo liso"),"")</f>
        <v/>
      </c>
      <c r="F164" s="20">
        <f>IFERROR(SUMIFS(Ordenes!$P$2:$P$840,Ordenes!$C$2:$C$840,$B164,Ordenes!$T$2:$T$840,"Válida",Ordenes!$F$2:$F$840,"Plana")/SUMIFS(Ordenes!$Q$2:$Q$840,Ordenes!$C$2:$C$840,$B164,Ordenes!$T$2:$T$840,"Válida",Ordenes!$F$2:$F$840,"Plana"),"")</f>
        <v/>
      </c>
      <c r="G164" s="20">
        <f>IFERROR(SUMIFS(Ordenes!$P$2:$P$840,Ordenes!$C$2:$C$840,$B164,Ordenes!$T$2:$T$840,"Válida",Ordenes!$F$2:$F$840,"Ángulo")/SUMIFS(Ordenes!$Q$2:$Q$840,Ordenes!$C$2:$C$840,$B164,Ordenes!$T$2:$T$840,"Válida",Ordenes!$F$2:$F$840,"Ángulo"),"")</f>
        <v/>
      </c>
      <c r="H164" s="20">
        <f>IFERROR(SUMIFS(Ordenes!$P$2:$P$840,Ordenes!$C$2:$C$840,$B164,Ordenes!$T$2:$T$840,"Válida",Ordenes!$F$2:$F$840,"Cuadrado")/SUMIFS(Ordenes!$Q$2:$Q$840,Ordenes!$C$2:$C$840,$B164,Ordenes!$T$2:$T$840,"Válida",Ordenes!$F$2:$F$840,"Cuadrado"),"")</f>
        <v/>
      </c>
      <c r="I164" s="20">
        <f>IFERROR(SUMIFS(Ordenes!$P$2:$P$840,Ordenes!$C$2:$C$840,$B164,Ordenes!$T$2:$T$840,"Válida",Ordenes!$F$2:$F$840,"Estrella")/SUMIFS(Ordenes!$Q$2:$Q$840,Ordenes!$C$2:$C$840,$B164,Ordenes!$T$2:$T$840,"Válida",Ordenes!$F$2:$F$840,"Estrella"),"")</f>
        <v/>
      </c>
      <c r="J164" s="20">
        <f>IFERROR(SUMIFS(Ordenes!$P$2:$P$840,Ordenes!$C$2:$C$840,$B164,Ordenes!$T$2:$T$840,"Válida",Ordenes!$F$2:$F$840,"Saferock")/SUMIFS(Ordenes!$Q$2:$Q$840,Ordenes!$C$2:$C$840,$B164,Ordenes!$T$2:$T$840,"Válida",Ordenes!$F$2:$F$840,"Saferock"),"")</f>
        <v/>
      </c>
      <c r="K164" s="20">
        <f>IFERROR(SUMIFS(Ordenes!$P$2:$P$840,Ordenes!$C$2:$C$840,$B164,Ordenes!$T$2:$T$840,"Válida",Ordenes!$F$2:$F$840,"Hexágono")/SUMIFS(Ordenes!$Q$2:$Q$840,Ordenes!$C$2:$C$840,$B164,Ordenes!$T$2:$T$840,"Válida",Ordenes!$F$2:$F$840,"Hexágono"),"")</f>
        <v/>
      </c>
      <c r="L164" s="24">
        <f>IFERROR(SUMIFS(Ordenes!$P$2:$P$840,Ordenes!$C$2:$C$840,$B164,Ordenes!$T$2:$T$840,"Válida",Ordenes!$F$2:$F$840,"*")/SUMIFS(Ordenes!$Q$2:$Q$840,Ordenes!$C$2:$C$840,$B164,Ordenes!$T$2:$T$840,"Válida",Ordenes!$F$2:$F$840,"*"),"")</f>
        <v/>
      </c>
      <c r="M164" s="20">
        <f>IFERROR(SUMIFS(Ordenes!$V$2:$V$840,Ordenes!$C$2:$C$840,$B164,Ordenes!$T$2:$T$840,"Válida")/SUMIFS(Ordenes!$Q$2:$Q$840,Ordenes!$C$2:$C$840,$B164,Ordenes!$T$2:$T$840,"Válida"),"")</f>
        <v/>
      </c>
      <c r="N164" s="21">
        <f>IFERROR((L164-M164)*100,"")</f>
        <v/>
      </c>
      <c r="O164" s="19">
        <f>SUMIFS(Ordenes!$P$2:$P$840,Ordenes!$C$2:$C$840,$B164,Ordenes!$T$2:$T$840,"Válida")</f>
        <v/>
      </c>
      <c r="P164" s="19">
        <f>SUMIFS(Ordenes!$Q$2:$Q$840,Ordenes!$C$2:$C$840,$B164,Ordenes!$T$2:$T$840,"Válida")</f>
        <v/>
      </c>
      <c r="Q164" s="18">
        <f>COUNTIFS(Ordenes!$C$2:$C$840,$B164,Ordenes!$T$2:$T$840,"Válida")</f>
        <v/>
      </c>
    </row>
    <row r="165">
      <c r="A165" s="18" t="inlineStr">
        <is>
          <t>Dom 12 jul 2026</t>
        </is>
      </c>
      <c r="B165" s="22" t="n">
        <v>46215</v>
      </c>
      <c r="C165" s="18" t="inlineStr">
        <is>
          <t>S28</t>
        </is>
      </c>
      <c r="D165" s="20">
        <f>IFERROR(SUMIFS(Ordenes!$P$2:$P$840,Ordenes!$C$2:$C$840,$B165,Ordenes!$T$2:$T$840,"Válida",Ordenes!$F$2:$F$840,"B Hormigón")/SUMIFS(Ordenes!$Q$2:$Q$840,Ordenes!$C$2:$C$840,$B165,Ordenes!$T$2:$T$840,"Válida",Ordenes!$F$2:$F$840,"B Hormigón"),"")</f>
        <v/>
      </c>
      <c r="E165" s="20">
        <f>IFERROR(SUMIFS(Ordenes!$P$2:$P$840,Ordenes!$C$2:$C$840,$B165,Ordenes!$T$2:$T$840,"Válida",Ordenes!$F$2:$F$840,"Redondo liso")/SUMIFS(Ordenes!$Q$2:$Q$840,Ordenes!$C$2:$C$840,$B165,Ordenes!$T$2:$T$840,"Válida",Ordenes!$F$2:$F$840,"Redondo liso"),"")</f>
        <v/>
      </c>
      <c r="F165" s="20">
        <f>IFERROR(SUMIFS(Ordenes!$P$2:$P$840,Ordenes!$C$2:$C$840,$B165,Ordenes!$T$2:$T$840,"Válida",Ordenes!$F$2:$F$840,"Plana")/SUMIFS(Ordenes!$Q$2:$Q$840,Ordenes!$C$2:$C$840,$B165,Ordenes!$T$2:$T$840,"Válida",Ordenes!$F$2:$F$840,"Plana"),"")</f>
        <v/>
      </c>
      <c r="G165" s="20">
        <f>IFERROR(SUMIFS(Ordenes!$P$2:$P$840,Ordenes!$C$2:$C$840,$B165,Ordenes!$T$2:$T$840,"Válida",Ordenes!$F$2:$F$840,"Ángulo")/SUMIFS(Ordenes!$Q$2:$Q$840,Ordenes!$C$2:$C$840,$B165,Ordenes!$T$2:$T$840,"Válida",Ordenes!$F$2:$F$840,"Ángulo"),"")</f>
        <v/>
      </c>
      <c r="H165" s="20">
        <f>IFERROR(SUMIFS(Ordenes!$P$2:$P$840,Ordenes!$C$2:$C$840,$B165,Ordenes!$T$2:$T$840,"Válida",Ordenes!$F$2:$F$840,"Cuadrado")/SUMIFS(Ordenes!$Q$2:$Q$840,Ordenes!$C$2:$C$840,$B165,Ordenes!$T$2:$T$840,"Válida",Ordenes!$F$2:$F$840,"Cuadrado"),"")</f>
        <v/>
      </c>
      <c r="I165" s="20">
        <f>IFERROR(SUMIFS(Ordenes!$P$2:$P$840,Ordenes!$C$2:$C$840,$B165,Ordenes!$T$2:$T$840,"Válida",Ordenes!$F$2:$F$840,"Estrella")/SUMIFS(Ordenes!$Q$2:$Q$840,Ordenes!$C$2:$C$840,$B165,Ordenes!$T$2:$T$840,"Válida",Ordenes!$F$2:$F$840,"Estrella"),"")</f>
        <v/>
      </c>
      <c r="J165" s="20">
        <f>IFERROR(SUMIFS(Ordenes!$P$2:$P$840,Ordenes!$C$2:$C$840,$B165,Ordenes!$T$2:$T$840,"Válida",Ordenes!$F$2:$F$840,"Saferock")/SUMIFS(Ordenes!$Q$2:$Q$840,Ordenes!$C$2:$C$840,$B165,Ordenes!$T$2:$T$840,"Válida",Ordenes!$F$2:$F$840,"Saferock"),"")</f>
        <v/>
      </c>
      <c r="K165" s="20">
        <f>IFERROR(SUMIFS(Ordenes!$P$2:$P$840,Ordenes!$C$2:$C$840,$B165,Ordenes!$T$2:$T$840,"Válida",Ordenes!$F$2:$F$840,"Hexágono")/SUMIFS(Ordenes!$Q$2:$Q$840,Ordenes!$C$2:$C$840,$B165,Ordenes!$T$2:$T$840,"Válida",Ordenes!$F$2:$F$840,"Hexágono"),"")</f>
        <v/>
      </c>
      <c r="L165" s="24">
        <f>IFERROR(SUMIFS(Ordenes!$P$2:$P$840,Ordenes!$C$2:$C$840,$B165,Ordenes!$T$2:$T$840,"Válida",Ordenes!$F$2:$F$840,"*")/SUMIFS(Ordenes!$Q$2:$Q$840,Ordenes!$C$2:$C$840,$B165,Ordenes!$T$2:$T$840,"Válida",Ordenes!$F$2:$F$840,"*"),"")</f>
        <v/>
      </c>
      <c r="M165" s="20">
        <f>IFERROR(SUMIFS(Ordenes!$V$2:$V$840,Ordenes!$C$2:$C$840,$B165,Ordenes!$T$2:$T$840,"Válida")/SUMIFS(Ordenes!$Q$2:$Q$840,Ordenes!$C$2:$C$840,$B165,Ordenes!$T$2:$T$840,"Válida"),"")</f>
        <v/>
      </c>
      <c r="N165" s="21">
        <f>IFERROR((L165-M165)*100,"")</f>
        <v/>
      </c>
      <c r="O165" s="19">
        <f>SUMIFS(Ordenes!$P$2:$P$840,Ordenes!$C$2:$C$840,$B165,Ordenes!$T$2:$T$840,"Válida")</f>
        <v/>
      </c>
      <c r="P165" s="19">
        <f>SUMIFS(Ordenes!$Q$2:$Q$840,Ordenes!$C$2:$C$840,$B165,Ordenes!$T$2:$T$840,"Válida")</f>
        <v/>
      </c>
      <c r="Q165" s="18">
        <f>COUNTIFS(Ordenes!$C$2:$C$840,$B165,Ordenes!$T$2:$T$840,"Válida")</f>
        <v/>
      </c>
    </row>
    <row r="166">
      <c r="A166" s="18" t="inlineStr">
        <is>
          <t>Lun 13 jul 2026</t>
        </is>
      </c>
      <c r="B166" s="22" t="n">
        <v>46216</v>
      </c>
      <c r="C166" s="18" t="inlineStr">
        <is>
          <t>S29</t>
        </is>
      </c>
      <c r="D166" s="20">
        <f>IFERROR(SUMIFS(Ordenes!$P$2:$P$840,Ordenes!$C$2:$C$840,$B166,Ordenes!$T$2:$T$840,"Válida",Ordenes!$F$2:$F$840,"B Hormigón")/SUMIFS(Ordenes!$Q$2:$Q$840,Ordenes!$C$2:$C$840,$B166,Ordenes!$T$2:$T$840,"Válida",Ordenes!$F$2:$F$840,"B Hormigón"),"")</f>
        <v/>
      </c>
      <c r="E166" s="20">
        <f>IFERROR(SUMIFS(Ordenes!$P$2:$P$840,Ordenes!$C$2:$C$840,$B166,Ordenes!$T$2:$T$840,"Válida",Ordenes!$F$2:$F$840,"Redondo liso")/SUMIFS(Ordenes!$Q$2:$Q$840,Ordenes!$C$2:$C$840,$B166,Ordenes!$T$2:$T$840,"Válida",Ordenes!$F$2:$F$840,"Redondo liso"),"")</f>
        <v/>
      </c>
      <c r="F166" s="20">
        <f>IFERROR(SUMIFS(Ordenes!$P$2:$P$840,Ordenes!$C$2:$C$840,$B166,Ordenes!$T$2:$T$840,"Válida",Ordenes!$F$2:$F$840,"Plana")/SUMIFS(Ordenes!$Q$2:$Q$840,Ordenes!$C$2:$C$840,$B166,Ordenes!$T$2:$T$840,"Válida",Ordenes!$F$2:$F$840,"Plana"),"")</f>
        <v/>
      </c>
      <c r="G166" s="20">
        <f>IFERROR(SUMIFS(Ordenes!$P$2:$P$840,Ordenes!$C$2:$C$840,$B166,Ordenes!$T$2:$T$840,"Válida",Ordenes!$F$2:$F$840,"Ángulo")/SUMIFS(Ordenes!$Q$2:$Q$840,Ordenes!$C$2:$C$840,$B166,Ordenes!$T$2:$T$840,"Válida",Ordenes!$F$2:$F$840,"Ángulo"),"")</f>
        <v/>
      </c>
      <c r="H166" s="20">
        <f>IFERROR(SUMIFS(Ordenes!$P$2:$P$840,Ordenes!$C$2:$C$840,$B166,Ordenes!$T$2:$T$840,"Válida",Ordenes!$F$2:$F$840,"Cuadrado")/SUMIFS(Ordenes!$Q$2:$Q$840,Ordenes!$C$2:$C$840,$B166,Ordenes!$T$2:$T$840,"Válida",Ordenes!$F$2:$F$840,"Cuadrado"),"")</f>
        <v/>
      </c>
      <c r="I166" s="20">
        <f>IFERROR(SUMIFS(Ordenes!$P$2:$P$840,Ordenes!$C$2:$C$840,$B166,Ordenes!$T$2:$T$840,"Válida",Ordenes!$F$2:$F$840,"Estrella")/SUMIFS(Ordenes!$Q$2:$Q$840,Ordenes!$C$2:$C$840,$B166,Ordenes!$T$2:$T$840,"Válida",Ordenes!$F$2:$F$840,"Estrella"),"")</f>
        <v/>
      </c>
      <c r="J166" s="20">
        <f>IFERROR(SUMIFS(Ordenes!$P$2:$P$840,Ordenes!$C$2:$C$840,$B166,Ordenes!$T$2:$T$840,"Válida",Ordenes!$F$2:$F$840,"Saferock")/SUMIFS(Ordenes!$Q$2:$Q$840,Ordenes!$C$2:$C$840,$B166,Ordenes!$T$2:$T$840,"Válida",Ordenes!$F$2:$F$840,"Saferock"),"")</f>
        <v/>
      </c>
      <c r="K166" s="20">
        <f>IFERROR(SUMIFS(Ordenes!$P$2:$P$840,Ordenes!$C$2:$C$840,$B166,Ordenes!$T$2:$T$840,"Válida",Ordenes!$F$2:$F$840,"Hexágono")/SUMIFS(Ordenes!$Q$2:$Q$840,Ordenes!$C$2:$C$840,$B166,Ordenes!$T$2:$T$840,"Válida",Ordenes!$F$2:$F$840,"Hexágono"),"")</f>
        <v/>
      </c>
      <c r="L166" s="24">
        <f>IFERROR(SUMIFS(Ordenes!$P$2:$P$840,Ordenes!$C$2:$C$840,$B166,Ordenes!$T$2:$T$840,"Válida",Ordenes!$F$2:$F$840,"*")/SUMIFS(Ordenes!$Q$2:$Q$840,Ordenes!$C$2:$C$840,$B166,Ordenes!$T$2:$T$840,"Válida",Ordenes!$F$2:$F$840,"*"),"")</f>
        <v/>
      </c>
      <c r="M166" s="20">
        <f>IFERROR(SUMIFS(Ordenes!$V$2:$V$840,Ordenes!$C$2:$C$840,$B166,Ordenes!$T$2:$T$840,"Válida")/SUMIFS(Ordenes!$Q$2:$Q$840,Ordenes!$C$2:$C$840,$B166,Ordenes!$T$2:$T$840,"Válida"),"")</f>
        <v/>
      </c>
      <c r="N166" s="21">
        <f>IFERROR((L166-M166)*100,"")</f>
        <v/>
      </c>
      <c r="O166" s="19">
        <f>SUMIFS(Ordenes!$P$2:$P$840,Ordenes!$C$2:$C$840,$B166,Ordenes!$T$2:$T$840,"Válida")</f>
        <v/>
      </c>
      <c r="P166" s="19">
        <f>SUMIFS(Ordenes!$Q$2:$Q$840,Ordenes!$C$2:$C$840,$B166,Ordenes!$T$2:$T$840,"Válida")</f>
        <v/>
      </c>
      <c r="Q166" s="18">
        <f>COUNTIFS(Ordenes!$C$2:$C$840,$B166,Ordenes!$T$2:$T$840,"Válida")</f>
        <v/>
      </c>
    </row>
    <row r="167">
      <c r="A167" s="18" t="inlineStr">
        <is>
          <t>Mar 14 jul 2026</t>
        </is>
      </c>
      <c r="B167" s="22" t="n">
        <v>46217</v>
      </c>
      <c r="C167" s="18" t="inlineStr">
        <is>
          <t>S29</t>
        </is>
      </c>
      <c r="D167" s="20">
        <f>IFERROR(SUMIFS(Ordenes!$P$2:$P$840,Ordenes!$C$2:$C$840,$B167,Ordenes!$T$2:$T$840,"Válida",Ordenes!$F$2:$F$840,"B Hormigón")/SUMIFS(Ordenes!$Q$2:$Q$840,Ordenes!$C$2:$C$840,$B167,Ordenes!$T$2:$T$840,"Válida",Ordenes!$F$2:$F$840,"B Hormigón"),"")</f>
        <v/>
      </c>
      <c r="E167" s="20">
        <f>IFERROR(SUMIFS(Ordenes!$P$2:$P$840,Ordenes!$C$2:$C$840,$B167,Ordenes!$T$2:$T$840,"Válida",Ordenes!$F$2:$F$840,"Redondo liso")/SUMIFS(Ordenes!$Q$2:$Q$840,Ordenes!$C$2:$C$840,$B167,Ordenes!$T$2:$T$840,"Válida",Ordenes!$F$2:$F$840,"Redondo liso"),"")</f>
        <v/>
      </c>
      <c r="F167" s="20">
        <f>IFERROR(SUMIFS(Ordenes!$P$2:$P$840,Ordenes!$C$2:$C$840,$B167,Ordenes!$T$2:$T$840,"Válida",Ordenes!$F$2:$F$840,"Plana")/SUMIFS(Ordenes!$Q$2:$Q$840,Ordenes!$C$2:$C$840,$B167,Ordenes!$T$2:$T$840,"Válida",Ordenes!$F$2:$F$840,"Plana"),"")</f>
        <v/>
      </c>
      <c r="G167" s="20">
        <f>IFERROR(SUMIFS(Ordenes!$P$2:$P$840,Ordenes!$C$2:$C$840,$B167,Ordenes!$T$2:$T$840,"Válida",Ordenes!$F$2:$F$840,"Ángulo")/SUMIFS(Ordenes!$Q$2:$Q$840,Ordenes!$C$2:$C$840,$B167,Ordenes!$T$2:$T$840,"Válida",Ordenes!$F$2:$F$840,"Ángulo"),"")</f>
        <v/>
      </c>
      <c r="H167" s="20">
        <f>IFERROR(SUMIFS(Ordenes!$P$2:$P$840,Ordenes!$C$2:$C$840,$B167,Ordenes!$T$2:$T$840,"Válida",Ordenes!$F$2:$F$840,"Cuadrado")/SUMIFS(Ordenes!$Q$2:$Q$840,Ordenes!$C$2:$C$840,$B167,Ordenes!$T$2:$T$840,"Válida",Ordenes!$F$2:$F$840,"Cuadrado"),"")</f>
        <v/>
      </c>
      <c r="I167" s="20">
        <f>IFERROR(SUMIFS(Ordenes!$P$2:$P$840,Ordenes!$C$2:$C$840,$B167,Ordenes!$T$2:$T$840,"Válida",Ordenes!$F$2:$F$840,"Estrella")/SUMIFS(Ordenes!$Q$2:$Q$840,Ordenes!$C$2:$C$840,$B167,Ordenes!$T$2:$T$840,"Válida",Ordenes!$F$2:$F$840,"Estrella"),"")</f>
        <v/>
      </c>
      <c r="J167" s="20">
        <f>IFERROR(SUMIFS(Ordenes!$P$2:$P$840,Ordenes!$C$2:$C$840,$B167,Ordenes!$T$2:$T$840,"Válida",Ordenes!$F$2:$F$840,"Saferock")/SUMIFS(Ordenes!$Q$2:$Q$840,Ordenes!$C$2:$C$840,$B167,Ordenes!$T$2:$T$840,"Válida",Ordenes!$F$2:$F$840,"Saferock"),"")</f>
        <v/>
      </c>
      <c r="K167" s="20">
        <f>IFERROR(SUMIFS(Ordenes!$P$2:$P$840,Ordenes!$C$2:$C$840,$B167,Ordenes!$T$2:$T$840,"Válida",Ordenes!$F$2:$F$840,"Hexágono")/SUMIFS(Ordenes!$Q$2:$Q$840,Ordenes!$C$2:$C$840,$B167,Ordenes!$T$2:$T$840,"Válida",Ordenes!$F$2:$F$840,"Hexágono"),"")</f>
        <v/>
      </c>
      <c r="L167" s="24">
        <f>IFERROR(SUMIFS(Ordenes!$P$2:$P$840,Ordenes!$C$2:$C$840,$B167,Ordenes!$T$2:$T$840,"Válida",Ordenes!$F$2:$F$840,"*")/SUMIFS(Ordenes!$Q$2:$Q$840,Ordenes!$C$2:$C$840,$B167,Ordenes!$T$2:$T$840,"Válida",Ordenes!$F$2:$F$840,"*"),"")</f>
        <v/>
      </c>
      <c r="M167" s="20">
        <f>IFERROR(SUMIFS(Ordenes!$V$2:$V$840,Ordenes!$C$2:$C$840,$B167,Ordenes!$T$2:$T$840,"Válida")/SUMIFS(Ordenes!$Q$2:$Q$840,Ordenes!$C$2:$C$840,$B167,Ordenes!$T$2:$T$840,"Válida"),"")</f>
        <v/>
      </c>
      <c r="N167" s="21">
        <f>IFERROR((L167-M167)*100,"")</f>
        <v/>
      </c>
      <c r="O167" s="19">
        <f>SUMIFS(Ordenes!$P$2:$P$840,Ordenes!$C$2:$C$840,$B167,Ordenes!$T$2:$T$840,"Válida")</f>
        <v/>
      </c>
      <c r="P167" s="19">
        <f>SUMIFS(Ordenes!$Q$2:$Q$840,Ordenes!$C$2:$C$840,$B167,Ordenes!$T$2:$T$840,"Válida")</f>
        <v/>
      </c>
      <c r="Q167" s="18">
        <f>COUNTIFS(Ordenes!$C$2:$C$840,$B167,Ordenes!$T$2:$T$840,"Válida")</f>
        <v/>
      </c>
    </row>
    <row r="168">
      <c r="A168" s="18" t="inlineStr">
        <is>
          <t>Mié 15 jul 2026</t>
        </is>
      </c>
      <c r="B168" s="22" t="n">
        <v>46218</v>
      </c>
      <c r="C168" s="18" t="inlineStr">
        <is>
          <t>S29</t>
        </is>
      </c>
      <c r="D168" s="20">
        <f>IFERROR(SUMIFS(Ordenes!$P$2:$P$840,Ordenes!$C$2:$C$840,$B168,Ordenes!$T$2:$T$840,"Válida",Ordenes!$F$2:$F$840,"B Hormigón")/SUMIFS(Ordenes!$Q$2:$Q$840,Ordenes!$C$2:$C$840,$B168,Ordenes!$T$2:$T$840,"Válida",Ordenes!$F$2:$F$840,"B Hormigón"),"")</f>
        <v/>
      </c>
      <c r="E168" s="20">
        <f>IFERROR(SUMIFS(Ordenes!$P$2:$P$840,Ordenes!$C$2:$C$840,$B168,Ordenes!$T$2:$T$840,"Válida",Ordenes!$F$2:$F$840,"Redondo liso")/SUMIFS(Ordenes!$Q$2:$Q$840,Ordenes!$C$2:$C$840,$B168,Ordenes!$T$2:$T$840,"Válida",Ordenes!$F$2:$F$840,"Redondo liso"),"")</f>
        <v/>
      </c>
      <c r="F168" s="20">
        <f>IFERROR(SUMIFS(Ordenes!$P$2:$P$840,Ordenes!$C$2:$C$840,$B168,Ordenes!$T$2:$T$840,"Válida",Ordenes!$F$2:$F$840,"Plana")/SUMIFS(Ordenes!$Q$2:$Q$840,Ordenes!$C$2:$C$840,$B168,Ordenes!$T$2:$T$840,"Válida",Ordenes!$F$2:$F$840,"Plana"),"")</f>
        <v/>
      </c>
      <c r="G168" s="20">
        <f>IFERROR(SUMIFS(Ordenes!$P$2:$P$840,Ordenes!$C$2:$C$840,$B168,Ordenes!$T$2:$T$840,"Válida",Ordenes!$F$2:$F$840,"Ángulo")/SUMIFS(Ordenes!$Q$2:$Q$840,Ordenes!$C$2:$C$840,$B168,Ordenes!$T$2:$T$840,"Válida",Ordenes!$F$2:$F$840,"Ángulo"),"")</f>
        <v/>
      </c>
      <c r="H168" s="20">
        <f>IFERROR(SUMIFS(Ordenes!$P$2:$P$840,Ordenes!$C$2:$C$840,$B168,Ordenes!$T$2:$T$840,"Válida",Ordenes!$F$2:$F$840,"Cuadrado")/SUMIFS(Ordenes!$Q$2:$Q$840,Ordenes!$C$2:$C$840,$B168,Ordenes!$T$2:$T$840,"Válida",Ordenes!$F$2:$F$840,"Cuadrado"),"")</f>
        <v/>
      </c>
      <c r="I168" s="20">
        <f>IFERROR(SUMIFS(Ordenes!$P$2:$P$840,Ordenes!$C$2:$C$840,$B168,Ordenes!$T$2:$T$840,"Válida",Ordenes!$F$2:$F$840,"Estrella")/SUMIFS(Ordenes!$Q$2:$Q$840,Ordenes!$C$2:$C$840,$B168,Ordenes!$T$2:$T$840,"Válida",Ordenes!$F$2:$F$840,"Estrella"),"")</f>
        <v/>
      </c>
      <c r="J168" s="20">
        <f>IFERROR(SUMIFS(Ordenes!$P$2:$P$840,Ordenes!$C$2:$C$840,$B168,Ordenes!$T$2:$T$840,"Válida",Ordenes!$F$2:$F$840,"Saferock")/SUMIFS(Ordenes!$Q$2:$Q$840,Ordenes!$C$2:$C$840,$B168,Ordenes!$T$2:$T$840,"Válida",Ordenes!$F$2:$F$840,"Saferock"),"")</f>
        <v/>
      </c>
      <c r="K168" s="20">
        <f>IFERROR(SUMIFS(Ordenes!$P$2:$P$840,Ordenes!$C$2:$C$840,$B168,Ordenes!$T$2:$T$840,"Válida",Ordenes!$F$2:$F$840,"Hexágono")/SUMIFS(Ordenes!$Q$2:$Q$840,Ordenes!$C$2:$C$840,$B168,Ordenes!$T$2:$T$840,"Válida",Ordenes!$F$2:$F$840,"Hexágono"),"")</f>
        <v/>
      </c>
      <c r="L168" s="24">
        <f>IFERROR(SUMIFS(Ordenes!$P$2:$P$840,Ordenes!$C$2:$C$840,$B168,Ordenes!$T$2:$T$840,"Válida",Ordenes!$F$2:$F$840,"*")/SUMIFS(Ordenes!$Q$2:$Q$840,Ordenes!$C$2:$C$840,$B168,Ordenes!$T$2:$T$840,"Válida",Ordenes!$F$2:$F$840,"*"),"")</f>
        <v/>
      </c>
      <c r="M168" s="20">
        <f>IFERROR(SUMIFS(Ordenes!$V$2:$V$840,Ordenes!$C$2:$C$840,$B168,Ordenes!$T$2:$T$840,"Válida")/SUMIFS(Ordenes!$Q$2:$Q$840,Ordenes!$C$2:$C$840,$B168,Ordenes!$T$2:$T$840,"Válida"),"")</f>
        <v/>
      </c>
      <c r="N168" s="21">
        <f>IFERROR((L168-M168)*100,"")</f>
        <v/>
      </c>
      <c r="O168" s="19">
        <f>SUMIFS(Ordenes!$P$2:$P$840,Ordenes!$C$2:$C$840,$B168,Ordenes!$T$2:$T$840,"Válida")</f>
        <v/>
      </c>
      <c r="P168" s="19">
        <f>SUMIFS(Ordenes!$Q$2:$Q$840,Ordenes!$C$2:$C$840,$B168,Ordenes!$T$2:$T$840,"Válida")</f>
        <v/>
      </c>
      <c r="Q168" s="18">
        <f>COUNTIFS(Ordenes!$C$2:$C$840,$B168,Ordenes!$T$2:$T$840,"Válida")</f>
        <v/>
      </c>
    </row>
    <row r="169">
      <c r="A169" s="18" t="inlineStr">
        <is>
          <t>Jue 16 jul 2026</t>
        </is>
      </c>
      <c r="B169" s="22" t="n">
        <v>46219</v>
      </c>
      <c r="C169" s="18" t="inlineStr">
        <is>
          <t>S29</t>
        </is>
      </c>
      <c r="D169" s="20">
        <f>IFERROR(SUMIFS(Ordenes!$P$2:$P$840,Ordenes!$C$2:$C$840,$B169,Ordenes!$T$2:$T$840,"Válida",Ordenes!$F$2:$F$840,"B Hormigón")/SUMIFS(Ordenes!$Q$2:$Q$840,Ordenes!$C$2:$C$840,$B169,Ordenes!$T$2:$T$840,"Válida",Ordenes!$F$2:$F$840,"B Hormigón"),"")</f>
        <v/>
      </c>
      <c r="E169" s="20">
        <f>IFERROR(SUMIFS(Ordenes!$P$2:$P$840,Ordenes!$C$2:$C$840,$B169,Ordenes!$T$2:$T$840,"Válida",Ordenes!$F$2:$F$840,"Redondo liso")/SUMIFS(Ordenes!$Q$2:$Q$840,Ordenes!$C$2:$C$840,$B169,Ordenes!$T$2:$T$840,"Válida",Ordenes!$F$2:$F$840,"Redondo liso"),"")</f>
        <v/>
      </c>
      <c r="F169" s="20">
        <f>IFERROR(SUMIFS(Ordenes!$P$2:$P$840,Ordenes!$C$2:$C$840,$B169,Ordenes!$T$2:$T$840,"Válida",Ordenes!$F$2:$F$840,"Plana")/SUMIFS(Ordenes!$Q$2:$Q$840,Ordenes!$C$2:$C$840,$B169,Ordenes!$T$2:$T$840,"Válida",Ordenes!$F$2:$F$840,"Plana"),"")</f>
        <v/>
      </c>
      <c r="G169" s="20">
        <f>IFERROR(SUMIFS(Ordenes!$P$2:$P$840,Ordenes!$C$2:$C$840,$B169,Ordenes!$T$2:$T$840,"Válida",Ordenes!$F$2:$F$840,"Ángulo")/SUMIFS(Ordenes!$Q$2:$Q$840,Ordenes!$C$2:$C$840,$B169,Ordenes!$T$2:$T$840,"Válida",Ordenes!$F$2:$F$840,"Ángulo"),"")</f>
        <v/>
      </c>
      <c r="H169" s="20">
        <f>IFERROR(SUMIFS(Ordenes!$P$2:$P$840,Ordenes!$C$2:$C$840,$B169,Ordenes!$T$2:$T$840,"Válida",Ordenes!$F$2:$F$840,"Cuadrado")/SUMIFS(Ordenes!$Q$2:$Q$840,Ordenes!$C$2:$C$840,$B169,Ordenes!$T$2:$T$840,"Válida",Ordenes!$F$2:$F$840,"Cuadrado"),"")</f>
        <v/>
      </c>
      <c r="I169" s="20">
        <f>IFERROR(SUMIFS(Ordenes!$P$2:$P$840,Ordenes!$C$2:$C$840,$B169,Ordenes!$T$2:$T$840,"Válida",Ordenes!$F$2:$F$840,"Estrella")/SUMIFS(Ordenes!$Q$2:$Q$840,Ordenes!$C$2:$C$840,$B169,Ordenes!$T$2:$T$840,"Válida",Ordenes!$F$2:$F$840,"Estrella"),"")</f>
        <v/>
      </c>
      <c r="J169" s="20">
        <f>IFERROR(SUMIFS(Ordenes!$P$2:$P$840,Ordenes!$C$2:$C$840,$B169,Ordenes!$T$2:$T$840,"Válida",Ordenes!$F$2:$F$840,"Saferock")/SUMIFS(Ordenes!$Q$2:$Q$840,Ordenes!$C$2:$C$840,$B169,Ordenes!$T$2:$T$840,"Válida",Ordenes!$F$2:$F$840,"Saferock"),"")</f>
        <v/>
      </c>
      <c r="K169" s="20">
        <f>IFERROR(SUMIFS(Ordenes!$P$2:$P$840,Ordenes!$C$2:$C$840,$B169,Ordenes!$T$2:$T$840,"Válida",Ordenes!$F$2:$F$840,"Hexágono")/SUMIFS(Ordenes!$Q$2:$Q$840,Ordenes!$C$2:$C$840,$B169,Ordenes!$T$2:$T$840,"Válida",Ordenes!$F$2:$F$840,"Hexágono"),"")</f>
        <v/>
      </c>
      <c r="L169" s="24">
        <f>IFERROR(SUMIFS(Ordenes!$P$2:$P$840,Ordenes!$C$2:$C$840,$B169,Ordenes!$T$2:$T$840,"Válida",Ordenes!$F$2:$F$840,"*")/SUMIFS(Ordenes!$Q$2:$Q$840,Ordenes!$C$2:$C$840,$B169,Ordenes!$T$2:$T$840,"Válida",Ordenes!$F$2:$F$840,"*"),"")</f>
        <v/>
      </c>
      <c r="M169" s="20">
        <f>IFERROR(SUMIFS(Ordenes!$V$2:$V$840,Ordenes!$C$2:$C$840,$B169,Ordenes!$T$2:$T$840,"Válida")/SUMIFS(Ordenes!$Q$2:$Q$840,Ordenes!$C$2:$C$840,$B169,Ordenes!$T$2:$T$840,"Válida"),"")</f>
        <v/>
      </c>
      <c r="N169" s="21">
        <f>IFERROR((L169-M169)*100,"")</f>
        <v/>
      </c>
      <c r="O169" s="19">
        <f>SUMIFS(Ordenes!$P$2:$P$840,Ordenes!$C$2:$C$840,$B169,Ordenes!$T$2:$T$840,"Válida")</f>
        <v/>
      </c>
      <c r="P169" s="19">
        <f>SUMIFS(Ordenes!$Q$2:$Q$840,Ordenes!$C$2:$C$840,$B169,Ordenes!$T$2:$T$840,"Válida")</f>
        <v/>
      </c>
      <c r="Q169" s="18">
        <f>COUNTIFS(Ordenes!$C$2:$C$840,$B169,Ordenes!$T$2:$T$840,"Válida")</f>
        <v/>
      </c>
    </row>
    <row r="170">
      <c r="A170" s="18" t="inlineStr">
        <is>
          <t>Vie 17 jul 2026</t>
        </is>
      </c>
      <c r="B170" s="22" t="n">
        <v>46220</v>
      </c>
      <c r="C170" s="18" t="inlineStr">
        <is>
          <t>S29</t>
        </is>
      </c>
      <c r="D170" s="20">
        <f>IFERROR(SUMIFS(Ordenes!$P$2:$P$840,Ordenes!$C$2:$C$840,$B170,Ordenes!$T$2:$T$840,"Válida",Ordenes!$F$2:$F$840,"B Hormigón")/SUMIFS(Ordenes!$Q$2:$Q$840,Ordenes!$C$2:$C$840,$B170,Ordenes!$T$2:$T$840,"Válida",Ordenes!$F$2:$F$840,"B Hormigón"),"")</f>
        <v/>
      </c>
      <c r="E170" s="20">
        <f>IFERROR(SUMIFS(Ordenes!$P$2:$P$840,Ordenes!$C$2:$C$840,$B170,Ordenes!$T$2:$T$840,"Válida",Ordenes!$F$2:$F$840,"Redondo liso")/SUMIFS(Ordenes!$Q$2:$Q$840,Ordenes!$C$2:$C$840,$B170,Ordenes!$T$2:$T$840,"Válida",Ordenes!$F$2:$F$840,"Redondo liso"),"")</f>
        <v/>
      </c>
      <c r="F170" s="20">
        <f>IFERROR(SUMIFS(Ordenes!$P$2:$P$840,Ordenes!$C$2:$C$840,$B170,Ordenes!$T$2:$T$840,"Válida",Ordenes!$F$2:$F$840,"Plana")/SUMIFS(Ordenes!$Q$2:$Q$840,Ordenes!$C$2:$C$840,$B170,Ordenes!$T$2:$T$840,"Válida",Ordenes!$F$2:$F$840,"Plana"),"")</f>
        <v/>
      </c>
      <c r="G170" s="20">
        <f>IFERROR(SUMIFS(Ordenes!$P$2:$P$840,Ordenes!$C$2:$C$840,$B170,Ordenes!$T$2:$T$840,"Válida",Ordenes!$F$2:$F$840,"Ángulo")/SUMIFS(Ordenes!$Q$2:$Q$840,Ordenes!$C$2:$C$840,$B170,Ordenes!$T$2:$T$840,"Válida",Ordenes!$F$2:$F$840,"Ángulo"),"")</f>
        <v/>
      </c>
      <c r="H170" s="20">
        <f>IFERROR(SUMIFS(Ordenes!$P$2:$P$840,Ordenes!$C$2:$C$840,$B170,Ordenes!$T$2:$T$840,"Válida",Ordenes!$F$2:$F$840,"Cuadrado")/SUMIFS(Ordenes!$Q$2:$Q$840,Ordenes!$C$2:$C$840,$B170,Ordenes!$T$2:$T$840,"Válida",Ordenes!$F$2:$F$840,"Cuadrado"),"")</f>
        <v/>
      </c>
      <c r="I170" s="20">
        <f>IFERROR(SUMIFS(Ordenes!$P$2:$P$840,Ordenes!$C$2:$C$840,$B170,Ordenes!$T$2:$T$840,"Válida",Ordenes!$F$2:$F$840,"Estrella")/SUMIFS(Ordenes!$Q$2:$Q$840,Ordenes!$C$2:$C$840,$B170,Ordenes!$T$2:$T$840,"Válida",Ordenes!$F$2:$F$840,"Estrella"),"")</f>
        <v/>
      </c>
      <c r="J170" s="20">
        <f>IFERROR(SUMIFS(Ordenes!$P$2:$P$840,Ordenes!$C$2:$C$840,$B170,Ordenes!$T$2:$T$840,"Válida",Ordenes!$F$2:$F$840,"Saferock")/SUMIFS(Ordenes!$Q$2:$Q$840,Ordenes!$C$2:$C$840,$B170,Ordenes!$T$2:$T$840,"Válida",Ordenes!$F$2:$F$840,"Saferock"),"")</f>
        <v/>
      </c>
      <c r="K170" s="20">
        <f>IFERROR(SUMIFS(Ordenes!$P$2:$P$840,Ordenes!$C$2:$C$840,$B170,Ordenes!$T$2:$T$840,"Válida",Ordenes!$F$2:$F$840,"Hexágono")/SUMIFS(Ordenes!$Q$2:$Q$840,Ordenes!$C$2:$C$840,$B170,Ordenes!$T$2:$T$840,"Válida",Ordenes!$F$2:$F$840,"Hexágono"),"")</f>
        <v/>
      </c>
      <c r="L170" s="24">
        <f>IFERROR(SUMIFS(Ordenes!$P$2:$P$840,Ordenes!$C$2:$C$840,$B170,Ordenes!$T$2:$T$840,"Válida",Ordenes!$F$2:$F$840,"*")/SUMIFS(Ordenes!$Q$2:$Q$840,Ordenes!$C$2:$C$840,$B170,Ordenes!$T$2:$T$840,"Válida",Ordenes!$F$2:$F$840,"*"),"")</f>
        <v/>
      </c>
      <c r="M170" s="20">
        <f>IFERROR(SUMIFS(Ordenes!$V$2:$V$840,Ordenes!$C$2:$C$840,$B170,Ordenes!$T$2:$T$840,"Válida")/SUMIFS(Ordenes!$Q$2:$Q$840,Ordenes!$C$2:$C$840,$B170,Ordenes!$T$2:$T$840,"Válida"),"")</f>
        <v/>
      </c>
      <c r="N170" s="21">
        <f>IFERROR((L170-M170)*100,"")</f>
        <v/>
      </c>
      <c r="O170" s="19">
        <f>SUMIFS(Ordenes!$P$2:$P$840,Ordenes!$C$2:$C$840,$B170,Ordenes!$T$2:$T$840,"Válida")</f>
        <v/>
      </c>
      <c r="P170" s="19">
        <f>SUMIFS(Ordenes!$Q$2:$Q$840,Ordenes!$C$2:$C$840,$B170,Ordenes!$T$2:$T$840,"Válida")</f>
        <v/>
      </c>
      <c r="Q170" s="18">
        <f>COUNTIFS(Ordenes!$C$2:$C$840,$B170,Ordenes!$T$2:$T$840,"Válida")</f>
        <v/>
      </c>
    </row>
    <row r="171">
      <c r="A171" s="18" t="inlineStr">
        <is>
          <t>Sáb 18 jul 2026</t>
        </is>
      </c>
      <c r="B171" s="22" t="n">
        <v>46221</v>
      </c>
      <c r="C171" s="18" t="inlineStr">
        <is>
          <t>S29</t>
        </is>
      </c>
      <c r="D171" s="20">
        <f>IFERROR(SUMIFS(Ordenes!$P$2:$P$840,Ordenes!$C$2:$C$840,$B171,Ordenes!$T$2:$T$840,"Válida",Ordenes!$F$2:$F$840,"B Hormigón")/SUMIFS(Ordenes!$Q$2:$Q$840,Ordenes!$C$2:$C$840,$B171,Ordenes!$T$2:$T$840,"Válida",Ordenes!$F$2:$F$840,"B Hormigón"),"")</f>
        <v/>
      </c>
      <c r="E171" s="20">
        <f>IFERROR(SUMIFS(Ordenes!$P$2:$P$840,Ordenes!$C$2:$C$840,$B171,Ordenes!$T$2:$T$840,"Válida",Ordenes!$F$2:$F$840,"Redondo liso")/SUMIFS(Ordenes!$Q$2:$Q$840,Ordenes!$C$2:$C$840,$B171,Ordenes!$T$2:$T$840,"Válida",Ordenes!$F$2:$F$840,"Redondo liso"),"")</f>
        <v/>
      </c>
      <c r="F171" s="20">
        <f>IFERROR(SUMIFS(Ordenes!$P$2:$P$840,Ordenes!$C$2:$C$840,$B171,Ordenes!$T$2:$T$840,"Válida",Ordenes!$F$2:$F$840,"Plana")/SUMIFS(Ordenes!$Q$2:$Q$840,Ordenes!$C$2:$C$840,$B171,Ordenes!$T$2:$T$840,"Válida",Ordenes!$F$2:$F$840,"Plana"),"")</f>
        <v/>
      </c>
      <c r="G171" s="20">
        <f>IFERROR(SUMIFS(Ordenes!$P$2:$P$840,Ordenes!$C$2:$C$840,$B171,Ordenes!$T$2:$T$840,"Válida",Ordenes!$F$2:$F$840,"Ángulo")/SUMIFS(Ordenes!$Q$2:$Q$840,Ordenes!$C$2:$C$840,$B171,Ordenes!$T$2:$T$840,"Válida",Ordenes!$F$2:$F$840,"Ángulo"),"")</f>
        <v/>
      </c>
      <c r="H171" s="20">
        <f>IFERROR(SUMIFS(Ordenes!$P$2:$P$840,Ordenes!$C$2:$C$840,$B171,Ordenes!$T$2:$T$840,"Válida",Ordenes!$F$2:$F$840,"Cuadrado")/SUMIFS(Ordenes!$Q$2:$Q$840,Ordenes!$C$2:$C$840,$B171,Ordenes!$T$2:$T$840,"Válida",Ordenes!$F$2:$F$840,"Cuadrado"),"")</f>
        <v/>
      </c>
      <c r="I171" s="20">
        <f>IFERROR(SUMIFS(Ordenes!$P$2:$P$840,Ordenes!$C$2:$C$840,$B171,Ordenes!$T$2:$T$840,"Válida",Ordenes!$F$2:$F$840,"Estrella")/SUMIFS(Ordenes!$Q$2:$Q$840,Ordenes!$C$2:$C$840,$B171,Ordenes!$T$2:$T$840,"Válida",Ordenes!$F$2:$F$840,"Estrella"),"")</f>
        <v/>
      </c>
      <c r="J171" s="20">
        <f>IFERROR(SUMIFS(Ordenes!$P$2:$P$840,Ordenes!$C$2:$C$840,$B171,Ordenes!$T$2:$T$840,"Válida",Ordenes!$F$2:$F$840,"Saferock")/SUMIFS(Ordenes!$Q$2:$Q$840,Ordenes!$C$2:$C$840,$B171,Ordenes!$T$2:$T$840,"Válida",Ordenes!$F$2:$F$840,"Saferock"),"")</f>
        <v/>
      </c>
      <c r="K171" s="20">
        <f>IFERROR(SUMIFS(Ordenes!$P$2:$P$840,Ordenes!$C$2:$C$840,$B171,Ordenes!$T$2:$T$840,"Válida",Ordenes!$F$2:$F$840,"Hexágono")/SUMIFS(Ordenes!$Q$2:$Q$840,Ordenes!$C$2:$C$840,$B171,Ordenes!$T$2:$T$840,"Válida",Ordenes!$F$2:$F$840,"Hexágono"),"")</f>
        <v/>
      </c>
      <c r="L171" s="24">
        <f>IFERROR(SUMIFS(Ordenes!$P$2:$P$840,Ordenes!$C$2:$C$840,$B171,Ordenes!$T$2:$T$840,"Válida",Ordenes!$F$2:$F$840,"*")/SUMIFS(Ordenes!$Q$2:$Q$840,Ordenes!$C$2:$C$840,$B171,Ordenes!$T$2:$T$840,"Válida",Ordenes!$F$2:$F$840,"*"),"")</f>
        <v/>
      </c>
      <c r="M171" s="20">
        <f>IFERROR(SUMIFS(Ordenes!$V$2:$V$840,Ordenes!$C$2:$C$840,$B171,Ordenes!$T$2:$T$840,"Válida")/SUMIFS(Ordenes!$Q$2:$Q$840,Ordenes!$C$2:$C$840,$B171,Ordenes!$T$2:$T$840,"Válida"),"")</f>
        <v/>
      </c>
      <c r="N171" s="21">
        <f>IFERROR((L171-M171)*100,"")</f>
        <v/>
      </c>
      <c r="O171" s="19">
        <f>SUMIFS(Ordenes!$P$2:$P$840,Ordenes!$C$2:$C$840,$B171,Ordenes!$T$2:$T$840,"Válida")</f>
        <v/>
      </c>
      <c r="P171" s="19">
        <f>SUMIFS(Ordenes!$Q$2:$Q$840,Ordenes!$C$2:$C$840,$B171,Ordenes!$T$2:$T$840,"Válida")</f>
        <v/>
      </c>
      <c r="Q171" s="18">
        <f>COUNTIFS(Ordenes!$C$2:$C$840,$B171,Ordenes!$T$2:$T$840,"Válida")</f>
        <v/>
      </c>
    </row>
    <row r="172">
      <c r="A172" s="18" t="inlineStr">
        <is>
          <t>Dom 19 jul 2026</t>
        </is>
      </c>
      <c r="B172" s="22" t="n">
        <v>46222</v>
      </c>
      <c r="C172" s="18" t="inlineStr">
        <is>
          <t>S29</t>
        </is>
      </c>
      <c r="D172" s="20">
        <f>IFERROR(SUMIFS(Ordenes!$P$2:$P$840,Ordenes!$C$2:$C$840,$B172,Ordenes!$T$2:$T$840,"Válida",Ordenes!$F$2:$F$840,"B Hormigón")/SUMIFS(Ordenes!$Q$2:$Q$840,Ordenes!$C$2:$C$840,$B172,Ordenes!$T$2:$T$840,"Válida",Ordenes!$F$2:$F$840,"B Hormigón"),"")</f>
        <v/>
      </c>
      <c r="E172" s="20">
        <f>IFERROR(SUMIFS(Ordenes!$P$2:$P$840,Ordenes!$C$2:$C$840,$B172,Ordenes!$T$2:$T$840,"Válida",Ordenes!$F$2:$F$840,"Redondo liso")/SUMIFS(Ordenes!$Q$2:$Q$840,Ordenes!$C$2:$C$840,$B172,Ordenes!$T$2:$T$840,"Válida",Ordenes!$F$2:$F$840,"Redondo liso"),"")</f>
        <v/>
      </c>
      <c r="F172" s="20">
        <f>IFERROR(SUMIFS(Ordenes!$P$2:$P$840,Ordenes!$C$2:$C$840,$B172,Ordenes!$T$2:$T$840,"Válida",Ordenes!$F$2:$F$840,"Plana")/SUMIFS(Ordenes!$Q$2:$Q$840,Ordenes!$C$2:$C$840,$B172,Ordenes!$T$2:$T$840,"Válida",Ordenes!$F$2:$F$840,"Plana"),"")</f>
        <v/>
      </c>
      <c r="G172" s="20">
        <f>IFERROR(SUMIFS(Ordenes!$P$2:$P$840,Ordenes!$C$2:$C$840,$B172,Ordenes!$T$2:$T$840,"Válida",Ordenes!$F$2:$F$840,"Ángulo")/SUMIFS(Ordenes!$Q$2:$Q$840,Ordenes!$C$2:$C$840,$B172,Ordenes!$T$2:$T$840,"Válida",Ordenes!$F$2:$F$840,"Ángulo"),"")</f>
        <v/>
      </c>
      <c r="H172" s="20">
        <f>IFERROR(SUMIFS(Ordenes!$P$2:$P$840,Ordenes!$C$2:$C$840,$B172,Ordenes!$T$2:$T$840,"Válida",Ordenes!$F$2:$F$840,"Cuadrado")/SUMIFS(Ordenes!$Q$2:$Q$840,Ordenes!$C$2:$C$840,$B172,Ordenes!$T$2:$T$840,"Válida",Ordenes!$F$2:$F$840,"Cuadrado"),"")</f>
        <v/>
      </c>
      <c r="I172" s="20">
        <f>IFERROR(SUMIFS(Ordenes!$P$2:$P$840,Ordenes!$C$2:$C$840,$B172,Ordenes!$T$2:$T$840,"Válida",Ordenes!$F$2:$F$840,"Estrella")/SUMIFS(Ordenes!$Q$2:$Q$840,Ordenes!$C$2:$C$840,$B172,Ordenes!$T$2:$T$840,"Válida",Ordenes!$F$2:$F$840,"Estrella"),"")</f>
        <v/>
      </c>
      <c r="J172" s="20">
        <f>IFERROR(SUMIFS(Ordenes!$P$2:$P$840,Ordenes!$C$2:$C$840,$B172,Ordenes!$T$2:$T$840,"Válida",Ordenes!$F$2:$F$840,"Saferock")/SUMIFS(Ordenes!$Q$2:$Q$840,Ordenes!$C$2:$C$840,$B172,Ordenes!$T$2:$T$840,"Válida",Ordenes!$F$2:$F$840,"Saferock"),"")</f>
        <v/>
      </c>
      <c r="K172" s="20">
        <f>IFERROR(SUMIFS(Ordenes!$P$2:$P$840,Ordenes!$C$2:$C$840,$B172,Ordenes!$T$2:$T$840,"Válida",Ordenes!$F$2:$F$840,"Hexágono")/SUMIFS(Ordenes!$Q$2:$Q$840,Ordenes!$C$2:$C$840,$B172,Ordenes!$T$2:$T$840,"Válida",Ordenes!$F$2:$F$840,"Hexágono"),"")</f>
        <v/>
      </c>
      <c r="L172" s="24">
        <f>IFERROR(SUMIFS(Ordenes!$P$2:$P$840,Ordenes!$C$2:$C$840,$B172,Ordenes!$T$2:$T$840,"Válida",Ordenes!$F$2:$F$840,"*")/SUMIFS(Ordenes!$Q$2:$Q$840,Ordenes!$C$2:$C$840,$B172,Ordenes!$T$2:$T$840,"Válida",Ordenes!$F$2:$F$840,"*"),"")</f>
        <v/>
      </c>
      <c r="M172" s="20">
        <f>IFERROR(SUMIFS(Ordenes!$V$2:$V$840,Ordenes!$C$2:$C$840,$B172,Ordenes!$T$2:$T$840,"Válida")/SUMIFS(Ordenes!$Q$2:$Q$840,Ordenes!$C$2:$C$840,$B172,Ordenes!$T$2:$T$840,"Válida"),"")</f>
        <v/>
      </c>
      <c r="N172" s="21">
        <f>IFERROR((L172-M172)*100,"")</f>
        <v/>
      </c>
      <c r="O172" s="19">
        <f>SUMIFS(Ordenes!$P$2:$P$840,Ordenes!$C$2:$C$840,$B172,Ordenes!$T$2:$T$840,"Válida")</f>
        <v/>
      </c>
      <c r="P172" s="19">
        <f>SUMIFS(Ordenes!$Q$2:$Q$840,Ordenes!$C$2:$C$840,$B172,Ordenes!$T$2:$T$840,"Válida")</f>
        <v/>
      </c>
      <c r="Q172" s="18">
        <f>COUNTIFS(Ordenes!$C$2:$C$840,$B172,Ordenes!$T$2:$T$840,"Válida")</f>
        <v/>
      </c>
    </row>
    <row r="173">
      <c r="A173" s="18" t="inlineStr">
        <is>
          <t>Lun 20 jul 2026</t>
        </is>
      </c>
      <c r="B173" s="22" t="n">
        <v>46223</v>
      </c>
      <c r="C173" s="18" t="inlineStr">
        <is>
          <t>S30</t>
        </is>
      </c>
      <c r="D173" s="20">
        <f>IFERROR(SUMIFS(Ordenes!$P$2:$P$840,Ordenes!$C$2:$C$840,$B173,Ordenes!$T$2:$T$840,"Válida",Ordenes!$F$2:$F$840,"B Hormigón")/SUMIFS(Ordenes!$Q$2:$Q$840,Ordenes!$C$2:$C$840,$B173,Ordenes!$T$2:$T$840,"Válida",Ordenes!$F$2:$F$840,"B Hormigón"),"")</f>
        <v/>
      </c>
      <c r="E173" s="20">
        <f>IFERROR(SUMIFS(Ordenes!$P$2:$P$840,Ordenes!$C$2:$C$840,$B173,Ordenes!$T$2:$T$840,"Válida",Ordenes!$F$2:$F$840,"Redondo liso")/SUMIFS(Ordenes!$Q$2:$Q$840,Ordenes!$C$2:$C$840,$B173,Ordenes!$T$2:$T$840,"Válida",Ordenes!$F$2:$F$840,"Redondo liso"),"")</f>
        <v/>
      </c>
      <c r="F173" s="20">
        <f>IFERROR(SUMIFS(Ordenes!$P$2:$P$840,Ordenes!$C$2:$C$840,$B173,Ordenes!$T$2:$T$840,"Válida",Ordenes!$F$2:$F$840,"Plana")/SUMIFS(Ordenes!$Q$2:$Q$840,Ordenes!$C$2:$C$840,$B173,Ordenes!$T$2:$T$840,"Válida",Ordenes!$F$2:$F$840,"Plana"),"")</f>
        <v/>
      </c>
      <c r="G173" s="20">
        <f>IFERROR(SUMIFS(Ordenes!$P$2:$P$840,Ordenes!$C$2:$C$840,$B173,Ordenes!$T$2:$T$840,"Válida",Ordenes!$F$2:$F$840,"Ángulo")/SUMIFS(Ordenes!$Q$2:$Q$840,Ordenes!$C$2:$C$840,$B173,Ordenes!$T$2:$T$840,"Válida",Ordenes!$F$2:$F$840,"Ángulo"),"")</f>
        <v/>
      </c>
      <c r="H173" s="20">
        <f>IFERROR(SUMIFS(Ordenes!$P$2:$P$840,Ordenes!$C$2:$C$840,$B173,Ordenes!$T$2:$T$840,"Válida",Ordenes!$F$2:$F$840,"Cuadrado")/SUMIFS(Ordenes!$Q$2:$Q$840,Ordenes!$C$2:$C$840,$B173,Ordenes!$T$2:$T$840,"Válida",Ordenes!$F$2:$F$840,"Cuadrado"),"")</f>
        <v/>
      </c>
      <c r="I173" s="20">
        <f>IFERROR(SUMIFS(Ordenes!$P$2:$P$840,Ordenes!$C$2:$C$840,$B173,Ordenes!$T$2:$T$840,"Válida",Ordenes!$F$2:$F$840,"Estrella")/SUMIFS(Ordenes!$Q$2:$Q$840,Ordenes!$C$2:$C$840,$B173,Ordenes!$T$2:$T$840,"Válida",Ordenes!$F$2:$F$840,"Estrella"),"")</f>
        <v/>
      </c>
      <c r="J173" s="20">
        <f>IFERROR(SUMIFS(Ordenes!$P$2:$P$840,Ordenes!$C$2:$C$840,$B173,Ordenes!$T$2:$T$840,"Válida",Ordenes!$F$2:$F$840,"Saferock")/SUMIFS(Ordenes!$Q$2:$Q$840,Ordenes!$C$2:$C$840,$B173,Ordenes!$T$2:$T$840,"Válida",Ordenes!$F$2:$F$840,"Saferock"),"")</f>
        <v/>
      </c>
      <c r="K173" s="20">
        <f>IFERROR(SUMIFS(Ordenes!$P$2:$P$840,Ordenes!$C$2:$C$840,$B173,Ordenes!$T$2:$T$840,"Válida",Ordenes!$F$2:$F$840,"Hexágono")/SUMIFS(Ordenes!$Q$2:$Q$840,Ordenes!$C$2:$C$840,$B173,Ordenes!$T$2:$T$840,"Válida",Ordenes!$F$2:$F$840,"Hexágono"),"")</f>
        <v/>
      </c>
      <c r="L173" s="24">
        <f>IFERROR(SUMIFS(Ordenes!$P$2:$P$840,Ordenes!$C$2:$C$840,$B173,Ordenes!$T$2:$T$840,"Válida",Ordenes!$F$2:$F$840,"*")/SUMIFS(Ordenes!$Q$2:$Q$840,Ordenes!$C$2:$C$840,$B173,Ordenes!$T$2:$T$840,"Válida",Ordenes!$F$2:$F$840,"*"),"")</f>
        <v/>
      </c>
      <c r="M173" s="20">
        <f>IFERROR(SUMIFS(Ordenes!$V$2:$V$840,Ordenes!$C$2:$C$840,$B173,Ordenes!$T$2:$T$840,"Válida")/SUMIFS(Ordenes!$Q$2:$Q$840,Ordenes!$C$2:$C$840,$B173,Ordenes!$T$2:$T$840,"Válida"),"")</f>
        <v/>
      </c>
      <c r="N173" s="21">
        <f>IFERROR((L173-M173)*100,"")</f>
        <v/>
      </c>
      <c r="O173" s="19">
        <f>SUMIFS(Ordenes!$P$2:$P$840,Ordenes!$C$2:$C$840,$B173,Ordenes!$T$2:$T$840,"Válida")</f>
        <v/>
      </c>
      <c r="P173" s="19">
        <f>SUMIFS(Ordenes!$Q$2:$Q$840,Ordenes!$C$2:$C$840,$B173,Ordenes!$T$2:$T$840,"Válida")</f>
        <v/>
      </c>
      <c r="Q173" s="18">
        <f>COUNTIFS(Ordenes!$C$2:$C$840,$B173,Ordenes!$T$2:$T$840,"Válida")</f>
        <v/>
      </c>
    </row>
    <row r="174">
      <c r="A174" s="18" t="inlineStr">
        <is>
          <t>Mar 21 jul 2026</t>
        </is>
      </c>
      <c r="B174" s="22" t="n">
        <v>46224</v>
      </c>
      <c r="C174" s="18" t="inlineStr">
        <is>
          <t>S30</t>
        </is>
      </c>
      <c r="D174" s="20">
        <f>IFERROR(SUMIFS(Ordenes!$P$2:$P$840,Ordenes!$C$2:$C$840,$B174,Ordenes!$T$2:$T$840,"Válida",Ordenes!$F$2:$F$840,"B Hormigón")/SUMIFS(Ordenes!$Q$2:$Q$840,Ordenes!$C$2:$C$840,$B174,Ordenes!$T$2:$T$840,"Válida",Ordenes!$F$2:$F$840,"B Hormigón"),"")</f>
        <v/>
      </c>
      <c r="E174" s="20">
        <f>IFERROR(SUMIFS(Ordenes!$P$2:$P$840,Ordenes!$C$2:$C$840,$B174,Ordenes!$T$2:$T$840,"Válida",Ordenes!$F$2:$F$840,"Redondo liso")/SUMIFS(Ordenes!$Q$2:$Q$840,Ordenes!$C$2:$C$840,$B174,Ordenes!$T$2:$T$840,"Válida",Ordenes!$F$2:$F$840,"Redondo liso"),"")</f>
        <v/>
      </c>
      <c r="F174" s="20">
        <f>IFERROR(SUMIFS(Ordenes!$P$2:$P$840,Ordenes!$C$2:$C$840,$B174,Ordenes!$T$2:$T$840,"Válida",Ordenes!$F$2:$F$840,"Plana")/SUMIFS(Ordenes!$Q$2:$Q$840,Ordenes!$C$2:$C$840,$B174,Ordenes!$T$2:$T$840,"Válida",Ordenes!$F$2:$F$840,"Plana"),"")</f>
        <v/>
      </c>
      <c r="G174" s="20">
        <f>IFERROR(SUMIFS(Ordenes!$P$2:$P$840,Ordenes!$C$2:$C$840,$B174,Ordenes!$T$2:$T$840,"Válida",Ordenes!$F$2:$F$840,"Ángulo")/SUMIFS(Ordenes!$Q$2:$Q$840,Ordenes!$C$2:$C$840,$B174,Ordenes!$T$2:$T$840,"Válida",Ordenes!$F$2:$F$840,"Ángulo"),"")</f>
        <v/>
      </c>
      <c r="H174" s="20">
        <f>IFERROR(SUMIFS(Ordenes!$P$2:$P$840,Ordenes!$C$2:$C$840,$B174,Ordenes!$T$2:$T$840,"Válida",Ordenes!$F$2:$F$840,"Cuadrado")/SUMIFS(Ordenes!$Q$2:$Q$840,Ordenes!$C$2:$C$840,$B174,Ordenes!$T$2:$T$840,"Válida",Ordenes!$F$2:$F$840,"Cuadrado"),"")</f>
        <v/>
      </c>
      <c r="I174" s="20">
        <f>IFERROR(SUMIFS(Ordenes!$P$2:$P$840,Ordenes!$C$2:$C$840,$B174,Ordenes!$T$2:$T$840,"Válida",Ordenes!$F$2:$F$840,"Estrella")/SUMIFS(Ordenes!$Q$2:$Q$840,Ordenes!$C$2:$C$840,$B174,Ordenes!$T$2:$T$840,"Válida",Ordenes!$F$2:$F$840,"Estrella"),"")</f>
        <v/>
      </c>
      <c r="J174" s="20">
        <f>IFERROR(SUMIFS(Ordenes!$P$2:$P$840,Ordenes!$C$2:$C$840,$B174,Ordenes!$T$2:$T$840,"Válida",Ordenes!$F$2:$F$840,"Saferock")/SUMIFS(Ordenes!$Q$2:$Q$840,Ordenes!$C$2:$C$840,$B174,Ordenes!$T$2:$T$840,"Válida",Ordenes!$F$2:$F$840,"Saferock"),"")</f>
        <v/>
      </c>
      <c r="K174" s="20">
        <f>IFERROR(SUMIFS(Ordenes!$P$2:$P$840,Ordenes!$C$2:$C$840,$B174,Ordenes!$T$2:$T$840,"Válida",Ordenes!$F$2:$F$840,"Hexágono")/SUMIFS(Ordenes!$Q$2:$Q$840,Ordenes!$C$2:$C$840,$B174,Ordenes!$T$2:$T$840,"Válida",Ordenes!$F$2:$F$840,"Hexágono"),"")</f>
        <v/>
      </c>
      <c r="L174" s="24">
        <f>IFERROR(SUMIFS(Ordenes!$P$2:$P$840,Ordenes!$C$2:$C$840,$B174,Ordenes!$T$2:$T$840,"Válida",Ordenes!$F$2:$F$840,"*")/SUMIFS(Ordenes!$Q$2:$Q$840,Ordenes!$C$2:$C$840,$B174,Ordenes!$T$2:$T$840,"Válida",Ordenes!$F$2:$F$840,"*"),"")</f>
        <v/>
      </c>
      <c r="M174" s="20">
        <f>IFERROR(SUMIFS(Ordenes!$V$2:$V$840,Ordenes!$C$2:$C$840,$B174,Ordenes!$T$2:$T$840,"Válida")/SUMIFS(Ordenes!$Q$2:$Q$840,Ordenes!$C$2:$C$840,$B174,Ordenes!$T$2:$T$840,"Válida"),"")</f>
        <v/>
      </c>
      <c r="N174" s="21">
        <f>IFERROR((L174-M174)*100,"")</f>
        <v/>
      </c>
      <c r="O174" s="19">
        <f>SUMIFS(Ordenes!$P$2:$P$840,Ordenes!$C$2:$C$840,$B174,Ordenes!$T$2:$T$840,"Válida")</f>
        <v/>
      </c>
      <c r="P174" s="19">
        <f>SUMIFS(Ordenes!$Q$2:$Q$840,Ordenes!$C$2:$C$840,$B174,Ordenes!$T$2:$T$840,"Válida")</f>
        <v/>
      </c>
      <c r="Q174" s="18">
        <f>COUNTIFS(Ordenes!$C$2:$C$840,$B174,Ordenes!$T$2:$T$840,"Válida")</f>
        <v/>
      </c>
    </row>
    <row r="175">
      <c r="A175" s="18" t="inlineStr">
        <is>
          <t>Jue 23 jul 2026</t>
        </is>
      </c>
      <c r="B175" s="22" t="n">
        <v>46226</v>
      </c>
      <c r="C175" s="18" t="inlineStr">
        <is>
          <t>S30</t>
        </is>
      </c>
      <c r="D175" s="20">
        <f>IFERROR(SUMIFS(Ordenes!$P$2:$P$840,Ordenes!$C$2:$C$840,$B175,Ordenes!$T$2:$T$840,"Válida",Ordenes!$F$2:$F$840,"B Hormigón")/SUMIFS(Ordenes!$Q$2:$Q$840,Ordenes!$C$2:$C$840,$B175,Ordenes!$T$2:$T$840,"Válida",Ordenes!$F$2:$F$840,"B Hormigón"),"")</f>
        <v/>
      </c>
      <c r="E175" s="20">
        <f>IFERROR(SUMIFS(Ordenes!$P$2:$P$840,Ordenes!$C$2:$C$840,$B175,Ordenes!$T$2:$T$840,"Válida",Ordenes!$F$2:$F$840,"Redondo liso")/SUMIFS(Ordenes!$Q$2:$Q$840,Ordenes!$C$2:$C$840,$B175,Ordenes!$T$2:$T$840,"Válida",Ordenes!$F$2:$F$840,"Redondo liso"),"")</f>
        <v/>
      </c>
      <c r="F175" s="20">
        <f>IFERROR(SUMIFS(Ordenes!$P$2:$P$840,Ordenes!$C$2:$C$840,$B175,Ordenes!$T$2:$T$840,"Válida",Ordenes!$F$2:$F$840,"Plana")/SUMIFS(Ordenes!$Q$2:$Q$840,Ordenes!$C$2:$C$840,$B175,Ordenes!$T$2:$T$840,"Válida",Ordenes!$F$2:$F$840,"Plana"),"")</f>
        <v/>
      </c>
      <c r="G175" s="20">
        <f>IFERROR(SUMIFS(Ordenes!$P$2:$P$840,Ordenes!$C$2:$C$840,$B175,Ordenes!$T$2:$T$840,"Válida",Ordenes!$F$2:$F$840,"Ángulo")/SUMIFS(Ordenes!$Q$2:$Q$840,Ordenes!$C$2:$C$840,$B175,Ordenes!$T$2:$T$840,"Válida",Ordenes!$F$2:$F$840,"Ángulo"),"")</f>
        <v/>
      </c>
      <c r="H175" s="20">
        <f>IFERROR(SUMIFS(Ordenes!$P$2:$P$840,Ordenes!$C$2:$C$840,$B175,Ordenes!$T$2:$T$840,"Válida",Ordenes!$F$2:$F$840,"Cuadrado")/SUMIFS(Ordenes!$Q$2:$Q$840,Ordenes!$C$2:$C$840,$B175,Ordenes!$T$2:$T$840,"Válida",Ordenes!$F$2:$F$840,"Cuadrado"),"")</f>
        <v/>
      </c>
      <c r="I175" s="20">
        <f>IFERROR(SUMIFS(Ordenes!$P$2:$P$840,Ordenes!$C$2:$C$840,$B175,Ordenes!$T$2:$T$840,"Válida",Ordenes!$F$2:$F$840,"Estrella")/SUMIFS(Ordenes!$Q$2:$Q$840,Ordenes!$C$2:$C$840,$B175,Ordenes!$T$2:$T$840,"Válida",Ordenes!$F$2:$F$840,"Estrella"),"")</f>
        <v/>
      </c>
      <c r="J175" s="20">
        <f>IFERROR(SUMIFS(Ordenes!$P$2:$P$840,Ordenes!$C$2:$C$840,$B175,Ordenes!$T$2:$T$840,"Válida",Ordenes!$F$2:$F$840,"Saferock")/SUMIFS(Ordenes!$Q$2:$Q$840,Ordenes!$C$2:$C$840,$B175,Ordenes!$T$2:$T$840,"Válida",Ordenes!$F$2:$F$840,"Saferock"),"")</f>
        <v/>
      </c>
      <c r="K175" s="20">
        <f>IFERROR(SUMIFS(Ordenes!$P$2:$P$840,Ordenes!$C$2:$C$840,$B175,Ordenes!$T$2:$T$840,"Válida",Ordenes!$F$2:$F$840,"Hexágono")/SUMIFS(Ordenes!$Q$2:$Q$840,Ordenes!$C$2:$C$840,$B175,Ordenes!$T$2:$T$840,"Válida",Ordenes!$F$2:$F$840,"Hexágono"),"")</f>
        <v/>
      </c>
      <c r="L175" s="24">
        <f>IFERROR(SUMIFS(Ordenes!$P$2:$P$840,Ordenes!$C$2:$C$840,$B175,Ordenes!$T$2:$T$840,"Válida",Ordenes!$F$2:$F$840,"*")/SUMIFS(Ordenes!$Q$2:$Q$840,Ordenes!$C$2:$C$840,$B175,Ordenes!$T$2:$T$840,"Válida",Ordenes!$F$2:$F$840,"*"),"")</f>
        <v/>
      </c>
      <c r="M175" s="20">
        <f>IFERROR(SUMIFS(Ordenes!$V$2:$V$840,Ordenes!$C$2:$C$840,$B175,Ordenes!$T$2:$T$840,"Válida")/SUMIFS(Ordenes!$Q$2:$Q$840,Ordenes!$C$2:$C$840,$B175,Ordenes!$T$2:$T$840,"Válida"),"")</f>
        <v/>
      </c>
      <c r="N175" s="21">
        <f>IFERROR((L175-M175)*100,"")</f>
        <v/>
      </c>
      <c r="O175" s="19">
        <f>SUMIFS(Ordenes!$P$2:$P$840,Ordenes!$C$2:$C$840,$B175,Ordenes!$T$2:$T$840,"Válida")</f>
        <v/>
      </c>
      <c r="P175" s="19">
        <f>SUMIFS(Ordenes!$Q$2:$Q$840,Ordenes!$C$2:$C$840,$B175,Ordenes!$T$2:$T$840,"Válida")</f>
        <v/>
      </c>
      <c r="Q175" s="18">
        <f>COUNTIFS(Ordenes!$C$2:$C$840,$B175,Ordenes!$T$2:$T$840,"Válida")</f>
        <v/>
      </c>
    </row>
    <row r="176">
      <c r="A176" s="18" t="inlineStr">
        <is>
          <t>Sáb 25 jul 2026</t>
        </is>
      </c>
      <c r="B176" s="22" t="n">
        <v>46228</v>
      </c>
      <c r="C176" s="18" t="inlineStr">
        <is>
          <t>S30</t>
        </is>
      </c>
      <c r="D176" s="20">
        <f>IFERROR(SUMIFS(Ordenes!$P$2:$P$840,Ordenes!$C$2:$C$840,$B176,Ordenes!$T$2:$T$840,"Válida",Ordenes!$F$2:$F$840,"B Hormigón")/SUMIFS(Ordenes!$Q$2:$Q$840,Ordenes!$C$2:$C$840,$B176,Ordenes!$T$2:$T$840,"Válida",Ordenes!$F$2:$F$840,"B Hormigón"),"")</f>
        <v/>
      </c>
      <c r="E176" s="20">
        <f>IFERROR(SUMIFS(Ordenes!$P$2:$P$840,Ordenes!$C$2:$C$840,$B176,Ordenes!$T$2:$T$840,"Válida",Ordenes!$F$2:$F$840,"Redondo liso")/SUMIFS(Ordenes!$Q$2:$Q$840,Ordenes!$C$2:$C$840,$B176,Ordenes!$T$2:$T$840,"Válida",Ordenes!$F$2:$F$840,"Redondo liso"),"")</f>
        <v/>
      </c>
      <c r="F176" s="20">
        <f>IFERROR(SUMIFS(Ordenes!$P$2:$P$840,Ordenes!$C$2:$C$840,$B176,Ordenes!$T$2:$T$840,"Válida",Ordenes!$F$2:$F$840,"Plana")/SUMIFS(Ordenes!$Q$2:$Q$840,Ordenes!$C$2:$C$840,$B176,Ordenes!$T$2:$T$840,"Válida",Ordenes!$F$2:$F$840,"Plana"),"")</f>
        <v/>
      </c>
      <c r="G176" s="20">
        <f>IFERROR(SUMIFS(Ordenes!$P$2:$P$840,Ordenes!$C$2:$C$840,$B176,Ordenes!$T$2:$T$840,"Válida",Ordenes!$F$2:$F$840,"Ángulo")/SUMIFS(Ordenes!$Q$2:$Q$840,Ordenes!$C$2:$C$840,$B176,Ordenes!$T$2:$T$840,"Válida",Ordenes!$F$2:$F$840,"Ángulo"),"")</f>
        <v/>
      </c>
      <c r="H176" s="20">
        <f>IFERROR(SUMIFS(Ordenes!$P$2:$P$840,Ordenes!$C$2:$C$840,$B176,Ordenes!$T$2:$T$840,"Válida",Ordenes!$F$2:$F$840,"Cuadrado")/SUMIFS(Ordenes!$Q$2:$Q$840,Ordenes!$C$2:$C$840,$B176,Ordenes!$T$2:$T$840,"Válida",Ordenes!$F$2:$F$840,"Cuadrado"),"")</f>
        <v/>
      </c>
      <c r="I176" s="20">
        <f>IFERROR(SUMIFS(Ordenes!$P$2:$P$840,Ordenes!$C$2:$C$840,$B176,Ordenes!$T$2:$T$840,"Válida",Ordenes!$F$2:$F$840,"Estrella")/SUMIFS(Ordenes!$Q$2:$Q$840,Ordenes!$C$2:$C$840,$B176,Ordenes!$T$2:$T$840,"Válida",Ordenes!$F$2:$F$840,"Estrella"),"")</f>
        <v/>
      </c>
      <c r="J176" s="20">
        <f>IFERROR(SUMIFS(Ordenes!$P$2:$P$840,Ordenes!$C$2:$C$840,$B176,Ordenes!$T$2:$T$840,"Válida",Ordenes!$F$2:$F$840,"Saferock")/SUMIFS(Ordenes!$Q$2:$Q$840,Ordenes!$C$2:$C$840,$B176,Ordenes!$T$2:$T$840,"Válida",Ordenes!$F$2:$F$840,"Saferock"),"")</f>
        <v/>
      </c>
      <c r="K176" s="20">
        <f>IFERROR(SUMIFS(Ordenes!$P$2:$P$840,Ordenes!$C$2:$C$840,$B176,Ordenes!$T$2:$T$840,"Válida",Ordenes!$F$2:$F$840,"Hexágono")/SUMIFS(Ordenes!$Q$2:$Q$840,Ordenes!$C$2:$C$840,$B176,Ordenes!$T$2:$T$840,"Válida",Ordenes!$F$2:$F$840,"Hexágono"),"")</f>
        <v/>
      </c>
      <c r="L176" s="24">
        <f>IFERROR(SUMIFS(Ordenes!$P$2:$P$840,Ordenes!$C$2:$C$840,$B176,Ordenes!$T$2:$T$840,"Válida",Ordenes!$F$2:$F$840,"*")/SUMIFS(Ordenes!$Q$2:$Q$840,Ordenes!$C$2:$C$840,$B176,Ordenes!$T$2:$T$840,"Válida",Ordenes!$F$2:$F$840,"*"),"")</f>
        <v/>
      </c>
      <c r="M176" s="20">
        <f>IFERROR(SUMIFS(Ordenes!$V$2:$V$840,Ordenes!$C$2:$C$840,$B176,Ordenes!$T$2:$T$840,"Válida")/SUMIFS(Ordenes!$Q$2:$Q$840,Ordenes!$C$2:$C$840,$B176,Ordenes!$T$2:$T$840,"Válida"),"")</f>
        <v/>
      </c>
      <c r="N176" s="21">
        <f>IFERROR((L176-M176)*100,"")</f>
        <v/>
      </c>
      <c r="O176" s="19">
        <f>SUMIFS(Ordenes!$P$2:$P$840,Ordenes!$C$2:$C$840,$B176,Ordenes!$T$2:$T$840,"Válida")</f>
        <v/>
      </c>
      <c r="P176" s="19">
        <f>SUMIFS(Ordenes!$Q$2:$Q$840,Ordenes!$C$2:$C$840,$B176,Ordenes!$T$2:$T$840,"Válida")</f>
        <v/>
      </c>
      <c r="Q176" s="18">
        <f>COUNTIFS(Ordenes!$C$2:$C$840,$B176,Ordenes!$T$2:$T$840,"Válida")</f>
        <v/>
      </c>
    </row>
    <row r="177">
      <c r="A177" s="18" t="inlineStr">
        <is>
          <t>Dom 26 jul 2026</t>
        </is>
      </c>
      <c r="B177" s="22" t="n">
        <v>46229</v>
      </c>
      <c r="C177" s="18" t="inlineStr">
        <is>
          <t>S30</t>
        </is>
      </c>
      <c r="D177" s="20">
        <f>IFERROR(SUMIFS(Ordenes!$P$2:$P$840,Ordenes!$C$2:$C$840,$B177,Ordenes!$T$2:$T$840,"Válida",Ordenes!$F$2:$F$840,"B Hormigón")/SUMIFS(Ordenes!$Q$2:$Q$840,Ordenes!$C$2:$C$840,$B177,Ordenes!$T$2:$T$840,"Válida",Ordenes!$F$2:$F$840,"B Hormigón"),"")</f>
        <v/>
      </c>
      <c r="E177" s="20">
        <f>IFERROR(SUMIFS(Ordenes!$P$2:$P$840,Ordenes!$C$2:$C$840,$B177,Ordenes!$T$2:$T$840,"Válida",Ordenes!$F$2:$F$840,"Redondo liso")/SUMIFS(Ordenes!$Q$2:$Q$840,Ordenes!$C$2:$C$840,$B177,Ordenes!$T$2:$T$840,"Válida",Ordenes!$F$2:$F$840,"Redondo liso"),"")</f>
        <v/>
      </c>
      <c r="F177" s="20">
        <f>IFERROR(SUMIFS(Ordenes!$P$2:$P$840,Ordenes!$C$2:$C$840,$B177,Ordenes!$T$2:$T$840,"Válida",Ordenes!$F$2:$F$840,"Plana")/SUMIFS(Ordenes!$Q$2:$Q$840,Ordenes!$C$2:$C$840,$B177,Ordenes!$T$2:$T$840,"Válida",Ordenes!$F$2:$F$840,"Plana"),"")</f>
        <v/>
      </c>
      <c r="G177" s="20">
        <f>IFERROR(SUMIFS(Ordenes!$P$2:$P$840,Ordenes!$C$2:$C$840,$B177,Ordenes!$T$2:$T$840,"Válida",Ordenes!$F$2:$F$840,"Ángulo")/SUMIFS(Ordenes!$Q$2:$Q$840,Ordenes!$C$2:$C$840,$B177,Ordenes!$T$2:$T$840,"Válida",Ordenes!$F$2:$F$840,"Ángulo"),"")</f>
        <v/>
      </c>
      <c r="H177" s="20">
        <f>IFERROR(SUMIFS(Ordenes!$P$2:$P$840,Ordenes!$C$2:$C$840,$B177,Ordenes!$T$2:$T$840,"Válida",Ordenes!$F$2:$F$840,"Cuadrado")/SUMIFS(Ordenes!$Q$2:$Q$840,Ordenes!$C$2:$C$840,$B177,Ordenes!$T$2:$T$840,"Válida",Ordenes!$F$2:$F$840,"Cuadrado"),"")</f>
        <v/>
      </c>
      <c r="I177" s="20">
        <f>IFERROR(SUMIFS(Ordenes!$P$2:$P$840,Ordenes!$C$2:$C$840,$B177,Ordenes!$T$2:$T$840,"Válida",Ordenes!$F$2:$F$840,"Estrella")/SUMIFS(Ordenes!$Q$2:$Q$840,Ordenes!$C$2:$C$840,$B177,Ordenes!$T$2:$T$840,"Válida",Ordenes!$F$2:$F$840,"Estrella"),"")</f>
        <v/>
      </c>
      <c r="J177" s="20">
        <f>IFERROR(SUMIFS(Ordenes!$P$2:$P$840,Ordenes!$C$2:$C$840,$B177,Ordenes!$T$2:$T$840,"Válida",Ordenes!$F$2:$F$840,"Saferock")/SUMIFS(Ordenes!$Q$2:$Q$840,Ordenes!$C$2:$C$840,$B177,Ordenes!$T$2:$T$840,"Válida",Ordenes!$F$2:$F$840,"Saferock"),"")</f>
        <v/>
      </c>
      <c r="K177" s="20">
        <f>IFERROR(SUMIFS(Ordenes!$P$2:$P$840,Ordenes!$C$2:$C$840,$B177,Ordenes!$T$2:$T$840,"Válida",Ordenes!$F$2:$F$840,"Hexágono")/SUMIFS(Ordenes!$Q$2:$Q$840,Ordenes!$C$2:$C$840,$B177,Ordenes!$T$2:$T$840,"Válida",Ordenes!$F$2:$F$840,"Hexágono"),"")</f>
        <v/>
      </c>
      <c r="L177" s="24">
        <f>IFERROR(SUMIFS(Ordenes!$P$2:$P$840,Ordenes!$C$2:$C$840,$B177,Ordenes!$T$2:$T$840,"Válida",Ordenes!$F$2:$F$840,"*")/SUMIFS(Ordenes!$Q$2:$Q$840,Ordenes!$C$2:$C$840,$B177,Ordenes!$T$2:$T$840,"Válida",Ordenes!$F$2:$F$840,"*"),"")</f>
        <v/>
      </c>
      <c r="M177" s="20">
        <f>IFERROR(SUMIFS(Ordenes!$V$2:$V$840,Ordenes!$C$2:$C$840,$B177,Ordenes!$T$2:$T$840,"Válida")/SUMIFS(Ordenes!$Q$2:$Q$840,Ordenes!$C$2:$C$840,$B177,Ordenes!$T$2:$T$840,"Válida"),"")</f>
        <v/>
      </c>
      <c r="N177" s="21">
        <f>IFERROR((L177-M177)*100,"")</f>
        <v/>
      </c>
      <c r="O177" s="19">
        <f>SUMIFS(Ordenes!$P$2:$P$840,Ordenes!$C$2:$C$840,$B177,Ordenes!$T$2:$T$840,"Válida")</f>
        <v/>
      </c>
      <c r="P177" s="19">
        <f>SUMIFS(Ordenes!$Q$2:$Q$840,Ordenes!$C$2:$C$840,$B177,Ordenes!$T$2:$T$840,"Válida")</f>
        <v/>
      </c>
      <c r="Q177" s="18">
        <f>COUNTIFS(Ordenes!$C$2:$C$840,$B177,Ordenes!$T$2:$T$840,"Válida")</f>
        <v/>
      </c>
    </row>
    <row r="178">
      <c r="A178" s="18" t="inlineStr">
        <is>
          <t>Lun 27 jul 2026</t>
        </is>
      </c>
      <c r="B178" s="22" t="n">
        <v>46230</v>
      </c>
      <c r="C178" s="18" t="inlineStr">
        <is>
          <t>S31</t>
        </is>
      </c>
      <c r="D178" s="20">
        <f>IFERROR(SUMIFS(Ordenes!$P$2:$P$840,Ordenes!$C$2:$C$840,$B178,Ordenes!$T$2:$T$840,"Válida",Ordenes!$F$2:$F$840,"B Hormigón")/SUMIFS(Ordenes!$Q$2:$Q$840,Ordenes!$C$2:$C$840,$B178,Ordenes!$T$2:$T$840,"Válida",Ordenes!$F$2:$F$840,"B Hormigón"),"")</f>
        <v/>
      </c>
      <c r="E178" s="20">
        <f>IFERROR(SUMIFS(Ordenes!$P$2:$P$840,Ordenes!$C$2:$C$840,$B178,Ordenes!$T$2:$T$840,"Válida",Ordenes!$F$2:$F$840,"Redondo liso")/SUMIFS(Ordenes!$Q$2:$Q$840,Ordenes!$C$2:$C$840,$B178,Ordenes!$T$2:$T$840,"Válida",Ordenes!$F$2:$F$840,"Redondo liso"),"")</f>
        <v/>
      </c>
      <c r="F178" s="20">
        <f>IFERROR(SUMIFS(Ordenes!$P$2:$P$840,Ordenes!$C$2:$C$840,$B178,Ordenes!$T$2:$T$840,"Válida",Ordenes!$F$2:$F$840,"Plana")/SUMIFS(Ordenes!$Q$2:$Q$840,Ordenes!$C$2:$C$840,$B178,Ordenes!$T$2:$T$840,"Válida",Ordenes!$F$2:$F$840,"Plana"),"")</f>
        <v/>
      </c>
      <c r="G178" s="20">
        <f>IFERROR(SUMIFS(Ordenes!$P$2:$P$840,Ordenes!$C$2:$C$840,$B178,Ordenes!$T$2:$T$840,"Válida",Ordenes!$F$2:$F$840,"Ángulo")/SUMIFS(Ordenes!$Q$2:$Q$840,Ordenes!$C$2:$C$840,$B178,Ordenes!$T$2:$T$840,"Válida",Ordenes!$F$2:$F$840,"Ángulo"),"")</f>
        <v/>
      </c>
      <c r="H178" s="20">
        <f>IFERROR(SUMIFS(Ordenes!$P$2:$P$840,Ordenes!$C$2:$C$840,$B178,Ordenes!$T$2:$T$840,"Válida",Ordenes!$F$2:$F$840,"Cuadrado")/SUMIFS(Ordenes!$Q$2:$Q$840,Ordenes!$C$2:$C$840,$B178,Ordenes!$T$2:$T$840,"Válida",Ordenes!$F$2:$F$840,"Cuadrado"),"")</f>
        <v/>
      </c>
      <c r="I178" s="20">
        <f>IFERROR(SUMIFS(Ordenes!$P$2:$P$840,Ordenes!$C$2:$C$840,$B178,Ordenes!$T$2:$T$840,"Válida",Ordenes!$F$2:$F$840,"Estrella")/SUMIFS(Ordenes!$Q$2:$Q$840,Ordenes!$C$2:$C$840,$B178,Ordenes!$T$2:$T$840,"Válida",Ordenes!$F$2:$F$840,"Estrella"),"")</f>
        <v/>
      </c>
      <c r="J178" s="20">
        <f>IFERROR(SUMIFS(Ordenes!$P$2:$P$840,Ordenes!$C$2:$C$840,$B178,Ordenes!$T$2:$T$840,"Válida",Ordenes!$F$2:$F$840,"Saferock")/SUMIFS(Ordenes!$Q$2:$Q$840,Ordenes!$C$2:$C$840,$B178,Ordenes!$T$2:$T$840,"Válida",Ordenes!$F$2:$F$840,"Saferock"),"")</f>
        <v/>
      </c>
      <c r="K178" s="20">
        <f>IFERROR(SUMIFS(Ordenes!$P$2:$P$840,Ordenes!$C$2:$C$840,$B178,Ordenes!$T$2:$T$840,"Válida",Ordenes!$F$2:$F$840,"Hexágono")/SUMIFS(Ordenes!$Q$2:$Q$840,Ordenes!$C$2:$C$840,$B178,Ordenes!$T$2:$T$840,"Válida",Ordenes!$F$2:$F$840,"Hexágono"),"")</f>
        <v/>
      </c>
      <c r="L178" s="24">
        <f>IFERROR(SUMIFS(Ordenes!$P$2:$P$840,Ordenes!$C$2:$C$840,$B178,Ordenes!$T$2:$T$840,"Válida",Ordenes!$F$2:$F$840,"*")/SUMIFS(Ordenes!$Q$2:$Q$840,Ordenes!$C$2:$C$840,$B178,Ordenes!$T$2:$T$840,"Válida",Ordenes!$F$2:$F$840,"*"),"")</f>
        <v/>
      </c>
      <c r="M178" s="20">
        <f>IFERROR(SUMIFS(Ordenes!$V$2:$V$840,Ordenes!$C$2:$C$840,$B178,Ordenes!$T$2:$T$840,"Válida")/SUMIFS(Ordenes!$Q$2:$Q$840,Ordenes!$C$2:$C$840,$B178,Ordenes!$T$2:$T$840,"Válida"),"")</f>
        <v/>
      </c>
      <c r="N178" s="21">
        <f>IFERROR((L178-M178)*100,"")</f>
        <v/>
      </c>
      <c r="O178" s="19">
        <f>SUMIFS(Ordenes!$P$2:$P$840,Ordenes!$C$2:$C$840,$B178,Ordenes!$T$2:$T$840,"Válida")</f>
        <v/>
      </c>
      <c r="P178" s="19">
        <f>SUMIFS(Ordenes!$Q$2:$Q$840,Ordenes!$C$2:$C$840,$B178,Ordenes!$T$2:$T$840,"Válida")</f>
        <v/>
      </c>
      <c r="Q178" s="18">
        <f>COUNTIFS(Ordenes!$C$2:$C$840,$B178,Ordenes!$T$2:$T$840,"Válida")</f>
        <v/>
      </c>
    </row>
    <row r="179">
      <c r="A179" s="18" t="inlineStr">
        <is>
          <t>Mar 28 jul 2026</t>
        </is>
      </c>
      <c r="B179" s="22" t="n">
        <v>46231</v>
      </c>
      <c r="C179" s="18" t="inlineStr">
        <is>
          <t>S31</t>
        </is>
      </c>
      <c r="D179" s="20">
        <f>IFERROR(SUMIFS(Ordenes!$P$2:$P$840,Ordenes!$C$2:$C$840,$B179,Ordenes!$T$2:$T$840,"Válida",Ordenes!$F$2:$F$840,"B Hormigón")/SUMIFS(Ordenes!$Q$2:$Q$840,Ordenes!$C$2:$C$840,$B179,Ordenes!$T$2:$T$840,"Válida",Ordenes!$F$2:$F$840,"B Hormigón"),"")</f>
        <v/>
      </c>
      <c r="E179" s="20">
        <f>IFERROR(SUMIFS(Ordenes!$P$2:$P$840,Ordenes!$C$2:$C$840,$B179,Ordenes!$T$2:$T$840,"Válida",Ordenes!$F$2:$F$840,"Redondo liso")/SUMIFS(Ordenes!$Q$2:$Q$840,Ordenes!$C$2:$C$840,$B179,Ordenes!$T$2:$T$840,"Válida",Ordenes!$F$2:$F$840,"Redondo liso"),"")</f>
        <v/>
      </c>
      <c r="F179" s="20">
        <f>IFERROR(SUMIFS(Ordenes!$P$2:$P$840,Ordenes!$C$2:$C$840,$B179,Ordenes!$T$2:$T$840,"Válida",Ordenes!$F$2:$F$840,"Plana")/SUMIFS(Ordenes!$Q$2:$Q$840,Ordenes!$C$2:$C$840,$B179,Ordenes!$T$2:$T$840,"Válida",Ordenes!$F$2:$F$840,"Plana"),"")</f>
        <v/>
      </c>
      <c r="G179" s="20">
        <f>IFERROR(SUMIFS(Ordenes!$P$2:$P$840,Ordenes!$C$2:$C$840,$B179,Ordenes!$T$2:$T$840,"Válida",Ordenes!$F$2:$F$840,"Ángulo")/SUMIFS(Ordenes!$Q$2:$Q$840,Ordenes!$C$2:$C$840,$B179,Ordenes!$T$2:$T$840,"Válida",Ordenes!$F$2:$F$840,"Ángulo"),"")</f>
        <v/>
      </c>
      <c r="H179" s="20">
        <f>IFERROR(SUMIFS(Ordenes!$P$2:$P$840,Ordenes!$C$2:$C$840,$B179,Ordenes!$T$2:$T$840,"Válida",Ordenes!$F$2:$F$840,"Cuadrado")/SUMIFS(Ordenes!$Q$2:$Q$840,Ordenes!$C$2:$C$840,$B179,Ordenes!$T$2:$T$840,"Válida",Ordenes!$F$2:$F$840,"Cuadrado"),"")</f>
        <v/>
      </c>
      <c r="I179" s="20">
        <f>IFERROR(SUMIFS(Ordenes!$P$2:$P$840,Ordenes!$C$2:$C$840,$B179,Ordenes!$T$2:$T$840,"Válida",Ordenes!$F$2:$F$840,"Estrella")/SUMIFS(Ordenes!$Q$2:$Q$840,Ordenes!$C$2:$C$840,$B179,Ordenes!$T$2:$T$840,"Válida",Ordenes!$F$2:$F$840,"Estrella"),"")</f>
        <v/>
      </c>
      <c r="J179" s="20">
        <f>IFERROR(SUMIFS(Ordenes!$P$2:$P$840,Ordenes!$C$2:$C$840,$B179,Ordenes!$T$2:$T$840,"Válida",Ordenes!$F$2:$F$840,"Saferock")/SUMIFS(Ordenes!$Q$2:$Q$840,Ordenes!$C$2:$C$840,$B179,Ordenes!$T$2:$T$840,"Válida",Ordenes!$F$2:$F$840,"Saferock"),"")</f>
        <v/>
      </c>
      <c r="K179" s="20">
        <f>IFERROR(SUMIFS(Ordenes!$P$2:$P$840,Ordenes!$C$2:$C$840,$B179,Ordenes!$T$2:$T$840,"Válida",Ordenes!$F$2:$F$840,"Hexágono")/SUMIFS(Ordenes!$Q$2:$Q$840,Ordenes!$C$2:$C$840,$B179,Ordenes!$T$2:$T$840,"Válida",Ordenes!$F$2:$F$840,"Hexágono"),"")</f>
        <v/>
      </c>
      <c r="L179" s="24">
        <f>IFERROR(SUMIFS(Ordenes!$P$2:$P$840,Ordenes!$C$2:$C$840,$B179,Ordenes!$T$2:$T$840,"Válida",Ordenes!$F$2:$F$840,"*")/SUMIFS(Ordenes!$Q$2:$Q$840,Ordenes!$C$2:$C$840,$B179,Ordenes!$T$2:$T$840,"Válida",Ordenes!$F$2:$F$840,"*"),"")</f>
        <v/>
      </c>
      <c r="M179" s="20">
        <f>IFERROR(SUMIFS(Ordenes!$V$2:$V$840,Ordenes!$C$2:$C$840,$B179,Ordenes!$T$2:$T$840,"Válida")/SUMIFS(Ordenes!$Q$2:$Q$840,Ordenes!$C$2:$C$840,$B179,Ordenes!$T$2:$T$840,"Válida"),"")</f>
        <v/>
      </c>
      <c r="N179" s="21">
        <f>IFERROR((L179-M179)*100,"")</f>
        <v/>
      </c>
      <c r="O179" s="19">
        <f>SUMIFS(Ordenes!$P$2:$P$840,Ordenes!$C$2:$C$840,$B179,Ordenes!$T$2:$T$840,"Válida")</f>
        <v/>
      </c>
      <c r="P179" s="19">
        <f>SUMIFS(Ordenes!$Q$2:$Q$840,Ordenes!$C$2:$C$840,$B179,Ordenes!$T$2:$T$840,"Válida")</f>
        <v/>
      </c>
      <c r="Q179" s="18">
        <f>COUNTIFS(Ordenes!$C$2:$C$840,$B179,Ordenes!$T$2:$T$840,"Válida")</f>
        <v/>
      </c>
    </row>
    <row r="180">
      <c r="A180" s="18" t="inlineStr">
        <is>
          <t>Jue 30 jul 2026</t>
        </is>
      </c>
      <c r="B180" s="22" t="n">
        <v>46233</v>
      </c>
      <c r="C180" s="18" t="inlineStr">
        <is>
          <t>S31</t>
        </is>
      </c>
      <c r="D180" s="20">
        <f>IFERROR(SUMIFS(Ordenes!$P$2:$P$840,Ordenes!$C$2:$C$840,$B180,Ordenes!$T$2:$T$840,"Válida",Ordenes!$F$2:$F$840,"B Hormigón")/SUMIFS(Ordenes!$Q$2:$Q$840,Ordenes!$C$2:$C$840,$B180,Ordenes!$T$2:$T$840,"Válida",Ordenes!$F$2:$F$840,"B Hormigón"),"")</f>
        <v/>
      </c>
      <c r="E180" s="20">
        <f>IFERROR(SUMIFS(Ordenes!$P$2:$P$840,Ordenes!$C$2:$C$840,$B180,Ordenes!$T$2:$T$840,"Válida",Ordenes!$F$2:$F$840,"Redondo liso")/SUMIFS(Ordenes!$Q$2:$Q$840,Ordenes!$C$2:$C$840,$B180,Ordenes!$T$2:$T$840,"Válida",Ordenes!$F$2:$F$840,"Redondo liso"),"")</f>
        <v/>
      </c>
      <c r="F180" s="20">
        <f>IFERROR(SUMIFS(Ordenes!$P$2:$P$840,Ordenes!$C$2:$C$840,$B180,Ordenes!$T$2:$T$840,"Válida",Ordenes!$F$2:$F$840,"Plana")/SUMIFS(Ordenes!$Q$2:$Q$840,Ordenes!$C$2:$C$840,$B180,Ordenes!$T$2:$T$840,"Válida",Ordenes!$F$2:$F$840,"Plana"),"")</f>
        <v/>
      </c>
      <c r="G180" s="20">
        <f>IFERROR(SUMIFS(Ordenes!$P$2:$P$840,Ordenes!$C$2:$C$840,$B180,Ordenes!$T$2:$T$840,"Válida",Ordenes!$F$2:$F$840,"Ángulo")/SUMIFS(Ordenes!$Q$2:$Q$840,Ordenes!$C$2:$C$840,$B180,Ordenes!$T$2:$T$840,"Válida",Ordenes!$F$2:$F$840,"Ángulo"),"")</f>
        <v/>
      </c>
      <c r="H180" s="20">
        <f>IFERROR(SUMIFS(Ordenes!$P$2:$P$840,Ordenes!$C$2:$C$840,$B180,Ordenes!$T$2:$T$840,"Válida",Ordenes!$F$2:$F$840,"Cuadrado")/SUMIFS(Ordenes!$Q$2:$Q$840,Ordenes!$C$2:$C$840,$B180,Ordenes!$T$2:$T$840,"Válida",Ordenes!$F$2:$F$840,"Cuadrado"),"")</f>
        <v/>
      </c>
      <c r="I180" s="20">
        <f>IFERROR(SUMIFS(Ordenes!$P$2:$P$840,Ordenes!$C$2:$C$840,$B180,Ordenes!$T$2:$T$840,"Válida",Ordenes!$F$2:$F$840,"Estrella")/SUMIFS(Ordenes!$Q$2:$Q$840,Ordenes!$C$2:$C$840,$B180,Ordenes!$T$2:$T$840,"Válida",Ordenes!$F$2:$F$840,"Estrella"),"")</f>
        <v/>
      </c>
      <c r="J180" s="20">
        <f>IFERROR(SUMIFS(Ordenes!$P$2:$P$840,Ordenes!$C$2:$C$840,$B180,Ordenes!$T$2:$T$840,"Válida",Ordenes!$F$2:$F$840,"Saferock")/SUMIFS(Ordenes!$Q$2:$Q$840,Ordenes!$C$2:$C$840,$B180,Ordenes!$T$2:$T$840,"Válida",Ordenes!$F$2:$F$840,"Saferock"),"")</f>
        <v/>
      </c>
      <c r="K180" s="20">
        <f>IFERROR(SUMIFS(Ordenes!$P$2:$P$840,Ordenes!$C$2:$C$840,$B180,Ordenes!$T$2:$T$840,"Válida",Ordenes!$F$2:$F$840,"Hexágono")/SUMIFS(Ordenes!$Q$2:$Q$840,Ordenes!$C$2:$C$840,$B180,Ordenes!$T$2:$T$840,"Válida",Ordenes!$F$2:$F$840,"Hexágono"),"")</f>
        <v/>
      </c>
      <c r="L180" s="24">
        <f>IFERROR(SUMIFS(Ordenes!$P$2:$P$840,Ordenes!$C$2:$C$840,$B180,Ordenes!$T$2:$T$840,"Válida",Ordenes!$F$2:$F$840,"*")/SUMIFS(Ordenes!$Q$2:$Q$840,Ordenes!$C$2:$C$840,$B180,Ordenes!$T$2:$T$840,"Válida",Ordenes!$F$2:$F$840,"*"),"")</f>
        <v/>
      </c>
      <c r="M180" s="20">
        <f>IFERROR(SUMIFS(Ordenes!$V$2:$V$840,Ordenes!$C$2:$C$840,$B180,Ordenes!$T$2:$T$840,"Válida")/SUMIFS(Ordenes!$Q$2:$Q$840,Ordenes!$C$2:$C$840,$B180,Ordenes!$T$2:$T$840,"Válida"),"")</f>
        <v/>
      </c>
      <c r="N180" s="21">
        <f>IFERROR((L180-M180)*100,"")</f>
        <v/>
      </c>
      <c r="O180" s="19">
        <f>SUMIFS(Ordenes!$P$2:$P$840,Ordenes!$C$2:$C$840,$B180,Ordenes!$T$2:$T$840,"Válida")</f>
        <v/>
      </c>
      <c r="P180" s="19">
        <f>SUMIFS(Ordenes!$Q$2:$Q$840,Ordenes!$C$2:$C$840,$B180,Ordenes!$T$2:$T$840,"Válida")</f>
        <v/>
      </c>
      <c r="Q180" s="18">
        <f>COUNTIFS(Ordenes!$C$2:$C$840,$B180,Ordenes!$T$2:$T$840,"Válida")</f>
        <v/>
      </c>
    </row>
    <row r="181">
      <c r="A181" s="18" t="inlineStr">
        <is>
          <t>Vie 31 jul 2026</t>
        </is>
      </c>
      <c r="B181" s="22" t="n">
        <v>46234</v>
      </c>
      <c r="C181" s="18" t="inlineStr">
        <is>
          <t>S31</t>
        </is>
      </c>
      <c r="D181" s="20">
        <f>IFERROR(SUMIFS(Ordenes!$P$2:$P$840,Ordenes!$C$2:$C$840,$B181,Ordenes!$T$2:$T$840,"Válida",Ordenes!$F$2:$F$840,"B Hormigón")/SUMIFS(Ordenes!$Q$2:$Q$840,Ordenes!$C$2:$C$840,$B181,Ordenes!$T$2:$T$840,"Válida",Ordenes!$F$2:$F$840,"B Hormigón"),"")</f>
        <v/>
      </c>
      <c r="E181" s="20">
        <f>IFERROR(SUMIFS(Ordenes!$P$2:$P$840,Ordenes!$C$2:$C$840,$B181,Ordenes!$T$2:$T$840,"Válida",Ordenes!$F$2:$F$840,"Redondo liso")/SUMIFS(Ordenes!$Q$2:$Q$840,Ordenes!$C$2:$C$840,$B181,Ordenes!$T$2:$T$840,"Válida",Ordenes!$F$2:$F$840,"Redondo liso"),"")</f>
        <v/>
      </c>
      <c r="F181" s="20">
        <f>IFERROR(SUMIFS(Ordenes!$P$2:$P$840,Ordenes!$C$2:$C$840,$B181,Ordenes!$T$2:$T$840,"Válida",Ordenes!$F$2:$F$840,"Plana")/SUMIFS(Ordenes!$Q$2:$Q$840,Ordenes!$C$2:$C$840,$B181,Ordenes!$T$2:$T$840,"Válida",Ordenes!$F$2:$F$840,"Plana"),"")</f>
        <v/>
      </c>
      <c r="G181" s="20">
        <f>IFERROR(SUMIFS(Ordenes!$P$2:$P$840,Ordenes!$C$2:$C$840,$B181,Ordenes!$T$2:$T$840,"Válida",Ordenes!$F$2:$F$840,"Ángulo")/SUMIFS(Ordenes!$Q$2:$Q$840,Ordenes!$C$2:$C$840,$B181,Ordenes!$T$2:$T$840,"Válida",Ordenes!$F$2:$F$840,"Ángulo"),"")</f>
        <v/>
      </c>
      <c r="H181" s="20">
        <f>IFERROR(SUMIFS(Ordenes!$P$2:$P$840,Ordenes!$C$2:$C$840,$B181,Ordenes!$T$2:$T$840,"Válida",Ordenes!$F$2:$F$840,"Cuadrado")/SUMIFS(Ordenes!$Q$2:$Q$840,Ordenes!$C$2:$C$840,$B181,Ordenes!$T$2:$T$840,"Válida",Ordenes!$F$2:$F$840,"Cuadrado"),"")</f>
        <v/>
      </c>
      <c r="I181" s="20">
        <f>IFERROR(SUMIFS(Ordenes!$P$2:$P$840,Ordenes!$C$2:$C$840,$B181,Ordenes!$T$2:$T$840,"Válida",Ordenes!$F$2:$F$840,"Estrella")/SUMIFS(Ordenes!$Q$2:$Q$840,Ordenes!$C$2:$C$840,$B181,Ordenes!$T$2:$T$840,"Válida",Ordenes!$F$2:$F$840,"Estrella"),"")</f>
        <v/>
      </c>
      <c r="J181" s="20">
        <f>IFERROR(SUMIFS(Ordenes!$P$2:$P$840,Ordenes!$C$2:$C$840,$B181,Ordenes!$T$2:$T$840,"Válida",Ordenes!$F$2:$F$840,"Saferock")/SUMIFS(Ordenes!$Q$2:$Q$840,Ordenes!$C$2:$C$840,$B181,Ordenes!$T$2:$T$840,"Válida",Ordenes!$F$2:$F$840,"Saferock"),"")</f>
        <v/>
      </c>
      <c r="K181" s="20">
        <f>IFERROR(SUMIFS(Ordenes!$P$2:$P$840,Ordenes!$C$2:$C$840,$B181,Ordenes!$T$2:$T$840,"Válida",Ordenes!$F$2:$F$840,"Hexágono")/SUMIFS(Ordenes!$Q$2:$Q$840,Ordenes!$C$2:$C$840,$B181,Ordenes!$T$2:$T$840,"Válida",Ordenes!$F$2:$F$840,"Hexágono"),"")</f>
        <v/>
      </c>
      <c r="L181" s="24">
        <f>IFERROR(SUMIFS(Ordenes!$P$2:$P$840,Ordenes!$C$2:$C$840,$B181,Ordenes!$T$2:$T$840,"Válida",Ordenes!$F$2:$F$840,"*")/SUMIFS(Ordenes!$Q$2:$Q$840,Ordenes!$C$2:$C$840,$B181,Ordenes!$T$2:$T$840,"Válida",Ordenes!$F$2:$F$840,"*"),"")</f>
        <v/>
      </c>
      <c r="M181" s="20">
        <f>IFERROR(SUMIFS(Ordenes!$V$2:$V$840,Ordenes!$C$2:$C$840,$B181,Ordenes!$T$2:$T$840,"Válida")/SUMIFS(Ordenes!$Q$2:$Q$840,Ordenes!$C$2:$C$840,$B181,Ordenes!$T$2:$T$840,"Válida"),"")</f>
        <v/>
      </c>
      <c r="N181" s="21">
        <f>IFERROR((L181-M181)*100,"")</f>
        <v/>
      </c>
      <c r="O181" s="19">
        <f>SUMIFS(Ordenes!$P$2:$P$840,Ordenes!$C$2:$C$840,$B181,Ordenes!$T$2:$T$840,"Válida")</f>
        <v/>
      </c>
      <c r="P181" s="19">
        <f>SUMIFS(Ordenes!$Q$2:$Q$840,Ordenes!$C$2:$C$840,$B181,Ordenes!$T$2:$T$840,"Válida")</f>
        <v/>
      </c>
      <c r="Q181" s="18">
        <f>COUNTIFS(Ordenes!$C$2:$C$840,$B181,Ordenes!$T$2:$T$840,"Válida")</f>
        <v/>
      </c>
    </row>
    <row r="182">
      <c r="A182" s="18" t="inlineStr">
        <is>
          <t>Sáb 1 ago 2026</t>
        </is>
      </c>
      <c r="B182" s="22" t="n">
        <v>46235</v>
      </c>
      <c r="C182" s="18" t="inlineStr">
        <is>
          <t>S31</t>
        </is>
      </c>
      <c r="D182" s="20">
        <f>IFERROR(SUMIFS(Ordenes!$P$2:$P$840,Ordenes!$C$2:$C$840,$B182,Ordenes!$T$2:$T$840,"Válida",Ordenes!$F$2:$F$840,"B Hormigón")/SUMIFS(Ordenes!$Q$2:$Q$840,Ordenes!$C$2:$C$840,$B182,Ordenes!$T$2:$T$840,"Válida",Ordenes!$F$2:$F$840,"B Hormigón"),"")</f>
        <v/>
      </c>
      <c r="E182" s="20">
        <f>IFERROR(SUMIFS(Ordenes!$P$2:$P$840,Ordenes!$C$2:$C$840,$B182,Ordenes!$T$2:$T$840,"Válida",Ordenes!$F$2:$F$840,"Redondo liso")/SUMIFS(Ordenes!$Q$2:$Q$840,Ordenes!$C$2:$C$840,$B182,Ordenes!$T$2:$T$840,"Válida",Ordenes!$F$2:$F$840,"Redondo liso"),"")</f>
        <v/>
      </c>
      <c r="F182" s="20">
        <f>IFERROR(SUMIFS(Ordenes!$P$2:$P$840,Ordenes!$C$2:$C$840,$B182,Ordenes!$T$2:$T$840,"Válida",Ordenes!$F$2:$F$840,"Plana")/SUMIFS(Ordenes!$Q$2:$Q$840,Ordenes!$C$2:$C$840,$B182,Ordenes!$T$2:$T$840,"Válida",Ordenes!$F$2:$F$840,"Plana"),"")</f>
        <v/>
      </c>
      <c r="G182" s="20">
        <f>IFERROR(SUMIFS(Ordenes!$P$2:$P$840,Ordenes!$C$2:$C$840,$B182,Ordenes!$T$2:$T$840,"Válida",Ordenes!$F$2:$F$840,"Ángulo")/SUMIFS(Ordenes!$Q$2:$Q$840,Ordenes!$C$2:$C$840,$B182,Ordenes!$T$2:$T$840,"Válida",Ordenes!$F$2:$F$840,"Ángulo"),"")</f>
        <v/>
      </c>
      <c r="H182" s="20">
        <f>IFERROR(SUMIFS(Ordenes!$P$2:$P$840,Ordenes!$C$2:$C$840,$B182,Ordenes!$T$2:$T$840,"Válida",Ordenes!$F$2:$F$840,"Cuadrado")/SUMIFS(Ordenes!$Q$2:$Q$840,Ordenes!$C$2:$C$840,$B182,Ordenes!$T$2:$T$840,"Válida",Ordenes!$F$2:$F$840,"Cuadrado"),"")</f>
        <v/>
      </c>
      <c r="I182" s="20">
        <f>IFERROR(SUMIFS(Ordenes!$P$2:$P$840,Ordenes!$C$2:$C$840,$B182,Ordenes!$T$2:$T$840,"Válida",Ordenes!$F$2:$F$840,"Estrella")/SUMIFS(Ordenes!$Q$2:$Q$840,Ordenes!$C$2:$C$840,$B182,Ordenes!$T$2:$T$840,"Válida",Ordenes!$F$2:$F$840,"Estrella"),"")</f>
        <v/>
      </c>
      <c r="J182" s="20">
        <f>IFERROR(SUMIFS(Ordenes!$P$2:$P$840,Ordenes!$C$2:$C$840,$B182,Ordenes!$T$2:$T$840,"Válida",Ordenes!$F$2:$F$840,"Saferock")/SUMIFS(Ordenes!$Q$2:$Q$840,Ordenes!$C$2:$C$840,$B182,Ordenes!$T$2:$T$840,"Válida",Ordenes!$F$2:$F$840,"Saferock"),"")</f>
        <v/>
      </c>
      <c r="K182" s="20">
        <f>IFERROR(SUMIFS(Ordenes!$P$2:$P$840,Ordenes!$C$2:$C$840,$B182,Ordenes!$T$2:$T$840,"Válida",Ordenes!$F$2:$F$840,"Hexágono")/SUMIFS(Ordenes!$Q$2:$Q$840,Ordenes!$C$2:$C$840,$B182,Ordenes!$T$2:$T$840,"Válida",Ordenes!$F$2:$F$840,"Hexágono"),"")</f>
        <v/>
      </c>
      <c r="L182" s="24">
        <f>IFERROR(SUMIFS(Ordenes!$P$2:$P$840,Ordenes!$C$2:$C$840,$B182,Ordenes!$T$2:$T$840,"Válida",Ordenes!$F$2:$F$840,"*")/SUMIFS(Ordenes!$Q$2:$Q$840,Ordenes!$C$2:$C$840,$B182,Ordenes!$T$2:$T$840,"Válida",Ordenes!$F$2:$F$840,"*"),"")</f>
        <v/>
      </c>
      <c r="M182" s="20">
        <f>IFERROR(SUMIFS(Ordenes!$V$2:$V$840,Ordenes!$C$2:$C$840,$B182,Ordenes!$T$2:$T$840,"Válida")/SUMIFS(Ordenes!$Q$2:$Q$840,Ordenes!$C$2:$C$840,$B182,Ordenes!$T$2:$T$840,"Válida"),"")</f>
        <v/>
      </c>
      <c r="N182" s="21">
        <f>IFERROR((L182-M182)*100,"")</f>
        <v/>
      </c>
      <c r="O182" s="19">
        <f>SUMIFS(Ordenes!$P$2:$P$840,Ordenes!$C$2:$C$840,$B182,Ordenes!$T$2:$T$840,"Válida")</f>
        <v/>
      </c>
      <c r="P182" s="19">
        <f>SUMIFS(Ordenes!$Q$2:$Q$840,Ordenes!$C$2:$C$840,$B182,Ordenes!$T$2:$T$840,"Válida")</f>
        <v/>
      </c>
      <c r="Q182" s="18">
        <f>COUNTIFS(Ordenes!$C$2:$C$840,$B182,Ordenes!$T$2:$T$840,"Válida")</f>
        <v/>
      </c>
    </row>
    <row r="183">
      <c r="A183" s="18" t="inlineStr">
        <is>
          <t>Lun 3 ago 2026</t>
        </is>
      </c>
      <c r="B183" s="22" t="n">
        <v>46237</v>
      </c>
      <c r="C183" s="18" t="inlineStr">
        <is>
          <t>S32</t>
        </is>
      </c>
      <c r="D183" s="20">
        <f>IFERROR(SUMIFS(Ordenes!$P$2:$P$840,Ordenes!$C$2:$C$840,$B183,Ordenes!$T$2:$T$840,"Válida",Ordenes!$F$2:$F$840,"B Hormigón")/SUMIFS(Ordenes!$Q$2:$Q$840,Ordenes!$C$2:$C$840,$B183,Ordenes!$T$2:$T$840,"Válida",Ordenes!$F$2:$F$840,"B Hormigón"),"")</f>
        <v/>
      </c>
      <c r="E183" s="20">
        <f>IFERROR(SUMIFS(Ordenes!$P$2:$P$840,Ordenes!$C$2:$C$840,$B183,Ordenes!$T$2:$T$840,"Válida",Ordenes!$F$2:$F$840,"Redondo liso")/SUMIFS(Ordenes!$Q$2:$Q$840,Ordenes!$C$2:$C$840,$B183,Ordenes!$T$2:$T$840,"Válida",Ordenes!$F$2:$F$840,"Redondo liso"),"")</f>
        <v/>
      </c>
      <c r="F183" s="20">
        <f>IFERROR(SUMIFS(Ordenes!$P$2:$P$840,Ordenes!$C$2:$C$840,$B183,Ordenes!$T$2:$T$840,"Válida",Ordenes!$F$2:$F$840,"Plana")/SUMIFS(Ordenes!$Q$2:$Q$840,Ordenes!$C$2:$C$840,$B183,Ordenes!$T$2:$T$840,"Válida",Ordenes!$F$2:$F$840,"Plana"),"")</f>
        <v/>
      </c>
      <c r="G183" s="20">
        <f>IFERROR(SUMIFS(Ordenes!$P$2:$P$840,Ordenes!$C$2:$C$840,$B183,Ordenes!$T$2:$T$840,"Válida",Ordenes!$F$2:$F$840,"Ángulo")/SUMIFS(Ordenes!$Q$2:$Q$840,Ordenes!$C$2:$C$840,$B183,Ordenes!$T$2:$T$840,"Válida",Ordenes!$F$2:$F$840,"Ángulo"),"")</f>
        <v/>
      </c>
      <c r="H183" s="20">
        <f>IFERROR(SUMIFS(Ordenes!$P$2:$P$840,Ordenes!$C$2:$C$840,$B183,Ordenes!$T$2:$T$840,"Válida",Ordenes!$F$2:$F$840,"Cuadrado")/SUMIFS(Ordenes!$Q$2:$Q$840,Ordenes!$C$2:$C$840,$B183,Ordenes!$T$2:$T$840,"Válida",Ordenes!$F$2:$F$840,"Cuadrado"),"")</f>
        <v/>
      </c>
      <c r="I183" s="20">
        <f>IFERROR(SUMIFS(Ordenes!$P$2:$P$840,Ordenes!$C$2:$C$840,$B183,Ordenes!$T$2:$T$840,"Válida",Ordenes!$F$2:$F$840,"Estrella")/SUMIFS(Ordenes!$Q$2:$Q$840,Ordenes!$C$2:$C$840,$B183,Ordenes!$T$2:$T$840,"Válida",Ordenes!$F$2:$F$840,"Estrella"),"")</f>
        <v/>
      </c>
      <c r="J183" s="20">
        <f>IFERROR(SUMIFS(Ordenes!$P$2:$P$840,Ordenes!$C$2:$C$840,$B183,Ordenes!$T$2:$T$840,"Válida",Ordenes!$F$2:$F$840,"Saferock")/SUMIFS(Ordenes!$Q$2:$Q$840,Ordenes!$C$2:$C$840,$B183,Ordenes!$T$2:$T$840,"Válida",Ordenes!$F$2:$F$840,"Saferock"),"")</f>
        <v/>
      </c>
      <c r="K183" s="20">
        <f>IFERROR(SUMIFS(Ordenes!$P$2:$P$840,Ordenes!$C$2:$C$840,$B183,Ordenes!$T$2:$T$840,"Válida",Ordenes!$F$2:$F$840,"Hexágono")/SUMIFS(Ordenes!$Q$2:$Q$840,Ordenes!$C$2:$C$840,$B183,Ordenes!$T$2:$T$840,"Válida",Ordenes!$F$2:$F$840,"Hexágono"),"")</f>
        <v/>
      </c>
      <c r="L183" s="24">
        <f>IFERROR(SUMIFS(Ordenes!$P$2:$P$840,Ordenes!$C$2:$C$840,$B183,Ordenes!$T$2:$T$840,"Válida",Ordenes!$F$2:$F$840,"*")/SUMIFS(Ordenes!$Q$2:$Q$840,Ordenes!$C$2:$C$840,$B183,Ordenes!$T$2:$T$840,"Válida",Ordenes!$F$2:$F$840,"*"),"")</f>
        <v/>
      </c>
      <c r="M183" s="20">
        <f>IFERROR(SUMIFS(Ordenes!$V$2:$V$840,Ordenes!$C$2:$C$840,$B183,Ordenes!$T$2:$T$840,"Válida")/SUMIFS(Ordenes!$Q$2:$Q$840,Ordenes!$C$2:$C$840,$B183,Ordenes!$T$2:$T$840,"Válida"),"")</f>
        <v/>
      </c>
      <c r="N183" s="21">
        <f>IFERROR((L183-M183)*100,"")</f>
        <v/>
      </c>
      <c r="O183" s="19">
        <f>SUMIFS(Ordenes!$P$2:$P$840,Ordenes!$C$2:$C$840,$B183,Ordenes!$T$2:$T$840,"Válida")</f>
        <v/>
      </c>
      <c r="P183" s="19">
        <f>SUMIFS(Ordenes!$Q$2:$Q$840,Ordenes!$C$2:$C$840,$B183,Ordenes!$T$2:$T$840,"Válida")</f>
        <v/>
      </c>
      <c r="Q183" s="18">
        <f>COUNTIFS(Ordenes!$C$2:$C$840,$B183,Ordenes!$T$2:$T$840,"Válida")</f>
        <v/>
      </c>
    </row>
    <row r="184">
      <c r="A184" s="18" t="inlineStr">
        <is>
          <t>Mar 4 ago 2026</t>
        </is>
      </c>
      <c r="B184" s="22" t="n">
        <v>46238</v>
      </c>
      <c r="C184" s="18" t="inlineStr">
        <is>
          <t>S32</t>
        </is>
      </c>
      <c r="D184" s="20">
        <f>IFERROR(SUMIFS(Ordenes!$P$2:$P$840,Ordenes!$C$2:$C$840,$B184,Ordenes!$T$2:$T$840,"Válida",Ordenes!$F$2:$F$840,"B Hormigón")/SUMIFS(Ordenes!$Q$2:$Q$840,Ordenes!$C$2:$C$840,$B184,Ordenes!$T$2:$T$840,"Válida",Ordenes!$F$2:$F$840,"B Hormigón"),"")</f>
        <v/>
      </c>
      <c r="E184" s="20">
        <f>IFERROR(SUMIFS(Ordenes!$P$2:$P$840,Ordenes!$C$2:$C$840,$B184,Ordenes!$T$2:$T$840,"Válida",Ordenes!$F$2:$F$840,"Redondo liso")/SUMIFS(Ordenes!$Q$2:$Q$840,Ordenes!$C$2:$C$840,$B184,Ordenes!$T$2:$T$840,"Válida",Ordenes!$F$2:$F$840,"Redondo liso"),"")</f>
        <v/>
      </c>
      <c r="F184" s="20">
        <f>IFERROR(SUMIFS(Ordenes!$P$2:$P$840,Ordenes!$C$2:$C$840,$B184,Ordenes!$T$2:$T$840,"Válida",Ordenes!$F$2:$F$840,"Plana")/SUMIFS(Ordenes!$Q$2:$Q$840,Ordenes!$C$2:$C$840,$B184,Ordenes!$T$2:$T$840,"Válida",Ordenes!$F$2:$F$840,"Plana"),"")</f>
        <v/>
      </c>
      <c r="G184" s="20">
        <f>IFERROR(SUMIFS(Ordenes!$P$2:$P$840,Ordenes!$C$2:$C$840,$B184,Ordenes!$T$2:$T$840,"Válida",Ordenes!$F$2:$F$840,"Ángulo")/SUMIFS(Ordenes!$Q$2:$Q$840,Ordenes!$C$2:$C$840,$B184,Ordenes!$T$2:$T$840,"Válida",Ordenes!$F$2:$F$840,"Ángulo"),"")</f>
        <v/>
      </c>
      <c r="H184" s="20">
        <f>IFERROR(SUMIFS(Ordenes!$P$2:$P$840,Ordenes!$C$2:$C$840,$B184,Ordenes!$T$2:$T$840,"Válida",Ordenes!$F$2:$F$840,"Cuadrado")/SUMIFS(Ordenes!$Q$2:$Q$840,Ordenes!$C$2:$C$840,$B184,Ordenes!$T$2:$T$840,"Válida",Ordenes!$F$2:$F$840,"Cuadrado"),"")</f>
        <v/>
      </c>
      <c r="I184" s="20">
        <f>IFERROR(SUMIFS(Ordenes!$P$2:$P$840,Ordenes!$C$2:$C$840,$B184,Ordenes!$T$2:$T$840,"Válida",Ordenes!$F$2:$F$840,"Estrella")/SUMIFS(Ordenes!$Q$2:$Q$840,Ordenes!$C$2:$C$840,$B184,Ordenes!$T$2:$T$840,"Válida",Ordenes!$F$2:$F$840,"Estrella"),"")</f>
        <v/>
      </c>
      <c r="J184" s="20">
        <f>IFERROR(SUMIFS(Ordenes!$P$2:$P$840,Ordenes!$C$2:$C$840,$B184,Ordenes!$T$2:$T$840,"Válida",Ordenes!$F$2:$F$840,"Saferock")/SUMIFS(Ordenes!$Q$2:$Q$840,Ordenes!$C$2:$C$840,$B184,Ordenes!$T$2:$T$840,"Válida",Ordenes!$F$2:$F$840,"Saferock"),"")</f>
        <v/>
      </c>
      <c r="K184" s="20">
        <f>IFERROR(SUMIFS(Ordenes!$P$2:$P$840,Ordenes!$C$2:$C$840,$B184,Ordenes!$T$2:$T$840,"Válida",Ordenes!$F$2:$F$840,"Hexágono")/SUMIFS(Ordenes!$Q$2:$Q$840,Ordenes!$C$2:$C$840,$B184,Ordenes!$T$2:$T$840,"Válida",Ordenes!$F$2:$F$840,"Hexágono"),"")</f>
        <v/>
      </c>
      <c r="L184" s="24">
        <f>IFERROR(SUMIFS(Ordenes!$P$2:$P$840,Ordenes!$C$2:$C$840,$B184,Ordenes!$T$2:$T$840,"Válida",Ordenes!$F$2:$F$840,"*")/SUMIFS(Ordenes!$Q$2:$Q$840,Ordenes!$C$2:$C$840,$B184,Ordenes!$T$2:$T$840,"Válida",Ordenes!$F$2:$F$840,"*"),"")</f>
        <v/>
      </c>
      <c r="M184" s="20">
        <f>IFERROR(SUMIFS(Ordenes!$V$2:$V$840,Ordenes!$C$2:$C$840,$B184,Ordenes!$T$2:$T$840,"Válida")/SUMIFS(Ordenes!$Q$2:$Q$840,Ordenes!$C$2:$C$840,$B184,Ordenes!$T$2:$T$840,"Válida"),"")</f>
        <v/>
      </c>
      <c r="N184" s="21">
        <f>IFERROR((L184-M184)*100,"")</f>
        <v/>
      </c>
      <c r="O184" s="19">
        <f>SUMIFS(Ordenes!$P$2:$P$840,Ordenes!$C$2:$C$840,$B184,Ordenes!$T$2:$T$840,"Válida")</f>
        <v/>
      </c>
      <c r="P184" s="19">
        <f>SUMIFS(Ordenes!$Q$2:$Q$840,Ordenes!$C$2:$C$840,$B184,Ordenes!$T$2:$T$840,"Válida")</f>
        <v/>
      </c>
      <c r="Q184" s="18">
        <f>COUNTIFS(Ordenes!$C$2:$C$840,$B184,Ordenes!$T$2:$T$840,"Válida")</f>
        <v/>
      </c>
    </row>
    <row r="185">
      <c r="A185" s="18" t="inlineStr">
        <is>
          <t>Mié 5 ago 2026</t>
        </is>
      </c>
      <c r="B185" s="22" t="n">
        <v>46239</v>
      </c>
      <c r="C185" s="18" t="inlineStr">
        <is>
          <t>S32</t>
        </is>
      </c>
      <c r="D185" s="20">
        <f>IFERROR(SUMIFS(Ordenes!$P$2:$P$840,Ordenes!$C$2:$C$840,$B185,Ordenes!$T$2:$T$840,"Válida",Ordenes!$F$2:$F$840,"B Hormigón")/SUMIFS(Ordenes!$Q$2:$Q$840,Ordenes!$C$2:$C$840,$B185,Ordenes!$T$2:$T$840,"Válida",Ordenes!$F$2:$F$840,"B Hormigón"),"")</f>
        <v/>
      </c>
      <c r="E185" s="20">
        <f>IFERROR(SUMIFS(Ordenes!$P$2:$P$840,Ordenes!$C$2:$C$840,$B185,Ordenes!$T$2:$T$840,"Válida",Ordenes!$F$2:$F$840,"Redondo liso")/SUMIFS(Ordenes!$Q$2:$Q$840,Ordenes!$C$2:$C$840,$B185,Ordenes!$T$2:$T$840,"Válida",Ordenes!$F$2:$F$840,"Redondo liso"),"")</f>
        <v/>
      </c>
      <c r="F185" s="20">
        <f>IFERROR(SUMIFS(Ordenes!$P$2:$P$840,Ordenes!$C$2:$C$840,$B185,Ordenes!$T$2:$T$840,"Válida",Ordenes!$F$2:$F$840,"Plana")/SUMIFS(Ordenes!$Q$2:$Q$840,Ordenes!$C$2:$C$840,$B185,Ordenes!$T$2:$T$840,"Válida",Ordenes!$F$2:$F$840,"Plana"),"")</f>
        <v/>
      </c>
      <c r="G185" s="20">
        <f>IFERROR(SUMIFS(Ordenes!$P$2:$P$840,Ordenes!$C$2:$C$840,$B185,Ordenes!$T$2:$T$840,"Válida",Ordenes!$F$2:$F$840,"Ángulo")/SUMIFS(Ordenes!$Q$2:$Q$840,Ordenes!$C$2:$C$840,$B185,Ordenes!$T$2:$T$840,"Válida",Ordenes!$F$2:$F$840,"Ángulo"),"")</f>
        <v/>
      </c>
      <c r="H185" s="20">
        <f>IFERROR(SUMIFS(Ordenes!$P$2:$P$840,Ordenes!$C$2:$C$840,$B185,Ordenes!$T$2:$T$840,"Válida",Ordenes!$F$2:$F$840,"Cuadrado")/SUMIFS(Ordenes!$Q$2:$Q$840,Ordenes!$C$2:$C$840,$B185,Ordenes!$T$2:$T$840,"Válida",Ordenes!$F$2:$F$840,"Cuadrado"),"")</f>
        <v/>
      </c>
      <c r="I185" s="20">
        <f>IFERROR(SUMIFS(Ordenes!$P$2:$P$840,Ordenes!$C$2:$C$840,$B185,Ordenes!$T$2:$T$840,"Válida",Ordenes!$F$2:$F$840,"Estrella")/SUMIFS(Ordenes!$Q$2:$Q$840,Ordenes!$C$2:$C$840,$B185,Ordenes!$T$2:$T$840,"Válida",Ordenes!$F$2:$F$840,"Estrella"),"")</f>
        <v/>
      </c>
      <c r="J185" s="20">
        <f>IFERROR(SUMIFS(Ordenes!$P$2:$P$840,Ordenes!$C$2:$C$840,$B185,Ordenes!$T$2:$T$840,"Válida",Ordenes!$F$2:$F$840,"Saferock")/SUMIFS(Ordenes!$Q$2:$Q$840,Ordenes!$C$2:$C$840,$B185,Ordenes!$T$2:$T$840,"Válida",Ordenes!$F$2:$F$840,"Saferock"),"")</f>
        <v/>
      </c>
      <c r="K185" s="20">
        <f>IFERROR(SUMIFS(Ordenes!$P$2:$P$840,Ordenes!$C$2:$C$840,$B185,Ordenes!$T$2:$T$840,"Válida",Ordenes!$F$2:$F$840,"Hexágono")/SUMIFS(Ordenes!$Q$2:$Q$840,Ordenes!$C$2:$C$840,$B185,Ordenes!$T$2:$T$840,"Válida",Ordenes!$F$2:$F$840,"Hexágono"),"")</f>
        <v/>
      </c>
      <c r="L185" s="24">
        <f>IFERROR(SUMIFS(Ordenes!$P$2:$P$840,Ordenes!$C$2:$C$840,$B185,Ordenes!$T$2:$T$840,"Válida",Ordenes!$F$2:$F$840,"*")/SUMIFS(Ordenes!$Q$2:$Q$840,Ordenes!$C$2:$C$840,$B185,Ordenes!$T$2:$T$840,"Válida",Ordenes!$F$2:$F$840,"*"),"")</f>
        <v/>
      </c>
      <c r="M185" s="20">
        <f>IFERROR(SUMIFS(Ordenes!$V$2:$V$840,Ordenes!$C$2:$C$840,$B185,Ordenes!$T$2:$T$840,"Válida")/SUMIFS(Ordenes!$Q$2:$Q$840,Ordenes!$C$2:$C$840,$B185,Ordenes!$T$2:$T$840,"Válida"),"")</f>
        <v/>
      </c>
      <c r="N185" s="21">
        <f>IFERROR((L185-M185)*100,"")</f>
        <v/>
      </c>
      <c r="O185" s="19">
        <f>SUMIFS(Ordenes!$P$2:$P$840,Ordenes!$C$2:$C$840,$B185,Ordenes!$T$2:$T$840,"Válida")</f>
        <v/>
      </c>
      <c r="P185" s="19">
        <f>SUMIFS(Ordenes!$Q$2:$Q$840,Ordenes!$C$2:$C$840,$B185,Ordenes!$T$2:$T$840,"Válida")</f>
        <v/>
      </c>
      <c r="Q185" s="18">
        <f>COUNTIFS(Ordenes!$C$2:$C$840,$B185,Ordenes!$T$2:$T$840,"Válida")</f>
        <v/>
      </c>
    </row>
    <row r="186">
      <c r="A186" s="18" t="inlineStr">
        <is>
          <t>Jue 6 ago 2026</t>
        </is>
      </c>
      <c r="B186" s="22" t="n">
        <v>46240</v>
      </c>
      <c r="C186" s="18" t="inlineStr">
        <is>
          <t>S32</t>
        </is>
      </c>
      <c r="D186" s="20">
        <f>IFERROR(SUMIFS(Ordenes!$P$2:$P$840,Ordenes!$C$2:$C$840,$B186,Ordenes!$T$2:$T$840,"Válida",Ordenes!$F$2:$F$840,"B Hormigón")/SUMIFS(Ordenes!$Q$2:$Q$840,Ordenes!$C$2:$C$840,$B186,Ordenes!$T$2:$T$840,"Válida",Ordenes!$F$2:$F$840,"B Hormigón"),"")</f>
        <v/>
      </c>
      <c r="E186" s="20">
        <f>IFERROR(SUMIFS(Ordenes!$P$2:$P$840,Ordenes!$C$2:$C$840,$B186,Ordenes!$T$2:$T$840,"Válida",Ordenes!$F$2:$F$840,"Redondo liso")/SUMIFS(Ordenes!$Q$2:$Q$840,Ordenes!$C$2:$C$840,$B186,Ordenes!$T$2:$T$840,"Válida",Ordenes!$F$2:$F$840,"Redondo liso"),"")</f>
        <v/>
      </c>
      <c r="F186" s="20">
        <f>IFERROR(SUMIFS(Ordenes!$P$2:$P$840,Ordenes!$C$2:$C$840,$B186,Ordenes!$T$2:$T$840,"Válida",Ordenes!$F$2:$F$840,"Plana")/SUMIFS(Ordenes!$Q$2:$Q$840,Ordenes!$C$2:$C$840,$B186,Ordenes!$T$2:$T$840,"Válida",Ordenes!$F$2:$F$840,"Plana"),"")</f>
        <v/>
      </c>
      <c r="G186" s="20">
        <f>IFERROR(SUMIFS(Ordenes!$P$2:$P$840,Ordenes!$C$2:$C$840,$B186,Ordenes!$T$2:$T$840,"Válida",Ordenes!$F$2:$F$840,"Ángulo")/SUMIFS(Ordenes!$Q$2:$Q$840,Ordenes!$C$2:$C$840,$B186,Ordenes!$T$2:$T$840,"Válida",Ordenes!$F$2:$F$840,"Ángulo"),"")</f>
        <v/>
      </c>
      <c r="H186" s="20">
        <f>IFERROR(SUMIFS(Ordenes!$P$2:$P$840,Ordenes!$C$2:$C$840,$B186,Ordenes!$T$2:$T$840,"Válida",Ordenes!$F$2:$F$840,"Cuadrado")/SUMIFS(Ordenes!$Q$2:$Q$840,Ordenes!$C$2:$C$840,$B186,Ordenes!$T$2:$T$840,"Válida",Ordenes!$F$2:$F$840,"Cuadrado"),"")</f>
        <v/>
      </c>
      <c r="I186" s="20">
        <f>IFERROR(SUMIFS(Ordenes!$P$2:$P$840,Ordenes!$C$2:$C$840,$B186,Ordenes!$T$2:$T$840,"Válida",Ordenes!$F$2:$F$840,"Estrella")/SUMIFS(Ordenes!$Q$2:$Q$840,Ordenes!$C$2:$C$840,$B186,Ordenes!$T$2:$T$840,"Válida",Ordenes!$F$2:$F$840,"Estrella"),"")</f>
        <v/>
      </c>
      <c r="J186" s="20">
        <f>IFERROR(SUMIFS(Ordenes!$P$2:$P$840,Ordenes!$C$2:$C$840,$B186,Ordenes!$T$2:$T$840,"Válida",Ordenes!$F$2:$F$840,"Saferock")/SUMIFS(Ordenes!$Q$2:$Q$840,Ordenes!$C$2:$C$840,$B186,Ordenes!$T$2:$T$840,"Válida",Ordenes!$F$2:$F$840,"Saferock"),"")</f>
        <v/>
      </c>
      <c r="K186" s="20">
        <f>IFERROR(SUMIFS(Ordenes!$P$2:$P$840,Ordenes!$C$2:$C$840,$B186,Ordenes!$T$2:$T$840,"Válida",Ordenes!$F$2:$F$840,"Hexágono")/SUMIFS(Ordenes!$Q$2:$Q$840,Ordenes!$C$2:$C$840,$B186,Ordenes!$T$2:$T$840,"Válida",Ordenes!$F$2:$F$840,"Hexágono"),"")</f>
        <v/>
      </c>
      <c r="L186" s="24">
        <f>IFERROR(SUMIFS(Ordenes!$P$2:$P$840,Ordenes!$C$2:$C$840,$B186,Ordenes!$T$2:$T$840,"Válida",Ordenes!$F$2:$F$840,"*")/SUMIFS(Ordenes!$Q$2:$Q$840,Ordenes!$C$2:$C$840,$B186,Ordenes!$T$2:$T$840,"Válida",Ordenes!$F$2:$F$840,"*"),"")</f>
        <v/>
      </c>
      <c r="M186" s="20">
        <f>IFERROR(SUMIFS(Ordenes!$V$2:$V$840,Ordenes!$C$2:$C$840,$B186,Ordenes!$T$2:$T$840,"Válida")/SUMIFS(Ordenes!$Q$2:$Q$840,Ordenes!$C$2:$C$840,$B186,Ordenes!$T$2:$T$840,"Válida"),"")</f>
        <v/>
      </c>
      <c r="N186" s="21">
        <f>IFERROR((L186-M186)*100,"")</f>
        <v/>
      </c>
      <c r="O186" s="19">
        <f>SUMIFS(Ordenes!$P$2:$P$840,Ordenes!$C$2:$C$840,$B186,Ordenes!$T$2:$T$840,"Válida")</f>
        <v/>
      </c>
      <c r="P186" s="19">
        <f>SUMIFS(Ordenes!$Q$2:$Q$840,Ordenes!$C$2:$C$840,$B186,Ordenes!$T$2:$T$840,"Válida")</f>
        <v/>
      </c>
      <c r="Q186" s="18">
        <f>COUNTIFS(Ordenes!$C$2:$C$840,$B186,Ordenes!$T$2:$T$840,"Válida")</f>
        <v/>
      </c>
    </row>
    <row r="187">
      <c r="A187" s="18" t="inlineStr">
        <is>
          <t>Vie 7 ago 2026</t>
        </is>
      </c>
      <c r="B187" s="22" t="n">
        <v>46241</v>
      </c>
      <c r="C187" s="18" t="inlineStr">
        <is>
          <t>S32</t>
        </is>
      </c>
      <c r="D187" s="20">
        <f>IFERROR(SUMIFS(Ordenes!$P$2:$P$840,Ordenes!$C$2:$C$840,$B187,Ordenes!$T$2:$T$840,"Válida",Ordenes!$F$2:$F$840,"B Hormigón")/SUMIFS(Ordenes!$Q$2:$Q$840,Ordenes!$C$2:$C$840,$B187,Ordenes!$T$2:$T$840,"Válida",Ordenes!$F$2:$F$840,"B Hormigón"),"")</f>
        <v/>
      </c>
      <c r="E187" s="20">
        <f>IFERROR(SUMIFS(Ordenes!$P$2:$P$840,Ordenes!$C$2:$C$840,$B187,Ordenes!$T$2:$T$840,"Válida",Ordenes!$F$2:$F$840,"Redondo liso")/SUMIFS(Ordenes!$Q$2:$Q$840,Ordenes!$C$2:$C$840,$B187,Ordenes!$T$2:$T$840,"Válida",Ordenes!$F$2:$F$840,"Redondo liso"),"")</f>
        <v/>
      </c>
      <c r="F187" s="20">
        <f>IFERROR(SUMIFS(Ordenes!$P$2:$P$840,Ordenes!$C$2:$C$840,$B187,Ordenes!$T$2:$T$840,"Válida",Ordenes!$F$2:$F$840,"Plana")/SUMIFS(Ordenes!$Q$2:$Q$840,Ordenes!$C$2:$C$840,$B187,Ordenes!$T$2:$T$840,"Válida",Ordenes!$F$2:$F$840,"Plana"),"")</f>
        <v/>
      </c>
      <c r="G187" s="20">
        <f>IFERROR(SUMIFS(Ordenes!$P$2:$P$840,Ordenes!$C$2:$C$840,$B187,Ordenes!$T$2:$T$840,"Válida",Ordenes!$F$2:$F$840,"Ángulo")/SUMIFS(Ordenes!$Q$2:$Q$840,Ordenes!$C$2:$C$840,$B187,Ordenes!$T$2:$T$840,"Válida",Ordenes!$F$2:$F$840,"Ángulo"),"")</f>
        <v/>
      </c>
      <c r="H187" s="20">
        <f>IFERROR(SUMIFS(Ordenes!$P$2:$P$840,Ordenes!$C$2:$C$840,$B187,Ordenes!$T$2:$T$840,"Válida",Ordenes!$F$2:$F$840,"Cuadrado")/SUMIFS(Ordenes!$Q$2:$Q$840,Ordenes!$C$2:$C$840,$B187,Ordenes!$T$2:$T$840,"Válida",Ordenes!$F$2:$F$840,"Cuadrado"),"")</f>
        <v/>
      </c>
      <c r="I187" s="20">
        <f>IFERROR(SUMIFS(Ordenes!$P$2:$P$840,Ordenes!$C$2:$C$840,$B187,Ordenes!$T$2:$T$840,"Válida",Ordenes!$F$2:$F$840,"Estrella")/SUMIFS(Ordenes!$Q$2:$Q$840,Ordenes!$C$2:$C$840,$B187,Ordenes!$T$2:$T$840,"Válida",Ordenes!$F$2:$F$840,"Estrella"),"")</f>
        <v/>
      </c>
      <c r="J187" s="20">
        <f>IFERROR(SUMIFS(Ordenes!$P$2:$P$840,Ordenes!$C$2:$C$840,$B187,Ordenes!$T$2:$T$840,"Válida",Ordenes!$F$2:$F$840,"Saferock")/SUMIFS(Ordenes!$Q$2:$Q$840,Ordenes!$C$2:$C$840,$B187,Ordenes!$T$2:$T$840,"Válida",Ordenes!$F$2:$F$840,"Saferock"),"")</f>
        <v/>
      </c>
      <c r="K187" s="20">
        <f>IFERROR(SUMIFS(Ordenes!$P$2:$P$840,Ordenes!$C$2:$C$840,$B187,Ordenes!$T$2:$T$840,"Válida",Ordenes!$F$2:$F$840,"Hexágono")/SUMIFS(Ordenes!$Q$2:$Q$840,Ordenes!$C$2:$C$840,$B187,Ordenes!$T$2:$T$840,"Válida",Ordenes!$F$2:$F$840,"Hexágono"),"")</f>
        <v/>
      </c>
      <c r="L187" s="24">
        <f>IFERROR(SUMIFS(Ordenes!$P$2:$P$840,Ordenes!$C$2:$C$840,$B187,Ordenes!$T$2:$T$840,"Válida",Ordenes!$F$2:$F$840,"*")/SUMIFS(Ordenes!$Q$2:$Q$840,Ordenes!$C$2:$C$840,$B187,Ordenes!$T$2:$T$840,"Válida",Ordenes!$F$2:$F$840,"*"),"")</f>
        <v/>
      </c>
      <c r="M187" s="20">
        <f>IFERROR(SUMIFS(Ordenes!$V$2:$V$840,Ordenes!$C$2:$C$840,$B187,Ordenes!$T$2:$T$840,"Válida")/SUMIFS(Ordenes!$Q$2:$Q$840,Ordenes!$C$2:$C$840,$B187,Ordenes!$T$2:$T$840,"Válida"),"")</f>
        <v/>
      </c>
      <c r="N187" s="21">
        <f>IFERROR((L187-M187)*100,"")</f>
        <v/>
      </c>
      <c r="O187" s="19">
        <f>SUMIFS(Ordenes!$P$2:$P$840,Ordenes!$C$2:$C$840,$B187,Ordenes!$T$2:$T$840,"Válida")</f>
        <v/>
      </c>
      <c r="P187" s="19">
        <f>SUMIFS(Ordenes!$Q$2:$Q$840,Ordenes!$C$2:$C$840,$B187,Ordenes!$T$2:$T$840,"Válida")</f>
        <v/>
      </c>
      <c r="Q187" s="18">
        <f>COUNTIFS(Ordenes!$C$2:$C$840,$B187,Ordenes!$T$2:$T$840,"Válida")</f>
        <v/>
      </c>
    </row>
    <row r="188">
      <c r="A188" s="18" t="inlineStr">
        <is>
          <t>Sáb 8 ago 2026</t>
        </is>
      </c>
      <c r="B188" s="22" t="n">
        <v>46242</v>
      </c>
      <c r="C188" s="18" t="inlineStr">
        <is>
          <t>S32</t>
        </is>
      </c>
      <c r="D188" s="20">
        <f>IFERROR(SUMIFS(Ordenes!$P$2:$P$840,Ordenes!$C$2:$C$840,$B188,Ordenes!$T$2:$T$840,"Válida",Ordenes!$F$2:$F$840,"B Hormigón")/SUMIFS(Ordenes!$Q$2:$Q$840,Ordenes!$C$2:$C$840,$B188,Ordenes!$T$2:$T$840,"Válida",Ordenes!$F$2:$F$840,"B Hormigón"),"")</f>
        <v/>
      </c>
      <c r="E188" s="20">
        <f>IFERROR(SUMIFS(Ordenes!$P$2:$P$840,Ordenes!$C$2:$C$840,$B188,Ordenes!$T$2:$T$840,"Válida",Ordenes!$F$2:$F$840,"Redondo liso")/SUMIFS(Ordenes!$Q$2:$Q$840,Ordenes!$C$2:$C$840,$B188,Ordenes!$T$2:$T$840,"Válida",Ordenes!$F$2:$F$840,"Redondo liso"),"")</f>
        <v/>
      </c>
      <c r="F188" s="20">
        <f>IFERROR(SUMIFS(Ordenes!$P$2:$P$840,Ordenes!$C$2:$C$840,$B188,Ordenes!$T$2:$T$840,"Válida",Ordenes!$F$2:$F$840,"Plana")/SUMIFS(Ordenes!$Q$2:$Q$840,Ordenes!$C$2:$C$840,$B188,Ordenes!$T$2:$T$840,"Válida",Ordenes!$F$2:$F$840,"Plana"),"")</f>
        <v/>
      </c>
      <c r="G188" s="20">
        <f>IFERROR(SUMIFS(Ordenes!$P$2:$P$840,Ordenes!$C$2:$C$840,$B188,Ordenes!$T$2:$T$840,"Válida",Ordenes!$F$2:$F$840,"Ángulo")/SUMIFS(Ordenes!$Q$2:$Q$840,Ordenes!$C$2:$C$840,$B188,Ordenes!$T$2:$T$840,"Válida",Ordenes!$F$2:$F$840,"Ángulo"),"")</f>
        <v/>
      </c>
      <c r="H188" s="20">
        <f>IFERROR(SUMIFS(Ordenes!$P$2:$P$840,Ordenes!$C$2:$C$840,$B188,Ordenes!$T$2:$T$840,"Válida",Ordenes!$F$2:$F$840,"Cuadrado")/SUMIFS(Ordenes!$Q$2:$Q$840,Ordenes!$C$2:$C$840,$B188,Ordenes!$T$2:$T$840,"Válida",Ordenes!$F$2:$F$840,"Cuadrado"),"")</f>
        <v/>
      </c>
      <c r="I188" s="20">
        <f>IFERROR(SUMIFS(Ordenes!$P$2:$P$840,Ordenes!$C$2:$C$840,$B188,Ordenes!$T$2:$T$840,"Válida",Ordenes!$F$2:$F$840,"Estrella")/SUMIFS(Ordenes!$Q$2:$Q$840,Ordenes!$C$2:$C$840,$B188,Ordenes!$T$2:$T$840,"Válida",Ordenes!$F$2:$F$840,"Estrella"),"")</f>
        <v/>
      </c>
      <c r="J188" s="20">
        <f>IFERROR(SUMIFS(Ordenes!$P$2:$P$840,Ordenes!$C$2:$C$840,$B188,Ordenes!$T$2:$T$840,"Válida",Ordenes!$F$2:$F$840,"Saferock")/SUMIFS(Ordenes!$Q$2:$Q$840,Ordenes!$C$2:$C$840,$B188,Ordenes!$T$2:$T$840,"Válida",Ordenes!$F$2:$F$840,"Saferock"),"")</f>
        <v/>
      </c>
      <c r="K188" s="20">
        <f>IFERROR(SUMIFS(Ordenes!$P$2:$P$840,Ordenes!$C$2:$C$840,$B188,Ordenes!$T$2:$T$840,"Válida",Ordenes!$F$2:$F$840,"Hexágono")/SUMIFS(Ordenes!$Q$2:$Q$840,Ordenes!$C$2:$C$840,$B188,Ordenes!$T$2:$T$840,"Válida",Ordenes!$F$2:$F$840,"Hexágono"),"")</f>
        <v/>
      </c>
      <c r="L188" s="24">
        <f>IFERROR(SUMIFS(Ordenes!$P$2:$P$840,Ordenes!$C$2:$C$840,$B188,Ordenes!$T$2:$T$840,"Válida",Ordenes!$F$2:$F$840,"*")/SUMIFS(Ordenes!$Q$2:$Q$840,Ordenes!$C$2:$C$840,$B188,Ordenes!$T$2:$T$840,"Válida",Ordenes!$F$2:$F$840,"*"),"")</f>
        <v/>
      </c>
      <c r="M188" s="20">
        <f>IFERROR(SUMIFS(Ordenes!$V$2:$V$840,Ordenes!$C$2:$C$840,$B188,Ordenes!$T$2:$T$840,"Válida")/SUMIFS(Ordenes!$Q$2:$Q$840,Ordenes!$C$2:$C$840,$B188,Ordenes!$T$2:$T$840,"Válida"),"")</f>
        <v/>
      </c>
      <c r="N188" s="21">
        <f>IFERROR((L188-M188)*100,"")</f>
        <v/>
      </c>
      <c r="O188" s="19">
        <f>SUMIFS(Ordenes!$P$2:$P$840,Ordenes!$C$2:$C$840,$B188,Ordenes!$T$2:$T$840,"Válida")</f>
        <v/>
      </c>
      <c r="P188" s="19">
        <f>SUMIFS(Ordenes!$Q$2:$Q$840,Ordenes!$C$2:$C$840,$B188,Ordenes!$T$2:$T$840,"Válida")</f>
        <v/>
      </c>
      <c r="Q188" s="18">
        <f>COUNTIFS(Ordenes!$C$2:$C$840,$B188,Ordenes!$T$2:$T$840,"Válida")</f>
        <v/>
      </c>
    </row>
    <row r="189">
      <c r="A189" s="18" t="inlineStr">
        <is>
          <t>Lun 10 ago 2026</t>
        </is>
      </c>
      <c r="B189" s="22" t="n">
        <v>46244</v>
      </c>
      <c r="C189" s="18" t="inlineStr">
        <is>
          <t>S33</t>
        </is>
      </c>
      <c r="D189" s="20">
        <f>IFERROR(SUMIFS(Ordenes!$P$2:$P$840,Ordenes!$C$2:$C$840,$B189,Ordenes!$T$2:$T$840,"Válida",Ordenes!$F$2:$F$840,"B Hormigón")/SUMIFS(Ordenes!$Q$2:$Q$840,Ordenes!$C$2:$C$840,$B189,Ordenes!$T$2:$T$840,"Válida",Ordenes!$F$2:$F$840,"B Hormigón"),"")</f>
        <v/>
      </c>
      <c r="E189" s="20">
        <f>IFERROR(SUMIFS(Ordenes!$P$2:$P$840,Ordenes!$C$2:$C$840,$B189,Ordenes!$T$2:$T$840,"Válida",Ordenes!$F$2:$F$840,"Redondo liso")/SUMIFS(Ordenes!$Q$2:$Q$840,Ordenes!$C$2:$C$840,$B189,Ordenes!$T$2:$T$840,"Válida",Ordenes!$F$2:$F$840,"Redondo liso"),"")</f>
        <v/>
      </c>
      <c r="F189" s="20">
        <f>IFERROR(SUMIFS(Ordenes!$P$2:$P$840,Ordenes!$C$2:$C$840,$B189,Ordenes!$T$2:$T$840,"Válida",Ordenes!$F$2:$F$840,"Plana")/SUMIFS(Ordenes!$Q$2:$Q$840,Ordenes!$C$2:$C$840,$B189,Ordenes!$T$2:$T$840,"Válida",Ordenes!$F$2:$F$840,"Plana"),"")</f>
        <v/>
      </c>
      <c r="G189" s="20">
        <f>IFERROR(SUMIFS(Ordenes!$P$2:$P$840,Ordenes!$C$2:$C$840,$B189,Ordenes!$T$2:$T$840,"Válida",Ordenes!$F$2:$F$840,"Ángulo")/SUMIFS(Ordenes!$Q$2:$Q$840,Ordenes!$C$2:$C$840,$B189,Ordenes!$T$2:$T$840,"Válida",Ordenes!$F$2:$F$840,"Ángulo"),"")</f>
        <v/>
      </c>
      <c r="H189" s="20">
        <f>IFERROR(SUMIFS(Ordenes!$P$2:$P$840,Ordenes!$C$2:$C$840,$B189,Ordenes!$T$2:$T$840,"Válida",Ordenes!$F$2:$F$840,"Cuadrado")/SUMIFS(Ordenes!$Q$2:$Q$840,Ordenes!$C$2:$C$840,$B189,Ordenes!$T$2:$T$840,"Válida",Ordenes!$F$2:$F$840,"Cuadrado"),"")</f>
        <v/>
      </c>
      <c r="I189" s="20">
        <f>IFERROR(SUMIFS(Ordenes!$P$2:$P$840,Ordenes!$C$2:$C$840,$B189,Ordenes!$T$2:$T$840,"Válida",Ordenes!$F$2:$F$840,"Estrella")/SUMIFS(Ordenes!$Q$2:$Q$840,Ordenes!$C$2:$C$840,$B189,Ordenes!$T$2:$T$840,"Válida",Ordenes!$F$2:$F$840,"Estrella"),"")</f>
        <v/>
      </c>
      <c r="J189" s="20">
        <f>IFERROR(SUMIFS(Ordenes!$P$2:$P$840,Ordenes!$C$2:$C$840,$B189,Ordenes!$T$2:$T$840,"Válida",Ordenes!$F$2:$F$840,"Saferock")/SUMIFS(Ordenes!$Q$2:$Q$840,Ordenes!$C$2:$C$840,$B189,Ordenes!$T$2:$T$840,"Válida",Ordenes!$F$2:$F$840,"Saferock"),"")</f>
        <v/>
      </c>
      <c r="K189" s="20">
        <f>IFERROR(SUMIFS(Ordenes!$P$2:$P$840,Ordenes!$C$2:$C$840,$B189,Ordenes!$T$2:$T$840,"Válida",Ordenes!$F$2:$F$840,"Hexágono")/SUMIFS(Ordenes!$Q$2:$Q$840,Ordenes!$C$2:$C$840,$B189,Ordenes!$T$2:$T$840,"Válida",Ordenes!$F$2:$F$840,"Hexágono"),"")</f>
        <v/>
      </c>
      <c r="L189" s="24">
        <f>IFERROR(SUMIFS(Ordenes!$P$2:$P$840,Ordenes!$C$2:$C$840,$B189,Ordenes!$T$2:$T$840,"Válida",Ordenes!$F$2:$F$840,"*")/SUMIFS(Ordenes!$Q$2:$Q$840,Ordenes!$C$2:$C$840,$B189,Ordenes!$T$2:$T$840,"Válida",Ordenes!$F$2:$F$840,"*"),"")</f>
        <v/>
      </c>
      <c r="M189" s="20">
        <f>IFERROR(SUMIFS(Ordenes!$V$2:$V$840,Ordenes!$C$2:$C$840,$B189,Ordenes!$T$2:$T$840,"Válida")/SUMIFS(Ordenes!$Q$2:$Q$840,Ordenes!$C$2:$C$840,$B189,Ordenes!$T$2:$T$840,"Válida"),"")</f>
        <v/>
      </c>
      <c r="N189" s="21">
        <f>IFERROR((L189-M189)*100,"")</f>
        <v/>
      </c>
      <c r="O189" s="19">
        <f>SUMIFS(Ordenes!$P$2:$P$840,Ordenes!$C$2:$C$840,$B189,Ordenes!$T$2:$T$840,"Válida")</f>
        <v/>
      </c>
      <c r="P189" s="19">
        <f>SUMIFS(Ordenes!$Q$2:$Q$840,Ordenes!$C$2:$C$840,$B189,Ordenes!$T$2:$T$840,"Válida")</f>
        <v/>
      </c>
      <c r="Q189" s="18">
        <f>COUNTIFS(Ordenes!$C$2:$C$840,$B189,Ordenes!$T$2:$T$840,"Válida")</f>
        <v/>
      </c>
    </row>
    <row r="190">
      <c r="A190" s="18" t="inlineStr">
        <is>
          <t>Mar 11 ago 2026</t>
        </is>
      </c>
      <c r="B190" s="22" t="n">
        <v>46245</v>
      </c>
      <c r="C190" s="18" t="inlineStr">
        <is>
          <t>S33</t>
        </is>
      </c>
      <c r="D190" s="20">
        <f>IFERROR(SUMIFS(Ordenes!$P$2:$P$840,Ordenes!$C$2:$C$840,$B190,Ordenes!$T$2:$T$840,"Válida",Ordenes!$F$2:$F$840,"B Hormigón")/SUMIFS(Ordenes!$Q$2:$Q$840,Ordenes!$C$2:$C$840,$B190,Ordenes!$T$2:$T$840,"Válida",Ordenes!$F$2:$F$840,"B Hormigón"),"")</f>
        <v/>
      </c>
      <c r="E190" s="20">
        <f>IFERROR(SUMIFS(Ordenes!$P$2:$P$840,Ordenes!$C$2:$C$840,$B190,Ordenes!$T$2:$T$840,"Válida",Ordenes!$F$2:$F$840,"Redondo liso")/SUMIFS(Ordenes!$Q$2:$Q$840,Ordenes!$C$2:$C$840,$B190,Ordenes!$T$2:$T$840,"Válida",Ordenes!$F$2:$F$840,"Redondo liso"),"")</f>
        <v/>
      </c>
      <c r="F190" s="20">
        <f>IFERROR(SUMIFS(Ordenes!$P$2:$P$840,Ordenes!$C$2:$C$840,$B190,Ordenes!$T$2:$T$840,"Válida",Ordenes!$F$2:$F$840,"Plana")/SUMIFS(Ordenes!$Q$2:$Q$840,Ordenes!$C$2:$C$840,$B190,Ordenes!$T$2:$T$840,"Válida",Ordenes!$F$2:$F$840,"Plana"),"")</f>
        <v/>
      </c>
      <c r="G190" s="20">
        <f>IFERROR(SUMIFS(Ordenes!$P$2:$P$840,Ordenes!$C$2:$C$840,$B190,Ordenes!$T$2:$T$840,"Válida",Ordenes!$F$2:$F$840,"Ángulo")/SUMIFS(Ordenes!$Q$2:$Q$840,Ordenes!$C$2:$C$840,$B190,Ordenes!$T$2:$T$840,"Válida",Ordenes!$F$2:$F$840,"Ángulo"),"")</f>
        <v/>
      </c>
      <c r="H190" s="20">
        <f>IFERROR(SUMIFS(Ordenes!$P$2:$P$840,Ordenes!$C$2:$C$840,$B190,Ordenes!$T$2:$T$840,"Válida",Ordenes!$F$2:$F$840,"Cuadrado")/SUMIFS(Ordenes!$Q$2:$Q$840,Ordenes!$C$2:$C$840,$B190,Ordenes!$T$2:$T$840,"Válida",Ordenes!$F$2:$F$840,"Cuadrado"),"")</f>
        <v/>
      </c>
      <c r="I190" s="20">
        <f>IFERROR(SUMIFS(Ordenes!$P$2:$P$840,Ordenes!$C$2:$C$840,$B190,Ordenes!$T$2:$T$840,"Válida",Ordenes!$F$2:$F$840,"Estrella")/SUMIFS(Ordenes!$Q$2:$Q$840,Ordenes!$C$2:$C$840,$B190,Ordenes!$T$2:$T$840,"Válida",Ordenes!$F$2:$F$840,"Estrella"),"")</f>
        <v/>
      </c>
      <c r="J190" s="20">
        <f>IFERROR(SUMIFS(Ordenes!$P$2:$P$840,Ordenes!$C$2:$C$840,$B190,Ordenes!$T$2:$T$840,"Válida",Ordenes!$F$2:$F$840,"Saferock")/SUMIFS(Ordenes!$Q$2:$Q$840,Ordenes!$C$2:$C$840,$B190,Ordenes!$T$2:$T$840,"Válida",Ordenes!$F$2:$F$840,"Saferock"),"")</f>
        <v/>
      </c>
      <c r="K190" s="20">
        <f>IFERROR(SUMIFS(Ordenes!$P$2:$P$840,Ordenes!$C$2:$C$840,$B190,Ordenes!$T$2:$T$840,"Válida",Ordenes!$F$2:$F$840,"Hexágono")/SUMIFS(Ordenes!$Q$2:$Q$840,Ordenes!$C$2:$C$840,$B190,Ordenes!$T$2:$T$840,"Válida",Ordenes!$F$2:$F$840,"Hexágono"),"")</f>
        <v/>
      </c>
      <c r="L190" s="24">
        <f>IFERROR(SUMIFS(Ordenes!$P$2:$P$840,Ordenes!$C$2:$C$840,$B190,Ordenes!$T$2:$T$840,"Válida",Ordenes!$F$2:$F$840,"*")/SUMIFS(Ordenes!$Q$2:$Q$840,Ordenes!$C$2:$C$840,$B190,Ordenes!$T$2:$T$840,"Válida",Ordenes!$F$2:$F$840,"*"),"")</f>
        <v/>
      </c>
      <c r="M190" s="20">
        <f>IFERROR(SUMIFS(Ordenes!$V$2:$V$840,Ordenes!$C$2:$C$840,$B190,Ordenes!$T$2:$T$840,"Válida")/SUMIFS(Ordenes!$Q$2:$Q$840,Ordenes!$C$2:$C$840,$B190,Ordenes!$T$2:$T$840,"Válida"),"")</f>
        <v/>
      </c>
      <c r="N190" s="21">
        <f>IFERROR((L190-M190)*100,"")</f>
        <v/>
      </c>
      <c r="O190" s="19">
        <f>SUMIFS(Ordenes!$P$2:$P$840,Ordenes!$C$2:$C$840,$B190,Ordenes!$T$2:$T$840,"Válida")</f>
        <v/>
      </c>
      <c r="P190" s="19">
        <f>SUMIFS(Ordenes!$Q$2:$Q$840,Ordenes!$C$2:$C$840,$B190,Ordenes!$T$2:$T$840,"Válida")</f>
        <v/>
      </c>
      <c r="Q190" s="18">
        <f>COUNTIFS(Ordenes!$C$2:$C$840,$B190,Ordenes!$T$2:$T$840,"Válida")</f>
        <v/>
      </c>
    </row>
    <row r="191">
      <c r="A191" s="18" t="inlineStr">
        <is>
          <t>Mié 12 ago 2026</t>
        </is>
      </c>
      <c r="B191" s="22" t="n">
        <v>46246</v>
      </c>
      <c r="C191" s="18" t="inlineStr">
        <is>
          <t>S33</t>
        </is>
      </c>
      <c r="D191" s="20">
        <f>IFERROR(SUMIFS(Ordenes!$P$2:$P$840,Ordenes!$C$2:$C$840,$B191,Ordenes!$T$2:$T$840,"Válida",Ordenes!$F$2:$F$840,"B Hormigón")/SUMIFS(Ordenes!$Q$2:$Q$840,Ordenes!$C$2:$C$840,$B191,Ordenes!$T$2:$T$840,"Válida",Ordenes!$F$2:$F$840,"B Hormigón"),"")</f>
        <v/>
      </c>
      <c r="E191" s="20">
        <f>IFERROR(SUMIFS(Ordenes!$P$2:$P$840,Ordenes!$C$2:$C$840,$B191,Ordenes!$T$2:$T$840,"Válida",Ordenes!$F$2:$F$840,"Redondo liso")/SUMIFS(Ordenes!$Q$2:$Q$840,Ordenes!$C$2:$C$840,$B191,Ordenes!$T$2:$T$840,"Válida",Ordenes!$F$2:$F$840,"Redondo liso"),"")</f>
        <v/>
      </c>
      <c r="F191" s="20">
        <f>IFERROR(SUMIFS(Ordenes!$P$2:$P$840,Ordenes!$C$2:$C$840,$B191,Ordenes!$T$2:$T$840,"Válida",Ordenes!$F$2:$F$840,"Plana")/SUMIFS(Ordenes!$Q$2:$Q$840,Ordenes!$C$2:$C$840,$B191,Ordenes!$T$2:$T$840,"Válida",Ordenes!$F$2:$F$840,"Plana"),"")</f>
        <v/>
      </c>
      <c r="G191" s="20">
        <f>IFERROR(SUMIFS(Ordenes!$P$2:$P$840,Ordenes!$C$2:$C$840,$B191,Ordenes!$T$2:$T$840,"Válida",Ordenes!$F$2:$F$840,"Ángulo")/SUMIFS(Ordenes!$Q$2:$Q$840,Ordenes!$C$2:$C$840,$B191,Ordenes!$T$2:$T$840,"Válida",Ordenes!$F$2:$F$840,"Ángulo"),"")</f>
        <v/>
      </c>
      <c r="H191" s="20">
        <f>IFERROR(SUMIFS(Ordenes!$P$2:$P$840,Ordenes!$C$2:$C$840,$B191,Ordenes!$T$2:$T$840,"Válida",Ordenes!$F$2:$F$840,"Cuadrado")/SUMIFS(Ordenes!$Q$2:$Q$840,Ordenes!$C$2:$C$840,$B191,Ordenes!$T$2:$T$840,"Válida",Ordenes!$F$2:$F$840,"Cuadrado"),"")</f>
        <v/>
      </c>
      <c r="I191" s="20">
        <f>IFERROR(SUMIFS(Ordenes!$P$2:$P$840,Ordenes!$C$2:$C$840,$B191,Ordenes!$T$2:$T$840,"Válida",Ordenes!$F$2:$F$840,"Estrella")/SUMIFS(Ordenes!$Q$2:$Q$840,Ordenes!$C$2:$C$840,$B191,Ordenes!$T$2:$T$840,"Válida",Ordenes!$F$2:$F$840,"Estrella"),"")</f>
        <v/>
      </c>
      <c r="J191" s="20">
        <f>IFERROR(SUMIFS(Ordenes!$P$2:$P$840,Ordenes!$C$2:$C$840,$B191,Ordenes!$T$2:$T$840,"Válida",Ordenes!$F$2:$F$840,"Saferock")/SUMIFS(Ordenes!$Q$2:$Q$840,Ordenes!$C$2:$C$840,$B191,Ordenes!$T$2:$T$840,"Válida",Ordenes!$F$2:$F$840,"Saferock"),"")</f>
        <v/>
      </c>
      <c r="K191" s="20">
        <f>IFERROR(SUMIFS(Ordenes!$P$2:$P$840,Ordenes!$C$2:$C$840,$B191,Ordenes!$T$2:$T$840,"Válida",Ordenes!$F$2:$F$840,"Hexágono")/SUMIFS(Ordenes!$Q$2:$Q$840,Ordenes!$C$2:$C$840,$B191,Ordenes!$T$2:$T$840,"Válida",Ordenes!$F$2:$F$840,"Hexágono"),"")</f>
        <v/>
      </c>
      <c r="L191" s="24">
        <f>IFERROR(SUMIFS(Ordenes!$P$2:$P$840,Ordenes!$C$2:$C$840,$B191,Ordenes!$T$2:$T$840,"Válida",Ordenes!$F$2:$F$840,"*")/SUMIFS(Ordenes!$Q$2:$Q$840,Ordenes!$C$2:$C$840,$B191,Ordenes!$T$2:$T$840,"Válida",Ordenes!$F$2:$F$840,"*"),"")</f>
        <v/>
      </c>
      <c r="M191" s="20">
        <f>IFERROR(SUMIFS(Ordenes!$V$2:$V$840,Ordenes!$C$2:$C$840,$B191,Ordenes!$T$2:$T$840,"Válida")/SUMIFS(Ordenes!$Q$2:$Q$840,Ordenes!$C$2:$C$840,$B191,Ordenes!$T$2:$T$840,"Válida"),"")</f>
        <v/>
      </c>
      <c r="N191" s="21">
        <f>IFERROR((L191-M191)*100,"")</f>
        <v/>
      </c>
      <c r="O191" s="19">
        <f>SUMIFS(Ordenes!$P$2:$P$840,Ordenes!$C$2:$C$840,$B191,Ordenes!$T$2:$T$840,"Válida")</f>
        <v/>
      </c>
      <c r="P191" s="19">
        <f>SUMIFS(Ordenes!$Q$2:$Q$840,Ordenes!$C$2:$C$840,$B191,Ordenes!$T$2:$T$840,"Válida")</f>
        <v/>
      </c>
      <c r="Q191" s="18">
        <f>COUNTIFS(Ordenes!$C$2:$C$840,$B191,Ordenes!$T$2:$T$840,"Válida")</f>
        <v/>
      </c>
    </row>
    <row r="192">
      <c r="A192" s="18" t="inlineStr">
        <is>
          <t>Jue 13 ago 2026</t>
        </is>
      </c>
      <c r="B192" s="22" t="n">
        <v>46247</v>
      </c>
      <c r="C192" s="18" t="inlineStr">
        <is>
          <t>S33</t>
        </is>
      </c>
      <c r="D192" s="20">
        <f>IFERROR(SUMIFS(Ordenes!$P$2:$P$840,Ordenes!$C$2:$C$840,$B192,Ordenes!$T$2:$T$840,"Válida",Ordenes!$F$2:$F$840,"B Hormigón")/SUMIFS(Ordenes!$Q$2:$Q$840,Ordenes!$C$2:$C$840,$B192,Ordenes!$T$2:$T$840,"Válida",Ordenes!$F$2:$F$840,"B Hormigón"),"")</f>
        <v/>
      </c>
      <c r="E192" s="20">
        <f>IFERROR(SUMIFS(Ordenes!$P$2:$P$840,Ordenes!$C$2:$C$840,$B192,Ordenes!$T$2:$T$840,"Válida",Ordenes!$F$2:$F$840,"Redondo liso")/SUMIFS(Ordenes!$Q$2:$Q$840,Ordenes!$C$2:$C$840,$B192,Ordenes!$T$2:$T$840,"Válida",Ordenes!$F$2:$F$840,"Redondo liso"),"")</f>
        <v/>
      </c>
      <c r="F192" s="20">
        <f>IFERROR(SUMIFS(Ordenes!$P$2:$P$840,Ordenes!$C$2:$C$840,$B192,Ordenes!$T$2:$T$840,"Válida",Ordenes!$F$2:$F$840,"Plana")/SUMIFS(Ordenes!$Q$2:$Q$840,Ordenes!$C$2:$C$840,$B192,Ordenes!$T$2:$T$840,"Válida",Ordenes!$F$2:$F$840,"Plana"),"")</f>
        <v/>
      </c>
      <c r="G192" s="20">
        <f>IFERROR(SUMIFS(Ordenes!$P$2:$P$840,Ordenes!$C$2:$C$840,$B192,Ordenes!$T$2:$T$840,"Válida",Ordenes!$F$2:$F$840,"Ángulo")/SUMIFS(Ordenes!$Q$2:$Q$840,Ordenes!$C$2:$C$840,$B192,Ordenes!$T$2:$T$840,"Válida",Ordenes!$F$2:$F$840,"Ángulo"),"")</f>
        <v/>
      </c>
      <c r="H192" s="20">
        <f>IFERROR(SUMIFS(Ordenes!$P$2:$P$840,Ordenes!$C$2:$C$840,$B192,Ordenes!$T$2:$T$840,"Válida",Ordenes!$F$2:$F$840,"Cuadrado")/SUMIFS(Ordenes!$Q$2:$Q$840,Ordenes!$C$2:$C$840,$B192,Ordenes!$T$2:$T$840,"Válida",Ordenes!$F$2:$F$840,"Cuadrado"),"")</f>
        <v/>
      </c>
      <c r="I192" s="20">
        <f>IFERROR(SUMIFS(Ordenes!$P$2:$P$840,Ordenes!$C$2:$C$840,$B192,Ordenes!$T$2:$T$840,"Válida",Ordenes!$F$2:$F$840,"Estrella")/SUMIFS(Ordenes!$Q$2:$Q$840,Ordenes!$C$2:$C$840,$B192,Ordenes!$T$2:$T$840,"Válida",Ordenes!$F$2:$F$840,"Estrella"),"")</f>
        <v/>
      </c>
      <c r="J192" s="20">
        <f>IFERROR(SUMIFS(Ordenes!$P$2:$P$840,Ordenes!$C$2:$C$840,$B192,Ordenes!$T$2:$T$840,"Válida",Ordenes!$F$2:$F$840,"Saferock")/SUMIFS(Ordenes!$Q$2:$Q$840,Ordenes!$C$2:$C$840,$B192,Ordenes!$T$2:$T$840,"Válida",Ordenes!$F$2:$F$840,"Saferock"),"")</f>
        <v/>
      </c>
      <c r="K192" s="20">
        <f>IFERROR(SUMIFS(Ordenes!$P$2:$P$840,Ordenes!$C$2:$C$840,$B192,Ordenes!$T$2:$T$840,"Válida",Ordenes!$F$2:$F$840,"Hexágono")/SUMIFS(Ordenes!$Q$2:$Q$840,Ordenes!$C$2:$C$840,$B192,Ordenes!$T$2:$T$840,"Válida",Ordenes!$F$2:$F$840,"Hexágono"),"")</f>
        <v/>
      </c>
      <c r="L192" s="24">
        <f>IFERROR(SUMIFS(Ordenes!$P$2:$P$840,Ordenes!$C$2:$C$840,$B192,Ordenes!$T$2:$T$840,"Válida",Ordenes!$F$2:$F$840,"*")/SUMIFS(Ordenes!$Q$2:$Q$840,Ordenes!$C$2:$C$840,$B192,Ordenes!$T$2:$T$840,"Válida",Ordenes!$F$2:$F$840,"*"),"")</f>
        <v/>
      </c>
      <c r="M192" s="20">
        <f>IFERROR(SUMIFS(Ordenes!$V$2:$V$840,Ordenes!$C$2:$C$840,$B192,Ordenes!$T$2:$T$840,"Válida")/SUMIFS(Ordenes!$Q$2:$Q$840,Ordenes!$C$2:$C$840,$B192,Ordenes!$T$2:$T$840,"Válida"),"")</f>
        <v/>
      </c>
      <c r="N192" s="21">
        <f>IFERROR((L192-M192)*100,"")</f>
        <v/>
      </c>
      <c r="O192" s="19">
        <f>SUMIFS(Ordenes!$P$2:$P$840,Ordenes!$C$2:$C$840,$B192,Ordenes!$T$2:$T$840,"Válida")</f>
        <v/>
      </c>
      <c r="P192" s="19">
        <f>SUMIFS(Ordenes!$Q$2:$Q$840,Ordenes!$C$2:$C$840,$B192,Ordenes!$T$2:$T$840,"Válida")</f>
        <v/>
      </c>
      <c r="Q192" s="18">
        <f>COUNTIFS(Ordenes!$C$2:$C$840,$B192,Ordenes!$T$2:$T$840,"Válida")</f>
        <v/>
      </c>
    </row>
    <row r="193">
      <c r="A193" s="18" t="inlineStr">
        <is>
          <t>Vie 14 ago 2026</t>
        </is>
      </c>
      <c r="B193" s="22" t="n">
        <v>46248</v>
      </c>
      <c r="C193" s="18" t="inlineStr">
        <is>
          <t>S33</t>
        </is>
      </c>
      <c r="D193" s="20">
        <f>IFERROR(SUMIFS(Ordenes!$P$2:$P$840,Ordenes!$C$2:$C$840,$B193,Ordenes!$T$2:$T$840,"Válida",Ordenes!$F$2:$F$840,"B Hormigón")/SUMIFS(Ordenes!$Q$2:$Q$840,Ordenes!$C$2:$C$840,$B193,Ordenes!$T$2:$T$840,"Válida",Ordenes!$F$2:$F$840,"B Hormigón"),"")</f>
        <v/>
      </c>
      <c r="E193" s="20">
        <f>IFERROR(SUMIFS(Ordenes!$P$2:$P$840,Ordenes!$C$2:$C$840,$B193,Ordenes!$T$2:$T$840,"Válida",Ordenes!$F$2:$F$840,"Redondo liso")/SUMIFS(Ordenes!$Q$2:$Q$840,Ordenes!$C$2:$C$840,$B193,Ordenes!$T$2:$T$840,"Válida",Ordenes!$F$2:$F$840,"Redondo liso"),"")</f>
        <v/>
      </c>
      <c r="F193" s="20">
        <f>IFERROR(SUMIFS(Ordenes!$P$2:$P$840,Ordenes!$C$2:$C$840,$B193,Ordenes!$T$2:$T$840,"Válida",Ordenes!$F$2:$F$840,"Plana")/SUMIFS(Ordenes!$Q$2:$Q$840,Ordenes!$C$2:$C$840,$B193,Ordenes!$T$2:$T$840,"Válida",Ordenes!$F$2:$F$840,"Plana"),"")</f>
        <v/>
      </c>
      <c r="G193" s="20">
        <f>IFERROR(SUMIFS(Ordenes!$P$2:$P$840,Ordenes!$C$2:$C$840,$B193,Ordenes!$T$2:$T$840,"Válida",Ordenes!$F$2:$F$840,"Ángulo")/SUMIFS(Ordenes!$Q$2:$Q$840,Ordenes!$C$2:$C$840,$B193,Ordenes!$T$2:$T$840,"Válida",Ordenes!$F$2:$F$840,"Ángulo"),"")</f>
        <v/>
      </c>
      <c r="H193" s="20">
        <f>IFERROR(SUMIFS(Ordenes!$P$2:$P$840,Ordenes!$C$2:$C$840,$B193,Ordenes!$T$2:$T$840,"Válida",Ordenes!$F$2:$F$840,"Cuadrado")/SUMIFS(Ordenes!$Q$2:$Q$840,Ordenes!$C$2:$C$840,$B193,Ordenes!$T$2:$T$840,"Válida",Ordenes!$F$2:$F$840,"Cuadrado"),"")</f>
        <v/>
      </c>
      <c r="I193" s="20">
        <f>IFERROR(SUMIFS(Ordenes!$P$2:$P$840,Ordenes!$C$2:$C$840,$B193,Ordenes!$T$2:$T$840,"Válida",Ordenes!$F$2:$F$840,"Estrella")/SUMIFS(Ordenes!$Q$2:$Q$840,Ordenes!$C$2:$C$840,$B193,Ordenes!$T$2:$T$840,"Válida",Ordenes!$F$2:$F$840,"Estrella"),"")</f>
        <v/>
      </c>
      <c r="J193" s="20">
        <f>IFERROR(SUMIFS(Ordenes!$P$2:$P$840,Ordenes!$C$2:$C$840,$B193,Ordenes!$T$2:$T$840,"Válida",Ordenes!$F$2:$F$840,"Saferock")/SUMIFS(Ordenes!$Q$2:$Q$840,Ordenes!$C$2:$C$840,$B193,Ordenes!$T$2:$T$840,"Válida",Ordenes!$F$2:$F$840,"Saferock"),"")</f>
        <v/>
      </c>
      <c r="K193" s="20">
        <f>IFERROR(SUMIFS(Ordenes!$P$2:$P$840,Ordenes!$C$2:$C$840,$B193,Ordenes!$T$2:$T$840,"Válida",Ordenes!$F$2:$F$840,"Hexágono")/SUMIFS(Ordenes!$Q$2:$Q$840,Ordenes!$C$2:$C$840,$B193,Ordenes!$T$2:$T$840,"Válida",Ordenes!$F$2:$F$840,"Hexágono"),"")</f>
        <v/>
      </c>
      <c r="L193" s="24">
        <f>IFERROR(SUMIFS(Ordenes!$P$2:$P$840,Ordenes!$C$2:$C$840,$B193,Ordenes!$T$2:$T$840,"Válida",Ordenes!$F$2:$F$840,"*")/SUMIFS(Ordenes!$Q$2:$Q$840,Ordenes!$C$2:$C$840,$B193,Ordenes!$T$2:$T$840,"Válida",Ordenes!$F$2:$F$840,"*"),"")</f>
        <v/>
      </c>
      <c r="M193" s="20">
        <f>IFERROR(SUMIFS(Ordenes!$V$2:$V$840,Ordenes!$C$2:$C$840,$B193,Ordenes!$T$2:$T$840,"Válida")/SUMIFS(Ordenes!$Q$2:$Q$840,Ordenes!$C$2:$C$840,$B193,Ordenes!$T$2:$T$840,"Válida"),"")</f>
        <v/>
      </c>
      <c r="N193" s="21">
        <f>IFERROR((L193-M193)*100,"")</f>
        <v/>
      </c>
      <c r="O193" s="19">
        <f>SUMIFS(Ordenes!$P$2:$P$840,Ordenes!$C$2:$C$840,$B193,Ordenes!$T$2:$T$840,"Válida")</f>
        <v/>
      </c>
      <c r="P193" s="19">
        <f>SUMIFS(Ordenes!$Q$2:$Q$840,Ordenes!$C$2:$C$840,$B193,Ordenes!$T$2:$T$840,"Válida")</f>
        <v/>
      </c>
      <c r="Q193" s="18">
        <f>COUNTIFS(Ordenes!$C$2:$C$840,$B193,Ordenes!$T$2:$T$840,"Válida")</f>
        <v/>
      </c>
    </row>
    <row r="194">
      <c r="A194" s="18" t="inlineStr">
        <is>
          <t>Sáb 15 ago 2026</t>
        </is>
      </c>
      <c r="B194" s="22" t="n">
        <v>46249</v>
      </c>
      <c r="C194" s="18" t="inlineStr">
        <is>
          <t>S33</t>
        </is>
      </c>
      <c r="D194" s="20">
        <f>IFERROR(SUMIFS(Ordenes!$P$2:$P$840,Ordenes!$C$2:$C$840,$B194,Ordenes!$T$2:$T$840,"Válida",Ordenes!$F$2:$F$840,"B Hormigón")/SUMIFS(Ordenes!$Q$2:$Q$840,Ordenes!$C$2:$C$840,$B194,Ordenes!$T$2:$T$840,"Válida",Ordenes!$F$2:$F$840,"B Hormigón"),"")</f>
        <v/>
      </c>
      <c r="E194" s="20">
        <f>IFERROR(SUMIFS(Ordenes!$P$2:$P$840,Ordenes!$C$2:$C$840,$B194,Ordenes!$T$2:$T$840,"Válida",Ordenes!$F$2:$F$840,"Redondo liso")/SUMIFS(Ordenes!$Q$2:$Q$840,Ordenes!$C$2:$C$840,$B194,Ordenes!$T$2:$T$840,"Válida",Ordenes!$F$2:$F$840,"Redondo liso"),"")</f>
        <v/>
      </c>
      <c r="F194" s="20">
        <f>IFERROR(SUMIFS(Ordenes!$P$2:$P$840,Ordenes!$C$2:$C$840,$B194,Ordenes!$T$2:$T$840,"Válida",Ordenes!$F$2:$F$840,"Plana")/SUMIFS(Ordenes!$Q$2:$Q$840,Ordenes!$C$2:$C$840,$B194,Ordenes!$T$2:$T$840,"Válida",Ordenes!$F$2:$F$840,"Plana"),"")</f>
        <v/>
      </c>
      <c r="G194" s="20">
        <f>IFERROR(SUMIFS(Ordenes!$P$2:$P$840,Ordenes!$C$2:$C$840,$B194,Ordenes!$T$2:$T$840,"Válida",Ordenes!$F$2:$F$840,"Ángulo")/SUMIFS(Ordenes!$Q$2:$Q$840,Ordenes!$C$2:$C$840,$B194,Ordenes!$T$2:$T$840,"Válida",Ordenes!$F$2:$F$840,"Ángulo"),"")</f>
        <v/>
      </c>
      <c r="H194" s="20">
        <f>IFERROR(SUMIFS(Ordenes!$P$2:$P$840,Ordenes!$C$2:$C$840,$B194,Ordenes!$T$2:$T$840,"Válida",Ordenes!$F$2:$F$840,"Cuadrado")/SUMIFS(Ordenes!$Q$2:$Q$840,Ordenes!$C$2:$C$840,$B194,Ordenes!$T$2:$T$840,"Válida",Ordenes!$F$2:$F$840,"Cuadrado"),"")</f>
        <v/>
      </c>
      <c r="I194" s="20">
        <f>IFERROR(SUMIFS(Ordenes!$P$2:$P$840,Ordenes!$C$2:$C$840,$B194,Ordenes!$T$2:$T$840,"Válida",Ordenes!$F$2:$F$840,"Estrella")/SUMIFS(Ordenes!$Q$2:$Q$840,Ordenes!$C$2:$C$840,$B194,Ordenes!$T$2:$T$840,"Válida",Ordenes!$F$2:$F$840,"Estrella"),"")</f>
        <v/>
      </c>
      <c r="J194" s="20">
        <f>IFERROR(SUMIFS(Ordenes!$P$2:$P$840,Ordenes!$C$2:$C$840,$B194,Ordenes!$T$2:$T$840,"Válida",Ordenes!$F$2:$F$840,"Saferock")/SUMIFS(Ordenes!$Q$2:$Q$840,Ordenes!$C$2:$C$840,$B194,Ordenes!$T$2:$T$840,"Válida",Ordenes!$F$2:$F$840,"Saferock"),"")</f>
        <v/>
      </c>
      <c r="K194" s="20">
        <f>IFERROR(SUMIFS(Ordenes!$P$2:$P$840,Ordenes!$C$2:$C$840,$B194,Ordenes!$T$2:$T$840,"Válida",Ordenes!$F$2:$F$840,"Hexágono")/SUMIFS(Ordenes!$Q$2:$Q$840,Ordenes!$C$2:$C$840,$B194,Ordenes!$T$2:$T$840,"Válida",Ordenes!$F$2:$F$840,"Hexágono"),"")</f>
        <v/>
      </c>
      <c r="L194" s="24">
        <f>IFERROR(SUMIFS(Ordenes!$P$2:$P$840,Ordenes!$C$2:$C$840,$B194,Ordenes!$T$2:$T$840,"Válida",Ordenes!$F$2:$F$840,"*")/SUMIFS(Ordenes!$Q$2:$Q$840,Ordenes!$C$2:$C$840,$B194,Ordenes!$T$2:$T$840,"Válida",Ordenes!$F$2:$F$840,"*"),"")</f>
        <v/>
      </c>
      <c r="M194" s="20">
        <f>IFERROR(SUMIFS(Ordenes!$V$2:$V$840,Ordenes!$C$2:$C$840,$B194,Ordenes!$T$2:$T$840,"Válida")/SUMIFS(Ordenes!$Q$2:$Q$840,Ordenes!$C$2:$C$840,$B194,Ordenes!$T$2:$T$840,"Válida"),"")</f>
        <v/>
      </c>
      <c r="N194" s="21">
        <f>IFERROR((L194-M194)*100,"")</f>
        <v/>
      </c>
      <c r="O194" s="19">
        <f>SUMIFS(Ordenes!$P$2:$P$840,Ordenes!$C$2:$C$840,$B194,Ordenes!$T$2:$T$840,"Válida")</f>
        <v/>
      </c>
      <c r="P194" s="19">
        <f>SUMIFS(Ordenes!$Q$2:$Q$840,Ordenes!$C$2:$C$840,$B194,Ordenes!$T$2:$T$840,"Válida")</f>
        <v/>
      </c>
      <c r="Q194" s="18">
        <f>COUNTIFS(Ordenes!$C$2:$C$840,$B194,Ordenes!$T$2:$T$840,"Válida")</f>
        <v/>
      </c>
    </row>
    <row r="195">
      <c r="A195" s="18" t="inlineStr">
        <is>
          <t>Lun 17 ago 2026</t>
        </is>
      </c>
      <c r="B195" s="22" t="n">
        <v>46251</v>
      </c>
      <c r="C195" s="18" t="inlineStr">
        <is>
          <t>S34</t>
        </is>
      </c>
      <c r="D195" s="20">
        <f>IFERROR(SUMIFS(Ordenes!$P$2:$P$840,Ordenes!$C$2:$C$840,$B195,Ordenes!$T$2:$T$840,"Válida",Ordenes!$F$2:$F$840,"B Hormigón")/SUMIFS(Ordenes!$Q$2:$Q$840,Ordenes!$C$2:$C$840,$B195,Ordenes!$T$2:$T$840,"Válida",Ordenes!$F$2:$F$840,"B Hormigón"),"")</f>
        <v/>
      </c>
      <c r="E195" s="20">
        <f>IFERROR(SUMIFS(Ordenes!$P$2:$P$840,Ordenes!$C$2:$C$840,$B195,Ordenes!$T$2:$T$840,"Válida",Ordenes!$F$2:$F$840,"Redondo liso")/SUMIFS(Ordenes!$Q$2:$Q$840,Ordenes!$C$2:$C$840,$B195,Ordenes!$T$2:$T$840,"Válida",Ordenes!$F$2:$F$840,"Redondo liso"),"")</f>
        <v/>
      </c>
      <c r="F195" s="20">
        <f>IFERROR(SUMIFS(Ordenes!$P$2:$P$840,Ordenes!$C$2:$C$840,$B195,Ordenes!$T$2:$T$840,"Válida",Ordenes!$F$2:$F$840,"Plana")/SUMIFS(Ordenes!$Q$2:$Q$840,Ordenes!$C$2:$C$840,$B195,Ordenes!$T$2:$T$840,"Válida",Ordenes!$F$2:$F$840,"Plana"),"")</f>
        <v/>
      </c>
      <c r="G195" s="20">
        <f>IFERROR(SUMIFS(Ordenes!$P$2:$P$840,Ordenes!$C$2:$C$840,$B195,Ordenes!$T$2:$T$840,"Válida",Ordenes!$F$2:$F$840,"Ángulo")/SUMIFS(Ordenes!$Q$2:$Q$840,Ordenes!$C$2:$C$840,$B195,Ordenes!$T$2:$T$840,"Válida",Ordenes!$F$2:$F$840,"Ángulo"),"")</f>
        <v/>
      </c>
      <c r="H195" s="20">
        <f>IFERROR(SUMIFS(Ordenes!$P$2:$P$840,Ordenes!$C$2:$C$840,$B195,Ordenes!$T$2:$T$840,"Válida",Ordenes!$F$2:$F$840,"Cuadrado")/SUMIFS(Ordenes!$Q$2:$Q$840,Ordenes!$C$2:$C$840,$B195,Ordenes!$T$2:$T$840,"Válida",Ordenes!$F$2:$F$840,"Cuadrado"),"")</f>
        <v/>
      </c>
      <c r="I195" s="20">
        <f>IFERROR(SUMIFS(Ordenes!$P$2:$P$840,Ordenes!$C$2:$C$840,$B195,Ordenes!$T$2:$T$840,"Válida",Ordenes!$F$2:$F$840,"Estrella")/SUMIFS(Ordenes!$Q$2:$Q$840,Ordenes!$C$2:$C$840,$B195,Ordenes!$T$2:$T$840,"Válida",Ordenes!$F$2:$F$840,"Estrella"),"")</f>
        <v/>
      </c>
      <c r="J195" s="20">
        <f>IFERROR(SUMIFS(Ordenes!$P$2:$P$840,Ordenes!$C$2:$C$840,$B195,Ordenes!$T$2:$T$840,"Válida",Ordenes!$F$2:$F$840,"Saferock")/SUMIFS(Ordenes!$Q$2:$Q$840,Ordenes!$C$2:$C$840,$B195,Ordenes!$T$2:$T$840,"Válida",Ordenes!$F$2:$F$840,"Saferock"),"")</f>
        <v/>
      </c>
      <c r="K195" s="20">
        <f>IFERROR(SUMIFS(Ordenes!$P$2:$P$840,Ordenes!$C$2:$C$840,$B195,Ordenes!$T$2:$T$840,"Válida",Ordenes!$F$2:$F$840,"Hexágono")/SUMIFS(Ordenes!$Q$2:$Q$840,Ordenes!$C$2:$C$840,$B195,Ordenes!$T$2:$T$840,"Válida",Ordenes!$F$2:$F$840,"Hexágono"),"")</f>
        <v/>
      </c>
      <c r="L195" s="24">
        <f>IFERROR(SUMIFS(Ordenes!$P$2:$P$840,Ordenes!$C$2:$C$840,$B195,Ordenes!$T$2:$T$840,"Válida",Ordenes!$F$2:$F$840,"*")/SUMIFS(Ordenes!$Q$2:$Q$840,Ordenes!$C$2:$C$840,$B195,Ordenes!$T$2:$T$840,"Válida",Ordenes!$F$2:$F$840,"*"),"")</f>
        <v/>
      </c>
      <c r="M195" s="20">
        <f>IFERROR(SUMIFS(Ordenes!$V$2:$V$840,Ordenes!$C$2:$C$840,$B195,Ordenes!$T$2:$T$840,"Válida")/SUMIFS(Ordenes!$Q$2:$Q$840,Ordenes!$C$2:$C$840,$B195,Ordenes!$T$2:$T$840,"Válida"),"")</f>
        <v/>
      </c>
      <c r="N195" s="21">
        <f>IFERROR((L195-M195)*100,"")</f>
        <v/>
      </c>
      <c r="O195" s="19">
        <f>SUMIFS(Ordenes!$P$2:$P$840,Ordenes!$C$2:$C$840,$B195,Ordenes!$T$2:$T$840,"Válida")</f>
        <v/>
      </c>
      <c r="P195" s="19">
        <f>SUMIFS(Ordenes!$Q$2:$Q$840,Ordenes!$C$2:$C$840,$B195,Ordenes!$T$2:$T$840,"Válida")</f>
        <v/>
      </c>
      <c r="Q195" s="18">
        <f>COUNTIFS(Ordenes!$C$2:$C$840,$B195,Ordenes!$T$2:$T$840,"Válida")</f>
        <v/>
      </c>
    </row>
    <row r="196">
      <c r="A196" s="18" t="inlineStr">
        <is>
          <t>Mar 18 ago 2026</t>
        </is>
      </c>
      <c r="B196" s="22" t="n">
        <v>46252</v>
      </c>
      <c r="C196" s="18" t="inlineStr">
        <is>
          <t>S34</t>
        </is>
      </c>
      <c r="D196" s="20">
        <f>IFERROR(SUMIFS(Ordenes!$P$2:$P$840,Ordenes!$C$2:$C$840,$B196,Ordenes!$T$2:$T$840,"Válida",Ordenes!$F$2:$F$840,"B Hormigón")/SUMIFS(Ordenes!$Q$2:$Q$840,Ordenes!$C$2:$C$840,$B196,Ordenes!$T$2:$T$840,"Válida",Ordenes!$F$2:$F$840,"B Hormigón"),"")</f>
        <v/>
      </c>
      <c r="E196" s="20">
        <f>IFERROR(SUMIFS(Ordenes!$P$2:$P$840,Ordenes!$C$2:$C$840,$B196,Ordenes!$T$2:$T$840,"Válida",Ordenes!$F$2:$F$840,"Redondo liso")/SUMIFS(Ordenes!$Q$2:$Q$840,Ordenes!$C$2:$C$840,$B196,Ordenes!$T$2:$T$840,"Válida",Ordenes!$F$2:$F$840,"Redondo liso"),"")</f>
        <v/>
      </c>
      <c r="F196" s="20">
        <f>IFERROR(SUMIFS(Ordenes!$P$2:$P$840,Ordenes!$C$2:$C$840,$B196,Ordenes!$T$2:$T$840,"Válida",Ordenes!$F$2:$F$840,"Plana")/SUMIFS(Ordenes!$Q$2:$Q$840,Ordenes!$C$2:$C$840,$B196,Ordenes!$T$2:$T$840,"Válida",Ordenes!$F$2:$F$840,"Plana"),"")</f>
        <v/>
      </c>
      <c r="G196" s="20">
        <f>IFERROR(SUMIFS(Ordenes!$P$2:$P$840,Ordenes!$C$2:$C$840,$B196,Ordenes!$T$2:$T$840,"Válida",Ordenes!$F$2:$F$840,"Ángulo")/SUMIFS(Ordenes!$Q$2:$Q$840,Ordenes!$C$2:$C$840,$B196,Ordenes!$T$2:$T$840,"Válida",Ordenes!$F$2:$F$840,"Ángulo"),"")</f>
        <v/>
      </c>
      <c r="H196" s="20">
        <f>IFERROR(SUMIFS(Ordenes!$P$2:$P$840,Ordenes!$C$2:$C$840,$B196,Ordenes!$T$2:$T$840,"Válida",Ordenes!$F$2:$F$840,"Cuadrado")/SUMIFS(Ordenes!$Q$2:$Q$840,Ordenes!$C$2:$C$840,$B196,Ordenes!$T$2:$T$840,"Válida",Ordenes!$F$2:$F$840,"Cuadrado"),"")</f>
        <v/>
      </c>
      <c r="I196" s="20">
        <f>IFERROR(SUMIFS(Ordenes!$P$2:$P$840,Ordenes!$C$2:$C$840,$B196,Ordenes!$T$2:$T$840,"Válida",Ordenes!$F$2:$F$840,"Estrella")/SUMIFS(Ordenes!$Q$2:$Q$840,Ordenes!$C$2:$C$840,$B196,Ordenes!$T$2:$T$840,"Válida",Ordenes!$F$2:$F$840,"Estrella"),"")</f>
        <v/>
      </c>
      <c r="J196" s="20">
        <f>IFERROR(SUMIFS(Ordenes!$P$2:$P$840,Ordenes!$C$2:$C$840,$B196,Ordenes!$T$2:$T$840,"Válida",Ordenes!$F$2:$F$840,"Saferock")/SUMIFS(Ordenes!$Q$2:$Q$840,Ordenes!$C$2:$C$840,$B196,Ordenes!$T$2:$T$840,"Válida",Ordenes!$F$2:$F$840,"Saferock"),"")</f>
        <v/>
      </c>
      <c r="K196" s="20">
        <f>IFERROR(SUMIFS(Ordenes!$P$2:$P$840,Ordenes!$C$2:$C$840,$B196,Ordenes!$T$2:$T$840,"Válida",Ordenes!$F$2:$F$840,"Hexágono")/SUMIFS(Ordenes!$Q$2:$Q$840,Ordenes!$C$2:$C$840,$B196,Ordenes!$T$2:$T$840,"Válida",Ordenes!$F$2:$F$840,"Hexágono"),"")</f>
        <v/>
      </c>
      <c r="L196" s="24">
        <f>IFERROR(SUMIFS(Ordenes!$P$2:$P$840,Ordenes!$C$2:$C$840,$B196,Ordenes!$T$2:$T$840,"Válida",Ordenes!$F$2:$F$840,"*")/SUMIFS(Ordenes!$Q$2:$Q$840,Ordenes!$C$2:$C$840,$B196,Ordenes!$T$2:$T$840,"Válida",Ordenes!$F$2:$F$840,"*"),"")</f>
        <v/>
      </c>
      <c r="M196" s="20">
        <f>IFERROR(SUMIFS(Ordenes!$V$2:$V$840,Ordenes!$C$2:$C$840,$B196,Ordenes!$T$2:$T$840,"Válida")/SUMIFS(Ordenes!$Q$2:$Q$840,Ordenes!$C$2:$C$840,$B196,Ordenes!$T$2:$T$840,"Válida"),"")</f>
        <v/>
      </c>
      <c r="N196" s="21">
        <f>IFERROR((L196-M196)*100,"")</f>
        <v/>
      </c>
      <c r="O196" s="19">
        <f>SUMIFS(Ordenes!$P$2:$P$840,Ordenes!$C$2:$C$840,$B196,Ordenes!$T$2:$T$840,"Válida")</f>
        <v/>
      </c>
      <c r="P196" s="19">
        <f>SUMIFS(Ordenes!$Q$2:$Q$840,Ordenes!$C$2:$C$840,$B196,Ordenes!$T$2:$T$840,"Válida")</f>
        <v/>
      </c>
      <c r="Q196" s="18">
        <f>COUNTIFS(Ordenes!$C$2:$C$840,$B196,Ordenes!$T$2:$T$840,"Válida")</f>
        <v/>
      </c>
    </row>
    <row r="197">
      <c r="A197" s="18" t="inlineStr">
        <is>
          <t>Mié 19 ago 2026</t>
        </is>
      </c>
      <c r="B197" s="22" t="n">
        <v>46253</v>
      </c>
      <c r="C197" s="18" t="inlineStr">
        <is>
          <t>S34</t>
        </is>
      </c>
      <c r="D197" s="20">
        <f>IFERROR(SUMIFS(Ordenes!$P$2:$P$840,Ordenes!$C$2:$C$840,$B197,Ordenes!$T$2:$T$840,"Válida",Ordenes!$F$2:$F$840,"B Hormigón")/SUMIFS(Ordenes!$Q$2:$Q$840,Ordenes!$C$2:$C$840,$B197,Ordenes!$T$2:$T$840,"Válida",Ordenes!$F$2:$F$840,"B Hormigón"),"")</f>
        <v/>
      </c>
      <c r="E197" s="20">
        <f>IFERROR(SUMIFS(Ordenes!$P$2:$P$840,Ordenes!$C$2:$C$840,$B197,Ordenes!$T$2:$T$840,"Válida",Ordenes!$F$2:$F$840,"Redondo liso")/SUMIFS(Ordenes!$Q$2:$Q$840,Ordenes!$C$2:$C$840,$B197,Ordenes!$T$2:$T$840,"Válida",Ordenes!$F$2:$F$840,"Redondo liso"),"")</f>
        <v/>
      </c>
      <c r="F197" s="20">
        <f>IFERROR(SUMIFS(Ordenes!$P$2:$P$840,Ordenes!$C$2:$C$840,$B197,Ordenes!$T$2:$T$840,"Válida",Ordenes!$F$2:$F$840,"Plana")/SUMIFS(Ordenes!$Q$2:$Q$840,Ordenes!$C$2:$C$840,$B197,Ordenes!$T$2:$T$840,"Válida",Ordenes!$F$2:$F$840,"Plana"),"")</f>
        <v/>
      </c>
      <c r="G197" s="20">
        <f>IFERROR(SUMIFS(Ordenes!$P$2:$P$840,Ordenes!$C$2:$C$840,$B197,Ordenes!$T$2:$T$840,"Válida",Ordenes!$F$2:$F$840,"Ángulo")/SUMIFS(Ordenes!$Q$2:$Q$840,Ordenes!$C$2:$C$840,$B197,Ordenes!$T$2:$T$840,"Válida",Ordenes!$F$2:$F$840,"Ángulo"),"")</f>
        <v/>
      </c>
      <c r="H197" s="20">
        <f>IFERROR(SUMIFS(Ordenes!$P$2:$P$840,Ordenes!$C$2:$C$840,$B197,Ordenes!$T$2:$T$840,"Válida",Ordenes!$F$2:$F$840,"Cuadrado")/SUMIFS(Ordenes!$Q$2:$Q$840,Ordenes!$C$2:$C$840,$B197,Ordenes!$T$2:$T$840,"Válida",Ordenes!$F$2:$F$840,"Cuadrado"),"")</f>
        <v/>
      </c>
      <c r="I197" s="20">
        <f>IFERROR(SUMIFS(Ordenes!$P$2:$P$840,Ordenes!$C$2:$C$840,$B197,Ordenes!$T$2:$T$840,"Válida",Ordenes!$F$2:$F$840,"Estrella")/SUMIFS(Ordenes!$Q$2:$Q$840,Ordenes!$C$2:$C$840,$B197,Ordenes!$T$2:$T$840,"Válida",Ordenes!$F$2:$F$840,"Estrella"),"")</f>
        <v/>
      </c>
      <c r="J197" s="20">
        <f>IFERROR(SUMIFS(Ordenes!$P$2:$P$840,Ordenes!$C$2:$C$840,$B197,Ordenes!$T$2:$T$840,"Válida",Ordenes!$F$2:$F$840,"Saferock")/SUMIFS(Ordenes!$Q$2:$Q$840,Ordenes!$C$2:$C$840,$B197,Ordenes!$T$2:$T$840,"Válida",Ordenes!$F$2:$F$840,"Saferock"),"")</f>
        <v/>
      </c>
      <c r="K197" s="20">
        <f>IFERROR(SUMIFS(Ordenes!$P$2:$P$840,Ordenes!$C$2:$C$840,$B197,Ordenes!$T$2:$T$840,"Válida",Ordenes!$F$2:$F$840,"Hexágono")/SUMIFS(Ordenes!$Q$2:$Q$840,Ordenes!$C$2:$C$840,$B197,Ordenes!$T$2:$T$840,"Válida",Ordenes!$F$2:$F$840,"Hexágono"),"")</f>
        <v/>
      </c>
      <c r="L197" s="24">
        <f>IFERROR(SUMIFS(Ordenes!$P$2:$P$840,Ordenes!$C$2:$C$840,$B197,Ordenes!$T$2:$T$840,"Válida",Ordenes!$F$2:$F$840,"*")/SUMIFS(Ordenes!$Q$2:$Q$840,Ordenes!$C$2:$C$840,$B197,Ordenes!$T$2:$T$840,"Válida",Ordenes!$F$2:$F$840,"*"),"")</f>
        <v/>
      </c>
      <c r="M197" s="20">
        <f>IFERROR(SUMIFS(Ordenes!$V$2:$V$840,Ordenes!$C$2:$C$840,$B197,Ordenes!$T$2:$T$840,"Válida")/SUMIFS(Ordenes!$Q$2:$Q$840,Ordenes!$C$2:$C$840,$B197,Ordenes!$T$2:$T$840,"Válida"),"")</f>
        <v/>
      </c>
      <c r="N197" s="21">
        <f>IFERROR((L197-M197)*100,"")</f>
        <v/>
      </c>
      <c r="O197" s="19">
        <f>SUMIFS(Ordenes!$P$2:$P$840,Ordenes!$C$2:$C$840,$B197,Ordenes!$T$2:$T$840,"Válida")</f>
        <v/>
      </c>
      <c r="P197" s="19">
        <f>SUMIFS(Ordenes!$Q$2:$Q$840,Ordenes!$C$2:$C$840,$B197,Ordenes!$T$2:$T$840,"Válida")</f>
        <v/>
      </c>
      <c r="Q197" s="18">
        <f>COUNTIFS(Ordenes!$C$2:$C$840,$B197,Ordenes!$T$2:$T$840,"Válida")</f>
        <v/>
      </c>
    </row>
    <row r="198">
      <c r="A198" s="18" t="inlineStr">
        <is>
          <t>Jue 20 ago 2026</t>
        </is>
      </c>
      <c r="B198" s="22" t="n">
        <v>46254</v>
      </c>
      <c r="C198" s="18" t="inlineStr">
        <is>
          <t>S34</t>
        </is>
      </c>
      <c r="D198" s="20">
        <f>IFERROR(SUMIFS(Ordenes!$P$2:$P$840,Ordenes!$C$2:$C$840,$B198,Ordenes!$T$2:$T$840,"Válida",Ordenes!$F$2:$F$840,"B Hormigón")/SUMIFS(Ordenes!$Q$2:$Q$840,Ordenes!$C$2:$C$840,$B198,Ordenes!$T$2:$T$840,"Válida",Ordenes!$F$2:$F$840,"B Hormigón"),"")</f>
        <v/>
      </c>
      <c r="E198" s="20">
        <f>IFERROR(SUMIFS(Ordenes!$P$2:$P$840,Ordenes!$C$2:$C$840,$B198,Ordenes!$T$2:$T$840,"Válida",Ordenes!$F$2:$F$840,"Redondo liso")/SUMIFS(Ordenes!$Q$2:$Q$840,Ordenes!$C$2:$C$840,$B198,Ordenes!$T$2:$T$840,"Válida",Ordenes!$F$2:$F$840,"Redondo liso"),"")</f>
        <v/>
      </c>
      <c r="F198" s="20">
        <f>IFERROR(SUMIFS(Ordenes!$P$2:$P$840,Ordenes!$C$2:$C$840,$B198,Ordenes!$T$2:$T$840,"Válida",Ordenes!$F$2:$F$840,"Plana")/SUMIFS(Ordenes!$Q$2:$Q$840,Ordenes!$C$2:$C$840,$B198,Ordenes!$T$2:$T$840,"Válida",Ordenes!$F$2:$F$840,"Plana"),"")</f>
        <v/>
      </c>
      <c r="G198" s="20">
        <f>IFERROR(SUMIFS(Ordenes!$P$2:$P$840,Ordenes!$C$2:$C$840,$B198,Ordenes!$T$2:$T$840,"Válida",Ordenes!$F$2:$F$840,"Ángulo")/SUMIFS(Ordenes!$Q$2:$Q$840,Ordenes!$C$2:$C$840,$B198,Ordenes!$T$2:$T$840,"Válida",Ordenes!$F$2:$F$840,"Ángulo"),"")</f>
        <v/>
      </c>
      <c r="H198" s="20">
        <f>IFERROR(SUMIFS(Ordenes!$P$2:$P$840,Ordenes!$C$2:$C$840,$B198,Ordenes!$T$2:$T$840,"Válida",Ordenes!$F$2:$F$840,"Cuadrado")/SUMIFS(Ordenes!$Q$2:$Q$840,Ordenes!$C$2:$C$840,$B198,Ordenes!$T$2:$T$840,"Válida",Ordenes!$F$2:$F$840,"Cuadrado"),"")</f>
        <v/>
      </c>
      <c r="I198" s="20">
        <f>IFERROR(SUMIFS(Ordenes!$P$2:$P$840,Ordenes!$C$2:$C$840,$B198,Ordenes!$T$2:$T$840,"Válida",Ordenes!$F$2:$F$840,"Estrella")/SUMIFS(Ordenes!$Q$2:$Q$840,Ordenes!$C$2:$C$840,$B198,Ordenes!$T$2:$T$840,"Válida",Ordenes!$F$2:$F$840,"Estrella"),"")</f>
        <v/>
      </c>
      <c r="J198" s="20">
        <f>IFERROR(SUMIFS(Ordenes!$P$2:$P$840,Ordenes!$C$2:$C$840,$B198,Ordenes!$T$2:$T$840,"Válida",Ordenes!$F$2:$F$840,"Saferock")/SUMIFS(Ordenes!$Q$2:$Q$840,Ordenes!$C$2:$C$840,$B198,Ordenes!$T$2:$T$840,"Válida",Ordenes!$F$2:$F$840,"Saferock"),"")</f>
        <v/>
      </c>
      <c r="K198" s="20">
        <f>IFERROR(SUMIFS(Ordenes!$P$2:$P$840,Ordenes!$C$2:$C$840,$B198,Ordenes!$T$2:$T$840,"Válida",Ordenes!$F$2:$F$840,"Hexágono")/SUMIFS(Ordenes!$Q$2:$Q$840,Ordenes!$C$2:$C$840,$B198,Ordenes!$T$2:$T$840,"Válida",Ordenes!$F$2:$F$840,"Hexágono"),"")</f>
        <v/>
      </c>
      <c r="L198" s="24">
        <f>IFERROR(SUMIFS(Ordenes!$P$2:$P$840,Ordenes!$C$2:$C$840,$B198,Ordenes!$T$2:$T$840,"Válida",Ordenes!$F$2:$F$840,"*")/SUMIFS(Ordenes!$Q$2:$Q$840,Ordenes!$C$2:$C$840,$B198,Ordenes!$T$2:$T$840,"Válida",Ordenes!$F$2:$F$840,"*"),"")</f>
        <v/>
      </c>
      <c r="M198" s="20">
        <f>IFERROR(SUMIFS(Ordenes!$V$2:$V$840,Ordenes!$C$2:$C$840,$B198,Ordenes!$T$2:$T$840,"Válida")/SUMIFS(Ordenes!$Q$2:$Q$840,Ordenes!$C$2:$C$840,$B198,Ordenes!$T$2:$T$840,"Válida"),"")</f>
        <v/>
      </c>
      <c r="N198" s="21">
        <f>IFERROR((L198-M198)*100,"")</f>
        <v/>
      </c>
      <c r="O198" s="19">
        <f>SUMIFS(Ordenes!$P$2:$P$840,Ordenes!$C$2:$C$840,$B198,Ordenes!$T$2:$T$840,"Válida")</f>
        <v/>
      </c>
      <c r="P198" s="19">
        <f>SUMIFS(Ordenes!$Q$2:$Q$840,Ordenes!$C$2:$C$840,$B198,Ordenes!$T$2:$T$840,"Válida")</f>
        <v/>
      </c>
      <c r="Q198" s="18">
        <f>COUNTIFS(Ordenes!$C$2:$C$840,$B198,Ordenes!$T$2:$T$840,"Válida")</f>
        <v/>
      </c>
    </row>
    <row r="199">
      <c r="A199" s="18" t="inlineStr">
        <is>
          <t>Vie 21 ago 2026</t>
        </is>
      </c>
      <c r="B199" s="22" t="n">
        <v>46255</v>
      </c>
      <c r="C199" s="18" t="inlineStr">
        <is>
          <t>S34</t>
        </is>
      </c>
      <c r="D199" s="20">
        <f>IFERROR(SUMIFS(Ordenes!$P$2:$P$840,Ordenes!$C$2:$C$840,$B199,Ordenes!$T$2:$T$840,"Válida",Ordenes!$F$2:$F$840,"B Hormigón")/SUMIFS(Ordenes!$Q$2:$Q$840,Ordenes!$C$2:$C$840,$B199,Ordenes!$T$2:$T$840,"Válida",Ordenes!$F$2:$F$840,"B Hormigón"),"")</f>
        <v/>
      </c>
      <c r="E199" s="20">
        <f>IFERROR(SUMIFS(Ordenes!$P$2:$P$840,Ordenes!$C$2:$C$840,$B199,Ordenes!$T$2:$T$840,"Válida",Ordenes!$F$2:$F$840,"Redondo liso")/SUMIFS(Ordenes!$Q$2:$Q$840,Ordenes!$C$2:$C$840,$B199,Ordenes!$T$2:$T$840,"Válida",Ordenes!$F$2:$F$840,"Redondo liso"),"")</f>
        <v/>
      </c>
      <c r="F199" s="20">
        <f>IFERROR(SUMIFS(Ordenes!$P$2:$P$840,Ordenes!$C$2:$C$840,$B199,Ordenes!$T$2:$T$840,"Válida",Ordenes!$F$2:$F$840,"Plana")/SUMIFS(Ordenes!$Q$2:$Q$840,Ordenes!$C$2:$C$840,$B199,Ordenes!$T$2:$T$840,"Válida",Ordenes!$F$2:$F$840,"Plana"),"")</f>
        <v/>
      </c>
      <c r="G199" s="20">
        <f>IFERROR(SUMIFS(Ordenes!$P$2:$P$840,Ordenes!$C$2:$C$840,$B199,Ordenes!$T$2:$T$840,"Válida",Ordenes!$F$2:$F$840,"Ángulo")/SUMIFS(Ordenes!$Q$2:$Q$840,Ordenes!$C$2:$C$840,$B199,Ordenes!$T$2:$T$840,"Válida",Ordenes!$F$2:$F$840,"Ángulo"),"")</f>
        <v/>
      </c>
      <c r="H199" s="20">
        <f>IFERROR(SUMIFS(Ordenes!$P$2:$P$840,Ordenes!$C$2:$C$840,$B199,Ordenes!$T$2:$T$840,"Válida",Ordenes!$F$2:$F$840,"Cuadrado")/SUMIFS(Ordenes!$Q$2:$Q$840,Ordenes!$C$2:$C$840,$B199,Ordenes!$T$2:$T$840,"Válida",Ordenes!$F$2:$F$840,"Cuadrado"),"")</f>
        <v/>
      </c>
      <c r="I199" s="20">
        <f>IFERROR(SUMIFS(Ordenes!$P$2:$P$840,Ordenes!$C$2:$C$840,$B199,Ordenes!$T$2:$T$840,"Válida",Ordenes!$F$2:$F$840,"Estrella")/SUMIFS(Ordenes!$Q$2:$Q$840,Ordenes!$C$2:$C$840,$B199,Ordenes!$T$2:$T$840,"Válida",Ordenes!$F$2:$F$840,"Estrella"),"")</f>
        <v/>
      </c>
      <c r="J199" s="20">
        <f>IFERROR(SUMIFS(Ordenes!$P$2:$P$840,Ordenes!$C$2:$C$840,$B199,Ordenes!$T$2:$T$840,"Válida",Ordenes!$F$2:$F$840,"Saferock")/SUMIFS(Ordenes!$Q$2:$Q$840,Ordenes!$C$2:$C$840,$B199,Ordenes!$T$2:$T$840,"Válida",Ordenes!$F$2:$F$840,"Saferock"),"")</f>
        <v/>
      </c>
      <c r="K199" s="20">
        <f>IFERROR(SUMIFS(Ordenes!$P$2:$P$840,Ordenes!$C$2:$C$840,$B199,Ordenes!$T$2:$T$840,"Válida",Ordenes!$F$2:$F$840,"Hexágono")/SUMIFS(Ordenes!$Q$2:$Q$840,Ordenes!$C$2:$C$840,$B199,Ordenes!$T$2:$T$840,"Válida",Ordenes!$F$2:$F$840,"Hexágono"),"")</f>
        <v/>
      </c>
      <c r="L199" s="24">
        <f>IFERROR(SUMIFS(Ordenes!$P$2:$P$840,Ordenes!$C$2:$C$840,$B199,Ordenes!$T$2:$T$840,"Válida",Ordenes!$F$2:$F$840,"*")/SUMIFS(Ordenes!$Q$2:$Q$840,Ordenes!$C$2:$C$840,$B199,Ordenes!$T$2:$T$840,"Válida",Ordenes!$F$2:$F$840,"*"),"")</f>
        <v/>
      </c>
      <c r="M199" s="20">
        <f>IFERROR(SUMIFS(Ordenes!$V$2:$V$840,Ordenes!$C$2:$C$840,$B199,Ordenes!$T$2:$T$840,"Válida")/SUMIFS(Ordenes!$Q$2:$Q$840,Ordenes!$C$2:$C$840,$B199,Ordenes!$T$2:$T$840,"Válida"),"")</f>
        <v/>
      </c>
      <c r="N199" s="21">
        <f>IFERROR((L199-M199)*100,"")</f>
        <v/>
      </c>
      <c r="O199" s="19">
        <f>SUMIFS(Ordenes!$P$2:$P$840,Ordenes!$C$2:$C$840,$B199,Ordenes!$T$2:$T$840,"Válida")</f>
        <v/>
      </c>
      <c r="P199" s="19">
        <f>SUMIFS(Ordenes!$Q$2:$Q$840,Ordenes!$C$2:$C$840,$B199,Ordenes!$T$2:$T$840,"Válida")</f>
        <v/>
      </c>
      <c r="Q199" s="18">
        <f>COUNTIFS(Ordenes!$C$2:$C$840,$B199,Ordenes!$T$2:$T$840,"Válida")</f>
        <v/>
      </c>
    </row>
    <row r="200">
      <c r="A200" s="18" t="inlineStr">
        <is>
          <t>Sáb 22 ago 2026</t>
        </is>
      </c>
      <c r="B200" s="22" t="n">
        <v>46256</v>
      </c>
      <c r="C200" s="18" t="inlineStr">
        <is>
          <t>S34</t>
        </is>
      </c>
      <c r="D200" s="20">
        <f>IFERROR(SUMIFS(Ordenes!$P$2:$P$840,Ordenes!$C$2:$C$840,$B200,Ordenes!$T$2:$T$840,"Válida",Ordenes!$F$2:$F$840,"B Hormigón")/SUMIFS(Ordenes!$Q$2:$Q$840,Ordenes!$C$2:$C$840,$B200,Ordenes!$T$2:$T$840,"Válida",Ordenes!$F$2:$F$840,"B Hormigón"),"")</f>
        <v/>
      </c>
      <c r="E200" s="20">
        <f>IFERROR(SUMIFS(Ordenes!$P$2:$P$840,Ordenes!$C$2:$C$840,$B200,Ordenes!$T$2:$T$840,"Válida",Ordenes!$F$2:$F$840,"Redondo liso")/SUMIFS(Ordenes!$Q$2:$Q$840,Ordenes!$C$2:$C$840,$B200,Ordenes!$T$2:$T$840,"Válida",Ordenes!$F$2:$F$840,"Redondo liso"),"")</f>
        <v/>
      </c>
      <c r="F200" s="20">
        <f>IFERROR(SUMIFS(Ordenes!$P$2:$P$840,Ordenes!$C$2:$C$840,$B200,Ordenes!$T$2:$T$840,"Válida",Ordenes!$F$2:$F$840,"Plana")/SUMIFS(Ordenes!$Q$2:$Q$840,Ordenes!$C$2:$C$840,$B200,Ordenes!$T$2:$T$840,"Válida",Ordenes!$F$2:$F$840,"Plana"),"")</f>
        <v/>
      </c>
      <c r="G200" s="20">
        <f>IFERROR(SUMIFS(Ordenes!$P$2:$P$840,Ordenes!$C$2:$C$840,$B200,Ordenes!$T$2:$T$840,"Válida",Ordenes!$F$2:$F$840,"Ángulo")/SUMIFS(Ordenes!$Q$2:$Q$840,Ordenes!$C$2:$C$840,$B200,Ordenes!$T$2:$T$840,"Válida",Ordenes!$F$2:$F$840,"Ángulo"),"")</f>
        <v/>
      </c>
      <c r="H200" s="20">
        <f>IFERROR(SUMIFS(Ordenes!$P$2:$P$840,Ordenes!$C$2:$C$840,$B200,Ordenes!$T$2:$T$840,"Válida",Ordenes!$F$2:$F$840,"Cuadrado")/SUMIFS(Ordenes!$Q$2:$Q$840,Ordenes!$C$2:$C$840,$B200,Ordenes!$T$2:$T$840,"Válida",Ordenes!$F$2:$F$840,"Cuadrado"),"")</f>
        <v/>
      </c>
      <c r="I200" s="20">
        <f>IFERROR(SUMIFS(Ordenes!$P$2:$P$840,Ordenes!$C$2:$C$840,$B200,Ordenes!$T$2:$T$840,"Válida",Ordenes!$F$2:$F$840,"Estrella")/SUMIFS(Ordenes!$Q$2:$Q$840,Ordenes!$C$2:$C$840,$B200,Ordenes!$T$2:$T$840,"Válida",Ordenes!$F$2:$F$840,"Estrella"),"")</f>
        <v/>
      </c>
      <c r="J200" s="20">
        <f>IFERROR(SUMIFS(Ordenes!$P$2:$P$840,Ordenes!$C$2:$C$840,$B200,Ordenes!$T$2:$T$840,"Válida",Ordenes!$F$2:$F$840,"Saferock")/SUMIFS(Ordenes!$Q$2:$Q$840,Ordenes!$C$2:$C$840,$B200,Ordenes!$T$2:$T$840,"Válida",Ordenes!$F$2:$F$840,"Saferock"),"")</f>
        <v/>
      </c>
      <c r="K200" s="20">
        <f>IFERROR(SUMIFS(Ordenes!$P$2:$P$840,Ordenes!$C$2:$C$840,$B200,Ordenes!$T$2:$T$840,"Válida",Ordenes!$F$2:$F$840,"Hexágono")/SUMIFS(Ordenes!$Q$2:$Q$840,Ordenes!$C$2:$C$840,$B200,Ordenes!$T$2:$T$840,"Válida",Ordenes!$F$2:$F$840,"Hexágono"),"")</f>
        <v/>
      </c>
      <c r="L200" s="24">
        <f>IFERROR(SUMIFS(Ordenes!$P$2:$P$840,Ordenes!$C$2:$C$840,$B200,Ordenes!$T$2:$T$840,"Válida",Ordenes!$F$2:$F$840,"*")/SUMIFS(Ordenes!$Q$2:$Q$840,Ordenes!$C$2:$C$840,$B200,Ordenes!$T$2:$T$840,"Válida",Ordenes!$F$2:$F$840,"*"),"")</f>
        <v/>
      </c>
      <c r="M200" s="20">
        <f>IFERROR(SUMIFS(Ordenes!$V$2:$V$840,Ordenes!$C$2:$C$840,$B200,Ordenes!$T$2:$T$840,"Válida")/SUMIFS(Ordenes!$Q$2:$Q$840,Ordenes!$C$2:$C$840,$B200,Ordenes!$T$2:$T$840,"Válida"),"")</f>
        <v/>
      </c>
      <c r="N200" s="21">
        <f>IFERROR((L200-M200)*100,"")</f>
        <v/>
      </c>
      <c r="O200" s="19">
        <f>SUMIFS(Ordenes!$P$2:$P$840,Ordenes!$C$2:$C$840,$B200,Ordenes!$T$2:$T$840,"Válida")</f>
        <v/>
      </c>
      <c r="P200" s="19">
        <f>SUMIFS(Ordenes!$Q$2:$Q$840,Ordenes!$C$2:$C$840,$B200,Ordenes!$T$2:$T$840,"Válida")</f>
        <v/>
      </c>
      <c r="Q200" s="18">
        <f>COUNTIFS(Ordenes!$C$2:$C$840,$B200,Ordenes!$T$2:$T$840,"Válida")</f>
        <v/>
      </c>
    </row>
    <row r="201">
      <c r="A201" s="18" t="inlineStr">
        <is>
          <t>Lun 24 ago 2026</t>
        </is>
      </c>
      <c r="B201" s="22" t="n">
        <v>46258</v>
      </c>
      <c r="C201" s="18" t="inlineStr">
        <is>
          <t>S35</t>
        </is>
      </c>
      <c r="D201" s="20">
        <f>IFERROR(SUMIFS(Ordenes!$P$2:$P$840,Ordenes!$C$2:$C$840,$B201,Ordenes!$T$2:$T$840,"Válida",Ordenes!$F$2:$F$840,"B Hormigón")/SUMIFS(Ordenes!$Q$2:$Q$840,Ordenes!$C$2:$C$840,$B201,Ordenes!$T$2:$T$840,"Válida",Ordenes!$F$2:$F$840,"B Hormigón"),"")</f>
        <v/>
      </c>
      <c r="E201" s="20">
        <f>IFERROR(SUMIFS(Ordenes!$P$2:$P$840,Ordenes!$C$2:$C$840,$B201,Ordenes!$T$2:$T$840,"Válida",Ordenes!$F$2:$F$840,"Redondo liso")/SUMIFS(Ordenes!$Q$2:$Q$840,Ordenes!$C$2:$C$840,$B201,Ordenes!$T$2:$T$840,"Válida",Ordenes!$F$2:$F$840,"Redondo liso"),"")</f>
        <v/>
      </c>
      <c r="F201" s="20">
        <f>IFERROR(SUMIFS(Ordenes!$P$2:$P$840,Ordenes!$C$2:$C$840,$B201,Ordenes!$T$2:$T$840,"Válida",Ordenes!$F$2:$F$840,"Plana")/SUMIFS(Ordenes!$Q$2:$Q$840,Ordenes!$C$2:$C$840,$B201,Ordenes!$T$2:$T$840,"Válida",Ordenes!$F$2:$F$840,"Plana"),"")</f>
        <v/>
      </c>
      <c r="G201" s="20">
        <f>IFERROR(SUMIFS(Ordenes!$P$2:$P$840,Ordenes!$C$2:$C$840,$B201,Ordenes!$T$2:$T$840,"Válida",Ordenes!$F$2:$F$840,"Ángulo")/SUMIFS(Ordenes!$Q$2:$Q$840,Ordenes!$C$2:$C$840,$B201,Ordenes!$T$2:$T$840,"Válida",Ordenes!$F$2:$F$840,"Ángulo"),"")</f>
        <v/>
      </c>
      <c r="H201" s="20">
        <f>IFERROR(SUMIFS(Ordenes!$P$2:$P$840,Ordenes!$C$2:$C$840,$B201,Ordenes!$T$2:$T$840,"Válida",Ordenes!$F$2:$F$840,"Cuadrado")/SUMIFS(Ordenes!$Q$2:$Q$840,Ordenes!$C$2:$C$840,$B201,Ordenes!$T$2:$T$840,"Válida",Ordenes!$F$2:$F$840,"Cuadrado"),"")</f>
        <v/>
      </c>
      <c r="I201" s="20">
        <f>IFERROR(SUMIFS(Ordenes!$P$2:$P$840,Ordenes!$C$2:$C$840,$B201,Ordenes!$T$2:$T$840,"Válida",Ordenes!$F$2:$F$840,"Estrella")/SUMIFS(Ordenes!$Q$2:$Q$840,Ordenes!$C$2:$C$840,$B201,Ordenes!$T$2:$T$840,"Válida",Ordenes!$F$2:$F$840,"Estrella"),"")</f>
        <v/>
      </c>
      <c r="J201" s="20">
        <f>IFERROR(SUMIFS(Ordenes!$P$2:$P$840,Ordenes!$C$2:$C$840,$B201,Ordenes!$T$2:$T$840,"Válida",Ordenes!$F$2:$F$840,"Saferock")/SUMIFS(Ordenes!$Q$2:$Q$840,Ordenes!$C$2:$C$840,$B201,Ordenes!$T$2:$T$840,"Válida",Ordenes!$F$2:$F$840,"Saferock"),"")</f>
        <v/>
      </c>
      <c r="K201" s="20">
        <f>IFERROR(SUMIFS(Ordenes!$P$2:$P$840,Ordenes!$C$2:$C$840,$B201,Ordenes!$T$2:$T$840,"Válida",Ordenes!$F$2:$F$840,"Hexágono")/SUMIFS(Ordenes!$Q$2:$Q$840,Ordenes!$C$2:$C$840,$B201,Ordenes!$T$2:$T$840,"Válida",Ordenes!$F$2:$F$840,"Hexágono"),"")</f>
        <v/>
      </c>
      <c r="L201" s="24">
        <f>IFERROR(SUMIFS(Ordenes!$P$2:$P$840,Ordenes!$C$2:$C$840,$B201,Ordenes!$T$2:$T$840,"Válida",Ordenes!$F$2:$F$840,"*")/SUMIFS(Ordenes!$Q$2:$Q$840,Ordenes!$C$2:$C$840,$B201,Ordenes!$T$2:$T$840,"Válida",Ordenes!$F$2:$F$840,"*"),"")</f>
        <v/>
      </c>
      <c r="M201" s="20">
        <f>IFERROR(SUMIFS(Ordenes!$V$2:$V$840,Ordenes!$C$2:$C$840,$B201,Ordenes!$T$2:$T$840,"Válida")/SUMIFS(Ordenes!$Q$2:$Q$840,Ordenes!$C$2:$C$840,$B201,Ordenes!$T$2:$T$840,"Válida"),"")</f>
        <v/>
      </c>
      <c r="N201" s="21">
        <f>IFERROR((L201-M201)*100,"")</f>
        <v/>
      </c>
      <c r="O201" s="19">
        <f>SUMIFS(Ordenes!$P$2:$P$840,Ordenes!$C$2:$C$840,$B201,Ordenes!$T$2:$T$840,"Válida")</f>
        <v/>
      </c>
      <c r="P201" s="19">
        <f>SUMIFS(Ordenes!$Q$2:$Q$840,Ordenes!$C$2:$C$840,$B201,Ordenes!$T$2:$T$840,"Válida")</f>
        <v/>
      </c>
      <c r="Q201" s="18">
        <f>COUNTIFS(Ordenes!$C$2:$C$840,$B201,Ordenes!$T$2:$T$840,"Válida")</f>
        <v/>
      </c>
    </row>
    <row r="202">
      <c r="A202" s="18" t="inlineStr">
        <is>
          <t>Mar 25 ago 2026</t>
        </is>
      </c>
      <c r="B202" s="22" t="n">
        <v>46259</v>
      </c>
      <c r="C202" s="18" t="inlineStr">
        <is>
          <t>S35</t>
        </is>
      </c>
      <c r="D202" s="20">
        <f>IFERROR(SUMIFS(Ordenes!$P$2:$P$840,Ordenes!$C$2:$C$840,$B202,Ordenes!$T$2:$T$840,"Válida",Ordenes!$F$2:$F$840,"B Hormigón")/SUMIFS(Ordenes!$Q$2:$Q$840,Ordenes!$C$2:$C$840,$B202,Ordenes!$T$2:$T$840,"Válida",Ordenes!$F$2:$F$840,"B Hormigón"),"")</f>
        <v/>
      </c>
      <c r="E202" s="20">
        <f>IFERROR(SUMIFS(Ordenes!$P$2:$P$840,Ordenes!$C$2:$C$840,$B202,Ordenes!$T$2:$T$840,"Válida",Ordenes!$F$2:$F$840,"Redondo liso")/SUMIFS(Ordenes!$Q$2:$Q$840,Ordenes!$C$2:$C$840,$B202,Ordenes!$T$2:$T$840,"Válida",Ordenes!$F$2:$F$840,"Redondo liso"),"")</f>
        <v/>
      </c>
      <c r="F202" s="20">
        <f>IFERROR(SUMIFS(Ordenes!$P$2:$P$840,Ordenes!$C$2:$C$840,$B202,Ordenes!$T$2:$T$840,"Válida",Ordenes!$F$2:$F$840,"Plana")/SUMIFS(Ordenes!$Q$2:$Q$840,Ordenes!$C$2:$C$840,$B202,Ordenes!$T$2:$T$840,"Válida",Ordenes!$F$2:$F$840,"Plana"),"")</f>
        <v/>
      </c>
      <c r="G202" s="20">
        <f>IFERROR(SUMIFS(Ordenes!$P$2:$P$840,Ordenes!$C$2:$C$840,$B202,Ordenes!$T$2:$T$840,"Válida",Ordenes!$F$2:$F$840,"Ángulo")/SUMIFS(Ordenes!$Q$2:$Q$840,Ordenes!$C$2:$C$840,$B202,Ordenes!$T$2:$T$840,"Válida",Ordenes!$F$2:$F$840,"Ángulo"),"")</f>
        <v/>
      </c>
      <c r="H202" s="20">
        <f>IFERROR(SUMIFS(Ordenes!$P$2:$P$840,Ordenes!$C$2:$C$840,$B202,Ordenes!$T$2:$T$840,"Válida",Ordenes!$F$2:$F$840,"Cuadrado")/SUMIFS(Ordenes!$Q$2:$Q$840,Ordenes!$C$2:$C$840,$B202,Ordenes!$T$2:$T$840,"Válida",Ordenes!$F$2:$F$840,"Cuadrado"),"")</f>
        <v/>
      </c>
      <c r="I202" s="20">
        <f>IFERROR(SUMIFS(Ordenes!$P$2:$P$840,Ordenes!$C$2:$C$840,$B202,Ordenes!$T$2:$T$840,"Válida",Ordenes!$F$2:$F$840,"Estrella")/SUMIFS(Ordenes!$Q$2:$Q$840,Ordenes!$C$2:$C$840,$B202,Ordenes!$T$2:$T$840,"Válida",Ordenes!$F$2:$F$840,"Estrella"),"")</f>
        <v/>
      </c>
      <c r="J202" s="20">
        <f>IFERROR(SUMIFS(Ordenes!$P$2:$P$840,Ordenes!$C$2:$C$840,$B202,Ordenes!$T$2:$T$840,"Válida",Ordenes!$F$2:$F$840,"Saferock")/SUMIFS(Ordenes!$Q$2:$Q$840,Ordenes!$C$2:$C$840,$B202,Ordenes!$T$2:$T$840,"Válida",Ordenes!$F$2:$F$840,"Saferock"),"")</f>
        <v/>
      </c>
      <c r="K202" s="20">
        <f>IFERROR(SUMIFS(Ordenes!$P$2:$P$840,Ordenes!$C$2:$C$840,$B202,Ordenes!$T$2:$T$840,"Válida",Ordenes!$F$2:$F$840,"Hexágono")/SUMIFS(Ordenes!$Q$2:$Q$840,Ordenes!$C$2:$C$840,$B202,Ordenes!$T$2:$T$840,"Válida",Ordenes!$F$2:$F$840,"Hexágono"),"")</f>
        <v/>
      </c>
      <c r="L202" s="24">
        <f>IFERROR(SUMIFS(Ordenes!$P$2:$P$840,Ordenes!$C$2:$C$840,$B202,Ordenes!$T$2:$T$840,"Válida",Ordenes!$F$2:$F$840,"*")/SUMIFS(Ordenes!$Q$2:$Q$840,Ordenes!$C$2:$C$840,$B202,Ordenes!$T$2:$T$840,"Válida",Ordenes!$F$2:$F$840,"*"),"")</f>
        <v/>
      </c>
      <c r="M202" s="20">
        <f>IFERROR(SUMIFS(Ordenes!$V$2:$V$840,Ordenes!$C$2:$C$840,$B202,Ordenes!$T$2:$T$840,"Válida")/SUMIFS(Ordenes!$Q$2:$Q$840,Ordenes!$C$2:$C$840,$B202,Ordenes!$T$2:$T$840,"Válida"),"")</f>
        <v/>
      </c>
      <c r="N202" s="21">
        <f>IFERROR((L202-M202)*100,"")</f>
        <v/>
      </c>
      <c r="O202" s="19">
        <f>SUMIFS(Ordenes!$P$2:$P$840,Ordenes!$C$2:$C$840,$B202,Ordenes!$T$2:$T$840,"Válida")</f>
        <v/>
      </c>
      <c r="P202" s="19">
        <f>SUMIFS(Ordenes!$Q$2:$Q$840,Ordenes!$C$2:$C$840,$B202,Ordenes!$T$2:$T$840,"Válida")</f>
        <v/>
      </c>
      <c r="Q202" s="18">
        <f>COUNTIFS(Ordenes!$C$2:$C$840,$B202,Ordenes!$T$2:$T$840,"Válida")</f>
        <v/>
      </c>
    </row>
    <row r="203">
      <c r="A203" s="18" t="inlineStr">
        <is>
          <t>Mié 26 ago 2026</t>
        </is>
      </c>
      <c r="B203" s="22" t="n">
        <v>46260</v>
      </c>
      <c r="C203" s="18" t="inlineStr">
        <is>
          <t>S35</t>
        </is>
      </c>
      <c r="D203" s="20">
        <f>IFERROR(SUMIFS(Ordenes!$P$2:$P$840,Ordenes!$C$2:$C$840,$B203,Ordenes!$T$2:$T$840,"Válida",Ordenes!$F$2:$F$840,"B Hormigón")/SUMIFS(Ordenes!$Q$2:$Q$840,Ordenes!$C$2:$C$840,$B203,Ordenes!$T$2:$T$840,"Válida",Ordenes!$F$2:$F$840,"B Hormigón"),"")</f>
        <v/>
      </c>
      <c r="E203" s="20">
        <f>IFERROR(SUMIFS(Ordenes!$P$2:$P$840,Ordenes!$C$2:$C$840,$B203,Ordenes!$T$2:$T$840,"Válida",Ordenes!$F$2:$F$840,"Redondo liso")/SUMIFS(Ordenes!$Q$2:$Q$840,Ordenes!$C$2:$C$840,$B203,Ordenes!$T$2:$T$840,"Válida",Ordenes!$F$2:$F$840,"Redondo liso"),"")</f>
        <v/>
      </c>
      <c r="F203" s="20">
        <f>IFERROR(SUMIFS(Ordenes!$P$2:$P$840,Ordenes!$C$2:$C$840,$B203,Ordenes!$T$2:$T$840,"Válida",Ordenes!$F$2:$F$840,"Plana")/SUMIFS(Ordenes!$Q$2:$Q$840,Ordenes!$C$2:$C$840,$B203,Ordenes!$T$2:$T$840,"Válida",Ordenes!$F$2:$F$840,"Plana"),"")</f>
        <v/>
      </c>
      <c r="G203" s="20">
        <f>IFERROR(SUMIFS(Ordenes!$P$2:$P$840,Ordenes!$C$2:$C$840,$B203,Ordenes!$T$2:$T$840,"Válida",Ordenes!$F$2:$F$840,"Ángulo")/SUMIFS(Ordenes!$Q$2:$Q$840,Ordenes!$C$2:$C$840,$B203,Ordenes!$T$2:$T$840,"Válida",Ordenes!$F$2:$F$840,"Ángulo"),"")</f>
        <v/>
      </c>
      <c r="H203" s="20">
        <f>IFERROR(SUMIFS(Ordenes!$P$2:$P$840,Ordenes!$C$2:$C$840,$B203,Ordenes!$T$2:$T$840,"Válida",Ordenes!$F$2:$F$840,"Cuadrado")/SUMIFS(Ordenes!$Q$2:$Q$840,Ordenes!$C$2:$C$840,$B203,Ordenes!$T$2:$T$840,"Válida",Ordenes!$F$2:$F$840,"Cuadrado"),"")</f>
        <v/>
      </c>
      <c r="I203" s="20">
        <f>IFERROR(SUMIFS(Ordenes!$P$2:$P$840,Ordenes!$C$2:$C$840,$B203,Ordenes!$T$2:$T$840,"Válida",Ordenes!$F$2:$F$840,"Estrella")/SUMIFS(Ordenes!$Q$2:$Q$840,Ordenes!$C$2:$C$840,$B203,Ordenes!$T$2:$T$840,"Válida",Ordenes!$F$2:$F$840,"Estrella"),"")</f>
        <v/>
      </c>
      <c r="J203" s="20">
        <f>IFERROR(SUMIFS(Ordenes!$P$2:$P$840,Ordenes!$C$2:$C$840,$B203,Ordenes!$T$2:$T$840,"Válida",Ordenes!$F$2:$F$840,"Saferock")/SUMIFS(Ordenes!$Q$2:$Q$840,Ordenes!$C$2:$C$840,$B203,Ordenes!$T$2:$T$840,"Válida",Ordenes!$F$2:$F$840,"Saferock"),"")</f>
        <v/>
      </c>
      <c r="K203" s="20">
        <f>IFERROR(SUMIFS(Ordenes!$P$2:$P$840,Ordenes!$C$2:$C$840,$B203,Ordenes!$T$2:$T$840,"Válida",Ordenes!$F$2:$F$840,"Hexágono")/SUMIFS(Ordenes!$Q$2:$Q$840,Ordenes!$C$2:$C$840,$B203,Ordenes!$T$2:$T$840,"Válida",Ordenes!$F$2:$F$840,"Hexágono"),"")</f>
        <v/>
      </c>
      <c r="L203" s="24">
        <f>IFERROR(SUMIFS(Ordenes!$P$2:$P$840,Ordenes!$C$2:$C$840,$B203,Ordenes!$T$2:$T$840,"Válida",Ordenes!$F$2:$F$840,"*")/SUMIFS(Ordenes!$Q$2:$Q$840,Ordenes!$C$2:$C$840,$B203,Ordenes!$T$2:$T$840,"Válida",Ordenes!$F$2:$F$840,"*"),"")</f>
        <v/>
      </c>
      <c r="M203" s="20">
        <f>IFERROR(SUMIFS(Ordenes!$V$2:$V$840,Ordenes!$C$2:$C$840,$B203,Ordenes!$T$2:$T$840,"Válida")/SUMIFS(Ordenes!$Q$2:$Q$840,Ordenes!$C$2:$C$840,$B203,Ordenes!$T$2:$T$840,"Válida"),"")</f>
        <v/>
      </c>
      <c r="N203" s="21">
        <f>IFERROR((L203-M203)*100,"")</f>
        <v/>
      </c>
      <c r="O203" s="19">
        <f>SUMIFS(Ordenes!$P$2:$P$840,Ordenes!$C$2:$C$840,$B203,Ordenes!$T$2:$T$840,"Válida")</f>
        <v/>
      </c>
      <c r="P203" s="19">
        <f>SUMIFS(Ordenes!$Q$2:$Q$840,Ordenes!$C$2:$C$840,$B203,Ordenes!$T$2:$T$840,"Válida")</f>
        <v/>
      </c>
      <c r="Q203" s="18">
        <f>COUNTIFS(Ordenes!$C$2:$C$840,$B203,Ordenes!$T$2:$T$840,"Válida")</f>
        <v/>
      </c>
    </row>
    <row r="204">
      <c r="A204" s="18" t="inlineStr">
        <is>
          <t>Jue 27 ago 2026</t>
        </is>
      </c>
      <c r="B204" s="22" t="n">
        <v>46261</v>
      </c>
      <c r="C204" s="18" t="inlineStr">
        <is>
          <t>S35</t>
        </is>
      </c>
      <c r="D204" s="20">
        <f>IFERROR(SUMIFS(Ordenes!$P$2:$P$840,Ordenes!$C$2:$C$840,$B204,Ordenes!$T$2:$T$840,"Válida",Ordenes!$F$2:$F$840,"B Hormigón")/SUMIFS(Ordenes!$Q$2:$Q$840,Ordenes!$C$2:$C$840,$B204,Ordenes!$T$2:$T$840,"Válida",Ordenes!$F$2:$F$840,"B Hormigón"),"")</f>
        <v/>
      </c>
      <c r="E204" s="20">
        <f>IFERROR(SUMIFS(Ordenes!$P$2:$P$840,Ordenes!$C$2:$C$840,$B204,Ordenes!$T$2:$T$840,"Válida",Ordenes!$F$2:$F$840,"Redondo liso")/SUMIFS(Ordenes!$Q$2:$Q$840,Ordenes!$C$2:$C$840,$B204,Ordenes!$T$2:$T$840,"Válida",Ordenes!$F$2:$F$840,"Redondo liso"),"")</f>
        <v/>
      </c>
      <c r="F204" s="20">
        <f>IFERROR(SUMIFS(Ordenes!$P$2:$P$840,Ordenes!$C$2:$C$840,$B204,Ordenes!$T$2:$T$840,"Válida",Ordenes!$F$2:$F$840,"Plana")/SUMIFS(Ordenes!$Q$2:$Q$840,Ordenes!$C$2:$C$840,$B204,Ordenes!$T$2:$T$840,"Válida",Ordenes!$F$2:$F$840,"Plana"),"")</f>
        <v/>
      </c>
      <c r="G204" s="20">
        <f>IFERROR(SUMIFS(Ordenes!$P$2:$P$840,Ordenes!$C$2:$C$840,$B204,Ordenes!$T$2:$T$840,"Válida",Ordenes!$F$2:$F$840,"Ángulo")/SUMIFS(Ordenes!$Q$2:$Q$840,Ordenes!$C$2:$C$840,$B204,Ordenes!$T$2:$T$840,"Válida",Ordenes!$F$2:$F$840,"Ángulo"),"")</f>
        <v/>
      </c>
      <c r="H204" s="20">
        <f>IFERROR(SUMIFS(Ordenes!$P$2:$P$840,Ordenes!$C$2:$C$840,$B204,Ordenes!$T$2:$T$840,"Válida",Ordenes!$F$2:$F$840,"Cuadrado")/SUMIFS(Ordenes!$Q$2:$Q$840,Ordenes!$C$2:$C$840,$B204,Ordenes!$T$2:$T$840,"Válida",Ordenes!$F$2:$F$840,"Cuadrado"),"")</f>
        <v/>
      </c>
      <c r="I204" s="20">
        <f>IFERROR(SUMIFS(Ordenes!$P$2:$P$840,Ordenes!$C$2:$C$840,$B204,Ordenes!$T$2:$T$840,"Válida",Ordenes!$F$2:$F$840,"Estrella")/SUMIFS(Ordenes!$Q$2:$Q$840,Ordenes!$C$2:$C$840,$B204,Ordenes!$T$2:$T$840,"Válida",Ordenes!$F$2:$F$840,"Estrella"),"")</f>
        <v/>
      </c>
      <c r="J204" s="20">
        <f>IFERROR(SUMIFS(Ordenes!$P$2:$P$840,Ordenes!$C$2:$C$840,$B204,Ordenes!$T$2:$T$840,"Válida",Ordenes!$F$2:$F$840,"Saferock")/SUMIFS(Ordenes!$Q$2:$Q$840,Ordenes!$C$2:$C$840,$B204,Ordenes!$T$2:$T$840,"Válida",Ordenes!$F$2:$F$840,"Saferock"),"")</f>
        <v/>
      </c>
      <c r="K204" s="20">
        <f>IFERROR(SUMIFS(Ordenes!$P$2:$P$840,Ordenes!$C$2:$C$840,$B204,Ordenes!$T$2:$T$840,"Válida",Ordenes!$F$2:$F$840,"Hexágono")/SUMIFS(Ordenes!$Q$2:$Q$840,Ordenes!$C$2:$C$840,$B204,Ordenes!$T$2:$T$840,"Válida",Ordenes!$F$2:$F$840,"Hexágono"),"")</f>
        <v/>
      </c>
      <c r="L204" s="24">
        <f>IFERROR(SUMIFS(Ordenes!$P$2:$P$840,Ordenes!$C$2:$C$840,$B204,Ordenes!$T$2:$T$840,"Válida",Ordenes!$F$2:$F$840,"*")/SUMIFS(Ordenes!$Q$2:$Q$840,Ordenes!$C$2:$C$840,$B204,Ordenes!$T$2:$T$840,"Válida",Ordenes!$F$2:$F$840,"*"),"")</f>
        <v/>
      </c>
      <c r="M204" s="20">
        <f>IFERROR(SUMIFS(Ordenes!$V$2:$V$840,Ordenes!$C$2:$C$840,$B204,Ordenes!$T$2:$T$840,"Válida")/SUMIFS(Ordenes!$Q$2:$Q$840,Ordenes!$C$2:$C$840,$B204,Ordenes!$T$2:$T$840,"Válida"),"")</f>
        <v/>
      </c>
      <c r="N204" s="21">
        <f>IFERROR((L204-M204)*100,"")</f>
        <v/>
      </c>
      <c r="O204" s="19">
        <f>SUMIFS(Ordenes!$P$2:$P$840,Ordenes!$C$2:$C$840,$B204,Ordenes!$T$2:$T$840,"Válida")</f>
        <v/>
      </c>
      <c r="P204" s="19">
        <f>SUMIFS(Ordenes!$Q$2:$Q$840,Ordenes!$C$2:$C$840,$B204,Ordenes!$T$2:$T$840,"Válida")</f>
        <v/>
      </c>
      <c r="Q204" s="18">
        <f>COUNTIFS(Ordenes!$C$2:$C$840,$B204,Ordenes!$T$2:$T$840,"Válida")</f>
        <v/>
      </c>
    </row>
    <row r="205">
      <c r="A205" s="18" t="inlineStr">
        <is>
          <t>Lun 31 ago 2026</t>
        </is>
      </c>
      <c r="B205" s="22" t="n">
        <v>46265</v>
      </c>
      <c r="C205" s="18" t="inlineStr">
        <is>
          <t>S36</t>
        </is>
      </c>
      <c r="D205" s="20">
        <f>IFERROR(SUMIFS(Ordenes!$P$2:$P$840,Ordenes!$C$2:$C$840,$B205,Ordenes!$T$2:$T$840,"Válida",Ordenes!$F$2:$F$840,"B Hormigón")/SUMIFS(Ordenes!$Q$2:$Q$840,Ordenes!$C$2:$C$840,$B205,Ordenes!$T$2:$T$840,"Válida",Ordenes!$F$2:$F$840,"B Hormigón"),"")</f>
        <v/>
      </c>
      <c r="E205" s="20">
        <f>IFERROR(SUMIFS(Ordenes!$P$2:$P$840,Ordenes!$C$2:$C$840,$B205,Ordenes!$T$2:$T$840,"Válida",Ordenes!$F$2:$F$840,"Redondo liso")/SUMIFS(Ordenes!$Q$2:$Q$840,Ordenes!$C$2:$C$840,$B205,Ordenes!$T$2:$T$840,"Válida",Ordenes!$F$2:$F$840,"Redondo liso"),"")</f>
        <v/>
      </c>
      <c r="F205" s="20">
        <f>IFERROR(SUMIFS(Ordenes!$P$2:$P$840,Ordenes!$C$2:$C$840,$B205,Ordenes!$T$2:$T$840,"Válida",Ordenes!$F$2:$F$840,"Plana")/SUMIFS(Ordenes!$Q$2:$Q$840,Ordenes!$C$2:$C$840,$B205,Ordenes!$T$2:$T$840,"Válida",Ordenes!$F$2:$F$840,"Plana"),"")</f>
        <v/>
      </c>
      <c r="G205" s="20">
        <f>IFERROR(SUMIFS(Ordenes!$P$2:$P$840,Ordenes!$C$2:$C$840,$B205,Ordenes!$T$2:$T$840,"Válida",Ordenes!$F$2:$F$840,"Ángulo")/SUMIFS(Ordenes!$Q$2:$Q$840,Ordenes!$C$2:$C$840,$B205,Ordenes!$T$2:$T$840,"Válida",Ordenes!$F$2:$F$840,"Ángulo"),"")</f>
        <v/>
      </c>
      <c r="H205" s="20">
        <f>IFERROR(SUMIFS(Ordenes!$P$2:$P$840,Ordenes!$C$2:$C$840,$B205,Ordenes!$T$2:$T$840,"Válida",Ordenes!$F$2:$F$840,"Cuadrado")/SUMIFS(Ordenes!$Q$2:$Q$840,Ordenes!$C$2:$C$840,$B205,Ordenes!$T$2:$T$840,"Válida",Ordenes!$F$2:$F$840,"Cuadrado"),"")</f>
        <v/>
      </c>
      <c r="I205" s="20">
        <f>IFERROR(SUMIFS(Ordenes!$P$2:$P$840,Ordenes!$C$2:$C$840,$B205,Ordenes!$T$2:$T$840,"Válida",Ordenes!$F$2:$F$840,"Estrella")/SUMIFS(Ordenes!$Q$2:$Q$840,Ordenes!$C$2:$C$840,$B205,Ordenes!$T$2:$T$840,"Válida",Ordenes!$F$2:$F$840,"Estrella"),"")</f>
        <v/>
      </c>
      <c r="J205" s="20">
        <f>IFERROR(SUMIFS(Ordenes!$P$2:$P$840,Ordenes!$C$2:$C$840,$B205,Ordenes!$T$2:$T$840,"Válida",Ordenes!$F$2:$F$840,"Saferock")/SUMIFS(Ordenes!$Q$2:$Q$840,Ordenes!$C$2:$C$840,$B205,Ordenes!$T$2:$T$840,"Válida",Ordenes!$F$2:$F$840,"Saferock"),"")</f>
        <v/>
      </c>
      <c r="K205" s="20">
        <f>IFERROR(SUMIFS(Ordenes!$P$2:$P$840,Ordenes!$C$2:$C$840,$B205,Ordenes!$T$2:$T$840,"Válida",Ordenes!$F$2:$F$840,"Hexágono")/SUMIFS(Ordenes!$Q$2:$Q$840,Ordenes!$C$2:$C$840,$B205,Ordenes!$T$2:$T$840,"Válida",Ordenes!$F$2:$F$840,"Hexágono"),"")</f>
        <v/>
      </c>
      <c r="L205" s="24">
        <f>IFERROR(SUMIFS(Ordenes!$P$2:$P$840,Ordenes!$C$2:$C$840,$B205,Ordenes!$T$2:$T$840,"Válida",Ordenes!$F$2:$F$840,"*")/SUMIFS(Ordenes!$Q$2:$Q$840,Ordenes!$C$2:$C$840,$B205,Ordenes!$T$2:$T$840,"Válida",Ordenes!$F$2:$F$840,"*"),"")</f>
        <v/>
      </c>
      <c r="M205" s="20">
        <f>IFERROR(SUMIFS(Ordenes!$V$2:$V$840,Ordenes!$C$2:$C$840,$B205,Ordenes!$T$2:$T$840,"Válida")/SUMIFS(Ordenes!$Q$2:$Q$840,Ordenes!$C$2:$C$840,$B205,Ordenes!$T$2:$T$840,"Válida"),"")</f>
        <v/>
      </c>
      <c r="N205" s="21">
        <f>IFERROR((L205-M205)*100,"")</f>
        <v/>
      </c>
      <c r="O205" s="19">
        <f>SUMIFS(Ordenes!$P$2:$P$840,Ordenes!$C$2:$C$840,$B205,Ordenes!$T$2:$T$840,"Válida")</f>
        <v/>
      </c>
      <c r="P205" s="19">
        <f>SUMIFS(Ordenes!$Q$2:$Q$840,Ordenes!$C$2:$C$840,$B205,Ordenes!$T$2:$T$840,"Válida")</f>
        <v/>
      </c>
      <c r="Q205" s="18">
        <f>COUNTIFS(Ordenes!$C$2:$C$840,$B205,Ordenes!$T$2:$T$840,"Válida")</f>
        <v/>
      </c>
    </row>
    <row r="206">
      <c r="A206" s="18" t="inlineStr">
        <is>
          <t>Mar 1 sep 2026</t>
        </is>
      </c>
      <c r="B206" s="22" t="n">
        <v>46266</v>
      </c>
      <c r="C206" s="18" t="inlineStr">
        <is>
          <t>S36</t>
        </is>
      </c>
      <c r="D206" s="20">
        <f>IFERROR(SUMIFS(Ordenes!$P$2:$P$840,Ordenes!$C$2:$C$840,$B206,Ordenes!$T$2:$T$840,"Válida",Ordenes!$F$2:$F$840,"B Hormigón")/SUMIFS(Ordenes!$Q$2:$Q$840,Ordenes!$C$2:$C$840,$B206,Ordenes!$T$2:$T$840,"Válida",Ordenes!$F$2:$F$840,"B Hormigón"),"")</f>
        <v/>
      </c>
      <c r="E206" s="20">
        <f>IFERROR(SUMIFS(Ordenes!$P$2:$P$840,Ordenes!$C$2:$C$840,$B206,Ordenes!$T$2:$T$840,"Válida",Ordenes!$F$2:$F$840,"Redondo liso")/SUMIFS(Ordenes!$Q$2:$Q$840,Ordenes!$C$2:$C$840,$B206,Ordenes!$T$2:$T$840,"Válida",Ordenes!$F$2:$F$840,"Redondo liso"),"")</f>
        <v/>
      </c>
      <c r="F206" s="20">
        <f>IFERROR(SUMIFS(Ordenes!$P$2:$P$840,Ordenes!$C$2:$C$840,$B206,Ordenes!$T$2:$T$840,"Válida",Ordenes!$F$2:$F$840,"Plana")/SUMIFS(Ordenes!$Q$2:$Q$840,Ordenes!$C$2:$C$840,$B206,Ordenes!$T$2:$T$840,"Válida",Ordenes!$F$2:$F$840,"Plana"),"")</f>
        <v/>
      </c>
      <c r="G206" s="20">
        <f>IFERROR(SUMIFS(Ordenes!$P$2:$P$840,Ordenes!$C$2:$C$840,$B206,Ordenes!$T$2:$T$840,"Válida",Ordenes!$F$2:$F$840,"Ángulo")/SUMIFS(Ordenes!$Q$2:$Q$840,Ordenes!$C$2:$C$840,$B206,Ordenes!$T$2:$T$840,"Válida",Ordenes!$F$2:$F$840,"Ángulo"),"")</f>
        <v/>
      </c>
      <c r="H206" s="20">
        <f>IFERROR(SUMIFS(Ordenes!$P$2:$P$840,Ordenes!$C$2:$C$840,$B206,Ordenes!$T$2:$T$840,"Válida",Ordenes!$F$2:$F$840,"Cuadrado")/SUMIFS(Ordenes!$Q$2:$Q$840,Ordenes!$C$2:$C$840,$B206,Ordenes!$T$2:$T$840,"Válida",Ordenes!$F$2:$F$840,"Cuadrado"),"")</f>
        <v/>
      </c>
      <c r="I206" s="20">
        <f>IFERROR(SUMIFS(Ordenes!$P$2:$P$840,Ordenes!$C$2:$C$840,$B206,Ordenes!$T$2:$T$840,"Válida",Ordenes!$F$2:$F$840,"Estrella")/SUMIFS(Ordenes!$Q$2:$Q$840,Ordenes!$C$2:$C$840,$B206,Ordenes!$T$2:$T$840,"Válida",Ordenes!$F$2:$F$840,"Estrella"),"")</f>
        <v/>
      </c>
      <c r="J206" s="20">
        <f>IFERROR(SUMIFS(Ordenes!$P$2:$P$840,Ordenes!$C$2:$C$840,$B206,Ordenes!$T$2:$T$840,"Válida",Ordenes!$F$2:$F$840,"Saferock")/SUMIFS(Ordenes!$Q$2:$Q$840,Ordenes!$C$2:$C$840,$B206,Ordenes!$T$2:$T$840,"Válida",Ordenes!$F$2:$F$840,"Saferock"),"")</f>
        <v/>
      </c>
      <c r="K206" s="20">
        <f>IFERROR(SUMIFS(Ordenes!$P$2:$P$840,Ordenes!$C$2:$C$840,$B206,Ordenes!$T$2:$T$840,"Válida",Ordenes!$F$2:$F$840,"Hexágono")/SUMIFS(Ordenes!$Q$2:$Q$840,Ordenes!$C$2:$C$840,$B206,Ordenes!$T$2:$T$840,"Válida",Ordenes!$F$2:$F$840,"Hexágono"),"")</f>
        <v/>
      </c>
      <c r="L206" s="24">
        <f>IFERROR(SUMIFS(Ordenes!$P$2:$P$840,Ordenes!$C$2:$C$840,$B206,Ordenes!$T$2:$T$840,"Válida",Ordenes!$F$2:$F$840,"*")/SUMIFS(Ordenes!$Q$2:$Q$840,Ordenes!$C$2:$C$840,$B206,Ordenes!$T$2:$T$840,"Válida",Ordenes!$F$2:$F$840,"*"),"")</f>
        <v/>
      </c>
      <c r="M206" s="20">
        <f>IFERROR(SUMIFS(Ordenes!$V$2:$V$840,Ordenes!$C$2:$C$840,$B206,Ordenes!$T$2:$T$840,"Válida")/SUMIFS(Ordenes!$Q$2:$Q$840,Ordenes!$C$2:$C$840,$B206,Ordenes!$T$2:$T$840,"Válida"),"")</f>
        <v/>
      </c>
      <c r="N206" s="21">
        <f>IFERROR((L206-M206)*100,"")</f>
        <v/>
      </c>
      <c r="O206" s="19">
        <f>SUMIFS(Ordenes!$P$2:$P$840,Ordenes!$C$2:$C$840,$B206,Ordenes!$T$2:$T$840,"Válida")</f>
        <v/>
      </c>
      <c r="P206" s="19">
        <f>SUMIFS(Ordenes!$Q$2:$Q$840,Ordenes!$C$2:$C$840,$B206,Ordenes!$T$2:$T$840,"Válida")</f>
        <v/>
      </c>
      <c r="Q206" s="18">
        <f>COUNTIFS(Ordenes!$C$2:$C$840,$B206,Ordenes!$T$2:$T$840,"Válida")</f>
        <v/>
      </c>
    </row>
    <row r="207">
      <c r="A207" s="18" t="inlineStr">
        <is>
          <t>Mié 2 sep 2026</t>
        </is>
      </c>
      <c r="B207" s="22" t="n">
        <v>46267</v>
      </c>
      <c r="C207" s="18" t="inlineStr">
        <is>
          <t>S36</t>
        </is>
      </c>
      <c r="D207" s="20">
        <f>IFERROR(SUMIFS(Ordenes!$P$2:$P$840,Ordenes!$C$2:$C$840,$B207,Ordenes!$T$2:$T$840,"Válida",Ordenes!$F$2:$F$840,"B Hormigón")/SUMIFS(Ordenes!$Q$2:$Q$840,Ordenes!$C$2:$C$840,$B207,Ordenes!$T$2:$T$840,"Válida",Ordenes!$F$2:$F$840,"B Hormigón"),"")</f>
        <v/>
      </c>
      <c r="E207" s="20">
        <f>IFERROR(SUMIFS(Ordenes!$P$2:$P$840,Ordenes!$C$2:$C$840,$B207,Ordenes!$T$2:$T$840,"Válida",Ordenes!$F$2:$F$840,"Redondo liso")/SUMIFS(Ordenes!$Q$2:$Q$840,Ordenes!$C$2:$C$840,$B207,Ordenes!$T$2:$T$840,"Válida",Ordenes!$F$2:$F$840,"Redondo liso"),"")</f>
        <v/>
      </c>
      <c r="F207" s="20">
        <f>IFERROR(SUMIFS(Ordenes!$P$2:$P$840,Ordenes!$C$2:$C$840,$B207,Ordenes!$T$2:$T$840,"Válida",Ordenes!$F$2:$F$840,"Plana")/SUMIFS(Ordenes!$Q$2:$Q$840,Ordenes!$C$2:$C$840,$B207,Ordenes!$T$2:$T$840,"Válida",Ordenes!$F$2:$F$840,"Plana"),"")</f>
        <v/>
      </c>
      <c r="G207" s="20">
        <f>IFERROR(SUMIFS(Ordenes!$P$2:$P$840,Ordenes!$C$2:$C$840,$B207,Ordenes!$T$2:$T$840,"Válida",Ordenes!$F$2:$F$840,"Ángulo")/SUMIFS(Ordenes!$Q$2:$Q$840,Ordenes!$C$2:$C$840,$B207,Ordenes!$T$2:$T$840,"Válida",Ordenes!$F$2:$F$840,"Ángulo"),"")</f>
        <v/>
      </c>
      <c r="H207" s="20">
        <f>IFERROR(SUMIFS(Ordenes!$P$2:$P$840,Ordenes!$C$2:$C$840,$B207,Ordenes!$T$2:$T$840,"Válida",Ordenes!$F$2:$F$840,"Cuadrado")/SUMIFS(Ordenes!$Q$2:$Q$840,Ordenes!$C$2:$C$840,$B207,Ordenes!$T$2:$T$840,"Válida",Ordenes!$F$2:$F$840,"Cuadrado"),"")</f>
        <v/>
      </c>
      <c r="I207" s="20">
        <f>IFERROR(SUMIFS(Ordenes!$P$2:$P$840,Ordenes!$C$2:$C$840,$B207,Ordenes!$T$2:$T$840,"Válida",Ordenes!$F$2:$F$840,"Estrella")/SUMIFS(Ordenes!$Q$2:$Q$840,Ordenes!$C$2:$C$840,$B207,Ordenes!$T$2:$T$840,"Válida",Ordenes!$F$2:$F$840,"Estrella"),"")</f>
        <v/>
      </c>
      <c r="J207" s="20">
        <f>IFERROR(SUMIFS(Ordenes!$P$2:$P$840,Ordenes!$C$2:$C$840,$B207,Ordenes!$T$2:$T$840,"Válida",Ordenes!$F$2:$F$840,"Saferock")/SUMIFS(Ordenes!$Q$2:$Q$840,Ordenes!$C$2:$C$840,$B207,Ordenes!$T$2:$T$840,"Válida",Ordenes!$F$2:$F$840,"Saferock"),"")</f>
        <v/>
      </c>
      <c r="K207" s="20">
        <f>IFERROR(SUMIFS(Ordenes!$P$2:$P$840,Ordenes!$C$2:$C$840,$B207,Ordenes!$T$2:$T$840,"Válida",Ordenes!$F$2:$F$840,"Hexágono")/SUMIFS(Ordenes!$Q$2:$Q$840,Ordenes!$C$2:$C$840,$B207,Ordenes!$T$2:$T$840,"Válida",Ordenes!$F$2:$F$840,"Hexágono"),"")</f>
        <v/>
      </c>
      <c r="L207" s="24">
        <f>IFERROR(SUMIFS(Ordenes!$P$2:$P$840,Ordenes!$C$2:$C$840,$B207,Ordenes!$T$2:$T$840,"Válida",Ordenes!$F$2:$F$840,"*")/SUMIFS(Ordenes!$Q$2:$Q$840,Ordenes!$C$2:$C$840,$B207,Ordenes!$T$2:$T$840,"Válida",Ordenes!$F$2:$F$840,"*"),"")</f>
        <v/>
      </c>
      <c r="M207" s="20">
        <f>IFERROR(SUMIFS(Ordenes!$V$2:$V$840,Ordenes!$C$2:$C$840,$B207,Ordenes!$T$2:$T$840,"Válida")/SUMIFS(Ordenes!$Q$2:$Q$840,Ordenes!$C$2:$C$840,$B207,Ordenes!$T$2:$T$840,"Válida"),"")</f>
        <v/>
      </c>
      <c r="N207" s="21">
        <f>IFERROR((L207-M207)*100,"")</f>
        <v/>
      </c>
      <c r="O207" s="19">
        <f>SUMIFS(Ordenes!$P$2:$P$840,Ordenes!$C$2:$C$840,$B207,Ordenes!$T$2:$T$840,"Válida")</f>
        <v/>
      </c>
      <c r="P207" s="19">
        <f>SUMIFS(Ordenes!$Q$2:$Q$840,Ordenes!$C$2:$C$840,$B207,Ordenes!$T$2:$T$840,"Válida")</f>
        <v/>
      </c>
      <c r="Q207" s="18">
        <f>COUNTIFS(Ordenes!$C$2:$C$840,$B207,Ordenes!$T$2:$T$840,"Válida")</f>
        <v/>
      </c>
    </row>
    <row r="208">
      <c r="A208" s="18" t="inlineStr">
        <is>
          <t>Jue 3 sep 2026</t>
        </is>
      </c>
      <c r="B208" s="22" t="n">
        <v>46268</v>
      </c>
      <c r="C208" s="18" t="inlineStr">
        <is>
          <t>S36</t>
        </is>
      </c>
      <c r="D208" s="20">
        <f>IFERROR(SUMIFS(Ordenes!$P$2:$P$840,Ordenes!$C$2:$C$840,$B208,Ordenes!$T$2:$T$840,"Válida",Ordenes!$F$2:$F$840,"B Hormigón")/SUMIFS(Ordenes!$Q$2:$Q$840,Ordenes!$C$2:$C$840,$B208,Ordenes!$T$2:$T$840,"Válida",Ordenes!$F$2:$F$840,"B Hormigón"),"")</f>
        <v/>
      </c>
      <c r="E208" s="20">
        <f>IFERROR(SUMIFS(Ordenes!$P$2:$P$840,Ordenes!$C$2:$C$840,$B208,Ordenes!$T$2:$T$840,"Válida",Ordenes!$F$2:$F$840,"Redondo liso")/SUMIFS(Ordenes!$Q$2:$Q$840,Ordenes!$C$2:$C$840,$B208,Ordenes!$T$2:$T$840,"Válida",Ordenes!$F$2:$F$840,"Redondo liso"),"")</f>
        <v/>
      </c>
      <c r="F208" s="20">
        <f>IFERROR(SUMIFS(Ordenes!$P$2:$P$840,Ordenes!$C$2:$C$840,$B208,Ordenes!$T$2:$T$840,"Válida",Ordenes!$F$2:$F$840,"Plana")/SUMIFS(Ordenes!$Q$2:$Q$840,Ordenes!$C$2:$C$840,$B208,Ordenes!$T$2:$T$840,"Válida",Ordenes!$F$2:$F$840,"Plana"),"")</f>
        <v/>
      </c>
      <c r="G208" s="20">
        <f>IFERROR(SUMIFS(Ordenes!$P$2:$P$840,Ordenes!$C$2:$C$840,$B208,Ordenes!$T$2:$T$840,"Válida",Ordenes!$F$2:$F$840,"Ángulo")/SUMIFS(Ordenes!$Q$2:$Q$840,Ordenes!$C$2:$C$840,$B208,Ordenes!$T$2:$T$840,"Válida",Ordenes!$F$2:$F$840,"Ángulo"),"")</f>
        <v/>
      </c>
      <c r="H208" s="20">
        <f>IFERROR(SUMIFS(Ordenes!$P$2:$P$840,Ordenes!$C$2:$C$840,$B208,Ordenes!$T$2:$T$840,"Válida",Ordenes!$F$2:$F$840,"Cuadrado")/SUMIFS(Ordenes!$Q$2:$Q$840,Ordenes!$C$2:$C$840,$B208,Ordenes!$T$2:$T$840,"Válida",Ordenes!$F$2:$F$840,"Cuadrado"),"")</f>
        <v/>
      </c>
      <c r="I208" s="20">
        <f>IFERROR(SUMIFS(Ordenes!$P$2:$P$840,Ordenes!$C$2:$C$840,$B208,Ordenes!$T$2:$T$840,"Válida",Ordenes!$F$2:$F$840,"Estrella")/SUMIFS(Ordenes!$Q$2:$Q$840,Ordenes!$C$2:$C$840,$B208,Ordenes!$T$2:$T$840,"Válida",Ordenes!$F$2:$F$840,"Estrella"),"")</f>
        <v/>
      </c>
      <c r="J208" s="20">
        <f>IFERROR(SUMIFS(Ordenes!$P$2:$P$840,Ordenes!$C$2:$C$840,$B208,Ordenes!$T$2:$T$840,"Válida",Ordenes!$F$2:$F$840,"Saferock")/SUMIFS(Ordenes!$Q$2:$Q$840,Ordenes!$C$2:$C$840,$B208,Ordenes!$T$2:$T$840,"Válida",Ordenes!$F$2:$F$840,"Saferock"),"")</f>
        <v/>
      </c>
      <c r="K208" s="20">
        <f>IFERROR(SUMIFS(Ordenes!$P$2:$P$840,Ordenes!$C$2:$C$840,$B208,Ordenes!$T$2:$T$840,"Válida",Ordenes!$F$2:$F$840,"Hexágono")/SUMIFS(Ordenes!$Q$2:$Q$840,Ordenes!$C$2:$C$840,$B208,Ordenes!$T$2:$T$840,"Válida",Ordenes!$F$2:$F$840,"Hexágono"),"")</f>
        <v/>
      </c>
      <c r="L208" s="24">
        <f>IFERROR(SUMIFS(Ordenes!$P$2:$P$840,Ordenes!$C$2:$C$840,$B208,Ordenes!$T$2:$T$840,"Válida",Ordenes!$F$2:$F$840,"*")/SUMIFS(Ordenes!$Q$2:$Q$840,Ordenes!$C$2:$C$840,$B208,Ordenes!$T$2:$T$840,"Válida",Ordenes!$F$2:$F$840,"*"),"")</f>
        <v/>
      </c>
      <c r="M208" s="20">
        <f>IFERROR(SUMIFS(Ordenes!$V$2:$V$840,Ordenes!$C$2:$C$840,$B208,Ordenes!$T$2:$T$840,"Válida")/SUMIFS(Ordenes!$Q$2:$Q$840,Ordenes!$C$2:$C$840,$B208,Ordenes!$T$2:$T$840,"Válida"),"")</f>
        <v/>
      </c>
      <c r="N208" s="21">
        <f>IFERROR((L208-M208)*100,"")</f>
        <v/>
      </c>
      <c r="O208" s="19">
        <f>SUMIFS(Ordenes!$P$2:$P$840,Ordenes!$C$2:$C$840,$B208,Ordenes!$T$2:$T$840,"Válida")</f>
        <v/>
      </c>
      <c r="P208" s="19">
        <f>SUMIFS(Ordenes!$Q$2:$Q$840,Ordenes!$C$2:$C$840,$B208,Ordenes!$T$2:$T$840,"Válida")</f>
        <v/>
      </c>
      <c r="Q208" s="18">
        <f>COUNTIFS(Ordenes!$C$2:$C$840,$B208,Ordenes!$T$2:$T$840,"Válida")</f>
        <v/>
      </c>
    </row>
    <row r="209">
      <c r="A209" s="18" t="inlineStr">
        <is>
          <t>Vie 4 sep 2026</t>
        </is>
      </c>
      <c r="B209" s="22" t="n">
        <v>46269</v>
      </c>
      <c r="C209" s="18" t="inlineStr">
        <is>
          <t>S36</t>
        </is>
      </c>
      <c r="D209" s="20">
        <f>IFERROR(SUMIFS(Ordenes!$P$2:$P$840,Ordenes!$C$2:$C$840,$B209,Ordenes!$T$2:$T$840,"Válida",Ordenes!$F$2:$F$840,"B Hormigón")/SUMIFS(Ordenes!$Q$2:$Q$840,Ordenes!$C$2:$C$840,$B209,Ordenes!$T$2:$T$840,"Válida",Ordenes!$F$2:$F$840,"B Hormigón"),"")</f>
        <v/>
      </c>
      <c r="E209" s="20">
        <f>IFERROR(SUMIFS(Ordenes!$P$2:$P$840,Ordenes!$C$2:$C$840,$B209,Ordenes!$T$2:$T$840,"Válida",Ordenes!$F$2:$F$840,"Redondo liso")/SUMIFS(Ordenes!$Q$2:$Q$840,Ordenes!$C$2:$C$840,$B209,Ordenes!$T$2:$T$840,"Válida",Ordenes!$F$2:$F$840,"Redondo liso"),"")</f>
        <v/>
      </c>
      <c r="F209" s="20">
        <f>IFERROR(SUMIFS(Ordenes!$P$2:$P$840,Ordenes!$C$2:$C$840,$B209,Ordenes!$T$2:$T$840,"Válida",Ordenes!$F$2:$F$840,"Plana")/SUMIFS(Ordenes!$Q$2:$Q$840,Ordenes!$C$2:$C$840,$B209,Ordenes!$T$2:$T$840,"Válida",Ordenes!$F$2:$F$840,"Plana"),"")</f>
        <v/>
      </c>
      <c r="G209" s="20">
        <f>IFERROR(SUMIFS(Ordenes!$P$2:$P$840,Ordenes!$C$2:$C$840,$B209,Ordenes!$T$2:$T$840,"Válida",Ordenes!$F$2:$F$840,"Ángulo")/SUMIFS(Ordenes!$Q$2:$Q$840,Ordenes!$C$2:$C$840,$B209,Ordenes!$T$2:$T$840,"Válida",Ordenes!$F$2:$F$840,"Ángulo"),"")</f>
        <v/>
      </c>
      <c r="H209" s="20">
        <f>IFERROR(SUMIFS(Ordenes!$P$2:$P$840,Ordenes!$C$2:$C$840,$B209,Ordenes!$T$2:$T$840,"Válida",Ordenes!$F$2:$F$840,"Cuadrado")/SUMIFS(Ordenes!$Q$2:$Q$840,Ordenes!$C$2:$C$840,$B209,Ordenes!$T$2:$T$840,"Válida",Ordenes!$F$2:$F$840,"Cuadrado"),"")</f>
        <v/>
      </c>
      <c r="I209" s="20">
        <f>IFERROR(SUMIFS(Ordenes!$P$2:$P$840,Ordenes!$C$2:$C$840,$B209,Ordenes!$T$2:$T$840,"Válida",Ordenes!$F$2:$F$840,"Estrella")/SUMIFS(Ordenes!$Q$2:$Q$840,Ordenes!$C$2:$C$840,$B209,Ordenes!$T$2:$T$840,"Válida",Ordenes!$F$2:$F$840,"Estrella"),"")</f>
        <v/>
      </c>
      <c r="J209" s="20">
        <f>IFERROR(SUMIFS(Ordenes!$P$2:$P$840,Ordenes!$C$2:$C$840,$B209,Ordenes!$T$2:$T$840,"Válida",Ordenes!$F$2:$F$840,"Saferock")/SUMIFS(Ordenes!$Q$2:$Q$840,Ordenes!$C$2:$C$840,$B209,Ordenes!$T$2:$T$840,"Válida",Ordenes!$F$2:$F$840,"Saferock"),"")</f>
        <v/>
      </c>
      <c r="K209" s="20">
        <f>IFERROR(SUMIFS(Ordenes!$P$2:$P$840,Ordenes!$C$2:$C$840,$B209,Ordenes!$T$2:$T$840,"Válida",Ordenes!$F$2:$F$840,"Hexágono")/SUMIFS(Ordenes!$Q$2:$Q$840,Ordenes!$C$2:$C$840,$B209,Ordenes!$T$2:$T$840,"Válida",Ordenes!$F$2:$F$840,"Hexágono"),"")</f>
        <v/>
      </c>
      <c r="L209" s="24">
        <f>IFERROR(SUMIFS(Ordenes!$P$2:$P$840,Ordenes!$C$2:$C$840,$B209,Ordenes!$T$2:$T$840,"Válida",Ordenes!$F$2:$F$840,"*")/SUMIFS(Ordenes!$Q$2:$Q$840,Ordenes!$C$2:$C$840,$B209,Ordenes!$T$2:$T$840,"Válida",Ordenes!$F$2:$F$840,"*"),"")</f>
        <v/>
      </c>
      <c r="M209" s="20">
        <f>IFERROR(SUMIFS(Ordenes!$V$2:$V$840,Ordenes!$C$2:$C$840,$B209,Ordenes!$T$2:$T$840,"Válida")/SUMIFS(Ordenes!$Q$2:$Q$840,Ordenes!$C$2:$C$840,$B209,Ordenes!$T$2:$T$840,"Válida"),"")</f>
        <v/>
      </c>
      <c r="N209" s="21">
        <f>IFERROR((L209-M209)*100,"")</f>
        <v/>
      </c>
      <c r="O209" s="19">
        <f>SUMIFS(Ordenes!$P$2:$P$840,Ordenes!$C$2:$C$840,$B209,Ordenes!$T$2:$T$840,"Válida")</f>
        <v/>
      </c>
      <c r="P209" s="19">
        <f>SUMIFS(Ordenes!$Q$2:$Q$840,Ordenes!$C$2:$C$840,$B209,Ordenes!$T$2:$T$840,"Válida")</f>
        <v/>
      </c>
      <c r="Q209" s="18">
        <f>COUNTIFS(Ordenes!$C$2:$C$840,$B209,Ordenes!$T$2:$T$840,"Válida")</f>
        <v/>
      </c>
    </row>
    <row r="210">
      <c r="A210" s="18" t="inlineStr">
        <is>
          <t>Sáb 5 sep 2026</t>
        </is>
      </c>
      <c r="B210" s="22" t="n">
        <v>46270</v>
      </c>
      <c r="C210" s="18" t="inlineStr">
        <is>
          <t>S36</t>
        </is>
      </c>
      <c r="D210" s="20">
        <f>IFERROR(SUMIFS(Ordenes!$P$2:$P$840,Ordenes!$C$2:$C$840,$B210,Ordenes!$T$2:$T$840,"Válida",Ordenes!$F$2:$F$840,"B Hormigón")/SUMIFS(Ordenes!$Q$2:$Q$840,Ordenes!$C$2:$C$840,$B210,Ordenes!$T$2:$T$840,"Válida",Ordenes!$F$2:$F$840,"B Hormigón"),"")</f>
        <v/>
      </c>
      <c r="E210" s="20">
        <f>IFERROR(SUMIFS(Ordenes!$P$2:$P$840,Ordenes!$C$2:$C$840,$B210,Ordenes!$T$2:$T$840,"Válida",Ordenes!$F$2:$F$840,"Redondo liso")/SUMIFS(Ordenes!$Q$2:$Q$840,Ordenes!$C$2:$C$840,$B210,Ordenes!$T$2:$T$840,"Válida",Ordenes!$F$2:$F$840,"Redondo liso"),"")</f>
        <v/>
      </c>
      <c r="F210" s="20">
        <f>IFERROR(SUMIFS(Ordenes!$P$2:$P$840,Ordenes!$C$2:$C$840,$B210,Ordenes!$T$2:$T$840,"Válida",Ordenes!$F$2:$F$840,"Plana")/SUMIFS(Ordenes!$Q$2:$Q$840,Ordenes!$C$2:$C$840,$B210,Ordenes!$T$2:$T$840,"Válida",Ordenes!$F$2:$F$840,"Plana"),"")</f>
        <v/>
      </c>
      <c r="G210" s="20">
        <f>IFERROR(SUMIFS(Ordenes!$P$2:$P$840,Ordenes!$C$2:$C$840,$B210,Ordenes!$T$2:$T$840,"Válida",Ordenes!$F$2:$F$840,"Ángulo")/SUMIFS(Ordenes!$Q$2:$Q$840,Ordenes!$C$2:$C$840,$B210,Ordenes!$T$2:$T$840,"Válida",Ordenes!$F$2:$F$840,"Ángulo"),"")</f>
        <v/>
      </c>
      <c r="H210" s="20">
        <f>IFERROR(SUMIFS(Ordenes!$P$2:$P$840,Ordenes!$C$2:$C$840,$B210,Ordenes!$T$2:$T$840,"Válida",Ordenes!$F$2:$F$840,"Cuadrado")/SUMIFS(Ordenes!$Q$2:$Q$840,Ordenes!$C$2:$C$840,$B210,Ordenes!$T$2:$T$840,"Válida",Ordenes!$F$2:$F$840,"Cuadrado"),"")</f>
        <v/>
      </c>
      <c r="I210" s="20">
        <f>IFERROR(SUMIFS(Ordenes!$P$2:$P$840,Ordenes!$C$2:$C$840,$B210,Ordenes!$T$2:$T$840,"Válida",Ordenes!$F$2:$F$840,"Estrella")/SUMIFS(Ordenes!$Q$2:$Q$840,Ordenes!$C$2:$C$840,$B210,Ordenes!$T$2:$T$840,"Válida",Ordenes!$F$2:$F$840,"Estrella"),"")</f>
        <v/>
      </c>
      <c r="J210" s="20">
        <f>IFERROR(SUMIFS(Ordenes!$P$2:$P$840,Ordenes!$C$2:$C$840,$B210,Ordenes!$T$2:$T$840,"Válida",Ordenes!$F$2:$F$840,"Saferock")/SUMIFS(Ordenes!$Q$2:$Q$840,Ordenes!$C$2:$C$840,$B210,Ordenes!$T$2:$T$840,"Válida",Ordenes!$F$2:$F$840,"Saferock"),"")</f>
        <v/>
      </c>
      <c r="K210" s="20">
        <f>IFERROR(SUMIFS(Ordenes!$P$2:$P$840,Ordenes!$C$2:$C$840,$B210,Ordenes!$T$2:$T$840,"Válida",Ordenes!$F$2:$F$840,"Hexágono")/SUMIFS(Ordenes!$Q$2:$Q$840,Ordenes!$C$2:$C$840,$B210,Ordenes!$T$2:$T$840,"Válida",Ordenes!$F$2:$F$840,"Hexágono"),"")</f>
        <v/>
      </c>
      <c r="L210" s="24">
        <f>IFERROR(SUMIFS(Ordenes!$P$2:$P$840,Ordenes!$C$2:$C$840,$B210,Ordenes!$T$2:$T$840,"Válida",Ordenes!$F$2:$F$840,"*")/SUMIFS(Ordenes!$Q$2:$Q$840,Ordenes!$C$2:$C$840,$B210,Ordenes!$T$2:$T$840,"Válida",Ordenes!$F$2:$F$840,"*"),"")</f>
        <v/>
      </c>
      <c r="M210" s="20">
        <f>IFERROR(SUMIFS(Ordenes!$V$2:$V$840,Ordenes!$C$2:$C$840,$B210,Ordenes!$T$2:$T$840,"Válida")/SUMIFS(Ordenes!$Q$2:$Q$840,Ordenes!$C$2:$C$840,$B210,Ordenes!$T$2:$T$840,"Válida"),"")</f>
        <v/>
      </c>
      <c r="N210" s="21">
        <f>IFERROR((L210-M210)*100,"")</f>
        <v/>
      </c>
      <c r="O210" s="19">
        <f>SUMIFS(Ordenes!$P$2:$P$840,Ordenes!$C$2:$C$840,$B210,Ordenes!$T$2:$T$840,"Válida")</f>
        <v/>
      </c>
      <c r="P210" s="19">
        <f>SUMIFS(Ordenes!$Q$2:$Q$840,Ordenes!$C$2:$C$840,$B210,Ordenes!$T$2:$T$840,"Válida")</f>
        <v/>
      </c>
      <c r="Q210" s="18">
        <f>COUNTIFS(Ordenes!$C$2:$C$840,$B210,Ordenes!$T$2:$T$840,"Válida")</f>
        <v/>
      </c>
    </row>
    <row r="211">
      <c r="A211" s="18" t="inlineStr">
        <is>
          <t>Lun 7 sep 2026</t>
        </is>
      </c>
      <c r="B211" s="22" t="n">
        <v>46272</v>
      </c>
      <c r="C211" s="18" t="inlineStr">
        <is>
          <t>S37</t>
        </is>
      </c>
      <c r="D211" s="20">
        <f>IFERROR(SUMIFS(Ordenes!$P$2:$P$840,Ordenes!$C$2:$C$840,$B211,Ordenes!$T$2:$T$840,"Válida",Ordenes!$F$2:$F$840,"B Hormigón")/SUMIFS(Ordenes!$Q$2:$Q$840,Ordenes!$C$2:$C$840,$B211,Ordenes!$T$2:$T$840,"Válida",Ordenes!$F$2:$F$840,"B Hormigón"),"")</f>
        <v/>
      </c>
      <c r="E211" s="20">
        <f>IFERROR(SUMIFS(Ordenes!$P$2:$P$840,Ordenes!$C$2:$C$840,$B211,Ordenes!$T$2:$T$840,"Válida",Ordenes!$F$2:$F$840,"Redondo liso")/SUMIFS(Ordenes!$Q$2:$Q$840,Ordenes!$C$2:$C$840,$B211,Ordenes!$T$2:$T$840,"Válida",Ordenes!$F$2:$F$840,"Redondo liso"),"")</f>
        <v/>
      </c>
      <c r="F211" s="20">
        <f>IFERROR(SUMIFS(Ordenes!$P$2:$P$840,Ordenes!$C$2:$C$840,$B211,Ordenes!$T$2:$T$840,"Válida",Ordenes!$F$2:$F$840,"Plana")/SUMIFS(Ordenes!$Q$2:$Q$840,Ordenes!$C$2:$C$840,$B211,Ordenes!$T$2:$T$840,"Válida",Ordenes!$F$2:$F$840,"Plana"),"")</f>
        <v/>
      </c>
      <c r="G211" s="20">
        <f>IFERROR(SUMIFS(Ordenes!$P$2:$P$840,Ordenes!$C$2:$C$840,$B211,Ordenes!$T$2:$T$840,"Válida",Ordenes!$F$2:$F$840,"Ángulo")/SUMIFS(Ordenes!$Q$2:$Q$840,Ordenes!$C$2:$C$840,$B211,Ordenes!$T$2:$T$840,"Válida",Ordenes!$F$2:$F$840,"Ángulo"),"")</f>
        <v/>
      </c>
      <c r="H211" s="20">
        <f>IFERROR(SUMIFS(Ordenes!$P$2:$P$840,Ordenes!$C$2:$C$840,$B211,Ordenes!$T$2:$T$840,"Válida",Ordenes!$F$2:$F$840,"Cuadrado")/SUMIFS(Ordenes!$Q$2:$Q$840,Ordenes!$C$2:$C$840,$B211,Ordenes!$T$2:$T$840,"Válida",Ordenes!$F$2:$F$840,"Cuadrado"),"")</f>
        <v/>
      </c>
      <c r="I211" s="20">
        <f>IFERROR(SUMIFS(Ordenes!$P$2:$P$840,Ordenes!$C$2:$C$840,$B211,Ordenes!$T$2:$T$840,"Válida",Ordenes!$F$2:$F$840,"Estrella")/SUMIFS(Ordenes!$Q$2:$Q$840,Ordenes!$C$2:$C$840,$B211,Ordenes!$T$2:$T$840,"Válida",Ordenes!$F$2:$F$840,"Estrella"),"")</f>
        <v/>
      </c>
      <c r="J211" s="20">
        <f>IFERROR(SUMIFS(Ordenes!$P$2:$P$840,Ordenes!$C$2:$C$840,$B211,Ordenes!$T$2:$T$840,"Válida",Ordenes!$F$2:$F$840,"Saferock")/SUMIFS(Ordenes!$Q$2:$Q$840,Ordenes!$C$2:$C$840,$B211,Ordenes!$T$2:$T$840,"Válida",Ordenes!$F$2:$F$840,"Saferock"),"")</f>
        <v/>
      </c>
      <c r="K211" s="20">
        <f>IFERROR(SUMIFS(Ordenes!$P$2:$P$840,Ordenes!$C$2:$C$840,$B211,Ordenes!$T$2:$T$840,"Válida",Ordenes!$F$2:$F$840,"Hexágono")/SUMIFS(Ordenes!$Q$2:$Q$840,Ordenes!$C$2:$C$840,$B211,Ordenes!$T$2:$T$840,"Válida",Ordenes!$F$2:$F$840,"Hexágono"),"")</f>
        <v/>
      </c>
      <c r="L211" s="24">
        <f>IFERROR(SUMIFS(Ordenes!$P$2:$P$840,Ordenes!$C$2:$C$840,$B211,Ordenes!$T$2:$T$840,"Válida",Ordenes!$F$2:$F$840,"*")/SUMIFS(Ordenes!$Q$2:$Q$840,Ordenes!$C$2:$C$840,$B211,Ordenes!$T$2:$T$840,"Válida",Ordenes!$F$2:$F$840,"*"),"")</f>
        <v/>
      </c>
      <c r="M211" s="20">
        <f>IFERROR(SUMIFS(Ordenes!$V$2:$V$840,Ordenes!$C$2:$C$840,$B211,Ordenes!$T$2:$T$840,"Válida")/SUMIFS(Ordenes!$Q$2:$Q$840,Ordenes!$C$2:$C$840,$B211,Ordenes!$T$2:$T$840,"Válida"),"")</f>
        <v/>
      </c>
      <c r="N211" s="21">
        <f>IFERROR((L211-M211)*100,"")</f>
        <v/>
      </c>
      <c r="O211" s="19">
        <f>SUMIFS(Ordenes!$P$2:$P$840,Ordenes!$C$2:$C$840,$B211,Ordenes!$T$2:$T$840,"Válida")</f>
        <v/>
      </c>
      <c r="P211" s="19">
        <f>SUMIFS(Ordenes!$Q$2:$Q$840,Ordenes!$C$2:$C$840,$B211,Ordenes!$T$2:$T$840,"Válida")</f>
        <v/>
      </c>
      <c r="Q211" s="18">
        <f>COUNTIFS(Ordenes!$C$2:$C$840,$B211,Ordenes!$T$2:$T$840,"Válida")</f>
        <v/>
      </c>
    </row>
    <row r="212">
      <c r="A212" s="18" t="inlineStr">
        <is>
          <t>Mar 8 sep 2026</t>
        </is>
      </c>
      <c r="B212" s="22" t="n">
        <v>46273</v>
      </c>
      <c r="C212" s="18" t="inlineStr">
        <is>
          <t>S37</t>
        </is>
      </c>
      <c r="D212" s="20">
        <f>IFERROR(SUMIFS(Ordenes!$P$2:$P$840,Ordenes!$C$2:$C$840,$B212,Ordenes!$T$2:$T$840,"Válida",Ordenes!$F$2:$F$840,"B Hormigón")/SUMIFS(Ordenes!$Q$2:$Q$840,Ordenes!$C$2:$C$840,$B212,Ordenes!$T$2:$T$840,"Válida",Ordenes!$F$2:$F$840,"B Hormigón"),"")</f>
        <v/>
      </c>
      <c r="E212" s="20">
        <f>IFERROR(SUMIFS(Ordenes!$P$2:$P$840,Ordenes!$C$2:$C$840,$B212,Ordenes!$T$2:$T$840,"Válida",Ordenes!$F$2:$F$840,"Redondo liso")/SUMIFS(Ordenes!$Q$2:$Q$840,Ordenes!$C$2:$C$840,$B212,Ordenes!$T$2:$T$840,"Válida",Ordenes!$F$2:$F$840,"Redondo liso"),"")</f>
        <v/>
      </c>
      <c r="F212" s="20">
        <f>IFERROR(SUMIFS(Ordenes!$P$2:$P$840,Ordenes!$C$2:$C$840,$B212,Ordenes!$T$2:$T$840,"Válida",Ordenes!$F$2:$F$840,"Plana")/SUMIFS(Ordenes!$Q$2:$Q$840,Ordenes!$C$2:$C$840,$B212,Ordenes!$T$2:$T$840,"Válida",Ordenes!$F$2:$F$840,"Plana"),"")</f>
        <v/>
      </c>
      <c r="G212" s="20">
        <f>IFERROR(SUMIFS(Ordenes!$P$2:$P$840,Ordenes!$C$2:$C$840,$B212,Ordenes!$T$2:$T$840,"Válida",Ordenes!$F$2:$F$840,"Ángulo")/SUMIFS(Ordenes!$Q$2:$Q$840,Ordenes!$C$2:$C$840,$B212,Ordenes!$T$2:$T$840,"Válida",Ordenes!$F$2:$F$840,"Ángulo"),"")</f>
        <v/>
      </c>
      <c r="H212" s="20">
        <f>IFERROR(SUMIFS(Ordenes!$P$2:$P$840,Ordenes!$C$2:$C$840,$B212,Ordenes!$T$2:$T$840,"Válida",Ordenes!$F$2:$F$840,"Cuadrado")/SUMIFS(Ordenes!$Q$2:$Q$840,Ordenes!$C$2:$C$840,$B212,Ordenes!$T$2:$T$840,"Válida",Ordenes!$F$2:$F$840,"Cuadrado"),"")</f>
        <v/>
      </c>
      <c r="I212" s="20">
        <f>IFERROR(SUMIFS(Ordenes!$P$2:$P$840,Ordenes!$C$2:$C$840,$B212,Ordenes!$T$2:$T$840,"Válida",Ordenes!$F$2:$F$840,"Estrella")/SUMIFS(Ordenes!$Q$2:$Q$840,Ordenes!$C$2:$C$840,$B212,Ordenes!$T$2:$T$840,"Válida",Ordenes!$F$2:$F$840,"Estrella"),"")</f>
        <v/>
      </c>
      <c r="J212" s="20">
        <f>IFERROR(SUMIFS(Ordenes!$P$2:$P$840,Ordenes!$C$2:$C$840,$B212,Ordenes!$T$2:$T$840,"Válida",Ordenes!$F$2:$F$840,"Saferock")/SUMIFS(Ordenes!$Q$2:$Q$840,Ordenes!$C$2:$C$840,$B212,Ordenes!$T$2:$T$840,"Válida",Ordenes!$F$2:$F$840,"Saferock"),"")</f>
        <v/>
      </c>
      <c r="K212" s="20">
        <f>IFERROR(SUMIFS(Ordenes!$P$2:$P$840,Ordenes!$C$2:$C$840,$B212,Ordenes!$T$2:$T$840,"Válida",Ordenes!$F$2:$F$840,"Hexágono")/SUMIFS(Ordenes!$Q$2:$Q$840,Ordenes!$C$2:$C$840,$B212,Ordenes!$T$2:$T$840,"Válida",Ordenes!$F$2:$F$840,"Hexágono"),"")</f>
        <v/>
      </c>
      <c r="L212" s="24">
        <f>IFERROR(SUMIFS(Ordenes!$P$2:$P$840,Ordenes!$C$2:$C$840,$B212,Ordenes!$T$2:$T$840,"Válida",Ordenes!$F$2:$F$840,"*")/SUMIFS(Ordenes!$Q$2:$Q$840,Ordenes!$C$2:$C$840,$B212,Ordenes!$T$2:$T$840,"Válida",Ordenes!$F$2:$F$840,"*"),"")</f>
        <v/>
      </c>
      <c r="M212" s="20">
        <f>IFERROR(SUMIFS(Ordenes!$V$2:$V$840,Ordenes!$C$2:$C$840,$B212,Ordenes!$T$2:$T$840,"Válida")/SUMIFS(Ordenes!$Q$2:$Q$840,Ordenes!$C$2:$C$840,$B212,Ordenes!$T$2:$T$840,"Válida"),"")</f>
        <v/>
      </c>
      <c r="N212" s="21">
        <f>IFERROR((L212-M212)*100,"")</f>
        <v/>
      </c>
      <c r="O212" s="19">
        <f>SUMIFS(Ordenes!$P$2:$P$840,Ordenes!$C$2:$C$840,$B212,Ordenes!$T$2:$T$840,"Válida")</f>
        <v/>
      </c>
      <c r="P212" s="19">
        <f>SUMIFS(Ordenes!$Q$2:$Q$840,Ordenes!$C$2:$C$840,$B212,Ordenes!$T$2:$T$840,"Válida")</f>
        <v/>
      </c>
      <c r="Q212" s="18">
        <f>COUNTIFS(Ordenes!$C$2:$C$840,$B212,Ordenes!$T$2:$T$840,"Válida")</f>
        <v/>
      </c>
    </row>
    <row r="213">
      <c r="A213" s="18" t="inlineStr">
        <is>
          <t>Mié 9 sep 2026</t>
        </is>
      </c>
      <c r="B213" s="22" t="n">
        <v>46274</v>
      </c>
      <c r="C213" s="18" t="inlineStr">
        <is>
          <t>S37</t>
        </is>
      </c>
      <c r="D213" s="20">
        <f>IFERROR(SUMIFS(Ordenes!$P$2:$P$840,Ordenes!$C$2:$C$840,$B213,Ordenes!$T$2:$T$840,"Válida",Ordenes!$F$2:$F$840,"B Hormigón")/SUMIFS(Ordenes!$Q$2:$Q$840,Ordenes!$C$2:$C$840,$B213,Ordenes!$T$2:$T$840,"Válida",Ordenes!$F$2:$F$840,"B Hormigón"),"")</f>
        <v/>
      </c>
      <c r="E213" s="20">
        <f>IFERROR(SUMIFS(Ordenes!$P$2:$P$840,Ordenes!$C$2:$C$840,$B213,Ordenes!$T$2:$T$840,"Válida",Ordenes!$F$2:$F$840,"Redondo liso")/SUMIFS(Ordenes!$Q$2:$Q$840,Ordenes!$C$2:$C$840,$B213,Ordenes!$T$2:$T$840,"Válida",Ordenes!$F$2:$F$840,"Redondo liso"),"")</f>
        <v/>
      </c>
      <c r="F213" s="20">
        <f>IFERROR(SUMIFS(Ordenes!$P$2:$P$840,Ordenes!$C$2:$C$840,$B213,Ordenes!$T$2:$T$840,"Válida",Ordenes!$F$2:$F$840,"Plana")/SUMIFS(Ordenes!$Q$2:$Q$840,Ordenes!$C$2:$C$840,$B213,Ordenes!$T$2:$T$840,"Válida",Ordenes!$F$2:$F$840,"Plana"),"")</f>
        <v/>
      </c>
      <c r="G213" s="20">
        <f>IFERROR(SUMIFS(Ordenes!$P$2:$P$840,Ordenes!$C$2:$C$840,$B213,Ordenes!$T$2:$T$840,"Válida",Ordenes!$F$2:$F$840,"Ángulo")/SUMIFS(Ordenes!$Q$2:$Q$840,Ordenes!$C$2:$C$840,$B213,Ordenes!$T$2:$T$840,"Válida",Ordenes!$F$2:$F$840,"Ángulo"),"")</f>
        <v/>
      </c>
      <c r="H213" s="20">
        <f>IFERROR(SUMIFS(Ordenes!$P$2:$P$840,Ordenes!$C$2:$C$840,$B213,Ordenes!$T$2:$T$840,"Válida",Ordenes!$F$2:$F$840,"Cuadrado")/SUMIFS(Ordenes!$Q$2:$Q$840,Ordenes!$C$2:$C$840,$B213,Ordenes!$T$2:$T$840,"Válida",Ordenes!$F$2:$F$840,"Cuadrado"),"")</f>
        <v/>
      </c>
      <c r="I213" s="20">
        <f>IFERROR(SUMIFS(Ordenes!$P$2:$P$840,Ordenes!$C$2:$C$840,$B213,Ordenes!$T$2:$T$840,"Válida",Ordenes!$F$2:$F$840,"Estrella")/SUMIFS(Ordenes!$Q$2:$Q$840,Ordenes!$C$2:$C$840,$B213,Ordenes!$T$2:$T$840,"Válida",Ordenes!$F$2:$F$840,"Estrella"),"")</f>
        <v/>
      </c>
      <c r="J213" s="20">
        <f>IFERROR(SUMIFS(Ordenes!$P$2:$P$840,Ordenes!$C$2:$C$840,$B213,Ordenes!$T$2:$T$840,"Válida",Ordenes!$F$2:$F$840,"Saferock")/SUMIFS(Ordenes!$Q$2:$Q$840,Ordenes!$C$2:$C$840,$B213,Ordenes!$T$2:$T$840,"Válida",Ordenes!$F$2:$F$840,"Saferock"),"")</f>
        <v/>
      </c>
      <c r="K213" s="20">
        <f>IFERROR(SUMIFS(Ordenes!$P$2:$P$840,Ordenes!$C$2:$C$840,$B213,Ordenes!$T$2:$T$840,"Válida",Ordenes!$F$2:$F$840,"Hexágono")/SUMIFS(Ordenes!$Q$2:$Q$840,Ordenes!$C$2:$C$840,$B213,Ordenes!$T$2:$T$840,"Válida",Ordenes!$F$2:$F$840,"Hexágono"),"")</f>
        <v/>
      </c>
      <c r="L213" s="24">
        <f>IFERROR(SUMIFS(Ordenes!$P$2:$P$840,Ordenes!$C$2:$C$840,$B213,Ordenes!$T$2:$T$840,"Válida",Ordenes!$F$2:$F$840,"*")/SUMIFS(Ordenes!$Q$2:$Q$840,Ordenes!$C$2:$C$840,$B213,Ordenes!$T$2:$T$840,"Válida",Ordenes!$F$2:$F$840,"*"),"")</f>
        <v/>
      </c>
      <c r="M213" s="20">
        <f>IFERROR(SUMIFS(Ordenes!$V$2:$V$840,Ordenes!$C$2:$C$840,$B213,Ordenes!$T$2:$T$840,"Válida")/SUMIFS(Ordenes!$Q$2:$Q$840,Ordenes!$C$2:$C$840,$B213,Ordenes!$T$2:$T$840,"Válida"),"")</f>
        <v/>
      </c>
      <c r="N213" s="21">
        <f>IFERROR((L213-M213)*100,"")</f>
        <v/>
      </c>
      <c r="O213" s="19">
        <f>SUMIFS(Ordenes!$P$2:$P$840,Ordenes!$C$2:$C$840,$B213,Ordenes!$T$2:$T$840,"Válida")</f>
        <v/>
      </c>
      <c r="P213" s="19">
        <f>SUMIFS(Ordenes!$Q$2:$Q$840,Ordenes!$C$2:$C$840,$B213,Ordenes!$T$2:$T$840,"Válida")</f>
        <v/>
      </c>
      <c r="Q213" s="18">
        <f>COUNTIFS(Ordenes!$C$2:$C$840,$B213,Ordenes!$T$2:$T$840,"Válida")</f>
        <v/>
      </c>
    </row>
    <row r="214">
      <c r="A214" s="18" t="inlineStr">
        <is>
          <t>Jue 10 sep 2026</t>
        </is>
      </c>
      <c r="B214" s="22" t="n">
        <v>46275</v>
      </c>
      <c r="C214" s="18" t="inlineStr">
        <is>
          <t>S37</t>
        </is>
      </c>
      <c r="D214" s="20">
        <f>IFERROR(SUMIFS(Ordenes!$P$2:$P$840,Ordenes!$C$2:$C$840,$B214,Ordenes!$T$2:$T$840,"Válida",Ordenes!$F$2:$F$840,"B Hormigón")/SUMIFS(Ordenes!$Q$2:$Q$840,Ordenes!$C$2:$C$840,$B214,Ordenes!$T$2:$T$840,"Válida",Ordenes!$F$2:$F$840,"B Hormigón"),"")</f>
        <v/>
      </c>
      <c r="E214" s="20">
        <f>IFERROR(SUMIFS(Ordenes!$P$2:$P$840,Ordenes!$C$2:$C$840,$B214,Ordenes!$T$2:$T$840,"Válida",Ordenes!$F$2:$F$840,"Redondo liso")/SUMIFS(Ordenes!$Q$2:$Q$840,Ordenes!$C$2:$C$840,$B214,Ordenes!$T$2:$T$840,"Válida",Ordenes!$F$2:$F$840,"Redondo liso"),"")</f>
        <v/>
      </c>
      <c r="F214" s="20">
        <f>IFERROR(SUMIFS(Ordenes!$P$2:$P$840,Ordenes!$C$2:$C$840,$B214,Ordenes!$T$2:$T$840,"Válida",Ordenes!$F$2:$F$840,"Plana")/SUMIFS(Ordenes!$Q$2:$Q$840,Ordenes!$C$2:$C$840,$B214,Ordenes!$T$2:$T$840,"Válida",Ordenes!$F$2:$F$840,"Plana"),"")</f>
        <v/>
      </c>
      <c r="G214" s="20">
        <f>IFERROR(SUMIFS(Ordenes!$P$2:$P$840,Ordenes!$C$2:$C$840,$B214,Ordenes!$T$2:$T$840,"Válida",Ordenes!$F$2:$F$840,"Ángulo")/SUMIFS(Ordenes!$Q$2:$Q$840,Ordenes!$C$2:$C$840,$B214,Ordenes!$T$2:$T$840,"Válida",Ordenes!$F$2:$F$840,"Ángulo"),"")</f>
        <v/>
      </c>
      <c r="H214" s="20">
        <f>IFERROR(SUMIFS(Ordenes!$P$2:$P$840,Ordenes!$C$2:$C$840,$B214,Ordenes!$T$2:$T$840,"Válida",Ordenes!$F$2:$F$840,"Cuadrado")/SUMIFS(Ordenes!$Q$2:$Q$840,Ordenes!$C$2:$C$840,$B214,Ordenes!$T$2:$T$840,"Válida",Ordenes!$F$2:$F$840,"Cuadrado"),"")</f>
        <v/>
      </c>
      <c r="I214" s="20">
        <f>IFERROR(SUMIFS(Ordenes!$P$2:$P$840,Ordenes!$C$2:$C$840,$B214,Ordenes!$T$2:$T$840,"Válida",Ordenes!$F$2:$F$840,"Estrella")/SUMIFS(Ordenes!$Q$2:$Q$840,Ordenes!$C$2:$C$840,$B214,Ordenes!$T$2:$T$840,"Válida",Ordenes!$F$2:$F$840,"Estrella"),"")</f>
        <v/>
      </c>
      <c r="J214" s="20">
        <f>IFERROR(SUMIFS(Ordenes!$P$2:$P$840,Ordenes!$C$2:$C$840,$B214,Ordenes!$T$2:$T$840,"Válida",Ordenes!$F$2:$F$840,"Saferock")/SUMIFS(Ordenes!$Q$2:$Q$840,Ordenes!$C$2:$C$840,$B214,Ordenes!$T$2:$T$840,"Válida",Ordenes!$F$2:$F$840,"Saferock"),"")</f>
        <v/>
      </c>
      <c r="K214" s="20">
        <f>IFERROR(SUMIFS(Ordenes!$P$2:$P$840,Ordenes!$C$2:$C$840,$B214,Ordenes!$T$2:$T$840,"Válida",Ordenes!$F$2:$F$840,"Hexágono")/SUMIFS(Ordenes!$Q$2:$Q$840,Ordenes!$C$2:$C$840,$B214,Ordenes!$T$2:$T$840,"Válida",Ordenes!$F$2:$F$840,"Hexágono"),"")</f>
        <v/>
      </c>
      <c r="L214" s="24">
        <f>IFERROR(SUMIFS(Ordenes!$P$2:$P$840,Ordenes!$C$2:$C$840,$B214,Ordenes!$T$2:$T$840,"Válida",Ordenes!$F$2:$F$840,"*")/SUMIFS(Ordenes!$Q$2:$Q$840,Ordenes!$C$2:$C$840,$B214,Ordenes!$T$2:$T$840,"Válida",Ordenes!$F$2:$F$840,"*"),"")</f>
        <v/>
      </c>
      <c r="M214" s="20">
        <f>IFERROR(SUMIFS(Ordenes!$V$2:$V$840,Ordenes!$C$2:$C$840,$B214,Ordenes!$T$2:$T$840,"Válida")/SUMIFS(Ordenes!$Q$2:$Q$840,Ordenes!$C$2:$C$840,$B214,Ordenes!$T$2:$T$840,"Válida"),"")</f>
        <v/>
      </c>
      <c r="N214" s="21">
        <f>IFERROR((L214-M214)*100,"")</f>
        <v/>
      </c>
      <c r="O214" s="19">
        <f>SUMIFS(Ordenes!$P$2:$P$840,Ordenes!$C$2:$C$840,$B214,Ordenes!$T$2:$T$840,"Válida")</f>
        <v/>
      </c>
      <c r="P214" s="19">
        <f>SUMIFS(Ordenes!$Q$2:$Q$840,Ordenes!$C$2:$C$840,$B214,Ordenes!$T$2:$T$840,"Válida")</f>
        <v/>
      </c>
      <c r="Q214" s="18">
        <f>COUNTIFS(Ordenes!$C$2:$C$840,$B214,Ordenes!$T$2:$T$840,"Válida")</f>
        <v/>
      </c>
    </row>
    <row r="215">
      <c r="A215" s="18" t="inlineStr">
        <is>
          <t>Vie 11 sep 2026</t>
        </is>
      </c>
      <c r="B215" s="22" t="n">
        <v>46276</v>
      </c>
      <c r="C215" s="18" t="inlineStr">
        <is>
          <t>S37</t>
        </is>
      </c>
      <c r="D215" s="20">
        <f>IFERROR(SUMIFS(Ordenes!$P$2:$P$840,Ordenes!$C$2:$C$840,$B215,Ordenes!$T$2:$T$840,"Válida",Ordenes!$F$2:$F$840,"B Hormigón")/SUMIFS(Ordenes!$Q$2:$Q$840,Ordenes!$C$2:$C$840,$B215,Ordenes!$T$2:$T$840,"Válida",Ordenes!$F$2:$F$840,"B Hormigón"),"")</f>
        <v/>
      </c>
      <c r="E215" s="20">
        <f>IFERROR(SUMIFS(Ordenes!$P$2:$P$840,Ordenes!$C$2:$C$840,$B215,Ordenes!$T$2:$T$840,"Válida",Ordenes!$F$2:$F$840,"Redondo liso")/SUMIFS(Ordenes!$Q$2:$Q$840,Ordenes!$C$2:$C$840,$B215,Ordenes!$T$2:$T$840,"Válida",Ordenes!$F$2:$F$840,"Redondo liso"),"")</f>
        <v/>
      </c>
      <c r="F215" s="20">
        <f>IFERROR(SUMIFS(Ordenes!$P$2:$P$840,Ordenes!$C$2:$C$840,$B215,Ordenes!$T$2:$T$840,"Válida",Ordenes!$F$2:$F$840,"Plana")/SUMIFS(Ordenes!$Q$2:$Q$840,Ordenes!$C$2:$C$840,$B215,Ordenes!$T$2:$T$840,"Válida",Ordenes!$F$2:$F$840,"Plana"),"")</f>
        <v/>
      </c>
      <c r="G215" s="20">
        <f>IFERROR(SUMIFS(Ordenes!$P$2:$P$840,Ordenes!$C$2:$C$840,$B215,Ordenes!$T$2:$T$840,"Válida",Ordenes!$F$2:$F$840,"Ángulo")/SUMIFS(Ordenes!$Q$2:$Q$840,Ordenes!$C$2:$C$840,$B215,Ordenes!$T$2:$T$840,"Válida",Ordenes!$F$2:$F$840,"Ángulo"),"")</f>
        <v/>
      </c>
      <c r="H215" s="20">
        <f>IFERROR(SUMIFS(Ordenes!$P$2:$P$840,Ordenes!$C$2:$C$840,$B215,Ordenes!$T$2:$T$840,"Válida",Ordenes!$F$2:$F$840,"Cuadrado")/SUMIFS(Ordenes!$Q$2:$Q$840,Ordenes!$C$2:$C$840,$B215,Ordenes!$T$2:$T$840,"Válida",Ordenes!$F$2:$F$840,"Cuadrado"),"")</f>
        <v/>
      </c>
      <c r="I215" s="20">
        <f>IFERROR(SUMIFS(Ordenes!$P$2:$P$840,Ordenes!$C$2:$C$840,$B215,Ordenes!$T$2:$T$840,"Válida",Ordenes!$F$2:$F$840,"Estrella")/SUMIFS(Ordenes!$Q$2:$Q$840,Ordenes!$C$2:$C$840,$B215,Ordenes!$T$2:$T$840,"Válida",Ordenes!$F$2:$F$840,"Estrella"),"")</f>
        <v/>
      </c>
      <c r="J215" s="20">
        <f>IFERROR(SUMIFS(Ordenes!$P$2:$P$840,Ordenes!$C$2:$C$840,$B215,Ordenes!$T$2:$T$840,"Válida",Ordenes!$F$2:$F$840,"Saferock")/SUMIFS(Ordenes!$Q$2:$Q$840,Ordenes!$C$2:$C$840,$B215,Ordenes!$T$2:$T$840,"Válida",Ordenes!$F$2:$F$840,"Saferock"),"")</f>
        <v/>
      </c>
      <c r="K215" s="20">
        <f>IFERROR(SUMIFS(Ordenes!$P$2:$P$840,Ordenes!$C$2:$C$840,$B215,Ordenes!$T$2:$T$840,"Válida",Ordenes!$F$2:$F$840,"Hexágono")/SUMIFS(Ordenes!$Q$2:$Q$840,Ordenes!$C$2:$C$840,$B215,Ordenes!$T$2:$T$840,"Válida",Ordenes!$F$2:$F$840,"Hexágono"),"")</f>
        <v/>
      </c>
      <c r="L215" s="24">
        <f>IFERROR(SUMIFS(Ordenes!$P$2:$P$840,Ordenes!$C$2:$C$840,$B215,Ordenes!$T$2:$T$840,"Válida",Ordenes!$F$2:$F$840,"*")/SUMIFS(Ordenes!$Q$2:$Q$840,Ordenes!$C$2:$C$840,$B215,Ordenes!$T$2:$T$840,"Válida",Ordenes!$F$2:$F$840,"*"),"")</f>
        <v/>
      </c>
      <c r="M215" s="20">
        <f>IFERROR(SUMIFS(Ordenes!$V$2:$V$840,Ordenes!$C$2:$C$840,$B215,Ordenes!$T$2:$T$840,"Válida")/SUMIFS(Ordenes!$Q$2:$Q$840,Ordenes!$C$2:$C$840,$B215,Ordenes!$T$2:$T$840,"Válida"),"")</f>
        <v/>
      </c>
      <c r="N215" s="21">
        <f>IFERROR((L215-M215)*100,"")</f>
        <v/>
      </c>
      <c r="O215" s="19">
        <f>SUMIFS(Ordenes!$P$2:$P$840,Ordenes!$C$2:$C$840,$B215,Ordenes!$T$2:$T$840,"Válida")</f>
        <v/>
      </c>
      <c r="P215" s="19">
        <f>SUMIFS(Ordenes!$Q$2:$Q$840,Ordenes!$C$2:$C$840,$B215,Ordenes!$T$2:$T$840,"Válida")</f>
        <v/>
      </c>
      <c r="Q215" s="18">
        <f>COUNTIFS(Ordenes!$C$2:$C$840,$B215,Ordenes!$T$2:$T$840,"Válida")</f>
        <v/>
      </c>
    </row>
    <row r="216">
      <c r="A216" s="18" t="inlineStr">
        <is>
          <t>Lun 14 sep 2026</t>
        </is>
      </c>
      <c r="B216" s="22" t="n">
        <v>46279</v>
      </c>
      <c r="C216" s="18" t="inlineStr">
        <is>
          <t>S38</t>
        </is>
      </c>
      <c r="D216" s="20">
        <f>IFERROR(SUMIFS(Ordenes!$P$2:$P$840,Ordenes!$C$2:$C$840,$B216,Ordenes!$T$2:$T$840,"Válida",Ordenes!$F$2:$F$840,"B Hormigón")/SUMIFS(Ordenes!$Q$2:$Q$840,Ordenes!$C$2:$C$840,$B216,Ordenes!$T$2:$T$840,"Válida",Ordenes!$F$2:$F$840,"B Hormigón"),"")</f>
        <v/>
      </c>
      <c r="E216" s="20">
        <f>IFERROR(SUMIFS(Ordenes!$P$2:$P$840,Ordenes!$C$2:$C$840,$B216,Ordenes!$T$2:$T$840,"Válida",Ordenes!$F$2:$F$840,"Redondo liso")/SUMIFS(Ordenes!$Q$2:$Q$840,Ordenes!$C$2:$C$840,$B216,Ordenes!$T$2:$T$840,"Válida",Ordenes!$F$2:$F$840,"Redondo liso"),"")</f>
        <v/>
      </c>
      <c r="F216" s="20">
        <f>IFERROR(SUMIFS(Ordenes!$P$2:$P$840,Ordenes!$C$2:$C$840,$B216,Ordenes!$T$2:$T$840,"Válida",Ordenes!$F$2:$F$840,"Plana")/SUMIFS(Ordenes!$Q$2:$Q$840,Ordenes!$C$2:$C$840,$B216,Ordenes!$T$2:$T$840,"Válida",Ordenes!$F$2:$F$840,"Plana"),"")</f>
        <v/>
      </c>
      <c r="G216" s="20">
        <f>IFERROR(SUMIFS(Ordenes!$P$2:$P$840,Ordenes!$C$2:$C$840,$B216,Ordenes!$T$2:$T$840,"Válida",Ordenes!$F$2:$F$840,"Ángulo")/SUMIFS(Ordenes!$Q$2:$Q$840,Ordenes!$C$2:$C$840,$B216,Ordenes!$T$2:$T$840,"Válida",Ordenes!$F$2:$F$840,"Ángulo"),"")</f>
        <v/>
      </c>
      <c r="H216" s="20">
        <f>IFERROR(SUMIFS(Ordenes!$P$2:$P$840,Ordenes!$C$2:$C$840,$B216,Ordenes!$T$2:$T$840,"Válida",Ordenes!$F$2:$F$840,"Cuadrado")/SUMIFS(Ordenes!$Q$2:$Q$840,Ordenes!$C$2:$C$840,$B216,Ordenes!$T$2:$T$840,"Válida",Ordenes!$F$2:$F$840,"Cuadrado"),"")</f>
        <v/>
      </c>
      <c r="I216" s="20">
        <f>IFERROR(SUMIFS(Ordenes!$P$2:$P$840,Ordenes!$C$2:$C$840,$B216,Ordenes!$T$2:$T$840,"Válida",Ordenes!$F$2:$F$840,"Estrella")/SUMIFS(Ordenes!$Q$2:$Q$840,Ordenes!$C$2:$C$840,$B216,Ordenes!$T$2:$T$840,"Válida",Ordenes!$F$2:$F$840,"Estrella"),"")</f>
        <v/>
      </c>
      <c r="J216" s="20">
        <f>IFERROR(SUMIFS(Ordenes!$P$2:$P$840,Ordenes!$C$2:$C$840,$B216,Ordenes!$T$2:$T$840,"Válida",Ordenes!$F$2:$F$840,"Saferock")/SUMIFS(Ordenes!$Q$2:$Q$840,Ordenes!$C$2:$C$840,$B216,Ordenes!$T$2:$T$840,"Válida",Ordenes!$F$2:$F$840,"Saferock"),"")</f>
        <v/>
      </c>
      <c r="K216" s="20">
        <f>IFERROR(SUMIFS(Ordenes!$P$2:$P$840,Ordenes!$C$2:$C$840,$B216,Ordenes!$T$2:$T$840,"Válida",Ordenes!$F$2:$F$840,"Hexágono")/SUMIFS(Ordenes!$Q$2:$Q$840,Ordenes!$C$2:$C$840,$B216,Ordenes!$T$2:$T$840,"Válida",Ordenes!$F$2:$F$840,"Hexágono"),"")</f>
        <v/>
      </c>
      <c r="L216" s="24">
        <f>IFERROR(SUMIFS(Ordenes!$P$2:$P$840,Ordenes!$C$2:$C$840,$B216,Ordenes!$T$2:$T$840,"Válida",Ordenes!$F$2:$F$840,"*")/SUMIFS(Ordenes!$Q$2:$Q$840,Ordenes!$C$2:$C$840,$B216,Ordenes!$T$2:$T$840,"Válida",Ordenes!$F$2:$F$840,"*"),"")</f>
        <v/>
      </c>
      <c r="M216" s="20">
        <f>IFERROR(SUMIFS(Ordenes!$V$2:$V$840,Ordenes!$C$2:$C$840,$B216,Ordenes!$T$2:$T$840,"Válida")/SUMIFS(Ordenes!$Q$2:$Q$840,Ordenes!$C$2:$C$840,$B216,Ordenes!$T$2:$T$840,"Válida"),"")</f>
        <v/>
      </c>
      <c r="N216" s="21">
        <f>IFERROR((L216-M216)*100,"")</f>
        <v/>
      </c>
      <c r="O216" s="19">
        <f>SUMIFS(Ordenes!$P$2:$P$840,Ordenes!$C$2:$C$840,$B216,Ordenes!$T$2:$T$840,"Válida")</f>
        <v/>
      </c>
      <c r="P216" s="19">
        <f>SUMIFS(Ordenes!$Q$2:$Q$840,Ordenes!$C$2:$C$840,$B216,Ordenes!$T$2:$T$840,"Válida")</f>
        <v/>
      </c>
      <c r="Q216" s="18">
        <f>COUNTIFS(Ordenes!$C$2:$C$840,$B216,Ordenes!$T$2:$T$840,"Válida")</f>
        <v/>
      </c>
    </row>
    <row r="217">
      <c r="A217" s="18" t="inlineStr">
        <is>
          <t>Mar 15 sep 2026</t>
        </is>
      </c>
      <c r="B217" s="22" t="n">
        <v>46280</v>
      </c>
      <c r="C217" s="18" t="inlineStr">
        <is>
          <t>S38</t>
        </is>
      </c>
      <c r="D217" s="20">
        <f>IFERROR(SUMIFS(Ordenes!$P$2:$P$840,Ordenes!$C$2:$C$840,$B217,Ordenes!$T$2:$T$840,"Válida",Ordenes!$F$2:$F$840,"B Hormigón")/SUMIFS(Ordenes!$Q$2:$Q$840,Ordenes!$C$2:$C$840,$B217,Ordenes!$T$2:$T$840,"Válida",Ordenes!$F$2:$F$840,"B Hormigón"),"")</f>
        <v/>
      </c>
      <c r="E217" s="20">
        <f>IFERROR(SUMIFS(Ordenes!$P$2:$P$840,Ordenes!$C$2:$C$840,$B217,Ordenes!$T$2:$T$840,"Válida",Ordenes!$F$2:$F$840,"Redondo liso")/SUMIFS(Ordenes!$Q$2:$Q$840,Ordenes!$C$2:$C$840,$B217,Ordenes!$T$2:$T$840,"Válida",Ordenes!$F$2:$F$840,"Redondo liso"),"")</f>
        <v/>
      </c>
      <c r="F217" s="20">
        <f>IFERROR(SUMIFS(Ordenes!$P$2:$P$840,Ordenes!$C$2:$C$840,$B217,Ordenes!$T$2:$T$840,"Válida",Ordenes!$F$2:$F$840,"Plana")/SUMIFS(Ordenes!$Q$2:$Q$840,Ordenes!$C$2:$C$840,$B217,Ordenes!$T$2:$T$840,"Válida",Ordenes!$F$2:$F$840,"Plana"),"")</f>
        <v/>
      </c>
      <c r="G217" s="20">
        <f>IFERROR(SUMIFS(Ordenes!$P$2:$P$840,Ordenes!$C$2:$C$840,$B217,Ordenes!$T$2:$T$840,"Válida",Ordenes!$F$2:$F$840,"Ángulo")/SUMIFS(Ordenes!$Q$2:$Q$840,Ordenes!$C$2:$C$840,$B217,Ordenes!$T$2:$T$840,"Válida",Ordenes!$F$2:$F$840,"Ángulo"),"")</f>
        <v/>
      </c>
      <c r="H217" s="20">
        <f>IFERROR(SUMIFS(Ordenes!$P$2:$P$840,Ordenes!$C$2:$C$840,$B217,Ordenes!$T$2:$T$840,"Válida",Ordenes!$F$2:$F$840,"Cuadrado")/SUMIFS(Ordenes!$Q$2:$Q$840,Ordenes!$C$2:$C$840,$B217,Ordenes!$T$2:$T$840,"Válida",Ordenes!$F$2:$F$840,"Cuadrado"),"")</f>
        <v/>
      </c>
      <c r="I217" s="20">
        <f>IFERROR(SUMIFS(Ordenes!$P$2:$P$840,Ordenes!$C$2:$C$840,$B217,Ordenes!$T$2:$T$840,"Válida",Ordenes!$F$2:$F$840,"Estrella")/SUMIFS(Ordenes!$Q$2:$Q$840,Ordenes!$C$2:$C$840,$B217,Ordenes!$T$2:$T$840,"Válida",Ordenes!$F$2:$F$840,"Estrella"),"")</f>
        <v/>
      </c>
      <c r="J217" s="20">
        <f>IFERROR(SUMIFS(Ordenes!$P$2:$P$840,Ordenes!$C$2:$C$840,$B217,Ordenes!$T$2:$T$840,"Válida",Ordenes!$F$2:$F$840,"Saferock")/SUMIFS(Ordenes!$Q$2:$Q$840,Ordenes!$C$2:$C$840,$B217,Ordenes!$T$2:$T$840,"Válida",Ordenes!$F$2:$F$840,"Saferock"),"")</f>
        <v/>
      </c>
      <c r="K217" s="20">
        <f>IFERROR(SUMIFS(Ordenes!$P$2:$P$840,Ordenes!$C$2:$C$840,$B217,Ordenes!$T$2:$T$840,"Válida",Ordenes!$F$2:$F$840,"Hexágono")/SUMIFS(Ordenes!$Q$2:$Q$840,Ordenes!$C$2:$C$840,$B217,Ordenes!$T$2:$T$840,"Válida",Ordenes!$F$2:$F$840,"Hexágono"),"")</f>
        <v/>
      </c>
      <c r="L217" s="24">
        <f>IFERROR(SUMIFS(Ordenes!$P$2:$P$840,Ordenes!$C$2:$C$840,$B217,Ordenes!$T$2:$T$840,"Válida",Ordenes!$F$2:$F$840,"*")/SUMIFS(Ordenes!$Q$2:$Q$840,Ordenes!$C$2:$C$840,$B217,Ordenes!$T$2:$T$840,"Válida",Ordenes!$F$2:$F$840,"*"),"")</f>
        <v/>
      </c>
      <c r="M217" s="20">
        <f>IFERROR(SUMIFS(Ordenes!$V$2:$V$840,Ordenes!$C$2:$C$840,$B217,Ordenes!$T$2:$T$840,"Válida")/SUMIFS(Ordenes!$Q$2:$Q$840,Ordenes!$C$2:$C$840,$B217,Ordenes!$T$2:$T$840,"Válida"),"")</f>
        <v/>
      </c>
      <c r="N217" s="21">
        <f>IFERROR((L217-M217)*100,"")</f>
        <v/>
      </c>
      <c r="O217" s="19">
        <f>SUMIFS(Ordenes!$P$2:$P$840,Ordenes!$C$2:$C$840,$B217,Ordenes!$T$2:$T$840,"Válida")</f>
        <v/>
      </c>
      <c r="P217" s="19">
        <f>SUMIFS(Ordenes!$Q$2:$Q$840,Ordenes!$C$2:$C$840,$B217,Ordenes!$T$2:$T$840,"Válida")</f>
        <v/>
      </c>
      <c r="Q217" s="18">
        <f>COUNTIFS(Ordenes!$C$2:$C$840,$B217,Ordenes!$T$2:$T$840,"Válida")</f>
        <v/>
      </c>
    </row>
    <row r="218">
      <c r="A218" s="18" t="inlineStr">
        <is>
          <t>Mié 16 sep 2026</t>
        </is>
      </c>
      <c r="B218" s="22" t="n">
        <v>46281</v>
      </c>
      <c r="C218" s="18" t="inlineStr">
        <is>
          <t>S38</t>
        </is>
      </c>
      <c r="D218" s="20">
        <f>IFERROR(SUMIFS(Ordenes!$P$2:$P$840,Ordenes!$C$2:$C$840,$B218,Ordenes!$T$2:$T$840,"Válida",Ordenes!$F$2:$F$840,"B Hormigón")/SUMIFS(Ordenes!$Q$2:$Q$840,Ordenes!$C$2:$C$840,$B218,Ordenes!$T$2:$T$840,"Válida",Ordenes!$F$2:$F$840,"B Hormigón"),"")</f>
        <v/>
      </c>
      <c r="E218" s="20">
        <f>IFERROR(SUMIFS(Ordenes!$P$2:$P$840,Ordenes!$C$2:$C$840,$B218,Ordenes!$T$2:$T$840,"Válida",Ordenes!$F$2:$F$840,"Redondo liso")/SUMIFS(Ordenes!$Q$2:$Q$840,Ordenes!$C$2:$C$840,$B218,Ordenes!$T$2:$T$840,"Válida",Ordenes!$F$2:$F$840,"Redondo liso"),"")</f>
        <v/>
      </c>
      <c r="F218" s="20">
        <f>IFERROR(SUMIFS(Ordenes!$P$2:$P$840,Ordenes!$C$2:$C$840,$B218,Ordenes!$T$2:$T$840,"Válida",Ordenes!$F$2:$F$840,"Plana")/SUMIFS(Ordenes!$Q$2:$Q$840,Ordenes!$C$2:$C$840,$B218,Ordenes!$T$2:$T$840,"Válida",Ordenes!$F$2:$F$840,"Plana"),"")</f>
        <v/>
      </c>
      <c r="G218" s="20">
        <f>IFERROR(SUMIFS(Ordenes!$P$2:$P$840,Ordenes!$C$2:$C$840,$B218,Ordenes!$T$2:$T$840,"Válida",Ordenes!$F$2:$F$840,"Ángulo")/SUMIFS(Ordenes!$Q$2:$Q$840,Ordenes!$C$2:$C$840,$B218,Ordenes!$T$2:$T$840,"Válida",Ordenes!$F$2:$F$840,"Ángulo"),"")</f>
        <v/>
      </c>
      <c r="H218" s="20">
        <f>IFERROR(SUMIFS(Ordenes!$P$2:$P$840,Ordenes!$C$2:$C$840,$B218,Ordenes!$T$2:$T$840,"Válida",Ordenes!$F$2:$F$840,"Cuadrado")/SUMIFS(Ordenes!$Q$2:$Q$840,Ordenes!$C$2:$C$840,$B218,Ordenes!$T$2:$T$840,"Válida",Ordenes!$F$2:$F$840,"Cuadrado"),"")</f>
        <v/>
      </c>
      <c r="I218" s="20">
        <f>IFERROR(SUMIFS(Ordenes!$P$2:$P$840,Ordenes!$C$2:$C$840,$B218,Ordenes!$T$2:$T$840,"Válida",Ordenes!$F$2:$F$840,"Estrella")/SUMIFS(Ordenes!$Q$2:$Q$840,Ordenes!$C$2:$C$840,$B218,Ordenes!$T$2:$T$840,"Válida",Ordenes!$F$2:$F$840,"Estrella"),"")</f>
        <v/>
      </c>
      <c r="J218" s="20">
        <f>IFERROR(SUMIFS(Ordenes!$P$2:$P$840,Ordenes!$C$2:$C$840,$B218,Ordenes!$T$2:$T$840,"Válida",Ordenes!$F$2:$F$840,"Saferock")/SUMIFS(Ordenes!$Q$2:$Q$840,Ordenes!$C$2:$C$840,$B218,Ordenes!$T$2:$T$840,"Válida",Ordenes!$F$2:$F$840,"Saferock"),"")</f>
        <v/>
      </c>
      <c r="K218" s="20">
        <f>IFERROR(SUMIFS(Ordenes!$P$2:$P$840,Ordenes!$C$2:$C$840,$B218,Ordenes!$T$2:$T$840,"Válida",Ordenes!$F$2:$F$840,"Hexágono")/SUMIFS(Ordenes!$Q$2:$Q$840,Ordenes!$C$2:$C$840,$B218,Ordenes!$T$2:$T$840,"Válida",Ordenes!$F$2:$F$840,"Hexágono"),"")</f>
        <v/>
      </c>
      <c r="L218" s="24">
        <f>IFERROR(SUMIFS(Ordenes!$P$2:$P$840,Ordenes!$C$2:$C$840,$B218,Ordenes!$T$2:$T$840,"Válida",Ordenes!$F$2:$F$840,"*")/SUMIFS(Ordenes!$Q$2:$Q$840,Ordenes!$C$2:$C$840,$B218,Ordenes!$T$2:$T$840,"Válida",Ordenes!$F$2:$F$840,"*"),"")</f>
        <v/>
      </c>
      <c r="M218" s="20">
        <f>IFERROR(SUMIFS(Ordenes!$V$2:$V$840,Ordenes!$C$2:$C$840,$B218,Ordenes!$T$2:$T$840,"Válida")/SUMIFS(Ordenes!$Q$2:$Q$840,Ordenes!$C$2:$C$840,$B218,Ordenes!$T$2:$T$840,"Válida"),"")</f>
        <v/>
      </c>
      <c r="N218" s="21">
        <f>IFERROR((L218-M218)*100,"")</f>
        <v/>
      </c>
      <c r="O218" s="19">
        <f>SUMIFS(Ordenes!$P$2:$P$840,Ordenes!$C$2:$C$840,$B218,Ordenes!$T$2:$T$840,"Válida")</f>
        <v/>
      </c>
      <c r="P218" s="19">
        <f>SUMIFS(Ordenes!$Q$2:$Q$840,Ordenes!$C$2:$C$840,$B218,Ordenes!$T$2:$T$840,"Válida")</f>
        <v/>
      </c>
      <c r="Q218" s="18">
        <f>COUNTIFS(Ordenes!$C$2:$C$840,$B218,Ordenes!$T$2:$T$840,"Válida")</f>
        <v/>
      </c>
    </row>
    <row r="219">
      <c r="A219" s="18" t="inlineStr">
        <is>
          <t>Jue 17 sep 2026</t>
        </is>
      </c>
      <c r="B219" s="22" t="n">
        <v>46282</v>
      </c>
      <c r="C219" s="18" t="inlineStr">
        <is>
          <t>S38</t>
        </is>
      </c>
      <c r="D219" s="20">
        <f>IFERROR(SUMIFS(Ordenes!$P$2:$P$840,Ordenes!$C$2:$C$840,$B219,Ordenes!$T$2:$T$840,"Válida",Ordenes!$F$2:$F$840,"B Hormigón")/SUMIFS(Ordenes!$Q$2:$Q$840,Ordenes!$C$2:$C$840,$B219,Ordenes!$T$2:$T$840,"Válida",Ordenes!$F$2:$F$840,"B Hormigón"),"")</f>
        <v/>
      </c>
      <c r="E219" s="20">
        <f>IFERROR(SUMIFS(Ordenes!$P$2:$P$840,Ordenes!$C$2:$C$840,$B219,Ordenes!$T$2:$T$840,"Válida",Ordenes!$F$2:$F$840,"Redondo liso")/SUMIFS(Ordenes!$Q$2:$Q$840,Ordenes!$C$2:$C$840,$B219,Ordenes!$T$2:$T$840,"Válida",Ordenes!$F$2:$F$840,"Redondo liso"),"")</f>
        <v/>
      </c>
      <c r="F219" s="20">
        <f>IFERROR(SUMIFS(Ordenes!$P$2:$P$840,Ordenes!$C$2:$C$840,$B219,Ordenes!$T$2:$T$840,"Válida",Ordenes!$F$2:$F$840,"Plana")/SUMIFS(Ordenes!$Q$2:$Q$840,Ordenes!$C$2:$C$840,$B219,Ordenes!$T$2:$T$840,"Válida",Ordenes!$F$2:$F$840,"Plana"),"")</f>
        <v/>
      </c>
      <c r="G219" s="20">
        <f>IFERROR(SUMIFS(Ordenes!$P$2:$P$840,Ordenes!$C$2:$C$840,$B219,Ordenes!$T$2:$T$840,"Válida",Ordenes!$F$2:$F$840,"Ángulo")/SUMIFS(Ordenes!$Q$2:$Q$840,Ordenes!$C$2:$C$840,$B219,Ordenes!$T$2:$T$840,"Válida",Ordenes!$F$2:$F$840,"Ángulo"),"")</f>
        <v/>
      </c>
      <c r="H219" s="20">
        <f>IFERROR(SUMIFS(Ordenes!$P$2:$P$840,Ordenes!$C$2:$C$840,$B219,Ordenes!$T$2:$T$840,"Válida",Ordenes!$F$2:$F$840,"Cuadrado")/SUMIFS(Ordenes!$Q$2:$Q$840,Ordenes!$C$2:$C$840,$B219,Ordenes!$T$2:$T$840,"Válida",Ordenes!$F$2:$F$840,"Cuadrado"),"")</f>
        <v/>
      </c>
      <c r="I219" s="20">
        <f>IFERROR(SUMIFS(Ordenes!$P$2:$P$840,Ordenes!$C$2:$C$840,$B219,Ordenes!$T$2:$T$840,"Válida",Ordenes!$F$2:$F$840,"Estrella")/SUMIFS(Ordenes!$Q$2:$Q$840,Ordenes!$C$2:$C$840,$B219,Ordenes!$T$2:$T$840,"Válida",Ordenes!$F$2:$F$840,"Estrella"),"")</f>
        <v/>
      </c>
      <c r="J219" s="20">
        <f>IFERROR(SUMIFS(Ordenes!$P$2:$P$840,Ordenes!$C$2:$C$840,$B219,Ordenes!$T$2:$T$840,"Válida",Ordenes!$F$2:$F$840,"Saferock")/SUMIFS(Ordenes!$Q$2:$Q$840,Ordenes!$C$2:$C$840,$B219,Ordenes!$T$2:$T$840,"Válida",Ordenes!$F$2:$F$840,"Saferock"),"")</f>
        <v/>
      </c>
      <c r="K219" s="20">
        <f>IFERROR(SUMIFS(Ordenes!$P$2:$P$840,Ordenes!$C$2:$C$840,$B219,Ordenes!$T$2:$T$840,"Válida",Ordenes!$F$2:$F$840,"Hexágono")/SUMIFS(Ordenes!$Q$2:$Q$840,Ordenes!$C$2:$C$840,$B219,Ordenes!$T$2:$T$840,"Válida",Ordenes!$F$2:$F$840,"Hexágono"),"")</f>
        <v/>
      </c>
      <c r="L219" s="24">
        <f>IFERROR(SUMIFS(Ordenes!$P$2:$P$840,Ordenes!$C$2:$C$840,$B219,Ordenes!$T$2:$T$840,"Válida",Ordenes!$F$2:$F$840,"*")/SUMIFS(Ordenes!$Q$2:$Q$840,Ordenes!$C$2:$C$840,$B219,Ordenes!$T$2:$T$840,"Válida",Ordenes!$F$2:$F$840,"*"),"")</f>
        <v/>
      </c>
      <c r="M219" s="20">
        <f>IFERROR(SUMIFS(Ordenes!$V$2:$V$840,Ordenes!$C$2:$C$840,$B219,Ordenes!$T$2:$T$840,"Válida")/SUMIFS(Ordenes!$Q$2:$Q$840,Ordenes!$C$2:$C$840,$B219,Ordenes!$T$2:$T$840,"Válida"),"")</f>
        <v/>
      </c>
      <c r="N219" s="21">
        <f>IFERROR((L219-M219)*100,"")</f>
        <v/>
      </c>
      <c r="O219" s="19">
        <f>SUMIFS(Ordenes!$P$2:$P$840,Ordenes!$C$2:$C$840,$B219,Ordenes!$T$2:$T$840,"Válida")</f>
        <v/>
      </c>
      <c r="P219" s="19">
        <f>SUMIFS(Ordenes!$Q$2:$Q$840,Ordenes!$C$2:$C$840,$B219,Ordenes!$T$2:$T$840,"Válida")</f>
        <v/>
      </c>
      <c r="Q219" s="18">
        <f>COUNTIFS(Ordenes!$C$2:$C$840,$B219,Ordenes!$T$2:$T$840,"Válida")</f>
        <v/>
      </c>
    </row>
    <row r="220">
      <c r="A220" s="18" t="inlineStr">
        <is>
          <t>Lun 21 sep 2026</t>
        </is>
      </c>
      <c r="B220" s="22" t="n">
        <v>46286</v>
      </c>
      <c r="C220" s="18" t="inlineStr">
        <is>
          <t>S39</t>
        </is>
      </c>
      <c r="D220" s="20">
        <f>IFERROR(SUMIFS(Ordenes!$P$2:$P$840,Ordenes!$C$2:$C$840,$B220,Ordenes!$T$2:$T$840,"Válida",Ordenes!$F$2:$F$840,"B Hormigón")/SUMIFS(Ordenes!$Q$2:$Q$840,Ordenes!$C$2:$C$840,$B220,Ordenes!$T$2:$T$840,"Válida",Ordenes!$F$2:$F$840,"B Hormigón"),"")</f>
        <v/>
      </c>
      <c r="E220" s="20">
        <f>IFERROR(SUMIFS(Ordenes!$P$2:$P$840,Ordenes!$C$2:$C$840,$B220,Ordenes!$T$2:$T$840,"Válida",Ordenes!$F$2:$F$840,"Redondo liso")/SUMIFS(Ordenes!$Q$2:$Q$840,Ordenes!$C$2:$C$840,$B220,Ordenes!$T$2:$T$840,"Válida",Ordenes!$F$2:$F$840,"Redondo liso"),"")</f>
        <v/>
      </c>
      <c r="F220" s="20">
        <f>IFERROR(SUMIFS(Ordenes!$P$2:$P$840,Ordenes!$C$2:$C$840,$B220,Ordenes!$T$2:$T$840,"Válida",Ordenes!$F$2:$F$840,"Plana")/SUMIFS(Ordenes!$Q$2:$Q$840,Ordenes!$C$2:$C$840,$B220,Ordenes!$T$2:$T$840,"Válida",Ordenes!$F$2:$F$840,"Plana"),"")</f>
        <v/>
      </c>
      <c r="G220" s="20">
        <f>IFERROR(SUMIFS(Ordenes!$P$2:$P$840,Ordenes!$C$2:$C$840,$B220,Ordenes!$T$2:$T$840,"Válida",Ordenes!$F$2:$F$840,"Ángulo")/SUMIFS(Ordenes!$Q$2:$Q$840,Ordenes!$C$2:$C$840,$B220,Ordenes!$T$2:$T$840,"Válida",Ordenes!$F$2:$F$840,"Ángulo"),"")</f>
        <v/>
      </c>
      <c r="H220" s="20">
        <f>IFERROR(SUMIFS(Ordenes!$P$2:$P$840,Ordenes!$C$2:$C$840,$B220,Ordenes!$T$2:$T$840,"Válida",Ordenes!$F$2:$F$840,"Cuadrado")/SUMIFS(Ordenes!$Q$2:$Q$840,Ordenes!$C$2:$C$840,$B220,Ordenes!$T$2:$T$840,"Válida",Ordenes!$F$2:$F$840,"Cuadrado"),"")</f>
        <v/>
      </c>
      <c r="I220" s="20">
        <f>IFERROR(SUMIFS(Ordenes!$P$2:$P$840,Ordenes!$C$2:$C$840,$B220,Ordenes!$T$2:$T$840,"Válida",Ordenes!$F$2:$F$840,"Estrella")/SUMIFS(Ordenes!$Q$2:$Q$840,Ordenes!$C$2:$C$840,$B220,Ordenes!$T$2:$T$840,"Válida",Ordenes!$F$2:$F$840,"Estrella"),"")</f>
        <v/>
      </c>
      <c r="J220" s="20">
        <f>IFERROR(SUMIFS(Ordenes!$P$2:$P$840,Ordenes!$C$2:$C$840,$B220,Ordenes!$T$2:$T$840,"Válida",Ordenes!$F$2:$F$840,"Saferock")/SUMIFS(Ordenes!$Q$2:$Q$840,Ordenes!$C$2:$C$840,$B220,Ordenes!$T$2:$T$840,"Válida",Ordenes!$F$2:$F$840,"Saferock"),"")</f>
        <v/>
      </c>
      <c r="K220" s="20">
        <f>IFERROR(SUMIFS(Ordenes!$P$2:$P$840,Ordenes!$C$2:$C$840,$B220,Ordenes!$T$2:$T$840,"Válida",Ordenes!$F$2:$F$840,"Hexágono")/SUMIFS(Ordenes!$Q$2:$Q$840,Ordenes!$C$2:$C$840,$B220,Ordenes!$T$2:$T$840,"Válida",Ordenes!$F$2:$F$840,"Hexágono"),"")</f>
        <v/>
      </c>
      <c r="L220" s="24">
        <f>IFERROR(SUMIFS(Ordenes!$P$2:$P$840,Ordenes!$C$2:$C$840,$B220,Ordenes!$T$2:$T$840,"Válida",Ordenes!$F$2:$F$840,"*")/SUMIFS(Ordenes!$Q$2:$Q$840,Ordenes!$C$2:$C$840,$B220,Ordenes!$T$2:$T$840,"Válida",Ordenes!$F$2:$F$840,"*"),"")</f>
        <v/>
      </c>
      <c r="M220" s="20">
        <f>IFERROR(SUMIFS(Ordenes!$V$2:$V$840,Ordenes!$C$2:$C$840,$B220,Ordenes!$T$2:$T$840,"Válida")/SUMIFS(Ordenes!$Q$2:$Q$840,Ordenes!$C$2:$C$840,$B220,Ordenes!$T$2:$T$840,"Válida"),"")</f>
        <v/>
      </c>
      <c r="N220" s="21">
        <f>IFERROR((L220-M220)*100,"")</f>
        <v/>
      </c>
      <c r="O220" s="19">
        <f>SUMIFS(Ordenes!$P$2:$P$840,Ordenes!$C$2:$C$840,$B220,Ordenes!$T$2:$T$840,"Válida")</f>
        <v/>
      </c>
      <c r="P220" s="19">
        <f>SUMIFS(Ordenes!$Q$2:$Q$840,Ordenes!$C$2:$C$840,$B220,Ordenes!$T$2:$T$840,"Válida")</f>
        <v/>
      </c>
      <c r="Q220" s="18">
        <f>COUNTIFS(Ordenes!$C$2:$C$840,$B220,Ordenes!$T$2:$T$840,"Válida")</f>
        <v/>
      </c>
    </row>
    <row r="221">
      <c r="A221" s="18" t="inlineStr">
        <is>
          <t>Mar 22 sep 2026</t>
        </is>
      </c>
      <c r="B221" s="22" t="n">
        <v>46287</v>
      </c>
      <c r="C221" s="18" t="inlineStr">
        <is>
          <t>S39</t>
        </is>
      </c>
      <c r="D221" s="20">
        <f>IFERROR(SUMIFS(Ordenes!$P$2:$P$840,Ordenes!$C$2:$C$840,$B221,Ordenes!$T$2:$T$840,"Válida",Ordenes!$F$2:$F$840,"B Hormigón")/SUMIFS(Ordenes!$Q$2:$Q$840,Ordenes!$C$2:$C$840,$B221,Ordenes!$T$2:$T$840,"Válida",Ordenes!$F$2:$F$840,"B Hormigón"),"")</f>
        <v/>
      </c>
      <c r="E221" s="20">
        <f>IFERROR(SUMIFS(Ordenes!$P$2:$P$840,Ordenes!$C$2:$C$840,$B221,Ordenes!$T$2:$T$840,"Válida",Ordenes!$F$2:$F$840,"Redondo liso")/SUMIFS(Ordenes!$Q$2:$Q$840,Ordenes!$C$2:$C$840,$B221,Ordenes!$T$2:$T$840,"Válida",Ordenes!$F$2:$F$840,"Redondo liso"),"")</f>
        <v/>
      </c>
      <c r="F221" s="20">
        <f>IFERROR(SUMIFS(Ordenes!$P$2:$P$840,Ordenes!$C$2:$C$840,$B221,Ordenes!$T$2:$T$840,"Válida",Ordenes!$F$2:$F$840,"Plana")/SUMIFS(Ordenes!$Q$2:$Q$840,Ordenes!$C$2:$C$840,$B221,Ordenes!$T$2:$T$840,"Válida",Ordenes!$F$2:$F$840,"Plana"),"")</f>
        <v/>
      </c>
      <c r="G221" s="20">
        <f>IFERROR(SUMIFS(Ordenes!$P$2:$P$840,Ordenes!$C$2:$C$840,$B221,Ordenes!$T$2:$T$840,"Válida",Ordenes!$F$2:$F$840,"Ángulo")/SUMIFS(Ordenes!$Q$2:$Q$840,Ordenes!$C$2:$C$840,$B221,Ordenes!$T$2:$T$840,"Válida",Ordenes!$F$2:$F$840,"Ángulo"),"")</f>
        <v/>
      </c>
      <c r="H221" s="20">
        <f>IFERROR(SUMIFS(Ordenes!$P$2:$P$840,Ordenes!$C$2:$C$840,$B221,Ordenes!$T$2:$T$840,"Válida",Ordenes!$F$2:$F$840,"Cuadrado")/SUMIFS(Ordenes!$Q$2:$Q$840,Ordenes!$C$2:$C$840,$B221,Ordenes!$T$2:$T$840,"Válida",Ordenes!$F$2:$F$840,"Cuadrado"),"")</f>
        <v/>
      </c>
      <c r="I221" s="20">
        <f>IFERROR(SUMIFS(Ordenes!$P$2:$P$840,Ordenes!$C$2:$C$840,$B221,Ordenes!$T$2:$T$840,"Válida",Ordenes!$F$2:$F$840,"Estrella")/SUMIFS(Ordenes!$Q$2:$Q$840,Ordenes!$C$2:$C$840,$B221,Ordenes!$T$2:$T$840,"Válida",Ordenes!$F$2:$F$840,"Estrella"),"")</f>
        <v/>
      </c>
      <c r="J221" s="20">
        <f>IFERROR(SUMIFS(Ordenes!$P$2:$P$840,Ordenes!$C$2:$C$840,$B221,Ordenes!$T$2:$T$840,"Válida",Ordenes!$F$2:$F$840,"Saferock")/SUMIFS(Ordenes!$Q$2:$Q$840,Ordenes!$C$2:$C$840,$B221,Ordenes!$T$2:$T$840,"Válida",Ordenes!$F$2:$F$840,"Saferock"),"")</f>
        <v/>
      </c>
      <c r="K221" s="20">
        <f>IFERROR(SUMIFS(Ordenes!$P$2:$P$840,Ordenes!$C$2:$C$840,$B221,Ordenes!$T$2:$T$840,"Válida",Ordenes!$F$2:$F$840,"Hexágono")/SUMIFS(Ordenes!$Q$2:$Q$840,Ordenes!$C$2:$C$840,$B221,Ordenes!$T$2:$T$840,"Válida",Ordenes!$F$2:$F$840,"Hexágono"),"")</f>
        <v/>
      </c>
      <c r="L221" s="24">
        <f>IFERROR(SUMIFS(Ordenes!$P$2:$P$840,Ordenes!$C$2:$C$840,$B221,Ordenes!$T$2:$T$840,"Válida",Ordenes!$F$2:$F$840,"*")/SUMIFS(Ordenes!$Q$2:$Q$840,Ordenes!$C$2:$C$840,$B221,Ordenes!$T$2:$T$840,"Válida",Ordenes!$F$2:$F$840,"*"),"")</f>
        <v/>
      </c>
      <c r="M221" s="20">
        <f>IFERROR(SUMIFS(Ordenes!$V$2:$V$840,Ordenes!$C$2:$C$840,$B221,Ordenes!$T$2:$T$840,"Válida")/SUMIFS(Ordenes!$Q$2:$Q$840,Ordenes!$C$2:$C$840,$B221,Ordenes!$T$2:$T$840,"Válida"),"")</f>
        <v/>
      </c>
      <c r="N221" s="21">
        <f>IFERROR((L221-M221)*100,"")</f>
        <v/>
      </c>
      <c r="O221" s="19">
        <f>SUMIFS(Ordenes!$P$2:$P$840,Ordenes!$C$2:$C$840,$B221,Ordenes!$T$2:$T$840,"Válida")</f>
        <v/>
      </c>
      <c r="P221" s="19">
        <f>SUMIFS(Ordenes!$Q$2:$Q$840,Ordenes!$C$2:$C$840,$B221,Ordenes!$T$2:$T$840,"Válida")</f>
        <v/>
      </c>
      <c r="Q221" s="18">
        <f>COUNTIFS(Ordenes!$C$2:$C$840,$B221,Ordenes!$T$2:$T$840,"Válida")</f>
        <v/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</row>
    <row r="223">
      <c r="A223" s="3" t="inlineStr">
        <is>
          <t>Escala de color: rojo ≤ 90 %, gris 94,5 %, azul ≥ 97 %. Celda vacía = el grupo no produjo en ese período.</t>
        </is>
      </c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</row>
  </sheetData>
  <conditionalFormatting sqref="D5:L221">
    <cfRule type="colorScale" priority="1">
      <colorScale>
        <cfvo type="num" val="0.9"/>
        <cfvo type="num" val="0.945"/>
        <cfvo type="num" val="0.97"/>
        <color rgb="00E34948"/>
        <color rgb="00F0EFEC"/>
        <color rgb="002A78D6"/>
      </colorScale>
    </cfRule>
  </conditionalFormatting>
  <conditionalFormatting sqref="N5:N221">
    <cfRule type="cellIs" priority="2" operator="lessThan" dxfId="2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44" customWidth="1" min="3" max="3"/>
    <col width="22" customWidth="1" min="4" max="4"/>
    <col width="16" customWidth="1" min="5" max="5"/>
    <col width="9" customWidth="1" min="6" max="6"/>
    <col width="14" customWidth="1" min="7" max="7"/>
    <col width="14" customWidth="1" min="8" max="8"/>
    <col width="11" customWidth="1" min="9" max="9"/>
    <col width="10" customWidth="1" min="10" max="10"/>
    <col width="11" customWidth="1" min="11" max="11"/>
    <col width="10" customWidth="1" min="12" max="12"/>
    <col width="10" customWidth="1" min="13" max="13"/>
    <col width="12" customWidth="1" min="14" max="14"/>
  </cols>
  <sheetData>
    <row r="1">
      <c r="A1" s="1" t="inlineStr">
        <is>
          <t>Ranking de productos (de mayor a menor kg producidos)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Órdenes válidas. El orden es el del momento de la exportación; usa los filtros del encabezado para reordenar.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30" customHeight="1">
      <c r="A4" s="10" t="inlineStr">
        <is>
          <t>#</t>
        </is>
      </c>
      <c r="B4" s="10" t="inlineStr">
        <is>
          <t>Grupo</t>
        </is>
      </c>
      <c r="C4" s="10" t="inlineStr">
        <is>
          <t>Producto</t>
        </is>
      </c>
      <c r="D4" s="10" t="inlineStr">
        <is>
          <t>Medidas</t>
        </is>
      </c>
      <c r="E4" s="10" t="inlineStr">
        <is>
          <t>Formato (maestro)</t>
        </is>
      </c>
      <c r="F4" s="10" t="inlineStr">
        <is>
          <t>Largo (m)</t>
        </is>
      </c>
      <c r="G4" s="10" t="inlineStr">
        <is>
          <t>Kg producidos</t>
        </is>
      </c>
      <c r="H4" s="10" t="inlineStr">
        <is>
          <t>Kg consumidos</t>
        </is>
      </c>
      <c r="I4" s="10" t="inlineStr">
        <is>
          <t>Rend. met.</t>
        </is>
      </c>
      <c r="J4" s="10" t="inlineStr">
        <is>
          <t>Meta</t>
        </is>
      </c>
      <c r="K4" s="10" t="inlineStr">
        <is>
          <t>vs meta (pp)</t>
        </is>
      </c>
      <c r="L4" s="10" t="inlineStr">
        <is>
          <t>Órdenes válidas</t>
        </is>
      </c>
      <c r="M4" s="10" t="inlineStr">
        <is>
          <t>Órdenes a corregir</t>
        </is>
      </c>
      <c r="N4" s="10" t="inlineStr">
        <is>
          <t>Pérdida (kg)</t>
        </is>
      </c>
    </row>
    <row r="5">
      <c r="A5" s="9" t="n">
        <v>1</v>
      </c>
      <c r="B5" s="9" t="inlineStr">
        <is>
          <t>B Hormigón</t>
        </is>
      </c>
      <c r="C5" s="9" t="inlineStr">
        <is>
          <t>B HORMIGON 18MM 12M A630-420H (N)</t>
        </is>
      </c>
      <c r="D5" s="9" t="inlineStr">
        <is>
          <t>Ø18 mm · 12 m</t>
        </is>
      </c>
      <c r="E5" s="9" t="inlineStr">
        <is>
          <t>RED 18 CR</t>
        </is>
      </c>
      <c r="F5" s="9" t="n">
        <v>12</v>
      </c>
      <c r="G5" s="13">
        <f>SUMIFS(Ordenes!$P$2:$P$840,Ordenes!$G$2:$G$840,$C5,Ordenes!$T$2:$T$840,"Válida")</f>
        <v/>
      </c>
      <c r="H5" s="13">
        <f>SUMIFS(Ordenes!$Q$2:$Q$840,Ordenes!$G$2:$G$840,$C5,Ordenes!$T$2:$T$840,"Válida")</f>
        <v/>
      </c>
      <c r="I5" s="14">
        <f>IFERROR(G5/H5,"")</f>
        <v/>
      </c>
      <c r="J5" s="14">
        <f>IFERROR(SUMIFS(Ordenes!$V$2:$V$840,Ordenes!$G$2:$G$840,$C5,Ordenes!$T$2:$T$840,"Válida")/H5,"")</f>
        <v/>
      </c>
      <c r="K5" s="25">
        <f>IFERROR((I5-J5)*100,"")</f>
        <v/>
      </c>
      <c r="L5" s="9">
        <f>COUNTIFS(Ordenes!$G$2:$G$840,$C5,Ordenes!$T$2:$T$840,"Válida")</f>
        <v/>
      </c>
      <c r="M5" s="9">
        <f>COUNTIFS(Ordenes!$G$2:$G$840,$C5,Ordenes!$T$2:$T$840,"A corregir")</f>
        <v/>
      </c>
      <c r="N5" s="13">
        <f>H5-G5</f>
        <v/>
      </c>
    </row>
    <row r="6">
      <c r="A6" s="9" t="n">
        <v>2</v>
      </c>
      <c r="B6" s="9" t="inlineStr">
        <is>
          <t>B Hormigón</t>
        </is>
      </c>
      <c r="C6" s="9" t="inlineStr">
        <is>
          <t>B HORMIGON 25MM 12M A630-420H (N)</t>
        </is>
      </c>
      <c r="D6" s="9" t="inlineStr">
        <is>
          <t>Ø25 mm · 12 m</t>
        </is>
      </c>
      <c r="E6" s="9" t="inlineStr">
        <is>
          <t>RED 25 CR</t>
        </is>
      </c>
      <c r="F6" s="9" t="n">
        <v>12</v>
      </c>
      <c r="G6" s="13">
        <f>SUMIFS(Ordenes!$P$2:$P$840,Ordenes!$G$2:$G$840,$C6,Ordenes!$T$2:$T$840,"Válida")</f>
        <v/>
      </c>
      <c r="H6" s="13">
        <f>SUMIFS(Ordenes!$Q$2:$Q$840,Ordenes!$G$2:$G$840,$C6,Ordenes!$T$2:$T$840,"Válida")</f>
        <v/>
      </c>
      <c r="I6" s="14">
        <f>IFERROR(G6/H6,"")</f>
        <v/>
      </c>
      <c r="J6" s="14">
        <f>IFERROR(SUMIFS(Ordenes!$V$2:$V$840,Ordenes!$G$2:$G$840,$C6,Ordenes!$T$2:$T$840,"Válida")/H6,"")</f>
        <v/>
      </c>
      <c r="K6" s="25">
        <f>IFERROR((I6-J6)*100,"")</f>
        <v/>
      </c>
      <c r="L6" s="9">
        <f>COUNTIFS(Ordenes!$G$2:$G$840,$C6,Ordenes!$T$2:$T$840,"Válida")</f>
        <v/>
      </c>
      <c r="M6" s="9">
        <f>COUNTIFS(Ordenes!$G$2:$G$840,$C6,Ordenes!$T$2:$T$840,"A corregir")</f>
        <v/>
      </c>
      <c r="N6" s="13">
        <f>H6-G6</f>
        <v/>
      </c>
    </row>
    <row r="7">
      <c r="A7" s="9" t="n">
        <v>3</v>
      </c>
      <c r="B7" s="9" t="inlineStr">
        <is>
          <t>Saferock</t>
        </is>
      </c>
      <c r="C7" s="9" t="inlineStr">
        <is>
          <t>SAFEROCK 22MM 12M A280</t>
        </is>
      </c>
      <c r="D7" s="9" t="inlineStr">
        <is>
          <t>Ø22 mm · 12 m</t>
        </is>
      </c>
      <c r="E7" s="9" t="inlineStr">
        <is>
          <t>SFRCK 22</t>
        </is>
      </c>
      <c r="F7" s="9" t="n">
        <v>12</v>
      </c>
      <c r="G7" s="13">
        <f>SUMIFS(Ordenes!$P$2:$P$840,Ordenes!$G$2:$G$840,$C7,Ordenes!$T$2:$T$840,"Válida")</f>
        <v/>
      </c>
      <c r="H7" s="13">
        <f>SUMIFS(Ordenes!$Q$2:$Q$840,Ordenes!$G$2:$G$840,$C7,Ordenes!$T$2:$T$840,"Válida")</f>
        <v/>
      </c>
      <c r="I7" s="14">
        <f>IFERROR(G7/H7,"")</f>
        <v/>
      </c>
      <c r="J7" s="14">
        <f>IFERROR(SUMIFS(Ordenes!$V$2:$V$840,Ordenes!$G$2:$G$840,$C7,Ordenes!$T$2:$T$840,"Válida")/H7,"")</f>
        <v/>
      </c>
      <c r="K7" s="25">
        <f>IFERROR((I7-J7)*100,"")</f>
        <v/>
      </c>
      <c r="L7" s="9">
        <f>COUNTIFS(Ordenes!$G$2:$G$840,$C7,Ordenes!$T$2:$T$840,"Válida")</f>
        <v/>
      </c>
      <c r="M7" s="9">
        <f>COUNTIFS(Ordenes!$G$2:$G$840,$C7,Ordenes!$T$2:$T$840,"A corregir")</f>
        <v/>
      </c>
      <c r="N7" s="13">
        <f>H7-G7</f>
        <v/>
      </c>
    </row>
    <row r="8">
      <c r="A8" s="9" t="n">
        <v>4</v>
      </c>
      <c r="B8" s="9" t="inlineStr">
        <is>
          <t>Ángulo</t>
        </is>
      </c>
      <c r="C8" s="9" t="inlineStr">
        <is>
          <t>ANGULO 30X30X3MM A270ES</t>
        </is>
      </c>
      <c r="D8" s="9" t="inlineStr">
        <is>
          <t>30×30×3 mm · 6 m</t>
        </is>
      </c>
      <c r="E8" s="9" t="inlineStr">
        <is>
          <t>ANG 30 x 3</t>
        </is>
      </c>
      <c r="F8" s="9" t="n">
        <v>6</v>
      </c>
      <c r="G8" s="13">
        <f>SUMIFS(Ordenes!$P$2:$P$840,Ordenes!$G$2:$G$840,$C8,Ordenes!$T$2:$T$840,"Válida")</f>
        <v/>
      </c>
      <c r="H8" s="13">
        <f>SUMIFS(Ordenes!$Q$2:$Q$840,Ordenes!$G$2:$G$840,$C8,Ordenes!$T$2:$T$840,"Válida")</f>
        <v/>
      </c>
      <c r="I8" s="14">
        <f>IFERROR(G8/H8,"")</f>
        <v/>
      </c>
      <c r="J8" s="14">
        <f>IFERROR(SUMIFS(Ordenes!$V$2:$V$840,Ordenes!$G$2:$G$840,$C8,Ordenes!$T$2:$T$840,"Válida")/H8,"")</f>
        <v/>
      </c>
      <c r="K8" s="25">
        <f>IFERROR((I8-J8)*100,"")</f>
        <v/>
      </c>
      <c r="L8" s="9">
        <f>COUNTIFS(Ordenes!$G$2:$G$840,$C8,Ordenes!$T$2:$T$840,"Válida")</f>
        <v/>
      </c>
      <c r="M8" s="9">
        <f>COUNTIFS(Ordenes!$G$2:$G$840,$C8,Ordenes!$T$2:$T$840,"A corregir")</f>
        <v/>
      </c>
      <c r="N8" s="13">
        <f>H8-G8</f>
        <v/>
      </c>
    </row>
    <row r="9">
      <c r="A9" s="9" t="n">
        <v>5</v>
      </c>
      <c r="B9" s="9" t="inlineStr">
        <is>
          <t>B Hormigón</t>
        </is>
      </c>
      <c r="C9" s="9" t="inlineStr">
        <is>
          <t>B HORMIGON 28MM 12M A630-420H (N)</t>
        </is>
      </c>
      <c r="D9" s="9" t="inlineStr">
        <is>
          <t>Ø28 mm · 12 m</t>
        </is>
      </c>
      <c r="E9" s="9" t="inlineStr">
        <is>
          <t>RED 28 CR</t>
        </is>
      </c>
      <c r="F9" s="9" t="n">
        <v>12</v>
      </c>
      <c r="G9" s="13">
        <f>SUMIFS(Ordenes!$P$2:$P$840,Ordenes!$G$2:$G$840,$C9,Ordenes!$T$2:$T$840,"Válida")</f>
        <v/>
      </c>
      <c r="H9" s="13">
        <f>SUMIFS(Ordenes!$Q$2:$Q$840,Ordenes!$G$2:$G$840,$C9,Ordenes!$T$2:$T$840,"Válida")</f>
        <v/>
      </c>
      <c r="I9" s="14">
        <f>IFERROR(G9/H9,"")</f>
        <v/>
      </c>
      <c r="J9" s="14">
        <f>IFERROR(SUMIFS(Ordenes!$V$2:$V$840,Ordenes!$G$2:$G$840,$C9,Ordenes!$T$2:$T$840,"Válida")/H9,"")</f>
        <v/>
      </c>
      <c r="K9" s="25">
        <f>IFERROR((I9-J9)*100,"")</f>
        <v/>
      </c>
      <c r="L9" s="9">
        <f>COUNTIFS(Ordenes!$G$2:$G$840,$C9,Ordenes!$T$2:$T$840,"Válida")</f>
        <v/>
      </c>
      <c r="M9" s="9">
        <f>COUNTIFS(Ordenes!$G$2:$G$840,$C9,Ordenes!$T$2:$T$840,"A corregir")</f>
        <v/>
      </c>
      <c r="N9" s="13">
        <f>H9-G9</f>
        <v/>
      </c>
    </row>
    <row r="10">
      <c r="A10" s="9" t="n">
        <v>6</v>
      </c>
      <c r="B10" s="9" t="inlineStr">
        <is>
          <t>Ángulo</t>
        </is>
      </c>
      <c r="C10" s="9" t="inlineStr">
        <is>
          <t>ANGULO 40X40X3MM A270ES</t>
        </is>
      </c>
      <c r="D10" s="9" t="inlineStr">
        <is>
          <t>40×40×3 mm · 6 m</t>
        </is>
      </c>
      <c r="E10" s="9" t="inlineStr">
        <is>
          <t>ANG 40 x 3</t>
        </is>
      </c>
      <c r="F10" s="9" t="n">
        <v>6</v>
      </c>
      <c r="G10" s="13">
        <f>SUMIFS(Ordenes!$P$2:$P$840,Ordenes!$G$2:$G$840,$C10,Ordenes!$T$2:$T$840,"Válida")</f>
        <v/>
      </c>
      <c r="H10" s="13">
        <f>SUMIFS(Ordenes!$Q$2:$Q$840,Ordenes!$G$2:$G$840,$C10,Ordenes!$T$2:$T$840,"Válida")</f>
        <v/>
      </c>
      <c r="I10" s="14">
        <f>IFERROR(G10/H10,"")</f>
        <v/>
      </c>
      <c r="J10" s="14">
        <f>IFERROR(SUMIFS(Ordenes!$V$2:$V$840,Ordenes!$G$2:$G$840,$C10,Ordenes!$T$2:$T$840,"Válida")/H10,"")</f>
        <v/>
      </c>
      <c r="K10" s="25">
        <f>IFERROR((I10-J10)*100,"")</f>
        <v/>
      </c>
      <c r="L10" s="9">
        <f>COUNTIFS(Ordenes!$G$2:$G$840,$C10,Ordenes!$T$2:$T$840,"Válida")</f>
        <v/>
      </c>
      <c r="M10" s="9">
        <f>COUNTIFS(Ordenes!$G$2:$G$840,$C10,Ordenes!$T$2:$T$840,"A corregir")</f>
        <v/>
      </c>
      <c r="N10" s="13">
        <f>H10-G10</f>
        <v/>
      </c>
    </row>
    <row r="11">
      <c r="A11" s="9" t="n">
        <v>7</v>
      </c>
      <c r="B11" s="9" t="inlineStr">
        <is>
          <t>B Hormigón</t>
        </is>
      </c>
      <c r="C11" s="9" t="inlineStr">
        <is>
          <t>B HORMIGON 32MM 12M A630-420H (N)</t>
        </is>
      </c>
      <c r="D11" s="9" t="inlineStr">
        <is>
          <t>Ø32 mm · 12 m</t>
        </is>
      </c>
      <c r="E11" s="9" t="inlineStr">
        <is>
          <t>RED 32 CR</t>
        </is>
      </c>
      <c r="F11" s="9" t="n">
        <v>12</v>
      </c>
      <c r="G11" s="13">
        <f>SUMIFS(Ordenes!$P$2:$P$840,Ordenes!$G$2:$G$840,$C11,Ordenes!$T$2:$T$840,"Válida")</f>
        <v/>
      </c>
      <c r="H11" s="13">
        <f>SUMIFS(Ordenes!$Q$2:$Q$840,Ordenes!$G$2:$G$840,$C11,Ordenes!$T$2:$T$840,"Válida")</f>
        <v/>
      </c>
      <c r="I11" s="14">
        <f>IFERROR(G11/H11,"")</f>
        <v/>
      </c>
      <c r="J11" s="14">
        <f>IFERROR(SUMIFS(Ordenes!$V$2:$V$840,Ordenes!$G$2:$G$840,$C11,Ordenes!$T$2:$T$840,"Válida")/H11,"")</f>
        <v/>
      </c>
      <c r="K11" s="25">
        <f>IFERROR((I11-J11)*100,"")</f>
        <v/>
      </c>
      <c r="L11" s="9">
        <f>COUNTIFS(Ordenes!$G$2:$G$840,$C11,Ordenes!$T$2:$T$840,"Válida")</f>
        <v/>
      </c>
      <c r="M11" s="9">
        <f>COUNTIFS(Ordenes!$G$2:$G$840,$C11,Ordenes!$T$2:$T$840,"A corregir")</f>
        <v/>
      </c>
      <c r="N11" s="13">
        <f>H11-G11</f>
        <v/>
      </c>
    </row>
    <row r="12">
      <c r="A12" s="9" t="n">
        <v>8</v>
      </c>
      <c r="B12" s="9" t="inlineStr">
        <is>
          <t>Ángulo</t>
        </is>
      </c>
      <c r="C12" s="9" t="inlineStr">
        <is>
          <t>ANGULO 50X50X3MM A270ES</t>
        </is>
      </c>
      <c r="D12" s="9" t="inlineStr">
        <is>
          <t>50×50×3 mm · 6 m</t>
        </is>
      </c>
      <c r="E12" s="9" t="inlineStr">
        <is>
          <t>ANG 50 x 3</t>
        </is>
      </c>
      <c r="F12" s="9" t="n">
        <v>6</v>
      </c>
      <c r="G12" s="13">
        <f>SUMIFS(Ordenes!$P$2:$P$840,Ordenes!$G$2:$G$840,$C12,Ordenes!$T$2:$T$840,"Válida")</f>
        <v/>
      </c>
      <c r="H12" s="13">
        <f>SUMIFS(Ordenes!$Q$2:$Q$840,Ordenes!$G$2:$G$840,$C12,Ordenes!$T$2:$T$840,"Válida")</f>
        <v/>
      </c>
      <c r="I12" s="14">
        <f>IFERROR(G12/H12,"")</f>
        <v/>
      </c>
      <c r="J12" s="14">
        <f>IFERROR(SUMIFS(Ordenes!$V$2:$V$840,Ordenes!$G$2:$G$840,$C12,Ordenes!$T$2:$T$840,"Válida")/H12,"")</f>
        <v/>
      </c>
      <c r="K12" s="25">
        <f>IFERROR((I12-J12)*100,"")</f>
        <v/>
      </c>
      <c r="L12" s="9">
        <f>COUNTIFS(Ordenes!$G$2:$G$840,$C12,Ordenes!$T$2:$T$840,"Válida")</f>
        <v/>
      </c>
      <c r="M12" s="9">
        <f>COUNTIFS(Ordenes!$G$2:$G$840,$C12,Ordenes!$T$2:$T$840,"A corregir")</f>
        <v/>
      </c>
      <c r="N12" s="13">
        <f>H12-G12</f>
        <v/>
      </c>
    </row>
    <row r="13">
      <c r="A13" s="9" t="n">
        <v>9</v>
      </c>
      <c r="B13" s="9" t="inlineStr">
        <is>
          <t>B Hormigón</t>
        </is>
      </c>
      <c r="C13" s="9" t="inlineStr">
        <is>
          <t>B HORMIGON 25MM 10M A630-420H (N)</t>
        </is>
      </c>
      <c r="D13" s="9" t="inlineStr">
        <is>
          <t>Ø25 mm · 10 m</t>
        </is>
      </c>
      <c r="E13" s="9" t="inlineStr">
        <is>
          <t>RED 25 CR</t>
        </is>
      </c>
      <c r="F13" s="9" t="n">
        <v>10</v>
      </c>
      <c r="G13" s="13">
        <f>SUMIFS(Ordenes!$P$2:$P$840,Ordenes!$G$2:$G$840,$C13,Ordenes!$T$2:$T$840,"Válida")</f>
        <v/>
      </c>
      <c r="H13" s="13">
        <f>SUMIFS(Ordenes!$Q$2:$Q$840,Ordenes!$G$2:$G$840,$C13,Ordenes!$T$2:$T$840,"Válida")</f>
        <v/>
      </c>
      <c r="I13" s="14">
        <f>IFERROR(G13/H13,"")</f>
        <v/>
      </c>
      <c r="J13" s="14">
        <f>IFERROR(SUMIFS(Ordenes!$V$2:$V$840,Ordenes!$G$2:$G$840,$C13,Ordenes!$T$2:$T$840,"Válida")/H13,"")</f>
        <v/>
      </c>
      <c r="K13" s="25">
        <f>IFERROR((I13-J13)*100,"")</f>
        <v/>
      </c>
      <c r="L13" s="9">
        <f>COUNTIFS(Ordenes!$G$2:$G$840,$C13,Ordenes!$T$2:$T$840,"Válida")</f>
        <v/>
      </c>
      <c r="M13" s="9">
        <f>COUNTIFS(Ordenes!$G$2:$G$840,$C13,Ordenes!$T$2:$T$840,"A corregir")</f>
        <v/>
      </c>
      <c r="N13" s="13">
        <f>H13-G13</f>
        <v/>
      </c>
    </row>
    <row r="14">
      <c r="A14" s="9" t="n">
        <v>10</v>
      </c>
      <c r="B14" s="9" t="inlineStr">
        <is>
          <t>B Hormigón</t>
        </is>
      </c>
      <c r="C14" s="9" t="inlineStr">
        <is>
          <t>B HORMIGON 22MM 12M A630-420H (N)</t>
        </is>
      </c>
      <c r="D14" s="9" t="inlineStr">
        <is>
          <t>Ø22 mm · 12 m</t>
        </is>
      </c>
      <c r="E14" s="9" t="inlineStr">
        <is>
          <t>RED 22 CR</t>
        </is>
      </c>
      <c r="F14" s="9" t="n">
        <v>12</v>
      </c>
      <c r="G14" s="13">
        <f>SUMIFS(Ordenes!$P$2:$P$840,Ordenes!$G$2:$G$840,$C14,Ordenes!$T$2:$T$840,"Válida")</f>
        <v/>
      </c>
      <c r="H14" s="13">
        <f>SUMIFS(Ordenes!$Q$2:$Q$840,Ordenes!$G$2:$G$840,$C14,Ordenes!$T$2:$T$840,"Válida")</f>
        <v/>
      </c>
      <c r="I14" s="14">
        <f>IFERROR(G14/H14,"")</f>
        <v/>
      </c>
      <c r="J14" s="14">
        <f>IFERROR(SUMIFS(Ordenes!$V$2:$V$840,Ordenes!$G$2:$G$840,$C14,Ordenes!$T$2:$T$840,"Válida")/H14,"")</f>
        <v/>
      </c>
      <c r="K14" s="25">
        <f>IFERROR((I14-J14)*100,"")</f>
        <v/>
      </c>
      <c r="L14" s="9">
        <f>COUNTIFS(Ordenes!$G$2:$G$840,$C14,Ordenes!$T$2:$T$840,"Válida")</f>
        <v/>
      </c>
      <c r="M14" s="9">
        <f>COUNTIFS(Ordenes!$G$2:$G$840,$C14,Ordenes!$T$2:$T$840,"A corregir")</f>
        <v/>
      </c>
      <c r="N14" s="13">
        <f>H14-G14</f>
        <v/>
      </c>
    </row>
    <row r="15">
      <c r="A15" s="9" t="n">
        <v>11</v>
      </c>
      <c r="B15" s="9" t="inlineStr">
        <is>
          <t>B Hormigón</t>
        </is>
      </c>
      <c r="C15" s="9" t="inlineStr">
        <is>
          <t>B HORMIGON 25MM 11M A630-420H (N)</t>
        </is>
      </c>
      <c r="D15" s="9" t="inlineStr">
        <is>
          <t>Ø25 mm · 11 m</t>
        </is>
      </c>
      <c r="E15" s="9" t="inlineStr">
        <is>
          <t>RED 25 CR</t>
        </is>
      </c>
      <c r="F15" s="9" t="n">
        <v>11</v>
      </c>
      <c r="G15" s="13">
        <f>SUMIFS(Ordenes!$P$2:$P$840,Ordenes!$G$2:$G$840,$C15,Ordenes!$T$2:$T$840,"Válida")</f>
        <v/>
      </c>
      <c r="H15" s="13">
        <f>SUMIFS(Ordenes!$Q$2:$Q$840,Ordenes!$G$2:$G$840,$C15,Ordenes!$T$2:$T$840,"Válida")</f>
        <v/>
      </c>
      <c r="I15" s="14">
        <f>IFERROR(G15/H15,"")</f>
        <v/>
      </c>
      <c r="J15" s="14">
        <f>IFERROR(SUMIFS(Ordenes!$V$2:$V$840,Ordenes!$G$2:$G$840,$C15,Ordenes!$T$2:$T$840,"Válida")/H15,"")</f>
        <v/>
      </c>
      <c r="K15" s="25">
        <f>IFERROR((I15-J15)*100,"")</f>
        <v/>
      </c>
      <c r="L15" s="9">
        <f>COUNTIFS(Ordenes!$G$2:$G$840,$C15,Ordenes!$T$2:$T$840,"Válida")</f>
        <v/>
      </c>
      <c r="M15" s="9">
        <f>COUNTIFS(Ordenes!$G$2:$G$840,$C15,Ordenes!$T$2:$T$840,"A corregir")</f>
        <v/>
      </c>
      <c r="N15" s="13">
        <f>H15-G15</f>
        <v/>
      </c>
    </row>
    <row r="16">
      <c r="A16" s="9" t="n">
        <v>12</v>
      </c>
      <c r="B16" s="9" t="inlineStr">
        <is>
          <t>B Hormigón</t>
        </is>
      </c>
      <c r="C16" s="9" t="inlineStr">
        <is>
          <t>B HORMIGON 25MM 9M A630-420H (N)</t>
        </is>
      </c>
      <c r="D16" s="9" t="inlineStr">
        <is>
          <t>Ø25 mm · 9 m</t>
        </is>
      </c>
      <c r="E16" s="9" t="inlineStr">
        <is>
          <t>RED 25 CR</t>
        </is>
      </c>
      <c r="F16" s="9" t="n">
        <v>9</v>
      </c>
      <c r="G16" s="13">
        <f>SUMIFS(Ordenes!$P$2:$P$840,Ordenes!$G$2:$G$840,$C16,Ordenes!$T$2:$T$840,"Válida")</f>
        <v/>
      </c>
      <c r="H16" s="13">
        <f>SUMIFS(Ordenes!$Q$2:$Q$840,Ordenes!$G$2:$G$840,$C16,Ordenes!$T$2:$T$840,"Válida")</f>
        <v/>
      </c>
      <c r="I16" s="14">
        <f>IFERROR(G16/H16,"")</f>
        <v/>
      </c>
      <c r="J16" s="14">
        <f>IFERROR(SUMIFS(Ordenes!$V$2:$V$840,Ordenes!$G$2:$G$840,$C16,Ordenes!$T$2:$T$840,"Válida")/H16,"")</f>
        <v/>
      </c>
      <c r="K16" s="25">
        <f>IFERROR((I16-J16)*100,"")</f>
        <v/>
      </c>
      <c r="L16" s="9">
        <f>COUNTIFS(Ordenes!$G$2:$G$840,$C16,Ordenes!$T$2:$T$840,"Válida")</f>
        <v/>
      </c>
      <c r="M16" s="9">
        <f>COUNTIFS(Ordenes!$G$2:$G$840,$C16,Ordenes!$T$2:$T$840,"A corregir")</f>
        <v/>
      </c>
      <c r="N16" s="13">
        <f>H16-G16</f>
        <v/>
      </c>
    </row>
    <row r="17">
      <c r="A17" s="9" t="n">
        <v>13</v>
      </c>
      <c r="B17" s="9" t="inlineStr">
        <is>
          <t>Saferock</t>
        </is>
      </c>
      <c r="C17" s="9" t="inlineStr">
        <is>
          <t>SAFEROCK 22MM 12M A420</t>
        </is>
      </c>
      <c r="D17" s="9" t="inlineStr">
        <is>
          <t>Ø22 mm · 12 m</t>
        </is>
      </c>
      <c r="E17" s="9" t="inlineStr">
        <is>
          <t>SFRCK 22</t>
        </is>
      </c>
      <c r="F17" s="9" t="n">
        <v>12</v>
      </c>
      <c r="G17" s="13">
        <f>SUMIFS(Ordenes!$P$2:$P$840,Ordenes!$G$2:$G$840,$C17,Ordenes!$T$2:$T$840,"Válida")</f>
        <v/>
      </c>
      <c r="H17" s="13">
        <f>SUMIFS(Ordenes!$Q$2:$Q$840,Ordenes!$G$2:$G$840,$C17,Ordenes!$T$2:$T$840,"Válida")</f>
        <v/>
      </c>
      <c r="I17" s="14">
        <f>IFERROR(G17/H17,"")</f>
        <v/>
      </c>
      <c r="J17" s="14">
        <f>IFERROR(SUMIFS(Ordenes!$V$2:$V$840,Ordenes!$G$2:$G$840,$C17,Ordenes!$T$2:$T$840,"Válida")/H17,"")</f>
        <v/>
      </c>
      <c r="K17" s="25">
        <f>IFERROR((I17-J17)*100,"")</f>
        <v/>
      </c>
      <c r="L17" s="9">
        <f>COUNTIFS(Ordenes!$G$2:$G$840,$C17,Ordenes!$T$2:$T$840,"Válida")</f>
        <v/>
      </c>
      <c r="M17" s="9">
        <f>COUNTIFS(Ordenes!$G$2:$G$840,$C17,Ordenes!$T$2:$T$840,"A corregir")</f>
        <v/>
      </c>
      <c r="N17" s="13">
        <f>H17-G17</f>
        <v/>
      </c>
    </row>
    <row r="18">
      <c r="A18" s="9" t="n">
        <v>14</v>
      </c>
      <c r="B18" s="9" t="inlineStr">
        <is>
          <t>B Hormigón</t>
        </is>
      </c>
      <c r="C18" s="9" t="inlineStr">
        <is>
          <t>B HORMIGON 25MM 7M A630-420H (N)</t>
        </is>
      </c>
      <c r="D18" s="9" t="inlineStr">
        <is>
          <t>Ø25 mm · 7 m</t>
        </is>
      </c>
      <c r="E18" s="9" t="inlineStr">
        <is>
          <t>RED 25 CR</t>
        </is>
      </c>
      <c r="F18" s="9" t="n">
        <v>7</v>
      </c>
      <c r="G18" s="13">
        <f>SUMIFS(Ordenes!$P$2:$P$840,Ordenes!$G$2:$G$840,$C18,Ordenes!$T$2:$T$840,"Válida")</f>
        <v/>
      </c>
      <c r="H18" s="13">
        <f>SUMIFS(Ordenes!$Q$2:$Q$840,Ordenes!$G$2:$G$840,$C18,Ordenes!$T$2:$T$840,"Válida")</f>
        <v/>
      </c>
      <c r="I18" s="14">
        <f>IFERROR(G18/H18,"")</f>
        <v/>
      </c>
      <c r="J18" s="14">
        <f>IFERROR(SUMIFS(Ordenes!$V$2:$V$840,Ordenes!$G$2:$G$840,$C18,Ordenes!$T$2:$T$840,"Válida")/H18,"")</f>
        <v/>
      </c>
      <c r="K18" s="25">
        <f>IFERROR((I18-J18)*100,"")</f>
        <v/>
      </c>
      <c r="L18" s="9">
        <f>COUNTIFS(Ordenes!$G$2:$G$840,$C18,Ordenes!$T$2:$T$840,"Válida")</f>
        <v/>
      </c>
      <c r="M18" s="9">
        <f>COUNTIFS(Ordenes!$G$2:$G$840,$C18,Ordenes!$T$2:$T$840,"A corregir")</f>
        <v/>
      </c>
      <c r="N18" s="13">
        <f>H18-G18</f>
        <v/>
      </c>
    </row>
    <row r="19">
      <c r="A19" s="9" t="n">
        <v>15</v>
      </c>
      <c r="B19" s="9" t="inlineStr">
        <is>
          <t>Saferock</t>
        </is>
      </c>
      <c r="C19" s="9" t="inlineStr">
        <is>
          <t>SAFEROCK 25MM 12M A420</t>
        </is>
      </c>
      <c r="D19" s="9" t="inlineStr">
        <is>
          <t>Ø25 mm · 12 m</t>
        </is>
      </c>
      <c r="E19" s="9" t="inlineStr">
        <is>
          <t>SFR 25</t>
        </is>
      </c>
      <c r="F19" s="9" t="n">
        <v>12</v>
      </c>
      <c r="G19" s="13">
        <f>SUMIFS(Ordenes!$P$2:$P$840,Ordenes!$G$2:$G$840,$C19,Ordenes!$T$2:$T$840,"Válida")</f>
        <v/>
      </c>
      <c r="H19" s="13">
        <f>SUMIFS(Ordenes!$Q$2:$Q$840,Ordenes!$G$2:$G$840,$C19,Ordenes!$T$2:$T$840,"Válida")</f>
        <v/>
      </c>
      <c r="I19" s="14">
        <f>IFERROR(G19/H19,"")</f>
        <v/>
      </c>
      <c r="J19" s="14">
        <f>IFERROR(SUMIFS(Ordenes!$V$2:$V$840,Ordenes!$G$2:$G$840,$C19,Ordenes!$T$2:$T$840,"Válida")/H19,"")</f>
        <v/>
      </c>
      <c r="K19" s="25">
        <f>IFERROR((I19-J19)*100,"")</f>
        <v/>
      </c>
      <c r="L19" s="9">
        <f>COUNTIFS(Ordenes!$G$2:$G$840,$C19,Ordenes!$T$2:$T$840,"Válida")</f>
        <v/>
      </c>
      <c r="M19" s="9">
        <f>COUNTIFS(Ordenes!$G$2:$G$840,$C19,Ordenes!$T$2:$T$840,"A corregir")</f>
        <v/>
      </c>
      <c r="N19" s="13">
        <f>H19-G19</f>
        <v/>
      </c>
    </row>
    <row r="20">
      <c r="A20" s="9" t="n">
        <v>16</v>
      </c>
      <c r="B20" s="9" t="inlineStr">
        <is>
          <t>B Hormigón</t>
        </is>
      </c>
      <c r="C20" s="9" t="inlineStr">
        <is>
          <t>B HORMIGON 25MM 8M A630-420H (N)</t>
        </is>
      </c>
      <c r="D20" s="9" t="inlineStr">
        <is>
          <t>Ø25 mm · 8 m</t>
        </is>
      </c>
      <c r="E20" s="9" t="inlineStr">
        <is>
          <t>RED 25 CR</t>
        </is>
      </c>
      <c r="F20" s="9" t="n">
        <v>8</v>
      </c>
      <c r="G20" s="13">
        <f>SUMIFS(Ordenes!$P$2:$P$840,Ordenes!$G$2:$G$840,$C20,Ordenes!$T$2:$T$840,"Válida")</f>
        <v/>
      </c>
      <c r="H20" s="13">
        <f>SUMIFS(Ordenes!$Q$2:$Q$840,Ordenes!$G$2:$G$840,$C20,Ordenes!$T$2:$T$840,"Válida")</f>
        <v/>
      </c>
      <c r="I20" s="14">
        <f>IFERROR(G20/H20,"")</f>
        <v/>
      </c>
      <c r="J20" s="14">
        <f>IFERROR(SUMIFS(Ordenes!$V$2:$V$840,Ordenes!$G$2:$G$840,$C20,Ordenes!$T$2:$T$840,"Válida")/H20,"")</f>
        <v/>
      </c>
      <c r="K20" s="25">
        <f>IFERROR((I20-J20)*100,"")</f>
        <v/>
      </c>
      <c r="L20" s="9">
        <f>COUNTIFS(Ordenes!$G$2:$G$840,$C20,Ordenes!$T$2:$T$840,"Válida")</f>
        <v/>
      </c>
      <c r="M20" s="9">
        <f>COUNTIFS(Ordenes!$G$2:$G$840,$C20,Ordenes!$T$2:$T$840,"A corregir")</f>
        <v/>
      </c>
      <c r="N20" s="13">
        <f>H20-G20</f>
        <v/>
      </c>
    </row>
    <row r="21">
      <c r="A21" s="9" t="n">
        <v>17</v>
      </c>
      <c r="B21" s="9" t="inlineStr">
        <is>
          <t>Saferock</t>
        </is>
      </c>
      <c r="C21" s="9" t="inlineStr">
        <is>
          <t>SAFEROCK 22MM 10M A280</t>
        </is>
      </c>
      <c r="D21" s="9" t="inlineStr">
        <is>
          <t>Ø22 mm · 10 m</t>
        </is>
      </c>
      <c r="E21" s="9" t="inlineStr">
        <is>
          <t>SFRCK 22</t>
        </is>
      </c>
      <c r="F21" s="9" t="n">
        <v>10</v>
      </c>
      <c r="G21" s="13">
        <f>SUMIFS(Ordenes!$P$2:$P$840,Ordenes!$G$2:$G$840,$C21,Ordenes!$T$2:$T$840,"Válida")</f>
        <v/>
      </c>
      <c r="H21" s="13">
        <f>SUMIFS(Ordenes!$Q$2:$Q$840,Ordenes!$G$2:$G$840,$C21,Ordenes!$T$2:$T$840,"Válida")</f>
        <v/>
      </c>
      <c r="I21" s="14">
        <f>IFERROR(G21/H21,"")</f>
        <v/>
      </c>
      <c r="J21" s="14">
        <f>IFERROR(SUMIFS(Ordenes!$V$2:$V$840,Ordenes!$G$2:$G$840,$C21,Ordenes!$T$2:$T$840,"Válida")/H21,"")</f>
        <v/>
      </c>
      <c r="K21" s="25">
        <f>IFERROR((I21-J21)*100,"")</f>
        <v/>
      </c>
      <c r="L21" s="9">
        <f>COUNTIFS(Ordenes!$G$2:$G$840,$C21,Ordenes!$T$2:$T$840,"Válida")</f>
        <v/>
      </c>
      <c r="M21" s="9">
        <f>COUNTIFS(Ordenes!$G$2:$G$840,$C21,Ordenes!$T$2:$T$840,"A corregir")</f>
        <v/>
      </c>
      <c r="N21" s="13">
        <f>H21-G21</f>
        <v/>
      </c>
    </row>
    <row r="22">
      <c r="A22" s="9" t="n">
        <v>18</v>
      </c>
      <c r="B22" s="9" t="inlineStr">
        <is>
          <t>B Hormigón</t>
        </is>
      </c>
      <c r="C22" s="9" t="inlineStr">
        <is>
          <t>B HORMIGON 18MM 11M A630-420H (N)</t>
        </is>
      </c>
      <c r="D22" s="9" t="inlineStr">
        <is>
          <t>Ø18 mm · 11 m</t>
        </is>
      </c>
      <c r="E22" s="9" t="inlineStr">
        <is>
          <t>RED 18 CR</t>
        </is>
      </c>
      <c r="F22" s="9" t="n">
        <v>11</v>
      </c>
      <c r="G22" s="13">
        <f>SUMIFS(Ordenes!$P$2:$P$840,Ordenes!$G$2:$G$840,$C22,Ordenes!$T$2:$T$840,"Válida")</f>
        <v/>
      </c>
      <c r="H22" s="13">
        <f>SUMIFS(Ordenes!$Q$2:$Q$840,Ordenes!$G$2:$G$840,$C22,Ordenes!$T$2:$T$840,"Válida")</f>
        <v/>
      </c>
      <c r="I22" s="14">
        <f>IFERROR(G22/H22,"")</f>
        <v/>
      </c>
      <c r="J22" s="14">
        <f>IFERROR(SUMIFS(Ordenes!$V$2:$V$840,Ordenes!$G$2:$G$840,$C22,Ordenes!$T$2:$T$840,"Válida")/H22,"")</f>
        <v/>
      </c>
      <c r="K22" s="25">
        <f>IFERROR((I22-J22)*100,"")</f>
        <v/>
      </c>
      <c r="L22" s="9">
        <f>COUNTIFS(Ordenes!$G$2:$G$840,$C22,Ordenes!$T$2:$T$840,"Válida")</f>
        <v/>
      </c>
      <c r="M22" s="9">
        <f>COUNTIFS(Ordenes!$G$2:$G$840,$C22,Ordenes!$T$2:$T$840,"A corregir")</f>
        <v/>
      </c>
      <c r="N22" s="13">
        <f>H22-G22</f>
        <v/>
      </c>
    </row>
    <row r="23">
      <c r="A23" s="9" t="n">
        <v>19</v>
      </c>
      <c r="B23" s="9" t="inlineStr">
        <is>
          <t>Ángulo</t>
        </is>
      </c>
      <c r="C23" s="9" t="inlineStr">
        <is>
          <t>ANGULO 50X50X5MM A270ES</t>
        </is>
      </c>
      <c r="D23" s="9" t="inlineStr">
        <is>
          <t>50×50×5 mm · 6 m</t>
        </is>
      </c>
      <c r="E23" s="9" t="inlineStr">
        <is>
          <t>ANG 50 x 5</t>
        </is>
      </c>
      <c r="F23" s="9" t="n">
        <v>6</v>
      </c>
      <c r="G23" s="13">
        <f>SUMIFS(Ordenes!$P$2:$P$840,Ordenes!$G$2:$G$840,$C23,Ordenes!$T$2:$T$840,"Válida")</f>
        <v/>
      </c>
      <c r="H23" s="13">
        <f>SUMIFS(Ordenes!$Q$2:$Q$840,Ordenes!$G$2:$G$840,$C23,Ordenes!$T$2:$T$840,"Válida")</f>
        <v/>
      </c>
      <c r="I23" s="14">
        <f>IFERROR(G23/H23,"")</f>
        <v/>
      </c>
      <c r="J23" s="14">
        <f>IFERROR(SUMIFS(Ordenes!$V$2:$V$840,Ordenes!$G$2:$G$840,$C23,Ordenes!$T$2:$T$840,"Válida")/H23,"")</f>
        <v/>
      </c>
      <c r="K23" s="25">
        <f>IFERROR((I23-J23)*100,"")</f>
        <v/>
      </c>
      <c r="L23" s="9">
        <f>COUNTIFS(Ordenes!$G$2:$G$840,$C23,Ordenes!$T$2:$T$840,"Válida")</f>
        <v/>
      </c>
      <c r="M23" s="9">
        <f>COUNTIFS(Ordenes!$G$2:$G$840,$C23,Ordenes!$T$2:$T$840,"A corregir")</f>
        <v/>
      </c>
      <c r="N23" s="13">
        <f>H23-G23</f>
        <v/>
      </c>
    </row>
    <row r="24">
      <c r="A24" s="9" t="n">
        <v>20</v>
      </c>
      <c r="B24" s="9" t="inlineStr">
        <is>
          <t>B Hormigón</t>
        </is>
      </c>
      <c r="C24" s="9" t="inlineStr">
        <is>
          <t>B HORMIGON 28MM 7M A630-420H (N)</t>
        </is>
      </c>
      <c r="D24" s="9" t="inlineStr">
        <is>
          <t>Ø28 mm · 7 m</t>
        </is>
      </c>
      <c r="E24" s="9" t="inlineStr">
        <is>
          <t>RED 28 CR</t>
        </is>
      </c>
      <c r="F24" s="9" t="n">
        <v>7</v>
      </c>
      <c r="G24" s="13">
        <f>SUMIFS(Ordenes!$P$2:$P$840,Ordenes!$G$2:$G$840,$C24,Ordenes!$T$2:$T$840,"Válida")</f>
        <v/>
      </c>
      <c r="H24" s="13">
        <f>SUMIFS(Ordenes!$Q$2:$Q$840,Ordenes!$G$2:$G$840,$C24,Ordenes!$T$2:$T$840,"Válida")</f>
        <v/>
      </c>
      <c r="I24" s="14">
        <f>IFERROR(G24/H24,"")</f>
        <v/>
      </c>
      <c r="J24" s="14">
        <f>IFERROR(SUMIFS(Ordenes!$V$2:$V$840,Ordenes!$G$2:$G$840,$C24,Ordenes!$T$2:$T$840,"Válida")/H24,"")</f>
        <v/>
      </c>
      <c r="K24" s="25">
        <f>IFERROR((I24-J24)*100,"")</f>
        <v/>
      </c>
      <c r="L24" s="9">
        <f>COUNTIFS(Ordenes!$G$2:$G$840,$C24,Ordenes!$T$2:$T$840,"Válida")</f>
        <v/>
      </c>
      <c r="M24" s="9">
        <f>COUNTIFS(Ordenes!$G$2:$G$840,$C24,Ordenes!$T$2:$T$840,"A corregir")</f>
        <v/>
      </c>
      <c r="N24" s="13">
        <f>H24-G24</f>
        <v/>
      </c>
    </row>
    <row r="25">
      <c r="A25" s="9" t="n">
        <v>21</v>
      </c>
      <c r="B25" s="9" t="inlineStr">
        <is>
          <t>B Hormigón</t>
        </is>
      </c>
      <c r="C25" s="9" t="inlineStr">
        <is>
          <t>B HORMIGON 28MM 9M A630-420H (N)</t>
        </is>
      </c>
      <c r="D25" s="9" t="inlineStr">
        <is>
          <t>Ø28 mm · 9 m</t>
        </is>
      </c>
      <c r="E25" s="9" t="inlineStr">
        <is>
          <t>RED 28 CR</t>
        </is>
      </c>
      <c r="F25" s="9" t="n">
        <v>9</v>
      </c>
      <c r="G25" s="13">
        <f>SUMIFS(Ordenes!$P$2:$P$840,Ordenes!$G$2:$G$840,$C25,Ordenes!$T$2:$T$840,"Válida")</f>
        <v/>
      </c>
      <c r="H25" s="13">
        <f>SUMIFS(Ordenes!$Q$2:$Q$840,Ordenes!$G$2:$G$840,$C25,Ordenes!$T$2:$T$840,"Válida")</f>
        <v/>
      </c>
      <c r="I25" s="14">
        <f>IFERROR(G25/H25,"")</f>
        <v/>
      </c>
      <c r="J25" s="14">
        <f>IFERROR(SUMIFS(Ordenes!$V$2:$V$840,Ordenes!$G$2:$G$840,$C25,Ordenes!$T$2:$T$840,"Válida")/H25,"")</f>
        <v/>
      </c>
      <c r="K25" s="25">
        <f>IFERROR((I25-J25)*100,"")</f>
        <v/>
      </c>
      <c r="L25" s="9">
        <f>COUNTIFS(Ordenes!$G$2:$G$840,$C25,Ordenes!$T$2:$T$840,"Válida")</f>
        <v/>
      </c>
      <c r="M25" s="9">
        <f>COUNTIFS(Ordenes!$G$2:$G$840,$C25,Ordenes!$T$2:$T$840,"A corregir")</f>
        <v/>
      </c>
      <c r="N25" s="13">
        <f>H25-G25</f>
        <v/>
      </c>
    </row>
    <row r="26">
      <c r="A26" s="9" t="n">
        <v>22</v>
      </c>
      <c r="B26" s="9" t="inlineStr">
        <is>
          <t>Plana</t>
        </is>
      </c>
      <c r="C26" s="9" t="inlineStr">
        <is>
          <t>PLANA 100X5MM 6M A270ES (N)</t>
        </is>
      </c>
      <c r="D26" s="9" t="inlineStr">
        <is>
          <t>100×5 mm · 6 m</t>
        </is>
      </c>
      <c r="E26" s="9" t="inlineStr">
        <is>
          <t>PL 100 x 5</t>
        </is>
      </c>
      <c r="F26" s="9" t="n">
        <v>6</v>
      </c>
      <c r="G26" s="13">
        <f>SUMIFS(Ordenes!$P$2:$P$840,Ordenes!$G$2:$G$840,$C26,Ordenes!$T$2:$T$840,"Válida")</f>
        <v/>
      </c>
      <c r="H26" s="13">
        <f>SUMIFS(Ordenes!$Q$2:$Q$840,Ordenes!$G$2:$G$840,$C26,Ordenes!$T$2:$T$840,"Válida")</f>
        <v/>
      </c>
      <c r="I26" s="14">
        <f>IFERROR(G26/H26,"")</f>
        <v/>
      </c>
      <c r="J26" s="14">
        <f>IFERROR(SUMIFS(Ordenes!$V$2:$V$840,Ordenes!$G$2:$G$840,$C26,Ordenes!$T$2:$T$840,"Válida")/H26,"")</f>
        <v/>
      </c>
      <c r="K26" s="25">
        <f>IFERROR((I26-J26)*100,"")</f>
        <v/>
      </c>
      <c r="L26" s="9">
        <f>COUNTIFS(Ordenes!$G$2:$G$840,$C26,Ordenes!$T$2:$T$840,"Válida")</f>
        <v/>
      </c>
      <c r="M26" s="9">
        <f>COUNTIFS(Ordenes!$G$2:$G$840,$C26,Ordenes!$T$2:$T$840,"A corregir")</f>
        <v/>
      </c>
      <c r="N26" s="13">
        <f>H26-G26</f>
        <v/>
      </c>
    </row>
    <row r="27">
      <c r="A27" s="9" t="n">
        <v>23</v>
      </c>
      <c r="B27" s="9" t="inlineStr">
        <is>
          <t>Plana</t>
        </is>
      </c>
      <c r="C27" s="9" t="inlineStr">
        <is>
          <t>PLANA 50X5MM 6M A270ES (N)</t>
        </is>
      </c>
      <c r="D27" s="9" t="inlineStr">
        <is>
          <t>50×5 mm · 6 m</t>
        </is>
      </c>
      <c r="E27" s="9" t="inlineStr">
        <is>
          <t>PL 50 x 5</t>
        </is>
      </c>
      <c r="F27" s="9" t="n">
        <v>6</v>
      </c>
      <c r="G27" s="13">
        <f>SUMIFS(Ordenes!$P$2:$P$840,Ordenes!$G$2:$G$840,$C27,Ordenes!$T$2:$T$840,"Válida")</f>
        <v/>
      </c>
      <c r="H27" s="13">
        <f>SUMIFS(Ordenes!$Q$2:$Q$840,Ordenes!$G$2:$G$840,$C27,Ordenes!$T$2:$T$840,"Válida")</f>
        <v/>
      </c>
      <c r="I27" s="14">
        <f>IFERROR(G27/H27,"")</f>
        <v/>
      </c>
      <c r="J27" s="14">
        <f>IFERROR(SUMIFS(Ordenes!$V$2:$V$840,Ordenes!$G$2:$G$840,$C27,Ordenes!$T$2:$T$840,"Válida")/H27,"")</f>
        <v/>
      </c>
      <c r="K27" s="25">
        <f>IFERROR((I27-J27)*100,"")</f>
        <v/>
      </c>
      <c r="L27" s="9">
        <f>COUNTIFS(Ordenes!$G$2:$G$840,$C27,Ordenes!$T$2:$T$840,"Válida")</f>
        <v/>
      </c>
      <c r="M27" s="9">
        <f>COUNTIFS(Ordenes!$G$2:$G$840,$C27,Ordenes!$T$2:$T$840,"A corregir")</f>
        <v/>
      </c>
      <c r="N27" s="13">
        <f>H27-G27</f>
        <v/>
      </c>
    </row>
    <row r="28">
      <c r="A28" s="9" t="n">
        <v>24</v>
      </c>
      <c r="B28" s="9" t="inlineStr">
        <is>
          <t>Redondo liso</t>
        </is>
      </c>
      <c r="C28" s="9" t="inlineStr">
        <is>
          <t>REDONDO LISO 12MM 6M SAE 1020 (N)</t>
        </is>
      </c>
      <c r="D28" s="9" t="inlineStr">
        <is>
          <t>Ø12 mm · 6 m</t>
        </is>
      </c>
      <c r="E28" s="9" t="inlineStr">
        <is>
          <t>RED 12</t>
        </is>
      </c>
      <c r="F28" s="9" t="n">
        <v>6</v>
      </c>
      <c r="G28" s="13">
        <f>SUMIFS(Ordenes!$P$2:$P$840,Ordenes!$G$2:$G$840,$C28,Ordenes!$T$2:$T$840,"Válida")</f>
        <v/>
      </c>
      <c r="H28" s="13">
        <f>SUMIFS(Ordenes!$Q$2:$Q$840,Ordenes!$G$2:$G$840,$C28,Ordenes!$T$2:$T$840,"Válida")</f>
        <v/>
      </c>
      <c r="I28" s="14">
        <f>IFERROR(G28/H28,"")</f>
        <v/>
      </c>
      <c r="J28" s="14">
        <f>IFERROR(SUMIFS(Ordenes!$V$2:$V$840,Ordenes!$G$2:$G$840,$C28,Ordenes!$T$2:$T$840,"Válida")/H28,"")</f>
        <v/>
      </c>
      <c r="K28" s="25">
        <f>IFERROR((I28-J28)*100,"")</f>
        <v/>
      </c>
      <c r="L28" s="9">
        <f>COUNTIFS(Ordenes!$G$2:$G$840,$C28,Ordenes!$T$2:$T$840,"Válida")</f>
        <v/>
      </c>
      <c r="M28" s="9">
        <f>COUNTIFS(Ordenes!$G$2:$G$840,$C28,Ordenes!$T$2:$T$840,"A corregir")</f>
        <v/>
      </c>
      <c r="N28" s="13">
        <f>H28-G28</f>
        <v/>
      </c>
    </row>
    <row r="29">
      <c r="A29" s="9" t="n">
        <v>25</v>
      </c>
      <c r="B29" s="9" t="inlineStr">
        <is>
          <t>B Hormigón</t>
        </is>
      </c>
      <c r="C29" s="9" t="inlineStr">
        <is>
          <t>B HORMIGON 28MM 11M A630-420H (N)</t>
        </is>
      </c>
      <c r="D29" s="9" t="inlineStr">
        <is>
          <t>Ø28 mm · 11 m</t>
        </is>
      </c>
      <c r="E29" s="9" t="inlineStr">
        <is>
          <t>RED 28 CR</t>
        </is>
      </c>
      <c r="F29" s="9" t="n">
        <v>11</v>
      </c>
      <c r="G29" s="13">
        <f>SUMIFS(Ordenes!$P$2:$P$840,Ordenes!$G$2:$G$840,$C29,Ordenes!$T$2:$T$840,"Válida")</f>
        <v/>
      </c>
      <c r="H29" s="13">
        <f>SUMIFS(Ordenes!$Q$2:$Q$840,Ordenes!$G$2:$G$840,$C29,Ordenes!$T$2:$T$840,"Válida")</f>
        <v/>
      </c>
      <c r="I29" s="14">
        <f>IFERROR(G29/H29,"")</f>
        <v/>
      </c>
      <c r="J29" s="14">
        <f>IFERROR(SUMIFS(Ordenes!$V$2:$V$840,Ordenes!$G$2:$G$840,$C29,Ordenes!$T$2:$T$840,"Válida")/H29,"")</f>
        <v/>
      </c>
      <c r="K29" s="25">
        <f>IFERROR((I29-J29)*100,"")</f>
        <v/>
      </c>
      <c r="L29" s="9">
        <f>COUNTIFS(Ordenes!$G$2:$G$840,$C29,Ordenes!$T$2:$T$840,"Válida")</f>
        <v/>
      </c>
      <c r="M29" s="9">
        <f>COUNTIFS(Ordenes!$G$2:$G$840,$C29,Ordenes!$T$2:$T$840,"A corregir")</f>
        <v/>
      </c>
      <c r="N29" s="13">
        <f>H29-G29</f>
        <v/>
      </c>
    </row>
    <row r="30">
      <c r="A30" s="9" t="n">
        <v>26</v>
      </c>
      <c r="B30" s="9" t="inlineStr">
        <is>
          <t>Plana</t>
        </is>
      </c>
      <c r="C30" s="9" t="inlineStr">
        <is>
          <t>PLANA 50X3 MM 6M A270ES (N)</t>
        </is>
      </c>
      <c r="D30" s="9" t="inlineStr">
        <is>
          <t>50×3 mm · 6 m</t>
        </is>
      </c>
      <c r="E30" s="9" t="inlineStr">
        <is>
          <t>PL 50 x 3</t>
        </is>
      </c>
      <c r="F30" s="9" t="n">
        <v>6</v>
      </c>
      <c r="G30" s="13">
        <f>SUMIFS(Ordenes!$P$2:$P$840,Ordenes!$G$2:$G$840,$C30,Ordenes!$T$2:$T$840,"Válida")</f>
        <v/>
      </c>
      <c r="H30" s="13">
        <f>SUMIFS(Ordenes!$Q$2:$Q$840,Ordenes!$G$2:$G$840,$C30,Ordenes!$T$2:$T$840,"Válida")</f>
        <v/>
      </c>
      <c r="I30" s="14">
        <f>IFERROR(G30/H30,"")</f>
        <v/>
      </c>
      <c r="J30" s="14">
        <f>IFERROR(SUMIFS(Ordenes!$V$2:$V$840,Ordenes!$G$2:$G$840,$C30,Ordenes!$T$2:$T$840,"Válida")/H30,"")</f>
        <v/>
      </c>
      <c r="K30" s="25">
        <f>IFERROR((I30-J30)*100,"")</f>
        <v/>
      </c>
      <c r="L30" s="9">
        <f>COUNTIFS(Ordenes!$G$2:$G$840,$C30,Ordenes!$T$2:$T$840,"Válida")</f>
        <v/>
      </c>
      <c r="M30" s="9">
        <f>COUNTIFS(Ordenes!$G$2:$G$840,$C30,Ordenes!$T$2:$T$840,"A corregir")</f>
        <v/>
      </c>
      <c r="N30" s="13">
        <f>H30-G30</f>
        <v/>
      </c>
    </row>
    <row r="31">
      <c r="A31" s="9" t="n">
        <v>27</v>
      </c>
      <c r="B31" s="9" t="inlineStr">
        <is>
          <t>Ángulo</t>
        </is>
      </c>
      <c r="C31" s="9" t="inlineStr">
        <is>
          <t>ANGULO 25X25X3MM A270ES</t>
        </is>
      </c>
      <c r="D31" s="9" t="inlineStr">
        <is>
          <t>25×25×3 mm · 12 m</t>
        </is>
      </c>
      <c r="E31" s="9" t="inlineStr">
        <is>
          <t>ANG 25 x 3</t>
        </is>
      </c>
      <c r="F31" s="9" t="n">
        <v>12</v>
      </c>
      <c r="G31" s="13">
        <f>SUMIFS(Ordenes!$P$2:$P$840,Ordenes!$G$2:$G$840,$C31,Ordenes!$T$2:$T$840,"Válida")</f>
        <v/>
      </c>
      <c r="H31" s="13">
        <f>SUMIFS(Ordenes!$Q$2:$Q$840,Ordenes!$G$2:$G$840,$C31,Ordenes!$T$2:$T$840,"Válida")</f>
        <v/>
      </c>
      <c r="I31" s="14">
        <f>IFERROR(G31/H31,"")</f>
        <v/>
      </c>
      <c r="J31" s="14">
        <f>IFERROR(SUMIFS(Ordenes!$V$2:$V$840,Ordenes!$G$2:$G$840,$C31,Ordenes!$T$2:$T$840,"Válida")/H31,"")</f>
        <v/>
      </c>
      <c r="K31" s="25">
        <f>IFERROR((I31-J31)*100,"")</f>
        <v/>
      </c>
      <c r="L31" s="9">
        <f>COUNTIFS(Ordenes!$G$2:$G$840,$C31,Ordenes!$T$2:$T$840,"Válida")</f>
        <v/>
      </c>
      <c r="M31" s="9">
        <f>COUNTIFS(Ordenes!$G$2:$G$840,$C31,Ordenes!$T$2:$T$840,"A corregir")</f>
        <v/>
      </c>
      <c r="N31" s="13">
        <f>H31-G31</f>
        <v/>
      </c>
    </row>
    <row r="32">
      <c r="A32" s="9" t="n">
        <v>28</v>
      </c>
      <c r="B32" s="9" t="inlineStr">
        <is>
          <t>B Hormigón</t>
        </is>
      </c>
      <c r="C32" s="9" t="inlineStr">
        <is>
          <t>B HORMIGON 18MM 10M A630-420H (N)</t>
        </is>
      </c>
      <c r="D32" s="9" t="inlineStr">
        <is>
          <t>Ø18 mm · 10 m</t>
        </is>
      </c>
      <c r="E32" s="9" t="inlineStr">
        <is>
          <t>RED 18 CR</t>
        </is>
      </c>
      <c r="F32" s="9" t="n">
        <v>10</v>
      </c>
      <c r="G32" s="13">
        <f>SUMIFS(Ordenes!$P$2:$P$840,Ordenes!$G$2:$G$840,$C32,Ordenes!$T$2:$T$840,"Válida")</f>
        <v/>
      </c>
      <c r="H32" s="13">
        <f>SUMIFS(Ordenes!$Q$2:$Q$840,Ordenes!$G$2:$G$840,$C32,Ordenes!$T$2:$T$840,"Válida")</f>
        <v/>
      </c>
      <c r="I32" s="14">
        <f>IFERROR(G32/H32,"")</f>
        <v/>
      </c>
      <c r="J32" s="14">
        <f>IFERROR(SUMIFS(Ordenes!$V$2:$V$840,Ordenes!$G$2:$G$840,$C32,Ordenes!$T$2:$T$840,"Válida")/H32,"")</f>
        <v/>
      </c>
      <c r="K32" s="25">
        <f>IFERROR((I32-J32)*100,"")</f>
        <v/>
      </c>
      <c r="L32" s="9">
        <f>COUNTIFS(Ordenes!$G$2:$G$840,$C32,Ordenes!$T$2:$T$840,"Válida")</f>
        <v/>
      </c>
      <c r="M32" s="9">
        <f>COUNTIFS(Ordenes!$G$2:$G$840,$C32,Ordenes!$T$2:$T$840,"A corregir")</f>
        <v/>
      </c>
      <c r="N32" s="13">
        <f>H32-G32</f>
        <v/>
      </c>
    </row>
    <row r="33">
      <c r="A33" s="9" t="n">
        <v>29</v>
      </c>
      <c r="B33" s="9" t="inlineStr">
        <is>
          <t>Plana</t>
        </is>
      </c>
      <c r="C33" s="9" t="inlineStr">
        <is>
          <t>PLANA 32X3MM 6M A270ES (N)</t>
        </is>
      </c>
      <c r="D33" s="9" t="inlineStr">
        <is>
          <t>32×3 mm · 6 m</t>
        </is>
      </c>
      <c r="E33" s="9" t="inlineStr">
        <is>
          <t>PL 32 x 3</t>
        </is>
      </c>
      <c r="F33" s="9" t="n">
        <v>6</v>
      </c>
      <c r="G33" s="13">
        <f>SUMIFS(Ordenes!$P$2:$P$840,Ordenes!$G$2:$G$840,$C33,Ordenes!$T$2:$T$840,"Válida")</f>
        <v/>
      </c>
      <c r="H33" s="13">
        <f>SUMIFS(Ordenes!$Q$2:$Q$840,Ordenes!$G$2:$G$840,$C33,Ordenes!$T$2:$T$840,"Válida")</f>
        <v/>
      </c>
      <c r="I33" s="14">
        <f>IFERROR(G33/H33,"")</f>
        <v/>
      </c>
      <c r="J33" s="14">
        <f>IFERROR(SUMIFS(Ordenes!$V$2:$V$840,Ordenes!$G$2:$G$840,$C33,Ordenes!$T$2:$T$840,"Válida")/H33,"")</f>
        <v/>
      </c>
      <c r="K33" s="25">
        <f>IFERROR((I33-J33)*100,"")</f>
        <v/>
      </c>
      <c r="L33" s="9">
        <f>COUNTIFS(Ordenes!$G$2:$G$840,$C33,Ordenes!$T$2:$T$840,"Válida")</f>
        <v/>
      </c>
      <c r="M33" s="9">
        <f>COUNTIFS(Ordenes!$G$2:$G$840,$C33,Ordenes!$T$2:$T$840,"A corregir")</f>
        <v/>
      </c>
      <c r="N33" s="13">
        <f>H33-G33</f>
        <v/>
      </c>
    </row>
    <row r="34">
      <c r="A34" s="9" t="n">
        <v>30</v>
      </c>
      <c r="B34" s="9" t="inlineStr">
        <is>
          <t>Ángulo</t>
        </is>
      </c>
      <c r="C34" s="9" t="inlineStr">
        <is>
          <t>ANGULO 65X65X5MM A270ES</t>
        </is>
      </c>
      <c r="D34" s="9" t="inlineStr">
        <is>
          <t>65×65×5 mm · 6 m</t>
        </is>
      </c>
      <c r="E34" s="9" t="inlineStr">
        <is>
          <t>ANG 65 x 5</t>
        </is>
      </c>
      <c r="F34" s="9" t="n">
        <v>6</v>
      </c>
      <c r="G34" s="13">
        <f>SUMIFS(Ordenes!$P$2:$P$840,Ordenes!$G$2:$G$840,$C34,Ordenes!$T$2:$T$840,"Válida")</f>
        <v/>
      </c>
      <c r="H34" s="13">
        <f>SUMIFS(Ordenes!$Q$2:$Q$840,Ordenes!$G$2:$G$840,$C34,Ordenes!$T$2:$T$840,"Válida")</f>
        <v/>
      </c>
      <c r="I34" s="14">
        <f>IFERROR(G34/H34,"")</f>
        <v/>
      </c>
      <c r="J34" s="14">
        <f>IFERROR(SUMIFS(Ordenes!$V$2:$V$840,Ordenes!$G$2:$G$840,$C34,Ordenes!$T$2:$T$840,"Válida")/H34,"")</f>
        <v/>
      </c>
      <c r="K34" s="25">
        <f>IFERROR((I34-J34)*100,"")</f>
        <v/>
      </c>
      <c r="L34" s="9">
        <f>COUNTIFS(Ordenes!$G$2:$G$840,$C34,Ordenes!$T$2:$T$840,"Válida")</f>
        <v/>
      </c>
      <c r="M34" s="9">
        <f>COUNTIFS(Ordenes!$G$2:$G$840,$C34,Ordenes!$T$2:$T$840,"A corregir")</f>
        <v/>
      </c>
      <c r="N34" s="13">
        <f>H34-G34</f>
        <v/>
      </c>
    </row>
    <row r="35">
      <c r="A35" s="9" t="n">
        <v>31</v>
      </c>
      <c r="B35" s="9" t="inlineStr">
        <is>
          <t>B Hormigón</t>
        </is>
      </c>
      <c r="C35" s="9" t="inlineStr">
        <is>
          <t>B HORMIGON 28MM 8M A630-420H (N)</t>
        </is>
      </c>
      <c r="D35" s="9" t="inlineStr">
        <is>
          <t>Ø28 mm · 8 m</t>
        </is>
      </c>
      <c r="E35" s="9" t="inlineStr">
        <is>
          <t>RED 28 CR</t>
        </is>
      </c>
      <c r="F35" s="9" t="n">
        <v>8</v>
      </c>
      <c r="G35" s="13">
        <f>SUMIFS(Ordenes!$P$2:$P$840,Ordenes!$G$2:$G$840,$C35,Ordenes!$T$2:$T$840,"Válida")</f>
        <v/>
      </c>
      <c r="H35" s="13">
        <f>SUMIFS(Ordenes!$Q$2:$Q$840,Ordenes!$G$2:$G$840,$C35,Ordenes!$T$2:$T$840,"Válida")</f>
        <v/>
      </c>
      <c r="I35" s="14">
        <f>IFERROR(G35/H35,"")</f>
        <v/>
      </c>
      <c r="J35" s="14">
        <f>IFERROR(SUMIFS(Ordenes!$V$2:$V$840,Ordenes!$G$2:$G$840,$C35,Ordenes!$T$2:$T$840,"Válida")/H35,"")</f>
        <v/>
      </c>
      <c r="K35" s="25">
        <f>IFERROR((I35-J35)*100,"")</f>
        <v/>
      </c>
      <c r="L35" s="9">
        <f>COUNTIFS(Ordenes!$G$2:$G$840,$C35,Ordenes!$T$2:$T$840,"Válida")</f>
        <v/>
      </c>
      <c r="M35" s="9">
        <f>COUNTIFS(Ordenes!$G$2:$G$840,$C35,Ordenes!$T$2:$T$840,"A corregir")</f>
        <v/>
      </c>
      <c r="N35" s="13">
        <f>H35-G35</f>
        <v/>
      </c>
    </row>
    <row r="36">
      <c r="A36" s="9" t="n">
        <v>32</v>
      </c>
      <c r="B36" s="9" t="inlineStr">
        <is>
          <t>Saferock</t>
        </is>
      </c>
      <c r="C36" s="9" t="inlineStr">
        <is>
          <t>SAFEROCK 22MM 9,6M A280</t>
        </is>
      </c>
      <c r="D36" s="9" t="inlineStr">
        <is>
          <t>Ø22 mm · 9,6 m</t>
        </is>
      </c>
      <c r="E36" s="9" t="inlineStr">
        <is>
          <t>SFRCK 22</t>
        </is>
      </c>
      <c r="F36" s="9" t="n">
        <v>9.6</v>
      </c>
      <c r="G36" s="13">
        <f>SUMIFS(Ordenes!$P$2:$P$840,Ordenes!$G$2:$G$840,$C36,Ordenes!$T$2:$T$840,"Válida")</f>
        <v/>
      </c>
      <c r="H36" s="13">
        <f>SUMIFS(Ordenes!$Q$2:$Q$840,Ordenes!$G$2:$G$840,$C36,Ordenes!$T$2:$T$840,"Válida")</f>
        <v/>
      </c>
      <c r="I36" s="14">
        <f>IFERROR(G36/H36,"")</f>
        <v/>
      </c>
      <c r="J36" s="14">
        <f>IFERROR(SUMIFS(Ordenes!$V$2:$V$840,Ordenes!$G$2:$G$840,$C36,Ordenes!$T$2:$T$840,"Válida")/H36,"")</f>
        <v/>
      </c>
      <c r="K36" s="25">
        <f>IFERROR((I36-J36)*100,"")</f>
        <v/>
      </c>
      <c r="L36" s="9">
        <f>COUNTIFS(Ordenes!$G$2:$G$840,$C36,Ordenes!$T$2:$T$840,"Válida")</f>
        <v/>
      </c>
      <c r="M36" s="9">
        <f>COUNTIFS(Ordenes!$G$2:$G$840,$C36,Ordenes!$T$2:$T$840,"A corregir")</f>
        <v/>
      </c>
      <c r="N36" s="13">
        <f>H36-G36</f>
        <v/>
      </c>
    </row>
    <row r="37">
      <c r="A37" s="9" t="n">
        <v>33</v>
      </c>
      <c r="B37" s="9" t="inlineStr">
        <is>
          <t>B Hormigón</t>
        </is>
      </c>
      <c r="C37" s="9" t="inlineStr">
        <is>
          <t>B HORMIGON 18MM 6M A630-420H (N)</t>
        </is>
      </c>
      <c r="D37" s="9" t="inlineStr">
        <is>
          <t>Ø18 mm · 6 m</t>
        </is>
      </c>
      <c r="E37" s="9" t="inlineStr">
        <is>
          <t>RED 18 CR</t>
        </is>
      </c>
      <c r="F37" s="9" t="n">
        <v>6</v>
      </c>
      <c r="G37" s="13">
        <f>SUMIFS(Ordenes!$P$2:$P$840,Ordenes!$G$2:$G$840,$C37,Ordenes!$T$2:$T$840,"Válida")</f>
        <v/>
      </c>
      <c r="H37" s="13">
        <f>SUMIFS(Ordenes!$Q$2:$Q$840,Ordenes!$G$2:$G$840,$C37,Ordenes!$T$2:$T$840,"Válida")</f>
        <v/>
      </c>
      <c r="I37" s="14">
        <f>IFERROR(G37/H37,"")</f>
        <v/>
      </c>
      <c r="J37" s="14">
        <f>IFERROR(SUMIFS(Ordenes!$V$2:$V$840,Ordenes!$G$2:$G$840,$C37,Ordenes!$T$2:$T$840,"Válida")/H37,"")</f>
        <v/>
      </c>
      <c r="K37" s="25">
        <f>IFERROR((I37-J37)*100,"")</f>
        <v/>
      </c>
      <c r="L37" s="9">
        <f>COUNTIFS(Ordenes!$G$2:$G$840,$C37,Ordenes!$T$2:$T$840,"Válida")</f>
        <v/>
      </c>
      <c r="M37" s="9">
        <f>COUNTIFS(Ordenes!$G$2:$G$840,$C37,Ordenes!$T$2:$T$840,"A corregir")</f>
        <v/>
      </c>
      <c r="N37" s="13">
        <f>H37-G37</f>
        <v/>
      </c>
    </row>
    <row r="38">
      <c r="A38" s="9" t="n">
        <v>34</v>
      </c>
      <c r="B38" s="9" t="inlineStr">
        <is>
          <t>B Hormigón</t>
        </is>
      </c>
      <c r="C38" s="9" t="inlineStr">
        <is>
          <t>B HORMIGON 18MM 7M A630-420H (N)</t>
        </is>
      </c>
      <c r="D38" s="9" t="inlineStr">
        <is>
          <t>Ø18 mm · 7 m</t>
        </is>
      </c>
      <c r="E38" s="9" t="inlineStr">
        <is>
          <t>RED 18 CR</t>
        </is>
      </c>
      <c r="F38" s="9" t="n">
        <v>7</v>
      </c>
      <c r="G38" s="13">
        <f>SUMIFS(Ordenes!$P$2:$P$840,Ordenes!$G$2:$G$840,$C38,Ordenes!$T$2:$T$840,"Válida")</f>
        <v/>
      </c>
      <c r="H38" s="13">
        <f>SUMIFS(Ordenes!$Q$2:$Q$840,Ordenes!$G$2:$G$840,$C38,Ordenes!$T$2:$T$840,"Válida")</f>
        <v/>
      </c>
      <c r="I38" s="14">
        <f>IFERROR(G38/H38,"")</f>
        <v/>
      </c>
      <c r="J38" s="14">
        <f>IFERROR(SUMIFS(Ordenes!$V$2:$V$840,Ordenes!$G$2:$G$840,$C38,Ordenes!$T$2:$T$840,"Válida")/H38,"")</f>
        <v/>
      </c>
      <c r="K38" s="25">
        <f>IFERROR((I38-J38)*100,"")</f>
        <v/>
      </c>
      <c r="L38" s="9">
        <f>COUNTIFS(Ordenes!$G$2:$G$840,$C38,Ordenes!$T$2:$T$840,"Válida")</f>
        <v/>
      </c>
      <c r="M38" s="9">
        <f>COUNTIFS(Ordenes!$G$2:$G$840,$C38,Ordenes!$T$2:$T$840,"A corregir")</f>
        <v/>
      </c>
      <c r="N38" s="13">
        <f>H38-G38</f>
        <v/>
      </c>
    </row>
    <row r="39">
      <c r="A39" s="9" t="n">
        <v>35</v>
      </c>
      <c r="B39" s="9" t="inlineStr">
        <is>
          <t>B Hormigón</t>
        </is>
      </c>
      <c r="C39" s="9" t="inlineStr">
        <is>
          <t>B HORMIGON 32MM 12M A630-420HS (N)</t>
        </is>
      </c>
      <c r="D39" s="9" t="inlineStr">
        <is>
          <t>Ø32 mm · 12 m</t>
        </is>
      </c>
      <c r="E39" s="9" t="inlineStr">
        <is>
          <t>RED 32 CR</t>
        </is>
      </c>
      <c r="F39" s="9" t="n">
        <v>12</v>
      </c>
      <c r="G39" s="13">
        <f>SUMIFS(Ordenes!$P$2:$P$840,Ordenes!$G$2:$G$840,$C39,Ordenes!$T$2:$T$840,"Válida")</f>
        <v/>
      </c>
      <c r="H39" s="13">
        <f>SUMIFS(Ordenes!$Q$2:$Q$840,Ordenes!$G$2:$G$840,$C39,Ordenes!$T$2:$T$840,"Válida")</f>
        <v/>
      </c>
      <c r="I39" s="14">
        <f>IFERROR(G39/H39,"")</f>
        <v/>
      </c>
      <c r="J39" s="14">
        <f>IFERROR(SUMIFS(Ordenes!$V$2:$V$840,Ordenes!$G$2:$G$840,$C39,Ordenes!$T$2:$T$840,"Válida")/H39,"")</f>
        <v/>
      </c>
      <c r="K39" s="25">
        <f>IFERROR((I39-J39)*100,"")</f>
        <v/>
      </c>
      <c r="L39" s="9">
        <f>COUNTIFS(Ordenes!$G$2:$G$840,$C39,Ordenes!$T$2:$T$840,"Válida")</f>
        <v/>
      </c>
      <c r="M39" s="9">
        <f>COUNTIFS(Ordenes!$G$2:$G$840,$C39,Ordenes!$T$2:$T$840,"A corregir")</f>
        <v/>
      </c>
      <c r="N39" s="13">
        <f>H39-G39</f>
        <v/>
      </c>
    </row>
    <row r="40">
      <c r="A40" s="9" t="n">
        <v>36</v>
      </c>
      <c r="B40" s="9" t="inlineStr">
        <is>
          <t>B Hormigón</t>
        </is>
      </c>
      <c r="C40" s="9" t="inlineStr">
        <is>
          <t>B HORMIGON 18MM 8M A630-420H (N)</t>
        </is>
      </c>
      <c r="D40" s="9" t="inlineStr">
        <is>
          <t>Ø18 mm · 8 m</t>
        </is>
      </c>
      <c r="E40" s="9" t="inlineStr">
        <is>
          <t>RED 18 CR</t>
        </is>
      </c>
      <c r="F40" s="9" t="n">
        <v>8</v>
      </c>
      <c r="G40" s="13">
        <f>SUMIFS(Ordenes!$P$2:$P$840,Ordenes!$G$2:$G$840,$C40,Ordenes!$T$2:$T$840,"Válida")</f>
        <v/>
      </c>
      <c r="H40" s="13">
        <f>SUMIFS(Ordenes!$Q$2:$Q$840,Ordenes!$G$2:$G$840,$C40,Ordenes!$T$2:$T$840,"Válida")</f>
        <v/>
      </c>
      <c r="I40" s="14">
        <f>IFERROR(G40/H40,"")</f>
        <v/>
      </c>
      <c r="J40" s="14">
        <f>IFERROR(SUMIFS(Ordenes!$V$2:$V$840,Ordenes!$G$2:$G$840,$C40,Ordenes!$T$2:$T$840,"Válida")/H40,"")</f>
        <v/>
      </c>
      <c r="K40" s="25">
        <f>IFERROR((I40-J40)*100,"")</f>
        <v/>
      </c>
      <c r="L40" s="9">
        <f>COUNTIFS(Ordenes!$G$2:$G$840,$C40,Ordenes!$T$2:$T$840,"Válida")</f>
        <v/>
      </c>
      <c r="M40" s="9">
        <f>COUNTIFS(Ordenes!$G$2:$G$840,$C40,Ordenes!$T$2:$T$840,"A corregir")</f>
        <v/>
      </c>
      <c r="N40" s="13">
        <f>H40-G40</f>
        <v/>
      </c>
    </row>
    <row r="41">
      <c r="A41" s="9" t="n">
        <v>37</v>
      </c>
      <c r="B41" s="9" t="inlineStr">
        <is>
          <t>Redondo liso</t>
        </is>
      </c>
      <c r="C41" s="9" t="inlineStr">
        <is>
          <t>REDONDO LISO 16MM 6M SAE 1020 (N)</t>
        </is>
      </c>
      <c r="D41" s="9" t="inlineStr">
        <is>
          <t>Ø16 mm · 6 m</t>
        </is>
      </c>
      <c r="E41" s="9" t="inlineStr">
        <is>
          <t>RED 16</t>
        </is>
      </c>
      <c r="F41" s="9" t="n">
        <v>6</v>
      </c>
      <c r="G41" s="13">
        <f>SUMIFS(Ordenes!$P$2:$P$840,Ordenes!$G$2:$G$840,$C41,Ordenes!$T$2:$T$840,"Válida")</f>
        <v/>
      </c>
      <c r="H41" s="13">
        <f>SUMIFS(Ordenes!$Q$2:$Q$840,Ordenes!$G$2:$G$840,$C41,Ordenes!$T$2:$T$840,"Válida")</f>
        <v/>
      </c>
      <c r="I41" s="14">
        <f>IFERROR(G41/H41,"")</f>
        <v/>
      </c>
      <c r="J41" s="14">
        <f>IFERROR(SUMIFS(Ordenes!$V$2:$V$840,Ordenes!$G$2:$G$840,$C41,Ordenes!$T$2:$T$840,"Válida")/H41,"")</f>
        <v/>
      </c>
      <c r="K41" s="25">
        <f>IFERROR((I41-J41)*100,"")</f>
        <v/>
      </c>
      <c r="L41" s="9">
        <f>COUNTIFS(Ordenes!$G$2:$G$840,$C41,Ordenes!$T$2:$T$840,"Válida")</f>
        <v/>
      </c>
      <c r="M41" s="9">
        <f>COUNTIFS(Ordenes!$G$2:$G$840,$C41,Ordenes!$T$2:$T$840,"A corregir")</f>
        <v/>
      </c>
      <c r="N41" s="13">
        <f>H41-G41</f>
        <v/>
      </c>
    </row>
    <row r="42">
      <c r="A42" s="9" t="n">
        <v>38</v>
      </c>
      <c r="B42" s="9" t="inlineStr">
        <is>
          <t>Ángulo</t>
        </is>
      </c>
      <c r="C42" s="9" t="inlineStr">
        <is>
          <t>ANGULO 80X80X6MM A270ES</t>
        </is>
      </c>
      <c r="D42" s="9" t="inlineStr">
        <is>
          <t>80×80×6 mm · 6 m</t>
        </is>
      </c>
      <c r="E42" s="9" t="inlineStr">
        <is>
          <t>ANG 80 x 6</t>
        </is>
      </c>
      <c r="F42" s="9" t="n">
        <v>6</v>
      </c>
      <c r="G42" s="13">
        <f>SUMIFS(Ordenes!$P$2:$P$840,Ordenes!$G$2:$G$840,$C42,Ordenes!$T$2:$T$840,"Válida")</f>
        <v/>
      </c>
      <c r="H42" s="13">
        <f>SUMIFS(Ordenes!$Q$2:$Q$840,Ordenes!$G$2:$G$840,$C42,Ordenes!$T$2:$T$840,"Válida")</f>
        <v/>
      </c>
      <c r="I42" s="14">
        <f>IFERROR(G42/H42,"")</f>
        <v/>
      </c>
      <c r="J42" s="14">
        <f>IFERROR(SUMIFS(Ordenes!$V$2:$V$840,Ordenes!$G$2:$G$840,$C42,Ordenes!$T$2:$T$840,"Válida")/H42,"")</f>
        <v/>
      </c>
      <c r="K42" s="25">
        <f>IFERROR((I42-J42)*100,"")</f>
        <v/>
      </c>
      <c r="L42" s="9">
        <f>COUNTIFS(Ordenes!$G$2:$G$840,$C42,Ordenes!$T$2:$T$840,"Válida")</f>
        <v/>
      </c>
      <c r="M42" s="9">
        <f>COUNTIFS(Ordenes!$G$2:$G$840,$C42,Ordenes!$T$2:$T$840,"A corregir")</f>
        <v/>
      </c>
      <c r="N42" s="13">
        <f>H42-G42</f>
        <v/>
      </c>
    </row>
    <row r="43">
      <c r="A43" s="9" t="n">
        <v>39</v>
      </c>
      <c r="B43" s="9" t="inlineStr">
        <is>
          <t>Plana</t>
        </is>
      </c>
      <c r="C43" s="9" t="inlineStr">
        <is>
          <t>PLANA 38X5MM 6M A270ES (N)</t>
        </is>
      </c>
      <c r="D43" s="9" t="inlineStr">
        <is>
          <t>38×5 mm · 6 m</t>
        </is>
      </c>
      <c r="E43" s="9" t="inlineStr">
        <is>
          <t>PL 38 x 5</t>
        </is>
      </c>
      <c r="F43" s="9" t="n">
        <v>6</v>
      </c>
      <c r="G43" s="13">
        <f>SUMIFS(Ordenes!$P$2:$P$840,Ordenes!$G$2:$G$840,$C43,Ordenes!$T$2:$T$840,"Válida")</f>
        <v/>
      </c>
      <c r="H43" s="13">
        <f>SUMIFS(Ordenes!$Q$2:$Q$840,Ordenes!$G$2:$G$840,$C43,Ordenes!$T$2:$T$840,"Válida")</f>
        <v/>
      </c>
      <c r="I43" s="14">
        <f>IFERROR(G43/H43,"")</f>
        <v/>
      </c>
      <c r="J43" s="14">
        <f>IFERROR(SUMIFS(Ordenes!$V$2:$V$840,Ordenes!$G$2:$G$840,$C43,Ordenes!$T$2:$T$840,"Válida")/H43,"")</f>
        <v/>
      </c>
      <c r="K43" s="25">
        <f>IFERROR((I43-J43)*100,"")</f>
        <v/>
      </c>
      <c r="L43" s="9">
        <f>COUNTIFS(Ordenes!$G$2:$G$840,$C43,Ordenes!$T$2:$T$840,"Válida")</f>
        <v/>
      </c>
      <c r="M43" s="9">
        <f>COUNTIFS(Ordenes!$G$2:$G$840,$C43,Ordenes!$T$2:$T$840,"A corregir")</f>
        <v/>
      </c>
      <c r="N43" s="13">
        <f>H43-G43</f>
        <v/>
      </c>
    </row>
    <row r="44">
      <c r="A44" s="9" t="n">
        <v>40</v>
      </c>
      <c r="B44" s="9" t="inlineStr">
        <is>
          <t>Ángulo</t>
        </is>
      </c>
      <c r="C44" s="9" t="inlineStr">
        <is>
          <t>ANGULO 50X50X4MM A270ES</t>
        </is>
      </c>
      <c r="D44" s="9" t="inlineStr">
        <is>
          <t>50×50×4 mm · 6 m</t>
        </is>
      </c>
      <c r="E44" s="9" t="inlineStr">
        <is>
          <t>ANG 50 x 4</t>
        </is>
      </c>
      <c r="F44" s="9" t="n">
        <v>6</v>
      </c>
      <c r="G44" s="13">
        <f>SUMIFS(Ordenes!$P$2:$P$840,Ordenes!$G$2:$G$840,$C44,Ordenes!$T$2:$T$840,"Válida")</f>
        <v/>
      </c>
      <c r="H44" s="13">
        <f>SUMIFS(Ordenes!$Q$2:$Q$840,Ordenes!$G$2:$G$840,$C44,Ordenes!$T$2:$T$840,"Válida")</f>
        <v/>
      </c>
      <c r="I44" s="14">
        <f>IFERROR(G44/H44,"")</f>
        <v/>
      </c>
      <c r="J44" s="14">
        <f>IFERROR(SUMIFS(Ordenes!$V$2:$V$840,Ordenes!$G$2:$G$840,$C44,Ordenes!$T$2:$T$840,"Válida")/H44,"")</f>
        <v/>
      </c>
      <c r="K44" s="25">
        <f>IFERROR((I44-J44)*100,"")</f>
        <v/>
      </c>
      <c r="L44" s="9">
        <f>COUNTIFS(Ordenes!$G$2:$G$840,$C44,Ordenes!$T$2:$T$840,"Válida")</f>
        <v/>
      </c>
      <c r="M44" s="9">
        <f>COUNTIFS(Ordenes!$G$2:$G$840,$C44,Ordenes!$T$2:$T$840,"A corregir")</f>
        <v/>
      </c>
      <c r="N44" s="13">
        <f>H44-G44</f>
        <v/>
      </c>
    </row>
    <row r="45">
      <c r="A45" s="9" t="n">
        <v>41</v>
      </c>
      <c r="B45" s="9" t="inlineStr">
        <is>
          <t>B Hormigón</t>
        </is>
      </c>
      <c r="C45" s="9" t="inlineStr">
        <is>
          <t>B HORMIGON 32MM 10M A630-420H (N)</t>
        </is>
      </c>
      <c r="D45" s="9" t="inlineStr">
        <is>
          <t>Ø32 mm · 10 m</t>
        </is>
      </c>
      <c r="E45" s="9" t="inlineStr">
        <is>
          <t>RED 32 CR</t>
        </is>
      </c>
      <c r="F45" s="9" t="n">
        <v>10</v>
      </c>
      <c r="G45" s="13">
        <f>SUMIFS(Ordenes!$P$2:$P$840,Ordenes!$G$2:$G$840,$C45,Ordenes!$T$2:$T$840,"Válida")</f>
        <v/>
      </c>
      <c r="H45" s="13">
        <f>SUMIFS(Ordenes!$Q$2:$Q$840,Ordenes!$G$2:$G$840,$C45,Ordenes!$T$2:$T$840,"Válida")</f>
        <v/>
      </c>
      <c r="I45" s="14">
        <f>IFERROR(G45/H45,"")</f>
        <v/>
      </c>
      <c r="J45" s="14">
        <f>IFERROR(SUMIFS(Ordenes!$V$2:$V$840,Ordenes!$G$2:$G$840,$C45,Ordenes!$T$2:$T$840,"Válida")/H45,"")</f>
        <v/>
      </c>
      <c r="K45" s="25">
        <f>IFERROR((I45-J45)*100,"")</f>
        <v/>
      </c>
      <c r="L45" s="9">
        <f>COUNTIFS(Ordenes!$G$2:$G$840,$C45,Ordenes!$T$2:$T$840,"Válida")</f>
        <v/>
      </c>
      <c r="M45" s="9">
        <f>COUNTIFS(Ordenes!$G$2:$G$840,$C45,Ordenes!$T$2:$T$840,"A corregir")</f>
        <v/>
      </c>
      <c r="N45" s="13">
        <f>H45-G45</f>
        <v/>
      </c>
    </row>
    <row r="46">
      <c r="A46" s="9" t="n">
        <v>42</v>
      </c>
      <c r="B46" s="9" t="inlineStr">
        <is>
          <t>B Hormigón</t>
        </is>
      </c>
      <c r="C46" s="9" t="inlineStr">
        <is>
          <t>B HORMIGON 18MM 9M A630-420H (N)</t>
        </is>
      </c>
      <c r="D46" s="9" t="inlineStr">
        <is>
          <t>Ø18 mm · 9 m</t>
        </is>
      </c>
      <c r="E46" s="9" t="inlineStr">
        <is>
          <t>RED 18 CR</t>
        </is>
      </c>
      <c r="F46" s="9" t="n">
        <v>9</v>
      </c>
      <c r="G46" s="13">
        <f>SUMIFS(Ordenes!$P$2:$P$840,Ordenes!$G$2:$G$840,$C46,Ordenes!$T$2:$T$840,"Válida")</f>
        <v/>
      </c>
      <c r="H46" s="13">
        <f>SUMIFS(Ordenes!$Q$2:$Q$840,Ordenes!$G$2:$G$840,$C46,Ordenes!$T$2:$T$840,"Válida")</f>
        <v/>
      </c>
      <c r="I46" s="14">
        <f>IFERROR(G46/H46,"")</f>
        <v/>
      </c>
      <c r="J46" s="14">
        <f>IFERROR(SUMIFS(Ordenes!$V$2:$V$840,Ordenes!$G$2:$G$840,$C46,Ordenes!$T$2:$T$840,"Válida")/H46,"")</f>
        <v/>
      </c>
      <c r="K46" s="25">
        <f>IFERROR((I46-J46)*100,"")</f>
        <v/>
      </c>
      <c r="L46" s="9">
        <f>COUNTIFS(Ordenes!$G$2:$G$840,$C46,Ordenes!$T$2:$T$840,"Válida")</f>
        <v/>
      </c>
      <c r="M46" s="9">
        <f>COUNTIFS(Ordenes!$G$2:$G$840,$C46,Ordenes!$T$2:$T$840,"A corregir")</f>
        <v/>
      </c>
      <c r="N46" s="13">
        <f>H46-G46</f>
        <v/>
      </c>
    </row>
    <row r="47">
      <c r="A47" s="9" t="n">
        <v>43</v>
      </c>
      <c r="B47" s="9" t="inlineStr">
        <is>
          <t>Plana</t>
        </is>
      </c>
      <c r="C47" s="9" t="inlineStr">
        <is>
          <t>PLANA 38X3MM 6M A270ES (N)</t>
        </is>
      </c>
      <c r="D47" s="9" t="inlineStr">
        <is>
          <t>38×3 mm · 6 m</t>
        </is>
      </c>
      <c r="E47" s="9" t="inlineStr">
        <is>
          <t>PL 38 x 3</t>
        </is>
      </c>
      <c r="F47" s="9" t="n">
        <v>6</v>
      </c>
      <c r="G47" s="13">
        <f>SUMIFS(Ordenes!$P$2:$P$840,Ordenes!$G$2:$G$840,$C47,Ordenes!$T$2:$T$840,"Válida")</f>
        <v/>
      </c>
      <c r="H47" s="13">
        <f>SUMIFS(Ordenes!$Q$2:$Q$840,Ordenes!$G$2:$G$840,$C47,Ordenes!$T$2:$T$840,"Válida")</f>
        <v/>
      </c>
      <c r="I47" s="14">
        <f>IFERROR(G47/H47,"")</f>
        <v/>
      </c>
      <c r="J47" s="14">
        <f>IFERROR(SUMIFS(Ordenes!$V$2:$V$840,Ordenes!$G$2:$G$840,$C47,Ordenes!$T$2:$T$840,"Válida")/H47,"")</f>
        <v/>
      </c>
      <c r="K47" s="25">
        <f>IFERROR((I47-J47)*100,"")</f>
        <v/>
      </c>
      <c r="L47" s="9">
        <f>COUNTIFS(Ordenes!$G$2:$G$840,$C47,Ordenes!$T$2:$T$840,"Válida")</f>
        <v/>
      </c>
      <c r="M47" s="9">
        <f>COUNTIFS(Ordenes!$G$2:$G$840,$C47,Ordenes!$T$2:$T$840,"A corregir")</f>
        <v/>
      </c>
      <c r="N47" s="13">
        <f>H47-G47</f>
        <v/>
      </c>
    </row>
    <row r="48">
      <c r="A48" s="9" t="n">
        <v>44</v>
      </c>
      <c r="B48" s="9" t="inlineStr">
        <is>
          <t>Plana</t>
        </is>
      </c>
      <c r="C48" s="9" t="inlineStr">
        <is>
          <t>PLANA 25X3MM 6M A270ES (N)</t>
        </is>
      </c>
      <c r="D48" s="9" t="inlineStr">
        <is>
          <t>25×3 mm · 6 m</t>
        </is>
      </c>
      <c r="E48" s="9" t="inlineStr">
        <is>
          <t>PL 25 x 3</t>
        </is>
      </c>
      <c r="F48" s="9" t="n">
        <v>6</v>
      </c>
      <c r="G48" s="13">
        <f>SUMIFS(Ordenes!$P$2:$P$840,Ordenes!$G$2:$G$840,$C48,Ordenes!$T$2:$T$840,"Válida")</f>
        <v/>
      </c>
      <c r="H48" s="13">
        <f>SUMIFS(Ordenes!$Q$2:$Q$840,Ordenes!$G$2:$G$840,$C48,Ordenes!$T$2:$T$840,"Válida")</f>
        <v/>
      </c>
      <c r="I48" s="14">
        <f>IFERROR(G48/H48,"")</f>
        <v/>
      </c>
      <c r="J48" s="14">
        <f>IFERROR(SUMIFS(Ordenes!$V$2:$V$840,Ordenes!$G$2:$G$840,$C48,Ordenes!$T$2:$T$840,"Válida")/H48,"")</f>
        <v/>
      </c>
      <c r="K48" s="25">
        <f>IFERROR((I48-J48)*100,"")</f>
        <v/>
      </c>
      <c r="L48" s="9">
        <f>COUNTIFS(Ordenes!$G$2:$G$840,$C48,Ordenes!$T$2:$T$840,"Válida")</f>
        <v/>
      </c>
      <c r="M48" s="9">
        <f>COUNTIFS(Ordenes!$G$2:$G$840,$C48,Ordenes!$T$2:$T$840,"A corregir")</f>
        <v/>
      </c>
      <c r="N48" s="13">
        <f>H48-G48</f>
        <v/>
      </c>
    </row>
    <row r="49">
      <c r="A49" s="9" t="n">
        <v>45</v>
      </c>
      <c r="B49" s="9" t="inlineStr">
        <is>
          <t>Redondo liso</t>
        </is>
      </c>
      <c r="C49" s="9" t="inlineStr">
        <is>
          <t>REDONDO LISO 1' 6M SAE 1020 (N)</t>
        </is>
      </c>
      <c r="D49" s="9" t="inlineStr">
        <is>
          <t>Ø25,4 mm · 6 m</t>
        </is>
      </c>
      <c r="E49" s="9" t="inlineStr">
        <is>
          <t>RED 1</t>
        </is>
      </c>
      <c r="F49" s="9" t="n">
        <v>6</v>
      </c>
      <c r="G49" s="13">
        <f>SUMIFS(Ordenes!$P$2:$P$840,Ordenes!$G$2:$G$840,$C49,Ordenes!$T$2:$T$840,"Válida")</f>
        <v/>
      </c>
      <c r="H49" s="13">
        <f>SUMIFS(Ordenes!$Q$2:$Q$840,Ordenes!$G$2:$G$840,$C49,Ordenes!$T$2:$T$840,"Válida")</f>
        <v/>
      </c>
      <c r="I49" s="14">
        <f>IFERROR(G49/H49,"")</f>
        <v/>
      </c>
      <c r="J49" s="14">
        <f>IFERROR(SUMIFS(Ordenes!$V$2:$V$840,Ordenes!$G$2:$G$840,$C49,Ordenes!$T$2:$T$840,"Válida")/H49,"")</f>
        <v/>
      </c>
      <c r="K49" s="25">
        <f>IFERROR((I49-J49)*100,"")</f>
        <v/>
      </c>
      <c r="L49" s="9">
        <f>COUNTIFS(Ordenes!$G$2:$G$840,$C49,Ordenes!$T$2:$T$840,"Válida")</f>
        <v/>
      </c>
      <c r="M49" s="9">
        <f>COUNTIFS(Ordenes!$G$2:$G$840,$C49,Ordenes!$T$2:$T$840,"A corregir")</f>
        <v/>
      </c>
      <c r="N49" s="13">
        <f>H49-G49</f>
        <v/>
      </c>
    </row>
    <row r="50">
      <c r="A50" s="9" t="n">
        <v>46</v>
      </c>
      <c r="B50" s="9" t="inlineStr">
        <is>
          <t>Ángulo</t>
        </is>
      </c>
      <c r="C50" s="9" t="inlineStr">
        <is>
          <t>ANGULO 20X20X3MM A270ES</t>
        </is>
      </c>
      <c r="D50" s="9" t="inlineStr">
        <is>
          <t>20×20×3 mm · 12 m</t>
        </is>
      </c>
      <c r="E50" s="9" t="inlineStr">
        <is>
          <t>ANG 20 x 3</t>
        </is>
      </c>
      <c r="F50" s="9" t="n">
        <v>12</v>
      </c>
      <c r="G50" s="13">
        <f>SUMIFS(Ordenes!$P$2:$P$840,Ordenes!$G$2:$G$840,$C50,Ordenes!$T$2:$T$840,"Válida")</f>
        <v/>
      </c>
      <c r="H50" s="13">
        <f>SUMIFS(Ordenes!$Q$2:$Q$840,Ordenes!$G$2:$G$840,$C50,Ordenes!$T$2:$T$840,"Válida")</f>
        <v/>
      </c>
      <c r="I50" s="14">
        <f>IFERROR(G50/H50,"")</f>
        <v/>
      </c>
      <c r="J50" s="14">
        <f>IFERROR(SUMIFS(Ordenes!$V$2:$V$840,Ordenes!$G$2:$G$840,$C50,Ordenes!$T$2:$T$840,"Válida")/H50,"")</f>
        <v/>
      </c>
      <c r="K50" s="25">
        <f>IFERROR((I50-J50)*100,"")</f>
        <v/>
      </c>
      <c r="L50" s="9">
        <f>COUNTIFS(Ordenes!$G$2:$G$840,$C50,Ordenes!$T$2:$T$840,"Válida")</f>
        <v/>
      </c>
      <c r="M50" s="9">
        <f>COUNTIFS(Ordenes!$G$2:$G$840,$C50,Ordenes!$T$2:$T$840,"A corregir")</f>
        <v/>
      </c>
      <c r="N50" s="13">
        <f>H50-G50</f>
        <v/>
      </c>
    </row>
    <row r="51">
      <c r="A51" s="9" t="n">
        <v>47</v>
      </c>
      <c r="B51" s="9" t="inlineStr">
        <is>
          <t>B Hormigón</t>
        </is>
      </c>
      <c r="C51" s="9" t="inlineStr">
        <is>
          <t>B HORMIGON 32MM 11M A630-420H (N)</t>
        </is>
      </c>
      <c r="D51" s="9" t="inlineStr">
        <is>
          <t>Ø32 mm · 11 m</t>
        </is>
      </c>
      <c r="E51" s="9" t="inlineStr">
        <is>
          <t>RED 32 CR</t>
        </is>
      </c>
      <c r="F51" s="9" t="n">
        <v>11</v>
      </c>
      <c r="G51" s="13">
        <f>SUMIFS(Ordenes!$P$2:$P$840,Ordenes!$G$2:$G$840,$C51,Ordenes!$T$2:$T$840,"Válida")</f>
        <v/>
      </c>
      <c r="H51" s="13">
        <f>SUMIFS(Ordenes!$Q$2:$Q$840,Ordenes!$G$2:$G$840,$C51,Ordenes!$T$2:$T$840,"Válida")</f>
        <v/>
      </c>
      <c r="I51" s="14">
        <f>IFERROR(G51/H51,"")</f>
        <v/>
      </c>
      <c r="J51" s="14">
        <f>IFERROR(SUMIFS(Ordenes!$V$2:$V$840,Ordenes!$G$2:$G$840,$C51,Ordenes!$T$2:$T$840,"Válida")/H51,"")</f>
        <v/>
      </c>
      <c r="K51" s="25">
        <f>IFERROR((I51-J51)*100,"")</f>
        <v/>
      </c>
      <c r="L51" s="9">
        <f>COUNTIFS(Ordenes!$G$2:$G$840,$C51,Ordenes!$T$2:$T$840,"Válida")</f>
        <v/>
      </c>
      <c r="M51" s="9">
        <f>COUNTIFS(Ordenes!$G$2:$G$840,$C51,Ordenes!$T$2:$T$840,"A corregir")</f>
        <v/>
      </c>
      <c r="N51" s="13">
        <f>H51-G51</f>
        <v/>
      </c>
    </row>
    <row r="52">
      <c r="A52" s="9" t="n">
        <v>48</v>
      </c>
      <c r="B52" s="9" t="inlineStr">
        <is>
          <t>Redondo liso</t>
        </is>
      </c>
      <c r="C52" s="9" t="inlineStr">
        <is>
          <t>REDONDO LISO 19MM 6M SAE 1020 (N)</t>
        </is>
      </c>
      <c r="D52" s="9" t="inlineStr">
        <is>
          <t>Ø19 mm · 6 m</t>
        </is>
      </c>
      <c r="E52" s="9" t="inlineStr">
        <is>
          <t>RED 19</t>
        </is>
      </c>
      <c r="F52" s="9" t="n">
        <v>6</v>
      </c>
      <c r="G52" s="13">
        <f>SUMIFS(Ordenes!$P$2:$P$840,Ordenes!$G$2:$G$840,$C52,Ordenes!$T$2:$T$840,"Válida")</f>
        <v/>
      </c>
      <c r="H52" s="13">
        <f>SUMIFS(Ordenes!$Q$2:$Q$840,Ordenes!$G$2:$G$840,$C52,Ordenes!$T$2:$T$840,"Válida")</f>
        <v/>
      </c>
      <c r="I52" s="14">
        <f>IFERROR(G52/H52,"")</f>
        <v/>
      </c>
      <c r="J52" s="14">
        <f>IFERROR(SUMIFS(Ordenes!$V$2:$V$840,Ordenes!$G$2:$G$840,$C52,Ordenes!$T$2:$T$840,"Válida")/H52,"")</f>
        <v/>
      </c>
      <c r="K52" s="25">
        <f>IFERROR((I52-J52)*100,"")</f>
        <v/>
      </c>
      <c r="L52" s="9">
        <f>COUNTIFS(Ordenes!$G$2:$G$840,$C52,Ordenes!$T$2:$T$840,"Válida")</f>
        <v/>
      </c>
      <c r="M52" s="9">
        <f>COUNTIFS(Ordenes!$G$2:$G$840,$C52,Ordenes!$T$2:$T$840,"A corregir")</f>
        <v/>
      </c>
      <c r="N52" s="13">
        <f>H52-G52</f>
        <v/>
      </c>
    </row>
    <row r="53">
      <c r="A53" s="9" t="n">
        <v>49</v>
      </c>
      <c r="B53" s="9" t="inlineStr">
        <is>
          <t>Ángulo</t>
        </is>
      </c>
      <c r="C53" s="9" t="inlineStr">
        <is>
          <t>ANGULO 40X40X5MM A270ES</t>
        </is>
      </c>
      <c r="D53" s="9" t="inlineStr">
        <is>
          <t>40×40×5 mm · 6 m</t>
        </is>
      </c>
      <c r="E53" s="9" t="inlineStr">
        <is>
          <t>ANG 40 x 5</t>
        </is>
      </c>
      <c r="F53" s="9" t="n">
        <v>6</v>
      </c>
      <c r="G53" s="13">
        <f>SUMIFS(Ordenes!$P$2:$P$840,Ordenes!$G$2:$G$840,$C53,Ordenes!$T$2:$T$840,"Válida")</f>
        <v/>
      </c>
      <c r="H53" s="13">
        <f>SUMIFS(Ordenes!$Q$2:$Q$840,Ordenes!$G$2:$G$840,$C53,Ordenes!$T$2:$T$840,"Válida")</f>
        <v/>
      </c>
      <c r="I53" s="14">
        <f>IFERROR(G53/H53,"")</f>
        <v/>
      </c>
      <c r="J53" s="14">
        <f>IFERROR(SUMIFS(Ordenes!$V$2:$V$840,Ordenes!$G$2:$G$840,$C53,Ordenes!$T$2:$T$840,"Válida")/H53,"")</f>
        <v/>
      </c>
      <c r="K53" s="25">
        <f>IFERROR((I53-J53)*100,"")</f>
        <v/>
      </c>
      <c r="L53" s="9">
        <f>COUNTIFS(Ordenes!$G$2:$G$840,$C53,Ordenes!$T$2:$T$840,"Válida")</f>
        <v/>
      </c>
      <c r="M53" s="9">
        <f>COUNTIFS(Ordenes!$G$2:$G$840,$C53,Ordenes!$T$2:$T$840,"A corregir")</f>
        <v/>
      </c>
      <c r="N53" s="13">
        <f>H53-G53</f>
        <v/>
      </c>
    </row>
    <row r="54">
      <c r="A54" s="9" t="n">
        <v>50</v>
      </c>
      <c r="B54" s="9" t="inlineStr">
        <is>
          <t>Redondo liso</t>
        </is>
      </c>
      <c r="C54" s="9" t="inlineStr">
        <is>
          <t>REDONDO LISO 7/8' 6M SAE 1020 (N)</t>
        </is>
      </c>
      <c r="D54" s="9" t="inlineStr">
        <is>
          <t>Ø22,2 mm · 6 m</t>
        </is>
      </c>
      <c r="E54" s="9" t="inlineStr">
        <is>
          <t>RED 7/8</t>
        </is>
      </c>
      <c r="F54" s="9" t="n">
        <v>6</v>
      </c>
      <c r="G54" s="13">
        <f>SUMIFS(Ordenes!$P$2:$P$840,Ordenes!$G$2:$G$840,$C54,Ordenes!$T$2:$T$840,"Válida")</f>
        <v/>
      </c>
      <c r="H54" s="13">
        <f>SUMIFS(Ordenes!$Q$2:$Q$840,Ordenes!$G$2:$G$840,$C54,Ordenes!$T$2:$T$840,"Válida")</f>
        <v/>
      </c>
      <c r="I54" s="14">
        <f>IFERROR(G54/H54,"")</f>
        <v/>
      </c>
      <c r="J54" s="14">
        <f>IFERROR(SUMIFS(Ordenes!$V$2:$V$840,Ordenes!$G$2:$G$840,$C54,Ordenes!$T$2:$T$840,"Válida")/H54,"")</f>
        <v/>
      </c>
      <c r="K54" s="25">
        <f>IFERROR((I54-J54)*100,"")</f>
        <v/>
      </c>
      <c r="L54" s="9">
        <f>COUNTIFS(Ordenes!$G$2:$G$840,$C54,Ordenes!$T$2:$T$840,"Válida")</f>
        <v/>
      </c>
      <c r="M54" s="9">
        <f>COUNTIFS(Ordenes!$G$2:$G$840,$C54,Ordenes!$T$2:$T$840,"A corregir")</f>
        <v/>
      </c>
      <c r="N54" s="13">
        <f>H54-G54</f>
        <v/>
      </c>
    </row>
    <row r="55">
      <c r="A55" s="9" t="n">
        <v>51</v>
      </c>
      <c r="B55" s="9" t="inlineStr">
        <is>
          <t>B Hormigón</t>
        </is>
      </c>
      <c r="C55" s="9" t="inlineStr">
        <is>
          <t>B HORMIGON 22MM 10M A630-420H (N)</t>
        </is>
      </c>
      <c r="D55" s="9" t="inlineStr">
        <is>
          <t>Ø22 mm · 10 m</t>
        </is>
      </c>
      <c r="E55" s="9" t="inlineStr">
        <is>
          <t>RED 22 CR</t>
        </is>
      </c>
      <c r="F55" s="9" t="n">
        <v>10</v>
      </c>
      <c r="G55" s="13">
        <f>SUMIFS(Ordenes!$P$2:$P$840,Ordenes!$G$2:$G$840,$C55,Ordenes!$T$2:$T$840,"Válida")</f>
        <v/>
      </c>
      <c r="H55" s="13">
        <f>SUMIFS(Ordenes!$Q$2:$Q$840,Ordenes!$G$2:$G$840,$C55,Ordenes!$T$2:$T$840,"Válida")</f>
        <v/>
      </c>
      <c r="I55" s="14">
        <f>IFERROR(G55/H55,"")</f>
        <v/>
      </c>
      <c r="J55" s="14">
        <f>IFERROR(SUMIFS(Ordenes!$V$2:$V$840,Ordenes!$G$2:$G$840,$C55,Ordenes!$T$2:$T$840,"Válida")/H55,"")</f>
        <v/>
      </c>
      <c r="K55" s="25">
        <f>IFERROR((I55-J55)*100,"")</f>
        <v/>
      </c>
      <c r="L55" s="9">
        <f>COUNTIFS(Ordenes!$G$2:$G$840,$C55,Ordenes!$T$2:$T$840,"Válida")</f>
        <v/>
      </c>
      <c r="M55" s="9">
        <f>COUNTIFS(Ordenes!$G$2:$G$840,$C55,Ordenes!$T$2:$T$840,"A corregir")</f>
        <v/>
      </c>
      <c r="N55" s="13">
        <f>H55-G55</f>
        <v/>
      </c>
    </row>
    <row r="56">
      <c r="A56" s="9" t="n">
        <v>52</v>
      </c>
      <c r="B56" s="9" t="inlineStr">
        <is>
          <t>B Hormigón</t>
        </is>
      </c>
      <c r="C56" s="9" t="inlineStr">
        <is>
          <t>B HORMIGON 28MM 10M A630-420H (N)</t>
        </is>
      </c>
      <c r="D56" s="9" t="inlineStr">
        <is>
          <t>Ø28 mm · 10 m</t>
        </is>
      </c>
      <c r="E56" s="9" t="inlineStr">
        <is>
          <t>RED 28 CR</t>
        </is>
      </c>
      <c r="F56" s="9" t="n">
        <v>10</v>
      </c>
      <c r="G56" s="13">
        <f>SUMIFS(Ordenes!$P$2:$P$840,Ordenes!$G$2:$G$840,$C56,Ordenes!$T$2:$T$840,"Válida")</f>
        <v/>
      </c>
      <c r="H56" s="13">
        <f>SUMIFS(Ordenes!$Q$2:$Q$840,Ordenes!$G$2:$G$840,$C56,Ordenes!$T$2:$T$840,"Válida")</f>
        <v/>
      </c>
      <c r="I56" s="14">
        <f>IFERROR(G56/H56,"")</f>
        <v/>
      </c>
      <c r="J56" s="14">
        <f>IFERROR(SUMIFS(Ordenes!$V$2:$V$840,Ordenes!$G$2:$G$840,$C56,Ordenes!$T$2:$T$840,"Válida")/H56,"")</f>
        <v/>
      </c>
      <c r="K56" s="25">
        <f>IFERROR((I56-J56)*100,"")</f>
        <v/>
      </c>
      <c r="L56" s="9">
        <f>COUNTIFS(Ordenes!$G$2:$G$840,$C56,Ordenes!$T$2:$T$840,"Válida")</f>
        <v/>
      </c>
      <c r="M56" s="9">
        <f>COUNTIFS(Ordenes!$G$2:$G$840,$C56,Ordenes!$T$2:$T$840,"A corregir")</f>
        <v/>
      </c>
      <c r="N56" s="13">
        <f>H56-G56</f>
        <v/>
      </c>
    </row>
    <row r="57">
      <c r="A57" s="9" t="n">
        <v>53</v>
      </c>
      <c r="B57" s="9" t="inlineStr">
        <is>
          <t>B Hormigón</t>
        </is>
      </c>
      <c r="C57" s="9" t="inlineStr">
        <is>
          <t>B HORMIGON 36MM 12M A630-420H (N)</t>
        </is>
      </c>
      <c r="D57" s="9" t="inlineStr">
        <is>
          <t>Ø36 mm · 12 m</t>
        </is>
      </c>
      <c r="E57" s="9" t="inlineStr">
        <is>
          <t>RED 36 CR</t>
        </is>
      </c>
      <c r="F57" s="9" t="n">
        <v>12</v>
      </c>
      <c r="G57" s="13">
        <f>SUMIFS(Ordenes!$P$2:$P$840,Ordenes!$G$2:$G$840,$C57,Ordenes!$T$2:$T$840,"Válida")</f>
        <v/>
      </c>
      <c r="H57" s="13">
        <f>SUMIFS(Ordenes!$Q$2:$Q$840,Ordenes!$G$2:$G$840,$C57,Ordenes!$T$2:$T$840,"Válida")</f>
        <v/>
      </c>
      <c r="I57" s="14">
        <f>IFERROR(G57/H57,"")</f>
        <v/>
      </c>
      <c r="J57" s="14">
        <f>IFERROR(SUMIFS(Ordenes!$V$2:$V$840,Ordenes!$G$2:$G$840,$C57,Ordenes!$T$2:$T$840,"Válida")/H57,"")</f>
        <v/>
      </c>
      <c r="K57" s="25">
        <f>IFERROR((I57-J57)*100,"")</f>
        <v/>
      </c>
      <c r="L57" s="9">
        <f>COUNTIFS(Ordenes!$G$2:$G$840,$C57,Ordenes!$T$2:$T$840,"Válida")</f>
        <v/>
      </c>
      <c r="M57" s="9">
        <f>COUNTIFS(Ordenes!$G$2:$G$840,$C57,Ordenes!$T$2:$T$840,"A corregir")</f>
        <v/>
      </c>
      <c r="N57" s="13">
        <f>H57-G57</f>
        <v/>
      </c>
    </row>
    <row r="58">
      <c r="A58" s="9" t="n">
        <v>54</v>
      </c>
      <c r="B58" s="9" t="inlineStr">
        <is>
          <t>B Hormigón</t>
        </is>
      </c>
      <c r="C58" s="9" t="inlineStr">
        <is>
          <t>B HORMIGON 22MM 9M A630-420H (N)</t>
        </is>
      </c>
      <c r="D58" s="9" t="inlineStr">
        <is>
          <t>Ø22 mm · 9 m</t>
        </is>
      </c>
      <c r="E58" s="9" t="inlineStr">
        <is>
          <t>RED 22 CR</t>
        </is>
      </c>
      <c r="F58" s="9" t="n">
        <v>9</v>
      </c>
      <c r="G58" s="13">
        <f>SUMIFS(Ordenes!$P$2:$P$840,Ordenes!$G$2:$G$840,$C58,Ordenes!$T$2:$T$840,"Válida")</f>
        <v/>
      </c>
      <c r="H58" s="13">
        <f>SUMIFS(Ordenes!$Q$2:$Q$840,Ordenes!$G$2:$G$840,$C58,Ordenes!$T$2:$T$840,"Válida")</f>
        <v/>
      </c>
      <c r="I58" s="14">
        <f>IFERROR(G58/H58,"")</f>
        <v/>
      </c>
      <c r="J58" s="14">
        <f>IFERROR(SUMIFS(Ordenes!$V$2:$V$840,Ordenes!$G$2:$G$840,$C58,Ordenes!$T$2:$T$840,"Válida")/H58,"")</f>
        <v/>
      </c>
      <c r="K58" s="25">
        <f>IFERROR((I58-J58)*100,"")</f>
        <v/>
      </c>
      <c r="L58" s="9">
        <f>COUNTIFS(Ordenes!$G$2:$G$840,$C58,Ordenes!$T$2:$T$840,"Válida")</f>
        <v/>
      </c>
      <c r="M58" s="9">
        <f>COUNTIFS(Ordenes!$G$2:$G$840,$C58,Ordenes!$T$2:$T$840,"A corregir")</f>
        <v/>
      </c>
      <c r="N58" s="13">
        <f>H58-G58</f>
        <v/>
      </c>
    </row>
    <row r="59">
      <c r="A59" s="9" t="n">
        <v>55</v>
      </c>
      <c r="B59" s="9" t="inlineStr">
        <is>
          <t>Plana</t>
        </is>
      </c>
      <c r="C59" s="9" t="inlineStr">
        <is>
          <t>PLANA 50X10MM 6M A270ES (N)</t>
        </is>
      </c>
      <c r="D59" s="9" t="inlineStr">
        <is>
          <t>50×10 mm · 6 m</t>
        </is>
      </c>
      <c r="E59" s="9" t="inlineStr">
        <is>
          <t>PL 50 x 10</t>
        </is>
      </c>
      <c r="F59" s="9" t="n">
        <v>6</v>
      </c>
      <c r="G59" s="13">
        <f>SUMIFS(Ordenes!$P$2:$P$840,Ordenes!$G$2:$G$840,$C59,Ordenes!$T$2:$T$840,"Válida")</f>
        <v/>
      </c>
      <c r="H59" s="13">
        <f>SUMIFS(Ordenes!$Q$2:$Q$840,Ordenes!$G$2:$G$840,$C59,Ordenes!$T$2:$T$840,"Válida")</f>
        <v/>
      </c>
      <c r="I59" s="14">
        <f>IFERROR(G59/H59,"")</f>
        <v/>
      </c>
      <c r="J59" s="14">
        <f>IFERROR(SUMIFS(Ordenes!$V$2:$V$840,Ordenes!$G$2:$G$840,$C59,Ordenes!$T$2:$T$840,"Válida")/H59,"")</f>
        <v/>
      </c>
      <c r="K59" s="25">
        <f>IFERROR((I59-J59)*100,"")</f>
        <v/>
      </c>
      <c r="L59" s="9">
        <f>COUNTIFS(Ordenes!$G$2:$G$840,$C59,Ordenes!$T$2:$T$840,"Válida")</f>
        <v/>
      </c>
      <c r="M59" s="9">
        <f>COUNTIFS(Ordenes!$G$2:$G$840,$C59,Ordenes!$T$2:$T$840,"A corregir")</f>
        <v/>
      </c>
      <c r="N59" s="13">
        <f>H59-G59</f>
        <v/>
      </c>
    </row>
    <row r="60">
      <c r="A60" s="9" t="n">
        <v>56</v>
      </c>
      <c r="B60" s="9" t="inlineStr">
        <is>
          <t>Ángulo</t>
        </is>
      </c>
      <c r="C60" s="9" t="inlineStr">
        <is>
          <t>ANGULO 65X65X6MM A270ES</t>
        </is>
      </c>
      <c r="D60" s="9" t="inlineStr">
        <is>
          <t>65×65×6 mm · 6 m</t>
        </is>
      </c>
      <c r="E60" s="9" t="inlineStr">
        <is>
          <t>ANG 65 x 6</t>
        </is>
      </c>
      <c r="F60" s="9" t="n">
        <v>6</v>
      </c>
      <c r="G60" s="13">
        <f>SUMIFS(Ordenes!$P$2:$P$840,Ordenes!$G$2:$G$840,$C60,Ordenes!$T$2:$T$840,"Válida")</f>
        <v/>
      </c>
      <c r="H60" s="13">
        <f>SUMIFS(Ordenes!$Q$2:$Q$840,Ordenes!$G$2:$G$840,$C60,Ordenes!$T$2:$T$840,"Válida")</f>
        <v/>
      </c>
      <c r="I60" s="14">
        <f>IFERROR(G60/H60,"")</f>
        <v/>
      </c>
      <c r="J60" s="14">
        <f>IFERROR(SUMIFS(Ordenes!$V$2:$V$840,Ordenes!$G$2:$G$840,$C60,Ordenes!$T$2:$T$840,"Válida")/H60,"")</f>
        <v/>
      </c>
      <c r="K60" s="25">
        <f>IFERROR((I60-J60)*100,"")</f>
        <v/>
      </c>
      <c r="L60" s="9">
        <f>COUNTIFS(Ordenes!$G$2:$G$840,$C60,Ordenes!$T$2:$T$840,"Válida")</f>
        <v/>
      </c>
      <c r="M60" s="9">
        <f>COUNTIFS(Ordenes!$G$2:$G$840,$C60,Ordenes!$T$2:$T$840,"A corregir")</f>
        <v/>
      </c>
      <c r="N60" s="13">
        <f>H60-G60</f>
        <v/>
      </c>
    </row>
    <row r="61">
      <c r="A61" s="9" t="n">
        <v>57</v>
      </c>
      <c r="B61" s="9" t="inlineStr">
        <is>
          <t>Ángulo</t>
        </is>
      </c>
      <c r="C61" s="9" t="inlineStr">
        <is>
          <t>ANGULO 40X40X4MM A270ES</t>
        </is>
      </c>
      <c r="D61" s="9" t="inlineStr">
        <is>
          <t>40×40×4 mm · 6 m</t>
        </is>
      </c>
      <c r="E61" s="9" t="inlineStr">
        <is>
          <t>ANG 40 x 4</t>
        </is>
      </c>
      <c r="F61" s="9" t="n">
        <v>6</v>
      </c>
      <c r="G61" s="13">
        <f>SUMIFS(Ordenes!$P$2:$P$840,Ordenes!$G$2:$G$840,$C61,Ordenes!$T$2:$T$840,"Válida")</f>
        <v/>
      </c>
      <c r="H61" s="13">
        <f>SUMIFS(Ordenes!$Q$2:$Q$840,Ordenes!$G$2:$G$840,$C61,Ordenes!$T$2:$T$840,"Válida")</f>
        <v/>
      </c>
      <c r="I61" s="14">
        <f>IFERROR(G61/H61,"")</f>
        <v/>
      </c>
      <c r="J61" s="14">
        <f>IFERROR(SUMIFS(Ordenes!$V$2:$V$840,Ordenes!$G$2:$G$840,$C61,Ordenes!$T$2:$T$840,"Válida")/H61,"")</f>
        <v/>
      </c>
      <c r="K61" s="25">
        <f>IFERROR((I61-J61)*100,"")</f>
        <v/>
      </c>
      <c r="L61" s="9">
        <f>COUNTIFS(Ordenes!$G$2:$G$840,$C61,Ordenes!$T$2:$T$840,"Válida")</f>
        <v/>
      </c>
      <c r="M61" s="9">
        <f>COUNTIFS(Ordenes!$G$2:$G$840,$C61,Ordenes!$T$2:$T$840,"A corregir")</f>
        <v/>
      </c>
      <c r="N61" s="13">
        <f>H61-G61</f>
        <v/>
      </c>
    </row>
    <row r="62">
      <c r="A62" s="9" t="n">
        <v>58</v>
      </c>
      <c r="B62" s="9" t="inlineStr">
        <is>
          <t>Plana</t>
        </is>
      </c>
      <c r="C62" s="9" t="inlineStr">
        <is>
          <t>PLANA 50X6MM 6M A270ES (N)</t>
        </is>
      </c>
      <c r="D62" s="9" t="inlineStr">
        <is>
          <t>50×6 mm · 6 m</t>
        </is>
      </c>
      <c r="E62" s="9" t="inlineStr">
        <is>
          <t>PL 50 x 6</t>
        </is>
      </c>
      <c r="F62" s="9" t="n">
        <v>6</v>
      </c>
      <c r="G62" s="13">
        <f>SUMIFS(Ordenes!$P$2:$P$840,Ordenes!$G$2:$G$840,$C62,Ordenes!$T$2:$T$840,"Válida")</f>
        <v/>
      </c>
      <c r="H62" s="13">
        <f>SUMIFS(Ordenes!$Q$2:$Q$840,Ordenes!$G$2:$G$840,$C62,Ordenes!$T$2:$T$840,"Válida")</f>
        <v/>
      </c>
      <c r="I62" s="14">
        <f>IFERROR(G62/H62,"")</f>
        <v/>
      </c>
      <c r="J62" s="14">
        <f>IFERROR(SUMIFS(Ordenes!$V$2:$V$840,Ordenes!$G$2:$G$840,$C62,Ordenes!$T$2:$T$840,"Válida")/H62,"")</f>
        <v/>
      </c>
      <c r="K62" s="25">
        <f>IFERROR((I62-J62)*100,"")</f>
        <v/>
      </c>
      <c r="L62" s="9">
        <f>COUNTIFS(Ordenes!$G$2:$G$840,$C62,Ordenes!$T$2:$T$840,"Válida")</f>
        <v/>
      </c>
      <c r="M62" s="9">
        <f>COUNTIFS(Ordenes!$G$2:$G$840,$C62,Ordenes!$T$2:$T$840,"A corregir")</f>
        <v/>
      </c>
      <c r="N62" s="13">
        <f>H62-G62</f>
        <v/>
      </c>
    </row>
    <row r="63">
      <c r="A63" s="9" t="n">
        <v>59</v>
      </c>
      <c r="B63" s="9" t="inlineStr">
        <is>
          <t>Saferock</t>
        </is>
      </c>
      <c r="C63" s="9" t="inlineStr">
        <is>
          <t>SAFEROCK 25MM 10M A420</t>
        </is>
      </c>
      <c r="D63" s="9" t="inlineStr">
        <is>
          <t>Ø25 mm · 10 m</t>
        </is>
      </c>
      <c r="E63" s="9" t="inlineStr">
        <is>
          <t>SFR 25</t>
        </is>
      </c>
      <c r="F63" s="9" t="n">
        <v>10</v>
      </c>
      <c r="G63" s="13">
        <f>SUMIFS(Ordenes!$P$2:$P$840,Ordenes!$G$2:$G$840,$C63,Ordenes!$T$2:$T$840,"Válida")</f>
        <v/>
      </c>
      <c r="H63" s="13">
        <f>SUMIFS(Ordenes!$Q$2:$Q$840,Ordenes!$G$2:$G$840,$C63,Ordenes!$T$2:$T$840,"Válida")</f>
        <v/>
      </c>
      <c r="I63" s="14">
        <f>IFERROR(G63/H63,"")</f>
        <v/>
      </c>
      <c r="J63" s="14">
        <f>IFERROR(SUMIFS(Ordenes!$V$2:$V$840,Ordenes!$G$2:$G$840,$C63,Ordenes!$T$2:$T$840,"Válida")/H63,"")</f>
        <v/>
      </c>
      <c r="K63" s="25">
        <f>IFERROR((I63-J63)*100,"")</f>
        <v/>
      </c>
      <c r="L63" s="9">
        <f>COUNTIFS(Ordenes!$G$2:$G$840,$C63,Ordenes!$T$2:$T$840,"Válida")</f>
        <v/>
      </c>
      <c r="M63" s="9">
        <f>COUNTIFS(Ordenes!$G$2:$G$840,$C63,Ordenes!$T$2:$T$840,"A corregir")</f>
        <v/>
      </c>
      <c r="N63" s="13">
        <f>H63-G63</f>
        <v/>
      </c>
    </row>
    <row r="64">
      <c r="A64" s="9" t="n">
        <v>60</v>
      </c>
      <c r="B64" s="9" t="inlineStr">
        <is>
          <t>B Hormigón</t>
        </is>
      </c>
      <c r="C64" s="9" t="inlineStr">
        <is>
          <t>B HORMIGON 25MM 6M A630-420H (N)</t>
        </is>
      </c>
      <c r="D64" s="9" t="inlineStr">
        <is>
          <t>Ø25 mm · 6 m</t>
        </is>
      </c>
      <c r="E64" s="9" t="inlineStr">
        <is>
          <t>RED 25 CR</t>
        </is>
      </c>
      <c r="F64" s="9" t="n">
        <v>6</v>
      </c>
      <c r="G64" s="13">
        <f>SUMIFS(Ordenes!$P$2:$P$840,Ordenes!$G$2:$G$840,$C64,Ordenes!$T$2:$T$840,"Válida")</f>
        <v/>
      </c>
      <c r="H64" s="13">
        <f>SUMIFS(Ordenes!$Q$2:$Q$840,Ordenes!$G$2:$G$840,$C64,Ordenes!$T$2:$T$840,"Válida")</f>
        <v/>
      </c>
      <c r="I64" s="14">
        <f>IFERROR(G64/H64,"")</f>
        <v/>
      </c>
      <c r="J64" s="14">
        <f>IFERROR(SUMIFS(Ordenes!$V$2:$V$840,Ordenes!$G$2:$G$840,$C64,Ordenes!$T$2:$T$840,"Válida")/H64,"")</f>
        <v/>
      </c>
      <c r="K64" s="25">
        <f>IFERROR((I64-J64)*100,"")</f>
        <v/>
      </c>
      <c r="L64" s="9">
        <f>COUNTIFS(Ordenes!$G$2:$G$840,$C64,Ordenes!$T$2:$T$840,"Válida")</f>
        <v/>
      </c>
      <c r="M64" s="9">
        <f>COUNTIFS(Ordenes!$G$2:$G$840,$C64,Ordenes!$T$2:$T$840,"A corregir")</f>
        <v/>
      </c>
      <c r="N64" s="13">
        <f>H64-G64</f>
        <v/>
      </c>
    </row>
    <row r="65">
      <c r="A65" s="9" t="n">
        <v>61</v>
      </c>
      <c r="B65" s="9" t="inlineStr">
        <is>
          <t>Saferock</t>
        </is>
      </c>
      <c r="C65" s="9" t="inlineStr">
        <is>
          <t>SAFEROCK 22MM 10,5M A280</t>
        </is>
      </c>
      <c r="D65" s="9" t="inlineStr">
        <is>
          <t>Ø22 mm · 10,5 m</t>
        </is>
      </c>
      <c r="E65" s="9" t="inlineStr">
        <is>
          <t>SFRCK 22</t>
        </is>
      </c>
      <c r="F65" s="9" t="n">
        <v>10.5</v>
      </c>
      <c r="G65" s="13">
        <f>SUMIFS(Ordenes!$P$2:$P$840,Ordenes!$G$2:$G$840,$C65,Ordenes!$T$2:$T$840,"Válida")</f>
        <v/>
      </c>
      <c r="H65" s="13">
        <f>SUMIFS(Ordenes!$Q$2:$Q$840,Ordenes!$G$2:$G$840,$C65,Ordenes!$T$2:$T$840,"Válida")</f>
        <v/>
      </c>
      <c r="I65" s="14">
        <f>IFERROR(G65/H65,"")</f>
        <v/>
      </c>
      <c r="J65" s="14">
        <f>IFERROR(SUMIFS(Ordenes!$V$2:$V$840,Ordenes!$G$2:$G$840,$C65,Ordenes!$T$2:$T$840,"Válida")/H65,"")</f>
        <v/>
      </c>
      <c r="K65" s="25">
        <f>IFERROR((I65-J65)*100,"")</f>
        <v/>
      </c>
      <c r="L65" s="9">
        <f>COUNTIFS(Ordenes!$G$2:$G$840,$C65,Ordenes!$T$2:$T$840,"Válida")</f>
        <v/>
      </c>
      <c r="M65" s="9">
        <f>COUNTIFS(Ordenes!$G$2:$G$840,$C65,Ordenes!$T$2:$T$840,"A corregir")</f>
        <v/>
      </c>
      <c r="N65" s="13">
        <f>H65-G65</f>
        <v/>
      </c>
    </row>
    <row r="66">
      <c r="A66" s="9" t="n">
        <v>62</v>
      </c>
      <c r="B66" s="9" t="inlineStr">
        <is>
          <t>Redondo liso</t>
        </is>
      </c>
      <c r="C66" s="9" t="inlineStr">
        <is>
          <t>REDONDO LISO 3/4' 6M ASTM A 36 (N)</t>
        </is>
      </c>
      <c r="D66" s="9" t="inlineStr">
        <is>
          <t>Ø19 mm · 6 m</t>
        </is>
      </c>
      <c r="E66" s="9" t="inlineStr">
        <is>
          <t>RED 19</t>
        </is>
      </c>
      <c r="F66" s="9" t="n">
        <v>6</v>
      </c>
      <c r="G66" s="13">
        <f>SUMIFS(Ordenes!$P$2:$P$840,Ordenes!$G$2:$G$840,$C66,Ordenes!$T$2:$T$840,"Válida")</f>
        <v/>
      </c>
      <c r="H66" s="13">
        <f>SUMIFS(Ordenes!$Q$2:$Q$840,Ordenes!$G$2:$G$840,$C66,Ordenes!$T$2:$T$840,"Válida")</f>
        <v/>
      </c>
      <c r="I66" s="14">
        <f>IFERROR(G66/H66,"")</f>
        <v/>
      </c>
      <c r="J66" s="14">
        <f>IFERROR(SUMIFS(Ordenes!$V$2:$V$840,Ordenes!$G$2:$G$840,$C66,Ordenes!$T$2:$T$840,"Válida")/H66,"")</f>
        <v/>
      </c>
      <c r="K66" s="25">
        <f>IFERROR((I66-J66)*100,"")</f>
        <v/>
      </c>
      <c r="L66" s="9">
        <f>COUNTIFS(Ordenes!$G$2:$G$840,$C66,Ordenes!$T$2:$T$840,"Válida")</f>
        <v/>
      </c>
      <c r="M66" s="9">
        <f>COUNTIFS(Ordenes!$G$2:$G$840,$C66,Ordenes!$T$2:$T$840,"A corregir")</f>
        <v/>
      </c>
      <c r="N66" s="13">
        <f>H66-G66</f>
        <v/>
      </c>
    </row>
    <row r="67">
      <c r="A67" s="9" t="n">
        <v>63</v>
      </c>
      <c r="B67" s="9" t="inlineStr">
        <is>
          <t>Plana</t>
        </is>
      </c>
      <c r="C67" s="9" t="inlineStr">
        <is>
          <t>PLANA 100X10MM 6M A270ES (N)</t>
        </is>
      </c>
      <c r="D67" s="9" t="inlineStr">
        <is>
          <t>100×10 mm · 6 m</t>
        </is>
      </c>
      <c r="E67" s="9" t="inlineStr">
        <is>
          <t>PL 100 x 10</t>
        </is>
      </c>
      <c r="F67" s="9" t="n">
        <v>6</v>
      </c>
      <c r="G67" s="13">
        <f>SUMIFS(Ordenes!$P$2:$P$840,Ordenes!$G$2:$G$840,$C67,Ordenes!$T$2:$T$840,"Válida")</f>
        <v/>
      </c>
      <c r="H67" s="13">
        <f>SUMIFS(Ordenes!$Q$2:$Q$840,Ordenes!$G$2:$G$840,$C67,Ordenes!$T$2:$T$840,"Válida")</f>
        <v/>
      </c>
      <c r="I67" s="14">
        <f>IFERROR(G67/H67,"")</f>
        <v/>
      </c>
      <c r="J67" s="14">
        <f>IFERROR(SUMIFS(Ordenes!$V$2:$V$840,Ordenes!$G$2:$G$840,$C67,Ordenes!$T$2:$T$840,"Válida")/H67,"")</f>
        <v/>
      </c>
      <c r="K67" s="25">
        <f>IFERROR((I67-J67)*100,"")</f>
        <v/>
      </c>
      <c r="L67" s="9">
        <f>COUNTIFS(Ordenes!$G$2:$G$840,$C67,Ordenes!$T$2:$T$840,"Válida")</f>
        <v/>
      </c>
      <c r="M67" s="9">
        <f>COUNTIFS(Ordenes!$G$2:$G$840,$C67,Ordenes!$T$2:$T$840,"A corregir")</f>
        <v/>
      </c>
      <c r="N67" s="13">
        <f>H67-G67</f>
        <v/>
      </c>
    </row>
    <row r="68">
      <c r="A68" s="9" t="n">
        <v>64</v>
      </c>
      <c r="B68" s="9" t="inlineStr">
        <is>
          <t>Plana</t>
        </is>
      </c>
      <c r="C68" s="9" t="inlineStr">
        <is>
          <t>PLANA 75X8MM 6M A270ES (N)</t>
        </is>
      </c>
      <c r="D68" s="9" t="inlineStr">
        <is>
          <t>75×8 mm · 6 m</t>
        </is>
      </c>
      <c r="E68" s="9" t="inlineStr">
        <is>
          <t>PL 75 x 8</t>
        </is>
      </c>
      <c r="F68" s="9" t="n">
        <v>6</v>
      </c>
      <c r="G68" s="13">
        <f>SUMIFS(Ordenes!$P$2:$P$840,Ordenes!$G$2:$G$840,$C68,Ordenes!$T$2:$T$840,"Válida")</f>
        <v/>
      </c>
      <c r="H68" s="13">
        <f>SUMIFS(Ordenes!$Q$2:$Q$840,Ordenes!$G$2:$G$840,$C68,Ordenes!$T$2:$T$840,"Válida")</f>
        <v/>
      </c>
      <c r="I68" s="14">
        <f>IFERROR(G68/H68,"")</f>
        <v/>
      </c>
      <c r="J68" s="14">
        <f>IFERROR(SUMIFS(Ordenes!$V$2:$V$840,Ordenes!$G$2:$G$840,$C68,Ordenes!$T$2:$T$840,"Válida")/H68,"")</f>
        <v/>
      </c>
      <c r="K68" s="25">
        <f>IFERROR((I68-J68)*100,"")</f>
        <v/>
      </c>
      <c r="L68" s="9">
        <f>COUNTIFS(Ordenes!$G$2:$G$840,$C68,Ordenes!$T$2:$T$840,"Válida")</f>
        <v/>
      </c>
      <c r="M68" s="9">
        <f>COUNTIFS(Ordenes!$G$2:$G$840,$C68,Ordenes!$T$2:$T$840,"A corregir")</f>
        <v/>
      </c>
      <c r="N68" s="13">
        <f>H68-G68</f>
        <v/>
      </c>
    </row>
    <row r="69">
      <c r="A69" s="9" t="n">
        <v>65</v>
      </c>
      <c r="B69" s="9" t="inlineStr">
        <is>
          <t>Cuadrado</t>
        </is>
      </c>
      <c r="C69" s="9" t="inlineStr">
        <is>
          <t>CUADRADO 10MM 6M COMERCIAL (N)</t>
        </is>
      </c>
      <c r="D69" s="9" t="inlineStr">
        <is>
          <t>10 mm · 6 m</t>
        </is>
      </c>
      <c r="E69" s="9" t="inlineStr">
        <is>
          <t>CUAD 10</t>
        </is>
      </c>
      <c r="F69" s="9" t="n">
        <v>6</v>
      </c>
      <c r="G69" s="13">
        <f>SUMIFS(Ordenes!$P$2:$P$840,Ordenes!$G$2:$G$840,$C69,Ordenes!$T$2:$T$840,"Válida")</f>
        <v/>
      </c>
      <c r="H69" s="13">
        <f>SUMIFS(Ordenes!$Q$2:$Q$840,Ordenes!$G$2:$G$840,$C69,Ordenes!$T$2:$T$840,"Válida")</f>
        <v/>
      </c>
      <c r="I69" s="14">
        <f>IFERROR(G69/H69,"")</f>
        <v/>
      </c>
      <c r="J69" s="14">
        <f>IFERROR(SUMIFS(Ordenes!$V$2:$V$840,Ordenes!$G$2:$G$840,$C69,Ordenes!$T$2:$T$840,"Válida")/H69,"")</f>
        <v/>
      </c>
      <c r="K69" s="25">
        <f>IFERROR((I69-J69)*100,"")</f>
        <v/>
      </c>
      <c r="L69" s="9">
        <f>COUNTIFS(Ordenes!$G$2:$G$840,$C69,Ordenes!$T$2:$T$840,"Válida")</f>
        <v/>
      </c>
      <c r="M69" s="9">
        <f>COUNTIFS(Ordenes!$G$2:$G$840,$C69,Ordenes!$T$2:$T$840,"A corregir")</f>
        <v/>
      </c>
      <c r="N69" s="13">
        <f>H69-G69</f>
        <v/>
      </c>
    </row>
    <row r="70">
      <c r="A70" s="9" t="n">
        <v>66</v>
      </c>
      <c r="B70" s="9" t="inlineStr">
        <is>
          <t>Plana</t>
        </is>
      </c>
      <c r="C70" s="9" t="inlineStr">
        <is>
          <t>PLANA 75X5MM 6M A270ES (N)</t>
        </is>
      </c>
      <c r="D70" s="9" t="inlineStr">
        <is>
          <t>75×5 mm · 6 m</t>
        </is>
      </c>
      <c r="E70" s="9" t="inlineStr">
        <is>
          <t>PL 75 x 5</t>
        </is>
      </c>
      <c r="F70" s="9" t="n">
        <v>6</v>
      </c>
      <c r="G70" s="13">
        <f>SUMIFS(Ordenes!$P$2:$P$840,Ordenes!$G$2:$G$840,$C70,Ordenes!$T$2:$T$840,"Válida")</f>
        <v/>
      </c>
      <c r="H70" s="13">
        <f>SUMIFS(Ordenes!$Q$2:$Q$840,Ordenes!$G$2:$G$840,$C70,Ordenes!$T$2:$T$840,"Válida")</f>
        <v/>
      </c>
      <c r="I70" s="14">
        <f>IFERROR(G70/H70,"")</f>
        <v/>
      </c>
      <c r="J70" s="14">
        <f>IFERROR(SUMIFS(Ordenes!$V$2:$V$840,Ordenes!$G$2:$G$840,$C70,Ordenes!$T$2:$T$840,"Válida")/H70,"")</f>
        <v/>
      </c>
      <c r="K70" s="25">
        <f>IFERROR((I70-J70)*100,"")</f>
        <v/>
      </c>
      <c r="L70" s="9">
        <f>COUNTIFS(Ordenes!$G$2:$G$840,$C70,Ordenes!$T$2:$T$840,"Válida")</f>
        <v/>
      </c>
      <c r="M70" s="9">
        <f>COUNTIFS(Ordenes!$G$2:$G$840,$C70,Ordenes!$T$2:$T$840,"A corregir")</f>
        <v/>
      </c>
      <c r="N70" s="13">
        <f>H70-G70</f>
        <v/>
      </c>
    </row>
    <row r="71">
      <c r="A71" s="9" t="n">
        <v>67</v>
      </c>
      <c r="B71" s="9" t="inlineStr">
        <is>
          <t>Saferock</t>
        </is>
      </c>
      <c r="C71" s="9" t="inlineStr">
        <is>
          <t>SAFEROCK 22MM 10,5M A280D</t>
        </is>
      </c>
      <c r="D71" s="9" t="inlineStr">
        <is>
          <t>Ø22 mm · 10,5 m</t>
        </is>
      </c>
      <c r="E71" s="9" t="inlineStr">
        <is>
          <t>SFRCK 22</t>
        </is>
      </c>
      <c r="F71" s="9" t="n">
        <v>10.5</v>
      </c>
      <c r="G71" s="13">
        <f>SUMIFS(Ordenes!$P$2:$P$840,Ordenes!$G$2:$G$840,$C71,Ordenes!$T$2:$T$840,"Válida")</f>
        <v/>
      </c>
      <c r="H71" s="13">
        <f>SUMIFS(Ordenes!$Q$2:$Q$840,Ordenes!$G$2:$G$840,$C71,Ordenes!$T$2:$T$840,"Válida")</f>
        <v/>
      </c>
      <c r="I71" s="14">
        <f>IFERROR(G71/H71,"")</f>
        <v/>
      </c>
      <c r="J71" s="14">
        <f>IFERROR(SUMIFS(Ordenes!$V$2:$V$840,Ordenes!$G$2:$G$840,$C71,Ordenes!$T$2:$T$840,"Válida")/H71,"")</f>
        <v/>
      </c>
      <c r="K71" s="25">
        <f>IFERROR((I71-J71)*100,"")</f>
        <v/>
      </c>
      <c r="L71" s="9">
        <f>COUNTIFS(Ordenes!$G$2:$G$840,$C71,Ordenes!$T$2:$T$840,"Válida")</f>
        <v/>
      </c>
      <c r="M71" s="9">
        <f>COUNTIFS(Ordenes!$G$2:$G$840,$C71,Ordenes!$T$2:$T$840,"A corregir")</f>
        <v/>
      </c>
      <c r="N71" s="13">
        <f>H71-G71</f>
        <v/>
      </c>
    </row>
    <row r="72">
      <c r="A72" s="9" t="n">
        <v>68</v>
      </c>
      <c r="B72" s="9" t="inlineStr">
        <is>
          <t>B Hormigón</t>
        </is>
      </c>
      <c r="C72" s="9" t="inlineStr">
        <is>
          <t>B HORMIGON 22MM 6M A630-420H (N)</t>
        </is>
      </c>
      <c r="D72" s="9" t="inlineStr">
        <is>
          <t>Ø22 mm · 6 m</t>
        </is>
      </c>
      <c r="E72" s="9" t="inlineStr">
        <is>
          <t>RED 22 CR</t>
        </is>
      </c>
      <c r="F72" s="9" t="n">
        <v>6</v>
      </c>
      <c r="G72" s="13">
        <f>SUMIFS(Ordenes!$P$2:$P$840,Ordenes!$G$2:$G$840,$C72,Ordenes!$T$2:$T$840,"Válida")</f>
        <v/>
      </c>
      <c r="H72" s="13">
        <f>SUMIFS(Ordenes!$Q$2:$Q$840,Ordenes!$G$2:$G$840,$C72,Ordenes!$T$2:$T$840,"Válida")</f>
        <v/>
      </c>
      <c r="I72" s="14">
        <f>IFERROR(G72/H72,"")</f>
        <v/>
      </c>
      <c r="J72" s="14">
        <f>IFERROR(SUMIFS(Ordenes!$V$2:$V$840,Ordenes!$G$2:$G$840,$C72,Ordenes!$T$2:$T$840,"Válida")/H72,"")</f>
        <v/>
      </c>
      <c r="K72" s="25">
        <f>IFERROR((I72-J72)*100,"")</f>
        <v/>
      </c>
      <c r="L72" s="9">
        <f>COUNTIFS(Ordenes!$G$2:$G$840,$C72,Ordenes!$T$2:$T$840,"Válida")</f>
        <v/>
      </c>
      <c r="M72" s="9">
        <f>COUNTIFS(Ordenes!$G$2:$G$840,$C72,Ordenes!$T$2:$T$840,"A corregir")</f>
        <v/>
      </c>
      <c r="N72" s="13">
        <f>H72-G72</f>
        <v/>
      </c>
    </row>
    <row r="73">
      <c r="A73" s="9" t="n">
        <v>69</v>
      </c>
      <c r="B73" s="9" t="inlineStr">
        <is>
          <t>Plana</t>
        </is>
      </c>
      <c r="C73" s="9" t="inlineStr">
        <is>
          <t>PLANA 32X5MM 6M A270ES (N)</t>
        </is>
      </c>
      <c r="D73" s="9" t="inlineStr">
        <is>
          <t>32×5 mm · 6 m</t>
        </is>
      </c>
      <c r="E73" s="9" t="inlineStr">
        <is>
          <t>PL 32 x 5</t>
        </is>
      </c>
      <c r="F73" s="9" t="n">
        <v>6</v>
      </c>
      <c r="G73" s="13">
        <f>SUMIFS(Ordenes!$P$2:$P$840,Ordenes!$G$2:$G$840,$C73,Ordenes!$T$2:$T$840,"Válida")</f>
        <v/>
      </c>
      <c r="H73" s="13">
        <f>SUMIFS(Ordenes!$Q$2:$Q$840,Ordenes!$G$2:$G$840,$C73,Ordenes!$T$2:$T$840,"Válida")</f>
        <v/>
      </c>
      <c r="I73" s="14">
        <f>IFERROR(G73/H73,"")</f>
        <v/>
      </c>
      <c r="J73" s="14">
        <f>IFERROR(SUMIFS(Ordenes!$V$2:$V$840,Ordenes!$G$2:$G$840,$C73,Ordenes!$T$2:$T$840,"Válida")/H73,"")</f>
        <v/>
      </c>
      <c r="K73" s="25">
        <f>IFERROR((I73-J73)*100,"")</f>
        <v/>
      </c>
      <c r="L73" s="9">
        <f>COUNTIFS(Ordenes!$G$2:$G$840,$C73,Ordenes!$T$2:$T$840,"Válida")</f>
        <v/>
      </c>
      <c r="M73" s="9">
        <f>COUNTIFS(Ordenes!$G$2:$G$840,$C73,Ordenes!$T$2:$T$840,"A corregir")</f>
        <v/>
      </c>
      <c r="N73" s="13">
        <f>H73-G73</f>
        <v/>
      </c>
    </row>
    <row r="74">
      <c r="A74" s="9" t="n">
        <v>70</v>
      </c>
      <c r="B74" s="9" t="inlineStr">
        <is>
          <t>Cuadrado</t>
        </is>
      </c>
      <c r="C74" s="9" t="inlineStr">
        <is>
          <t>CUADRADO 12MM 6M COMERCIAL (N)</t>
        </is>
      </c>
      <c r="D74" s="9" t="inlineStr">
        <is>
          <t>12 mm · 6 m</t>
        </is>
      </c>
      <c r="E74" s="9" t="inlineStr">
        <is>
          <t>CUAD 12</t>
        </is>
      </c>
      <c r="F74" s="9" t="n">
        <v>6</v>
      </c>
      <c r="G74" s="13">
        <f>SUMIFS(Ordenes!$P$2:$P$840,Ordenes!$G$2:$G$840,$C74,Ordenes!$T$2:$T$840,"Válida")</f>
        <v/>
      </c>
      <c r="H74" s="13">
        <f>SUMIFS(Ordenes!$Q$2:$Q$840,Ordenes!$G$2:$G$840,$C74,Ordenes!$T$2:$T$840,"Válida")</f>
        <v/>
      </c>
      <c r="I74" s="14">
        <f>IFERROR(G74/H74,"")</f>
        <v/>
      </c>
      <c r="J74" s="14">
        <f>IFERROR(SUMIFS(Ordenes!$V$2:$V$840,Ordenes!$G$2:$G$840,$C74,Ordenes!$T$2:$T$840,"Válida")/H74,"")</f>
        <v/>
      </c>
      <c r="K74" s="25">
        <f>IFERROR((I74-J74)*100,"")</f>
        <v/>
      </c>
      <c r="L74" s="9">
        <f>COUNTIFS(Ordenes!$G$2:$G$840,$C74,Ordenes!$T$2:$T$840,"Válida")</f>
        <v/>
      </c>
      <c r="M74" s="9">
        <f>COUNTIFS(Ordenes!$G$2:$G$840,$C74,Ordenes!$T$2:$T$840,"A corregir")</f>
        <v/>
      </c>
      <c r="N74" s="13">
        <f>H74-G74</f>
        <v/>
      </c>
    </row>
    <row r="75">
      <c r="A75" s="9" t="n">
        <v>71</v>
      </c>
      <c r="B75" s="9" t="inlineStr">
        <is>
          <t>Plana</t>
        </is>
      </c>
      <c r="C75" s="9" t="inlineStr">
        <is>
          <t>PLANA 50X8MM 6M A270ES (N)</t>
        </is>
      </c>
      <c r="D75" s="9" t="inlineStr">
        <is>
          <t>50×8 mm · 6 m</t>
        </is>
      </c>
      <c r="E75" s="9" t="inlineStr">
        <is>
          <t>PL 50 x 8</t>
        </is>
      </c>
      <c r="F75" s="9" t="n">
        <v>6</v>
      </c>
      <c r="G75" s="13">
        <f>SUMIFS(Ordenes!$P$2:$P$840,Ordenes!$G$2:$G$840,$C75,Ordenes!$T$2:$T$840,"Válida")</f>
        <v/>
      </c>
      <c r="H75" s="13">
        <f>SUMIFS(Ordenes!$Q$2:$Q$840,Ordenes!$G$2:$G$840,$C75,Ordenes!$T$2:$T$840,"Válida")</f>
        <v/>
      </c>
      <c r="I75" s="14">
        <f>IFERROR(G75/H75,"")</f>
        <v/>
      </c>
      <c r="J75" s="14">
        <f>IFERROR(SUMIFS(Ordenes!$V$2:$V$840,Ordenes!$G$2:$G$840,$C75,Ordenes!$T$2:$T$840,"Válida")/H75,"")</f>
        <v/>
      </c>
      <c r="K75" s="25">
        <f>IFERROR((I75-J75)*100,"")</f>
        <v/>
      </c>
      <c r="L75" s="9">
        <f>COUNTIFS(Ordenes!$G$2:$G$840,$C75,Ordenes!$T$2:$T$840,"Válida")</f>
        <v/>
      </c>
      <c r="M75" s="9">
        <f>COUNTIFS(Ordenes!$G$2:$G$840,$C75,Ordenes!$T$2:$T$840,"A corregir")</f>
        <v/>
      </c>
      <c r="N75" s="13">
        <f>H75-G75</f>
        <v/>
      </c>
    </row>
    <row r="76">
      <c r="A76" s="9" t="n">
        <v>72</v>
      </c>
      <c r="B76" s="9" t="inlineStr">
        <is>
          <t>B Hormigón</t>
        </is>
      </c>
      <c r="C76" s="9" t="inlineStr">
        <is>
          <t>B HORMIGON 16MM 6M A630-420H (N)</t>
        </is>
      </c>
      <c r="D76" s="9" t="inlineStr">
        <is>
          <t>Ø16 mm · 6 m</t>
        </is>
      </c>
      <c r="E76" s="9" t="inlineStr">
        <is>
          <t>RED 16 CR</t>
        </is>
      </c>
      <c r="F76" s="9" t="n">
        <v>6</v>
      </c>
      <c r="G76" s="13">
        <f>SUMIFS(Ordenes!$P$2:$P$840,Ordenes!$G$2:$G$840,$C76,Ordenes!$T$2:$T$840,"Válida")</f>
        <v/>
      </c>
      <c r="H76" s="13">
        <f>SUMIFS(Ordenes!$Q$2:$Q$840,Ordenes!$G$2:$G$840,$C76,Ordenes!$T$2:$T$840,"Válida")</f>
        <v/>
      </c>
      <c r="I76" s="14">
        <f>IFERROR(G76/H76,"")</f>
        <v/>
      </c>
      <c r="J76" s="14">
        <f>IFERROR(SUMIFS(Ordenes!$V$2:$V$840,Ordenes!$G$2:$G$840,$C76,Ordenes!$T$2:$T$840,"Válida")/H76,"")</f>
        <v/>
      </c>
      <c r="K76" s="25">
        <f>IFERROR((I76-J76)*100,"")</f>
        <v/>
      </c>
      <c r="L76" s="9">
        <f>COUNTIFS(Ordenes!$G$2:$G$840,$C76,Ordenes!$T$2:$T$840,"Válida")</f>
        <v/>
      </c>
      <c r="M76" s="9">
        <f>COUNTIFS(Ordenes!$G$2:$G$840,$C76,Ordenes!$T$2:$T$840,"A corregir")</f>
        <v/>
      </c>
      <c r="N76" s="13">
        <f>H76-G76</f>
        <v/>
      </c>
    </row>
    <row r="77">
      <c r="A77" s="9" t="n">
        <v>73</v>
      </c>
      <c r="B77" s="9" t="inlineStr">
        <is>
          <t>Redondo liso</t>
        </is>
      </c>
      <c r="C77" s="9" t="inlineStr">
        <is>
          <t>REDONDO LISO 1 1/2' 6M SAE 1020 (N)</t>
        </is>
      </c>
      <c r="D77" s="9" t="inlineStr">
        <is>
          <t>Ø38,1 mm · 6 m</t>
        </is>
      </c>
      <c r="E77" s="9" t="inlineStr">
        <is>
          <t>RED 1,1/2</t>
        </is>
      </c>
      <c r="F77" s="9" t="n">
        <v>6</v>
      </c>
      <c r="G77" s="13">
        <f>SUMIFS(Ordenes!$P$2:$P$840,Ordenes!$G$2:$G$840,$C77,Ordenes!$T$2:$T$840,"Válida")</f>
        <v/>
      </c>
      <c r="H77" s="13">
        <f>SUMIFS(Ordenes!$Q$2:$Q$840,Ordenes!$G$2:$G$840,$C77,Ordenes!$T$2:$T$840,"Válida")</f>
        <v/>
      </c>
      <c r="I77" s="14">
        <f>IFERROR(G77/H77,"")</f>
        <v/>
      </c>
      <c r="J77" s="14">
        <f>IFERROR(SUMIFS(Ordenes!$V$2:$V$840,Ordenes!$G$2:$G$840,$C77,Ordenes!$T$2:$T$840,"Válida")/H77,"")</f>
        <v/>
      </c>
      <c r="K77" s="25">
        <f>IFERROR((I77-J77)*100,"")</f>
        <v/>
      </c>
      <c r="L77" s="9">
        <f>COUNTIFS(Ordenes!$G$2:$G$840,$C77,Ordenes!$T$2:$T$840,"Válida")</f>
        <v/>
      </c>
      <c r="M77" s="9">
        <f>COUNTIFS(Ordenes!$G$2:$G$840,$C77,Ordenes!$T$2:$T$840,"A corregir")</f>
        <v/>
      </c>
      <c r="N77" s="13">
        <f>H77-G77</f>
        <v/>
      </c>
    </row>
    <row r="78">
      <c r="A78" s="9" t="n">
        <v>74</v>
      </c>
      <c r="B78" s="9" t="inlineStr">
        <is>
          <t>Plana</t>
        </is>
      </c>
      <c r="C78" s="9" t="inlineStr">
        <is>
          <t>PLANA 1"X1/8" X 7,315m ASTM A36 (P)</t>
        </is>
      </c>
      <c r="D78" s="9" t="inlineStr">
        <is>
          <t>25,4×3,2 mm · 7,315 m</t>
        </is>
      </c>
      <c r="E78" s="9" t="n"/>
      <c r="F78" s="9" t="n">
        <v>7.315</v>
      </c>
      <c r="G78" s="13">
        <f>SUMIFS(Ordenes!$P$2:$P$840,Ordenes!$G$2:$G$840,$C78,Ordenes!$T$2:$T$840,"Válida")</f>
        <v/>
      </c>
      <c r="H78" s="13">
        <f>SUMIFS(Ordenes!$Q$2:$Q$840,Ordenes!$G$2:$G$840,$C78,Ordenes!$T$2:$T$840,"Válida")</f>
        <v/>
      </c>
      <c r="I78" s="14">
        <f>IFERROR(G78/H78,"")</f>
        <v/>
      </c>
      <c r="J78" s="14">
        <f>IFERROR(SUMIFS(Ordenes!$V$2:$V$840,Ordenes!$G$2:$G$840,$C78,Ordenes!$T$2:$T$840,"Válida")/H78,"")</f>
        <v/>
      </c>
      <c r="K78" s="25">
        <f>IFERROR((I78-J78)*100,"")</f>
        <v/>
      </c>
      <c r="L78" s="9">
        <f>COUNTIFS(Ordenes!$G$2:$G$840,$C78,Ordenes!$T$2:$T$840,"Válida")</f>
        <v/>
      </c>
      <c r="M78" s="9">
        <f>COUNTIFS(Ordenes!$G$2:$G$840,$C78,Ordenes!$T$2:$T$840,"A corregir")</f>
        <v/>
      </c>
      <c r="N78" s="13">
        <f>H78-G78</f>
        <v/>
      </c>
    </row>
    <row r="79">
      <c r="A79" s="9" t="n">
        <v>75</v>
      </c>
      <c r="B79" s="9" t="inlineStr">
        <is>
          <t>Redondo liso</t>
        </is>
      </c>
      <c r="C79" s="9" t="inlineStr">
        <is>
          <t>REDONDO LISO 1 1/4' 6M SAE 1020 (N)</t>
        </is>
      </c>
      <c r="D79" s="9" t="inlineStr">
        <is>
          <t>Ø31,8 mm · 6 m</t>
        </is>
      </c>
      <c r="E79" s="9" t="inlineStr">
        <is>
          <t>RED 1,1/4</t>
        </is>
      </c>
      <c r="F79" s="9" t="n">
        <v>6</v>
      </c>
      <c r="G79" s="13">
        <f>SUMIFS(Ordenes!$P$2:$P$840,Ordenes!$G$2:$G$840,$C79,Ordenes!$T$2:$T$840,"Válida")</f>
        <v/>
      </c>
      <c r="H79" s="13">
        <f>SUMIFS(Ordenes!$Q$2:$Q$840,Ordenes!$G$2:$G$840,$C79,Ordenes!$T$2:$T$840,"Válida")</f>
        <v/>
      </c>
      <c r="I79" s="14">
        <f>IFERROR(G79/H79,"")</f>
        <v/>
      </c>
      <c r="J79" s="14">
        <f>IFERROR(SUMIFS(Ordenes!$V$2:$V$840,Ordenes!$G$2:$G$840,$C79,Ordenes!$T$2:$T$840,"Válida")/H79,"")</f>
        <v/>
      </c>
      <c r="K79" s="25">
        <f>IFERROR((I79-J79)*100,"")</f>
        <v/>
      </c>
      <c r="L79" s="9">
        <f>COUNTIFS(Ordenes!$G$2:$G$840,$C79,Ordenes!$T$2:$T$840,"Válida")</f>
        <v/>
      </c>
      <c r="M79" s="9">
        <f>COUNTIFS(Ordenes!$G$2:$G$840,$C79,Ordenes!$T$2:$T$840,"A corregir")</f>
        <v/>
      </c>
      <c r="N79" s="13">
        <f>H79-G79</f>
        <v/>
      </c>
    </row>
    <row r="80">
      <c r="A80" s="9" t="n">
        <v>76</v>
      </c>
      <c r="B80" s="9" t="inlineStr">
        <is>
          <t>Saferock</t>
        </is>
      </c>
      <c r="C80" s="9" t="inlineStr">
        <is>
          <t>SAFEROCK 25MM 10,5M A420</t>
        </is>
      </c>
      <c r="D80" s="9" t="inlineStr">
        <is>
          <t>Ø25 mm · 10,5 m</t>
        </is>
      </c>
      <c r="E80" s="9" t="inlineStr">
        <is>
          <t>SFR 25</t>
        </is>
      </c>
      <c r="F80" s="9" t="n">
        <v>10.5</v>
      </c>
      <c r="G80" s="13">
        <f>SUMIFS(Ordenes!$P$2:$P$840,Ordenes!$G$2:$G$840,$C80,Ordenes!$T$2:$T$840,"Válida")</f>
        <v/>
      </c>
      <c r="H80" s="13">
        <f>SUMIFS(Ordenes!$Q$2:$Q$840,Ordenes!$G$2:$G$840,$C80,Ordenes!$T$2:$T$840,"Válida")</f>
        <v/>
      </c>
      <c r="I80" s="14">
        <f>IFERROR(G80/H80,"")</f>
        <v/>
      </c>
      <c r="J80" s="14">
        <f>IFERROR(SUMIFS(Ordenes!$V$2:$V$840,Ordenes!$G$2:$G$840,$C80,Ordenes!$T$2:$T$840,"Válida")/H80,"")</f>
        <v/>
      </c>
      <c r="K80" s="25">
        <f>IFERROR((I80-J80)*100,"")</f>
        <v/>
      </c>
      <c r="L80" s="9">
        <f>COUNTIFS(Ordenes!$G$2:$G$840,$C80,Ordenes!$T$2:$T$840,"Válida")</f>
        <v/>
      </c>
      <c r="M80" s="9">
        <f>COUNTIFS(Ordenes!$G$2:$G$840,$C80,Ordenes!$T$2:$T$840,"A corregir")</f>
        <v/>
      </c>
      <c r="N80" s="13">
        <f>H80-G80</f>
        <v/>
      </c>
    </row>
    <row r="81">
      <c r="A81" s="9" t="n">
        <v>77</v>
      </c>
      <c r="B81" s="9" t="inlineStr">
        <is>
          <t>B Hormigón</t>
        </is>
      </c>
      <c r="C81" s="9" t="inlineStr">
        <is>
          <t>B HORMIGON 22MM 11M A630-420H (N)</t>
        </is>
      </c>
      <c r="D81" s="9" t="inlineStr">
        <is>
          <t>Ø22 mm · 11 m</t>
        </is>
      </c>
      <c r="E81" s="9" t="inlineStr">
        <is>
          <t>RED 22 CR</t>
        </is>
      </c>
      <c r="F81" s="9" t="n">
        <v>11</v>
      </c>
      <c r="G81" s="13">
        <f>SUMIFS(Ordenes!$P$2:$P$840,Ordenes!$G$2:$G$840,$C81,Ordenes!$T$2:$T$840,"Válida")</f>
        <v/>
      </c>
      <c r="H81" s="13">
        <f>SUMIFS(Ordenes!$Q$2:$Q$840,Ordenes!$G$2:$G$840,$C81,Ordenes!$T$2:$T$840,"Válida")</f>
        <v/>
      </c>
      <c r="I81" s="14">
        <f>IFERROR(G81/H81,"")</f>
        <v/>
      </c>
      <c r="J81" s="14">
        <f>IFERROR(SUMIFS(Ordenes!$V$2:$V$840,Ordenes!$G$2:$G$840,$C81,Ordenes!$T$2:$T$840,"Válida")/H81,"")</f>
        <v/>
      </c>
      <c r="K81" s="25">
        <f>IFERROR((I81-J81)*100,"")</f>
        <v/>
      </c>
      <c r="L81" s="9">
        <f>COUNTIFS(Ordenes!$G$2:$G$840,$C81,Ordenes!$T$2:$T$840,"Válida")</f>
        <v/>
      </c>
      <c r="M81" s="9">
        <f>COUNTIFS(Ordenes!$G$2:$G$840,$C81,Ordenes!$T$2:$T$840,"A corregir")</f>
        <v/>
      </c>
      <c r="N81" s="13">
        <f>H81-G81</f>
        <v/>
      </c>
    </row>
    <row r="82">
      <c r="A82" s="9" t="n">
        <v>78</v>
      </c>
      <c r="B82" s="9" t="inlineStr">
        <is>
          <t>Plana</t>
        </is>
      </c>
      <c r="C82" s="9" t="inlineStr">
        <is>
          <t>PLANA ASERRADA 32X4,85MM 6M A270ES (N)</t>
        </is>
      </c>
      <c r="D82" s="9" t="inlineStr">
        <is>
          <t>32×4,85 mm · 6 m</t>
        </is>
      </c>
      <c r="E82" s="9" t="inlineStr">
        <is>
          <t>PL 32 x 4,85</t>
        </is>
      </c>
      <c r="F82" s="9" t="n">
        <v>6</v>
      </c>
      <c r="G82" s="13">
        <f>SUMIFS(Ordenes!$P$2:$P$840,Ordenes!$G$2:$G$840,$C82,Ordenes!$T$2:$T$840,"Válida")</f>
        <v/>
      </c>
      <c r="H82" s="13">
        <f>SUMIFS(Ordenes!$Q$2:$Q$840,Ordenes!$G$2:$G$840,$C82,Ordenes!$T$2:$T$840,"Válida")</f>
        <v/>
      </c>
      <c r="I82" s="14">
        <f>IFERROR(G82/H82,"")</f>
        <v/>
      </c>
      <c r="J82" s="14">
        <f>IFERROR(SUMIFS(Ordenes!$V$2:$V$840,Ordenes!$G$2:$G$840,$C82,Ordenes!$T$2:$T$840,"Válida")/H82,"")</f>
        <v/>
      </c>
      <c r="K82" s="25">
        <f>IFERROR((I82-J82)*100,"")</f>
        <v/>
      </c>
      <c r="L82" s="9">
        <f>COUNTIFS(Ordenes!$G$2:$G$840,$C82,Ordenes!$T$2:$T$840,"Válida")</f>
        <v/>
      </c>
      <c r="M82" s="9">
        <f>COUNTIFS(Ordenes!$G$2:$G$840,$C82,Ordenes!$T$2:$T$840,"A corregir")</f>
        <v/>
      </c>
      <c r="N82" s="13">
        <f>H82-G82</f>
        <v/>
      </c>
    </row>
    <row r="83">
      <c r="A83" s="9" t="n">
        <v>79</v>
      </c>
      <c r="B83" s="9" t="inlineStr">
        <is>
          <t>Saferock</t>
        </is>
      </c>
      <c r="C83" s="9" t="inlineStr">
        <is>
          <t>SAFEROCK 25MM 12M A520D</t>
        </is>
      </c>
      <c r="D83" s="9" t="inlineStr">
        <is>
          <t>Ø25 mm · 12 m</t>
        </is>
      </c>
      <c r="E83" s="9" t="inlineStr">
        <is>
          <t>SFR 25</t>
        </is>
      </c>
      <c r="F83" s="9" t="n">
        <v>12</v>
      </c>
      <c r="G83" s="13">
        <f>SUMIFS(Ordenes!$P$2:$P$840,Ordenes!$G$2:$G$840,$C83,Ordenes!$T$2:$T$840,"Válida")</f>
        <v/>
      </c>
      <c r="H83" s="13">
        <f>SUMIFS(Ordenes!$Q$2:$Q$840,Ordenes!$G$2:$G$840,$C83,Ordenes!$T$2:$T$840,"Válida")</f>
        <v/>
      </c>
      <c r="I83" s="14">
        <f>IFERROR(G83/H83,"")</f>
        <v/>
      </c>
      <c r="J83" s="14">
        <f>IFERROR(SUMIFS(Ordenes!$V$2:$V$840,Ordenes!$G$2:$G$840,$C83,Ordenes!$T$2:$T$840,"Válida")/H83,"")</f>
        <v/>
      </c>
      <c r="K83" s="25">
        <f>IFERROR((I83-J83)*100,"")</f>
        <v/>
      </c>
      <c r="L83" s="9">
        <f>COUNTIFS(Ordenes!$G$2:$G$840,$C83,Ordenes!$T$2:$T$840,"Válida")</f>
        <v/>
      </c>
      <c r="M83" s="9">
        <f>COUNTIFS(Ordenes!$G$2:$G$840,$C83,Ordenes!$T$2:$T$840,"A corregir")</f>
        <v/>
      </c>
      <c r="N83" s="13">
        <f>H83-G83</f>
        <v/>
      </c>
    </row>
    <row r="84">
      <c r="A84" s="9" t="n">
        <v>80</v>
      </c>
      <c r="B84" s="9" t="inlineStr">
        <is>
          <t>B Hormigón</t>
        </is>
      </c>
      <c r="C84" s="9" t="inlineStr">
        <is>
          <t>B HORMIGON R 25MM 12M A630-420HS(N)</t>
        </is>
      </c>
      <c r="D84" s="9" t="inlineStr">
        <is>
          <t>Ø25 mm · 12 m</t>
        </is>
      </c>
      <c r="E84" s="9" t="inlineStr">
        <is>
          <t>RED 25 CR</t>
        </is>
      </c>
      <c r="F84" s="9" t="n">
        <v>12</v>
      </c>
      <c r="G84" s="13">
        <f>SUMIFS(Ordenes!$P$2:$P$840,Ordenes!$G$2:$G$840,$C84,Ordenes!$T$2:$T$840,"Válida")</f>
        <v/>
      </c>
      <c r="H84" s="13">
        <f>SUMIFS(Ordenes!$Q$2:$Q$840,Ordenes!$G$2:$G$840,$C84,Ordenes!$T$2:$T$840,"Válida")</f>
        <v/>
      </c>
      <c r="I84" s="14">
        <f>IFERROR(G84/H84,"")</f>
        <v/>
      </c>
      <c r="J84" s="14">
        <f>IFERROR(SUMIFS(Ordenes!$V$2:$V$840,Ordenes!$G$2:$G$840,$C84,Ordenes!$T$2:$T$840,"Válida")/H84,"")</f>
        <v/>
      </c>
      <c r="K84" s="25">
        <f>IFERROR((I84-J84)*100,"")</f>
        <v/>
      </c>
      <c r="L84" s="9">
        <f>COUNTIFS(Ordenes!$G$2:$G$840,$C84,Ordenes!$T$2:$T$840,"Válida")</f>
        <v/>
      </c>
      <c r="M84" s="9">
        <f>COUNTIFS(Ordenes!$G$2:$G$840,$C84,Ordenes!$T$2:$T$840,"A corregir")</f>
        <v/>
      </c>
      <c r="N84" s="13">
        <f>H84-G84</f>
        <v/>
      </c>
    </row>
    <row r="85">
      <c r="A85" s="9" t="n">
        <v>81</v>
      </c>
      <c r="B85" s="9" t="inlineStr">
        <is>
          <t>Ángulo</t>
        </is>
      </c>
      <c r="C85" s="9" t="inlineStr">
        <is>
          <t>ANGULO 80X80X8MM A270ES</t>
        </is>
      </c>
      <c r="D85" s="9" t="inlineStr">
        <is>
          <t>80×80×8 mm · 6 m</t>
        </is>
      </c>
      <c r="E85" s="9" t="inlineStr">
        <is>
          <t>ANG 80 x 8</t>
        </is>
      </c>
      <c r="F85" s="9" t="n">
        <v>6</v>
      </c>
      <c r="G85" s="13">
        <f>SUMIFS(Ordenes!$P$2:$P$840,Ordenes!$G$2:$G$840,$C85,Ordenes!$T$2:$T$840,"Válida")</f>
        <v/>
      </c>
      <c r="H85" s="13">
        <f>SUMIFS(Ordenes!$Q$2:$Q$840,Ordenes!$G$2:$G$840,$C85,Ordenes!$T$2:$T$840,"Válida")</f>
        <v/>
      </c>
      <c r="I85" s="14">
        <f>IFERROR(G85/H85,"")</f>
        <v/>
      </c>
      <c r="J85" s="14">
        <f>IFERROR(SUMIFS(Ordenes!$V$2:$V$840,Ordenes!$G$2:$G$840,$C85,Ordenes!$T$2:$T$840,"Válida")/H85,"")</f>
        <v/>
      </c>
      <c r="K85" s="25">
        <f>IFERROR((I85-J85)*100,"")</f>
        <v/>
      </c>
      <c r="L85" s="9">
        <f>COUNTIFS(Ordenes!$G$2:$G$840,$C85,Ordenes!$T$2:$T$840,"Válida")</f>
        <v/>
      </c>
      <c r="M85" s="9">
        <f>COUNTIFS(Ordenes!$G$2:$G$840,$C85,Ordenes!$T$2:$T$840,"A corregir")</f>
        <v/>
      </c>
      <c r="N85" s="13">
        <f>H85-G85</f>
        <v/>
      </c>
    </row>
    <row r="86">
      <c r="A86" s="9" t="n">
        <v>82</v>
      </c>
      <c r="B86" s="9" t="inlineStr">
        <is>
          <t>Saferock</t>
        </is>
      </c>
      <c r="C86" s="9" t="inlineStr">
        <is>
          <t>SAFEROCK 25MM 8,4M A520</t>
        </is>
      </c>
      <c r="D86" s="9" t="inlineStr">
        <is>
          <t>Ø25 mm · 10,8 m</t>
        </is>
      </c>
      <c r="E86" s="9" t="inlineStr">
        <is>
          <t>SFR 25</t>
        </is>
      </c>
      <c r="F86" s="9" t="n">
        <v>10.8</v>
      </c>
      <c r="G86" s="13">
        <f>SUMIFS(Ordenes!$P$2:$P$840,Ordenes!$G$2:$G$840,$C86,Ordenes!$T$2:$T$840,"Válida")</f>
        <v/>
      </c>
      <c r="H86" s="13">
        <f>SUMIFS(Ordenes!$Q$2:$Q$840,Ordenes!$G$2:$G$840,$C86,Ordenes!$T$2:$T$840,"Válida")</f>
        <v/>
      </c>
      <c r="I86" s="14">
        <f>IFERROR(G86/H86,"")</f>
        <v/>
      </c>
      <c r="J86" s="14">
        <f>IFERROR(SUMIFS(Ordenes!$V$2:$V$840,Ordenes!$G$2:$G$840,$C86,Ordenes!$T$2:$T$840,"Válida")/H86,"")</f>
        <v/>
      </c>
      <c r="K86" s="25">
        <f>IFERROR((I86-J86)*100,"")</f>
        <v/>
      </c>
      <c r="L86" s="9">
        <f>COUNTIFS(Ordenes!$G$2:$G$840,$C86,Ordenes!$T$2:$T$840,"Válida")</f>
        <v/>
      </c>
      <c r="M86" s="9">
        <f>COUNTIFS(Ordenes!$G$2:$G$840,$C86,Ordenes!$T$2:$T$840,"A corregir")</f>
        <v/>
      </c>
      <c r="N86" s="13">
        <f>H86-G86</f>
        <v/>
      </c>
    </row>
    <row r="87">
      <c r="A87" s="9" t="n">
        <v>83</v>
      </c>
      <c r="B87" s="9" t="inlineStr">
        <is>
          <t>Redondo liso</t>
        </is>
      </c>
      <c r="C87" s="9" t="inlineStr">
        <is>
          <t>REDONDO LISO 1' 6M SAE 1045 (N)</t>
        </is>
      </c>
      <c r="D87" s="9" t="inlineStr">
        <is>
          <t>Ø25,4 mm · 6 m</t>
        </is>
      </c>
      <c r="E87" s="9" t="inlineStr">
        <is>
          <t>RED 1</t>
        </is>
      </c>
      <c r="F87" s="9" t="n">
        <v>6</v>
      </c>
      <c r="G87" s="13">
        <f>SUMIFS(Ordenes!$P$2:$P$840,Ordenes!$G$2:$G$840,$C87,Ordenes!$T$2:$T$840,"Válida")</f>
        <v/>
      </c>
      <c r="H87" s="13">
        <f>SUMIFS(Ordenes!$Q$2:$Q$840,Ordenes!$G$2:$G$840,$C87,Ordenes!$T$2:$T$840,"Válida")</f>
        <v/>
      </c>
      <c r="I87" s="14">
        <f>IFERROR(G87/H87,"")</f>
        <v/>
      </c>
      <c r="J87" s="14">
        <f>IFERROR(SUMIFS(Ordenes!$V$2:$V$840,Ordenes!$G$2:$G$840,$C87,Ordenes!$T$2:$T$840,"Válida")/H87,"")</f>
        <v/>
      </c>
      <c r="K87" s="25">
        <f>IFERROR((I87-J87)*100,"")</f>
        <v/>
      </c>
      <c r="L87" s="9">
        <f>COUNTIFS(Ordenes!$G$2:$G$840,$C87,Ordenes!$T$2:$T$840,"Válida")</f>
        <v/>
      </c>
      <c r="M87" s="9">
        <f>COUNTIFS(Ordenes!$G$2:$G$840,$C87,Ordenes!$T$2:$T$840,"A corregir")</f>
        <v/>
      </c>
      <c r="N87" s="13">
        <f>H87-G87</f>
        <v/>
      </c>
    </row>
    <row r="88">
      <c r="A88" s="9" t="n">
        <v>84</v>
      </c>
      <c r="B88" s="9" t="inlineStr">
        <is>
          <t>B Hormigón</t>
        </is>
      </c>
      <c r="C88" s="9" t="inlineStr">
        <is>
          <t>B HORMIGON 22MM 8M A630-420H (N)</t>
        </is>
      </c>
      <c r="D88" s="9" t="inlineStr">
        <is>
          <t>Ø22 mm · 8 m</t>
        </is>
      </c>
      <c r="E88" s="9" t="inlineStr">
        <is>
          <t>RED 22 CR</t>
        </is>
      </c>
      <c r="F88" s="9" t="n">
        <v>8</v>
      </c>
      <c r="G88" s="13">
        <f>SUMIFS(Ordenes!$P$2:$P$840,Ordenes!$G$2:$G$840,$C88,Ordenes!$T$2:$T$840,"Válida")</f>
        <v/>
      </c>
      <c r="H88" s="13">
        <f>SUMIFS(Ordenes!$Q$2:$Q$840,Ordenes!$G$2:$G$840,$C88,Ordenes!$T$2:$T$840,"Válida")</f>
        <v/>
      </c>
      <c r="I88" s="14">
        <f>IFERROR(G88/H88,"")</f>
        <v/>
      </c>
      <c r="J88" s="14">
        <f>IFERROR(SUMIFS(Ordenes!$V$2:$V$840,Ordenes!$G$2:$G$840,$C88,Ordenes!$T$2:$T$840,"Válida")/H88,"")</f>
        <v/>
      </c>
      <c r="K88" s="25">
        <f>IFERROR((I88-J88)*100,"")</f>
        <v/>
      </c>
      <c r="L88" s="9">
        <f>COUNTIFS(Ordenes!$G$2:$G$840,$C88,Ordenes!$T$2:$T$840,"Válida")</f>
        <v/>
      </c>
      <c r="M88" s="9">
        <f>COUNTIFS(Ordenes!$G$2:$G$840,$C88,Ordenes!$T$2:$T$840,"A corregir")</f>
        <v/>
      </c>
      <c r="N88" s="13">
        <f>H88-G88</f>
        <v/>
      </c>
    </row>
    <row r="89">
      <c r="A89" s="9" t="n">
        <v>85</v>
      </c>
      <c r="B89" s="9" t="inlineStr">
        <is>
          <t>Redondo liso</t>
        </is>
      </c>
      <c r="C89" s="9" t="inlineStr">
        <is>
          <t>REDONDO LISO 1' 6M ASTM A 36 (N)</t>
        </is>
      </c>
      <c r="D89" s="9" t="inlineStr">
        <is>
          <t>Ø25,4 mm · 6 m</t>
        </is>
      </c>
      <c r="E89" s="9" t="inlineStr">
        <is>
          <t>RED 1</t>
        </is>
      </c>
      <c r="F89" s="9" t="n">
        <v>6</v>
      </c>
      <c r="G89" s="13">
        <f>SUMIFS(Ordenes!$P$2:$P$840,Ordenes!$G$2:$G$840,$C89,Ordenes!$T$2:$T$840,"Válida")</f>
        <v/>
      </c>
      <c r="H89" s="13">
        <f>SUMIFS(Ordenes!$Q$2:$Q$840,Ordenes!$G$2:$G$840,$C89,Ordenes!$T$2:$T$840,"Válida")</f>
        <v/>
      </c>
      <c r="I89" s="14">
        <f>IFERROR(G89/H89,"")</f>
        <v/>
      </c>
      <c r="J89" s="14">
        <f>IFERROR(SUMIFS(Ordenes!$V$2:$V$840,Ordenes!$G$2:$G$840,$C89,Ordenes!$T$2:$T$840,"Válida")/H89,"")</f>
        <v/>
      </c>
      <c r="K89" s="25">
        <f>IFERROR((I89-J89)*100,"")</f>
        <v/>
      </c>
      <c r="L89" s="9">
        <f>COUNTIFS(Ordenes!$G$2:$G$840,$C89,Ordenes!$T$2:$T$840,"Válida")</f>
        <v/>
      </c>
      <c r="M89" s="9">
        <f>COUNTIFS(Ordenes!$G$2:$G$840,$C89,Ordenes!$T$2:$T$840,"A corregir")</f>
        <v/>
      </c>
      <c r="N89" s="13">
        <f>H89-G89</f>
        <v/>
      </c>
    </row>
    <row r="90">
      <c r="A90" s="9" t="n">
        <v>86</v>
      </c>
      <c r="B90" s="9" t="inlineStr">
        <is>
          <t>B Hormigón</t>
        </is>
      </c>
      <c r="C90" s="9" t="inlineStr">
        <is>
          <t>B HORMIGON 22MM 12M A630-420HS (N)</t>
        </is>
      </c>
      <c r="D90" s="9" t="inlineStr">
        <is>
          <t>Ø22 mm · 12 m</t>
        </is>
      </c>
      <c r="E90" s="9" t="inlineStr">
        <is>
          <t>RED 22 CR</t>
        </is>
      </c>
      <c r="F90" s="9" t="n">
        <v>12</v>
      </c>
      <c r="G90" s="13">
        <f>SUMIFS(Ordenes!$P$2:$P$840,Ordenes!$G$2:$G$840,$C90,Ordenes!$T$2:$T$840,"Válida")</f>
        <v/>
      </c>
      <c r="H90" s="13">
        <f>SUMIFS(Ordenes!$Q$2:$Q$840,Ordenes!$G$2:$G$840,$C90,Ordenes!$T$2:$T$840,"Válida")</f>
        <v/>
      </c>
      <c r="I90" s="14">
        <f>IFERROR(G90/H90,"")</f>
        <v/>
      </c>
      <c r="J90" s="14">
        <f>IFERROR(SUMIFS(Ordenes!$V$2:$V$840,Ordenes!$G$2:$G$840,$C90,Ordenes!$T$2:$T$840,"Válida")/H90,"")</f>
        <v/>
      </c>
      <c r="K90" s="25">
        <f>IFERROR((I90-J90)*100,"")</f>
        <v/>
      </c>
      <c r="L90" s="9">
        <f>COUNTIFS(Ordenes!$G$2:$G$840,$C90,Ordenes!$T$2:$T$840,"Válida")</f>
        <v/>
      </c>
      <c r="M90" s="9">
        <f>COUNTIFS(Ordenes!$G$2:$G$840,$C90,Ordenes!$T$2:$T$840,"A corregir")</f>
        <v/>
      </c>
      <c r="N90" s="13">
        <f>H90-G90</f>
        <v/>
      </c>
    </row>
    <row r="91">
      <c r="A91" s="9" t="n">
        <v>87</v>
      </c>
      <c r="B91" s="9" t="inlineStr">
        <is>
          <t>Ángulo</t>
        </is>
      </c>
      <c r="C91" s="9" t="inlineStr">
        <is>
          <t>ANGULO 30X30X5MM A270ES</t>
        </is>
      </c>
      <c r="D91" s="9" t="inlineStr">
        <is>
          <t>30×30×5 mm · 6 m</t>
        </is>
      </c>
      <c r="E91" s="9" t="inlineStr">
        <is>
          <t>ANG 30 x 5</t>
        </is>
      </c>
      <c r="F91" s="9" t="n">
        <v>6</v>
      </c>
      <c r="G91" s="13">
        <f>SUMIFS(Ordenes!$P$2:$P$840,Ordenes!$G$2:$G$840,$C91,Ordenes!$T$2:$T$840,"Válida")</f>
        <v/>
      </c>
      <c r="H91" s="13">
        <f>SUMIFS(Ordenes!$Q$2:$Q$840,Ordenes!$G$2:$G$840,$C91,Ordenes!$T$2:$T$840,"Válida")</f>
        <v/>
      </c>
      <c r="I91" s="14">
        <f>IFERROR(G91/H91,"")</f>
        <v/>
      </c>
      <c r="J91" s="14">
        <f>IFERROR(SUMIFS(Ordenes!$V$2:$V$840,Ordenes!$G$2:$G$840,$C91,Ordenes!$T$2:$T$840,"Válida")/H91,"")</f>
        <v/>
      </c>
      <c r="K91" s="25">
        <f>IFERROR((I91-J91)*100,"")</f>
        <v/>
      </c>
      <c r="L91" s="9">
        <f>COUNTIFS(Ordenes!$G$2:$G$840,$C91,Ordenes!$T$2:$T$840,"Válida")</f>
        <v/>
      </c>
      <c r="M91" s="9">
        <f>COUNTIFS(Ordenes!$G$2:$G$840,$C91,Ordenes!$T$2:$T$840,"A corregir")</f>
        <v/>
      </c>
      <c r="N91" s="13">
        <f>H91-G91</f>
        <v/>
      </c>
    </row>
    <row r="92">
      <c r="A92" s="9" t="n">
        <v>88</v>
      </c>
      <c r="B92" s="9" t="inlineStr">
        <is>
          <t>B Hormigón</t>
        </is>
      </c>
      <c r="C92" s="9" t="inlineStr">
        <is>
          <t>B HORMIGON 36MM 12M A630-420HS (N)</t>
        </is>
      </c>
      <c r="D92" s="9" t="inlineStr">
        <is>
          <t>Ø36 mm · 12 m</t>
        </is>
      </c>
      <c r="E92" s="9" t="inlineStr">
        <is>
          <t>RED 36 CR</t>
        </is>
      </c>
      <c r="F92" s="9" t="n">
        <v>12</v>
      </c>
      <c r="G92" s="13">
        <f>SUMIFS(Ordenes!$P$2:$P$840,Ordenes!$G$2:$G$840,$C92,Ordenes!$T$2:$T$840,"Válida")</f>
        <v/>
      </c>
      <c r="H92" s="13">
        <f>SUMIFS(Ordenes!$Q$2:$Q$840,Ordenes!$G$2:$G$840,$C92,Ordenes!$T$2:$T$840,"Válida")</f>
        <v/>
      </c>
      <c r="I92" s="14">
        <f>IFERROR(G92/H92,"")</f>
        <v/>
      </c>
      <c r="J92" s="14">
        <f>IFERROR(SUMIFS(Ordenes!$V$2:$V$840,Ordenes!$G$2:$G$840,$C92,Ordenes!$T$2:$T$840,"Válida")/H92,"")</f>
        <v/>
      </c>
      <c r="K92" s="25">
        <f>IFERROR((I92-J92)*100,"")</f>
        <v/>
      </c>
      <c r="L92" s="9">
        <f>COUNTIFS(Ordenes!$G$2:$G$840,$C92,Ordenes!$T$2:$T$840,"Válida")</f>
        <v/>
      </c>
      <c r="M92" s="9">
        <f>COUNTIFS(Ordenes!$G$2:$G$840,$C92,Ordenes!$T$2:$T$840,"A corregir")</f>
        <v/>
      </c>
      <c r="N92" s="13">
        <f>H92-G92</f>
        <v/>
      </c>
    </row>
    <row r="93">
      <c r="A93" s="9" t="n">
        <v>89</v>
      </c>
      <c r="B93" s="9" t="inlineStr">
        <is>
          <t>B Hormigón</t>
        </is>
      </c>
      <c r="C93" s="9" t="inlineStr">
        <is>
          <t>B HORMIGON 22MM 7M A630-420H (N)</t>
        </is>
      </c>
      <c r="D93" s="9" t="inlineStr">
        <is>
          <t>Ø22 mm · 7 m</t>
        </is>
      </c>
      <c r="E93" s="9" t="inlineStr">
        <is>
          <t>RED 22 CR</t>
        </is>
      </c>
      <c r="F93" s="9" t="n">
        <v>7</v>
      </c>
      <c r="G93" s="13">
        <f>SUMIFS(Ordenes!$P$2:$P$840,Ordenes!$G$2:$G$840,$C93,Ordenes!$T$2:$T$840,"Válida")</f>
        <v/>
      </c>
      <c r="H93" s="13">
        <f>SUMIFS(Ordenes!$Q$2:$Q$840,Ordenes!$G$2:$G$840,$C93,Ordenes!$T$2:$T$840,"Válida")</f>
        <v/>
      </c>
      <c r="I93" s="14">
        <f>IFERROR(G93/H93,"")</f>
        <v/>
      </c>
      <c r="J93" s="14">
        <f>IFERROR(SUMIFS(Ordenes!$V$2:$V$840,Ordenes!$G$2:$G$840,$C93,Ordenes!$T$2:$T$840,"Válida")/H93,"")</f>
        <v/>
      </c>
      <c r="K93" s="25">
        <f>IFERROR((I93-J93)*100,"")</f>
        <v/>
      </c>
      <c r="L93" s="9">
        <f>COUNTIFS(Ordenes!$G$2:$G$840,$C93,Ordenes!$T$2:$T$840,"Válida")</f>
        <v/>
      </c>
      <c r="M93" s="9">
        <f>COUNTIFS(Ordenes!$G$2:$G$840,$C93,Ordenes!$T$2:$T$840,"A corregir")</f>
        <v/>
      </c>
      <c r="N93" s="13">
        <f>H93-G93</f>
        <v/>
      </c>
    </row>
    <row r="94">
      <c r="A94" s="9" t="n">
        <v>90</v>
      </c>
      <c r="B94" s="9" t="inlineStr">
        <is>
          <t>Hexágono</t>
        </is>
      </c>
      <c r="C94" s="9" t="inlineStr">
        <is>
          <t>HEXAGONO 1' 8M SAE 1045 (N)</t>
        </is>
      </c>
      <c r="D94" s="9" t="inlineStr">
        <is>
          <t>25,4 mm e/c · 8 m</t>
        </is>
      </c>
      <c r="E94" s="9" t="inlineStr">
        <is>
          <t>HEX 1</t>
        </is>
      </c>
      <c r="F94" s="9" t="n">
        <v>8</v>
      </c>
      <c r="G94" s="13">
        <f>SUMIFS(Ordenes!$P$2:$P$840,Ordenes!$G$2:$G$840,$C94,Ordenes!$T$2:$T$840,"Válida")</f>
        <v/>
      </c>
      <c r="H94" s="13">
        <f>SUMIFS(Ordenes!$Q$2:$Q$840,Ordenes!$G$2:$G$840,$C94,Ordenes!$T$2:$T$840,"Válida")</f>
        <v/>
      </c>
      <c r="I94" s="14">
        <f>IFERROR(G94/H94,"")</f>
        <v/>
      </c>
      <c r="J94" s="14">
        <f>IFERROR(SUMIFS(Ordenes!$V$2:$V$840,Ordenes!$G$2:$G$840,$C94,Ordenes!$T$2:$T$840,"Válida")/H94,"")</f>
        <v/>
      </c>
      <c r="K94" s="25">
        <f>IFERROR((I94-J94)*100,"")</f>
        <v/>
      </c>
      <c r="L94" s="9">
        <f>COUNTIFS(Ordenes!$G$2:$G$840,$C94,Ordenes!$T$2:$T$840,"Válida")</f>
        <v/>
      </c>
      <c r="M94" s="9">
        <f>COUNTIFS(Ordenes!$G$2:$G$840,$C94,Ordenes!$T$2:$T$840,"A corregir")</f>
        <v/>
      </c>
      <c r="N94" s="13">
        <f>H94-G94</f>
        <v/>
      </c>
    </row>
    <row r="95">
      <c r="A95" s="9" t="n">
        <v>91</v>
      </c>
      <c r="B95" s="9" t="inlineStr">
        <is>
          <t>Plana</t>
        </is>
      </c>
      <c r="C95" s="9" t="inlineStr">
        <is>
          <t>PLANA 75X10MM 6M A270ES (N)</t>
        </is>
      </c>
      <c r="D95" s="9" t="inlineStr">
        <is>
          <t>75×10 mm · 6 m</t>
        </is>
      </c>
      <c r="E95" s="9" t="inlineStr">
        <is>
          <t>PL 75 x 10</t>
        </is>
      </c>
      <c r="F95" s="9" t="n">
        <v>6</v>
      </c>
      <c r="G95" s="13">
        <f>SUMIFS(Ordenes!$P$2:$P$840,Ordenes!$G$2:$G$840,$C95,Ordenes!$T$2:$T$840,"Válida")</f>
        <v/>
      </c>
      <c r="H95" s="13">
        <f>SUMIFS(Ordenes!$Q$2:$Q$840,Ordenes!$G$2:$G$840,$C95,Ordenes!$T$2:$T$840,"Válida")</f>
        <v/>
      </c>
      <c r="I95" s="14">
        <f>IFERROR(G95/H95,"")</f>
        <v/>
      </c>
      <c r="J95" s="14">
        <f>IFERROR(SUMIFS(Ordenes!$V$2:$V$840,Ordenes!$G$2:$G$840,$C95,Ordenes!$T$2:$T$840,"Válida")/H95,"")</f>
        <v/>
      </c>
      <c r="K95" s="25">
        <f>IFERROR((I95-J95)*100,"")</f>
        <v/>
      </c>
      <c r="L95" s="9">
        <f>COUNTIFS(Ordenes!$G$2:$G$840,$C95,Ordenes!$T$2:$T$840,"Válida")</f>
        <v/>
      </c>
      <c r="M95" s="9">
        <f>COUNTIFS(Ordenes!$G$2:$G$840,$C95,Ordenes!$T$2:$T$840,"A corregir")</f>
        <v/>
      </c>
      <c r="N95" s="13">
        <f>H95-G95</f>
        <v/>
      </c>
    </row>
    <row r="96">
      <c r="A96" s="9" t="n">
        <v>92</v>
      </c>
      <c r="B96" s="9" t="inlineStr">
        <is>
          <t>B Hormigón</t>
        </is>
      </c>
      <c r="C96" s="9" t="inlineStr">
        <is>
          <t>B HORMIGON 32MM 9M A630-420H (N)</t>
        </is>
      </c>
      <c r="D96" s="9" t="inlineStr">
        <is>
          <t>Ø32 mm · 9 m</t>
        </is>
      </c>
      <c r="E96" s="9" t="inlineStr">
        <is>
          <t>RED 32 CR</t>
        </is>
      </c>
      <c r="F96" s="9" t="n">
        <v>9</v>
      </c>
      <c r="G96" s="13">
        <f>SUMIFS(Ordenes!$P$2:$P$840,Ordenes!$G$2:$G$840,$C96,Ordenes!$T$2:$T$840,"Válida")</f>
        <v/>
      </c>
      <c r="H96" s="13">
        <f>SUMIFS(Ordenes!$Q$2:$Q$840,Ordenes!$G$2:$G$840,$C96,Ordenes!$T$2:$T$840,"Válida")</f>
        <v/>
      </c>
      <c r="I96" s="14">
        <f>IFERROR(G96/H96,"")</f>
        <v/>
      </c>
      <c r="J96" s="14">
        <f>IFERROR(SUMIFS(Ordenes!$V$2:$V$840,Ordenes!$G$2:$G$840,$C96,Ordenes!$T$2:$T$840,"Válida")/H96,"")</f>
        <v/>
      </c>
      <c r="K96" s="25">
        <f>IFERROR((I96-J96)*100,"")</f>
        <v/>
      </c>
      <c r="L96" s="9">
        <f>COUNTIFS(Ordenes!$G$2:$G$840,$C96,Ordenes!$T$2:$T$840,"Válida")</f>
        <v/>
      </c>
      <c r="M96" s="9">
        <f>COUNTIFS(Ordenes!$G$2:$G$840,$C96,Ordenes!$T$2:$T$840,"A corregir")</f>
        <v/>
      </c>
      <c r="N96" s="13">
        <f>H96-G96</f>
        <v/>
      </c>
    </row>
    <row r="97">
      <c r="A97" s="9" t="n">
        <v>93</v>
      </c>
      <c r="B97" s="9" t="inlineStr">
        <is>
          <t>Redondo liso</t>
        </is>
      </c>
      <c r="C97" s="9" t="inlineStr">
        <is>
          <t>REDONDO LISO 5/8' 6M SAE 1020 (N)</t>
        </is>
      </c>
      <c r="D97" s="9" t="inlineStr">
        <is>
          <t>Ø15,9 mm · 6 m</t>
        </is>
      </c>
      <c r="E97" s="9" t="inlineStr">
        <is>
          <t>RED 16</t>
        </is>
      </c>
      <c r="F97" s="9" t="n">
        <v>6</v>
      </c>
      <c r="G97" s="13">
        <f>SUMIFS(Ordenes!$P$2:$P$840,Ordenes!$G$2:$G$840,$C97,Ordenes!$T$2:$T$840,"Válida")</f>
        <v/>
      </c>
      <c r="H97" s="13">
        <f>SUMIFS(Ordenes!$Q$2:$Q$840,Ordenes!$G$2:$G$840,$C97,Ordenes!$T$2:$T$840,"Válida")</f>
        <v/>
      </c>
      <c r="I97" s="14">
        <f>IFERROR(G97/H97,"")</f>
        <v/>
      </c>
      <c r="J97" s="14">
        <f>IFERROR(SUMIFS(Ordenes!$V$2:$V$840,Ordenes!$G$2:$G$840,$C97,Ordenes!$T$2:$T$840,"Válida")/H97,"")</f>
        <v/>
      </c>
      <c r="K97" s="25">
        <f>IFERROR((I97-J97)*100,"")</f>
        <v/>
      </c>
      <c r="L97" s="9">
        <f>COUNTIFS(Ordenes!$G$2:$G$840,$C97,Ordenes!$T$2:$T$840,"Válida")</f>
        <v/>
      </c>
      <c r="M97" s="9">
        <f>COUNTIFS(Ordenes!$G$2:$G$840,$C97,Ordenes!$T$2:$T$840,"A corregir")</f>
        <v/>
      </c>
      <c r="N97" s="13">
        <f>H97-G97</f>
        <v/>
      </c>
    </row>
    <row r="98">
      <c r="A98" s="9" t="n">
        <v>94</v>
      </c>
      <c r="B98" s="9" t="inlineStr">
        <is>
          <t>Plana</t>
        </is>
      </c>
      <c r="C98" s="9" t="inlineStr">
        <is>
          <t>PLANA 63X5MM 6M A270ES (N)</t>
        </is>
      </c>
      <c r="D98" s="9" t="inlineStr">
        <is>
          <t>63×5 mm · 6 m</t>
        </is>
      </c>
      <c r="E98" s="9" t="inlineStr">
        <is>
          <t>PL 63 x 5</t>
        </is>
      </c>
      <c r="F98" s="9" t="n">
        <v>6</v>
      </c>
      <c r="G98" s="13">
        <f>SUMIFS(Ordenes!$P$2:$P$840,Ordenes!$G$2:$G$840,$C98,Ordenes!$T$2:$T$840,"Válida")</f>
        <v/>
      </c>
      <c r="H98" s="13">
        <f>SUMIFS(Ordenes!$Q$2:$Q$840,Ordenes!$G$2:$G$840,$C98,Ordenes!$T$2:$T$840,"Válida")</f>
        <v/>
      </c>
      <c r="I98" s="14">
        <f>IFERROR(G98/H98,"")</f>
        <v/>
      </c>
      <c r="J98" s="14">
        <f>IFERROR(SUMIFS(Ordenes!$V$2:$V$840,Ordenes!$G$2:$G$840,$C98,Ordenes!$T$2:$T$840,"Válida")/H98,"")</f>
        <v/>
      </c>
      <c r="K98" s="25">
        <f>IFERROR((I98-J98)*100,"")</f>
        <v/>
      </c>
      <c r="L98" s="9">
        <f>COUNTIFS(Ordenes!$G$2:$G$840,$C98,Ordenes!$T$2:$T$840,"Válida")</f>
        <v/>
      </c>
      <c r="M98" s="9">
        <f>COUNTIFS(Ordenes!$G$2:$G$840,$C98,Ordenes!$T$2:$T$840,"A corregir")</f>
        <v/>
      </c>
      <c r="N98" s="13">
        <f>H98-G98</f>
        <v/>
      </c>
    </row>
    <row r="99">
      <c r="A99" s="9" t="n">
        <v>95</v>
      </c>
      <c r="B99" s="9" t="inlineStr">
        <is>
          <t>Ángulo</t>
        </is>
      </c>
      <c r="C99" s="9" t="inlineStr">
        <is>
          <t>ANGULO 50X50X6MM A270ES</t>
        </is>
      </c>
      <c r="D99" s="9" t="inlineStr">
        <is>
          <t>50×50×6 mm · 6 m</t>
        </is>
      </c>
      <c r="E99" s="9" t="inlineStr">
        <is>
          <t>ANG 50 x 6</t>
        </is>
      </c>
      <c r="F99" s="9" t="n">
        <v>6</v>
      </c>
      <c r="G99" s="13">
        <f>SUMIFS(Ordenes!$P$2:$P$840,Ordenes!$G$2:$G$840,$C99,Ordenes!$T$2:$T$840,"Válida")</f>
        <v/>
      </c>
      <c r="H99" s="13">
        <f>SUMIFS(Ordenes!$Q$2:$Q$840,Ordenes!$G$2:$G$840,$C99,Ordenes!$T$2:$T$840,"Válida")</f>
        <v/>
      </c>
      <c r="I99" s="14">
        <f>IFERROR(G99/H99,"")</f>
        <v/>
      </c>
      <c r="J99" s="14">
        <f>IFERROR(SUMIFS(Ordenes!$V$2:$V$840,Ordenes!$G$2:$G$840,$C99,Ordenes!$T$2:$T$840,"Válida")/H99,"")</f>
        <v/>
      </c>
      <c r="K99" s="25">
        <f>IFERROR((I99-J99)*100,"")</f>
        <v/>
      </c>
      <c r="L99" s="9">
        <f>COUNTIFS(Ordenes!$G$2:$G$840,$C99,Ordenes!$T$2:$T$840,"Válida")</f>
        <v/>
      </c>
      <c r="M99" s="9">
        <f>COUNTIFS(Ordenes!$G$2:$G$840,$C99,Ordenes!$T$2:$T$840,"A corregir")</f>
        <v/>
      </c>
      <c r="N99" s="13">
        <f>H99-G99</f>
        <v/>
      </c>
    </row>
    <row r="100">
      <c r="A100" s="9" t="n">
        <v>96</v>
      </c>
      <c r="B100" s="9" t="inlineStr">
        <is>
          <t>Redondo liso</t>
        </is>
      </c>
      <c r="C100" s="9" t="inlineStr">
        <is>
          <t>REDONDO LISO 3/4' 6M SAE 1020 (N)</t>
        </is>
      </c>
      <c r="D100" s="9" t="inlineStr">
        <is>
          <t>Ø19 mm · 6 m</t>
        </is>
      </c>
      <c r="E100" s="9" t="inlineStr">
        <is>
          <t>RED 19</t>
        </is>
      </c>
      <c r="F100" s="9" t="n">
        <v>6</v>
      </c>
      <c r="G100" s="13">
        <f>SUMIFS(Ordenes!$P$2:$P$840,Ordenes!$G$2:$G$840,$C100,Ordenes!$T$2:$T$840,"Válida")</f>
        <v/>
      </c>
      <c r="H100" s="13">
        <f>SUMIFS(Ordenes!$Q$2:$Q$840,Ordenes!$G$2:$G$840,$C100,Ordenes!$T$2:$T$840,"Válida")</f>
        <v/>
      </c>
      <c r="I100" s="14">
        <f>IFERROR(G100/H100,"")</f>
        <v/>
      </c>
      <c r="J100" s="14">
        <f>IFERROR(SUMIFS(Ordenes!$V$2:$V$840,Ordenes!$G$2:$G$840,$C100,Ordenes!$T$2:$T$840,"Válida")/H100,"")</f>
        <v/>
      </c>
      <c r="K100" s="25">
        <f>IFERROR((I100-J100)*100,"")</f>
        <v/>
      </c>
      <c r="L100" s="9">
        <f>COUNTIFS(Ordenes!$G$2:$G$840,$C100,Ordenes!$T$2:$T$840,"Válida")</f>
        <v/>
      </c>
      <c r="M100" s="9">
        <f>COUNTIFS(Ordenes!$G$2:$G$840,$C100,Ordenes!$T$2:$T$840,"A corregir")</f>
        <v/>
      </c>
      <c r="N100" s="13">
        <f>H100-G100</f>
        <v/>
      </c>
    </row>
    <row r="101">
      <c r="A101" s="9" t="n">
        <v>97</v>
      </c>
      <c r="B101" s="9" t="inlineStr">
        <is>
          <t>Plana</t>
        </is>
      </c>
      <c r="C101" s="9" t="inlineStr">
        <is>
          <t>PLANA 100X8MM 6M A270ES (N)</t>
        </is>
      </c>
      <c r="D101" s="9" t="inlineStr">
        <is>
          <t>100×8 mm · 6 m</t>
        </is>
      </c>
      <c r="E101" s="9" t="inlineStr">
        <is>
          <t>PL 100 x 8</t>
        </is>
      </c>
      <c r="F101" s="9" t="n">
        <v>6</v>
      </c>
      <c r="G101" s="13">
        <f>SUMIFS(Ordenes!$P$2:$P$840,Ordenes!$G$2:$G$840,$C101,Ordenes!$T$2:$T$840,"Válida")</f>
        <v/>
      </c>
      <c r="H101" s="13">
        <f>SUMIFS(Ordenes!$Q$2:$Q$840,Ordenes!$G$2:$G$840,$C101,Ordenes!$T$2:$T$840,"Válida")</f>
        <v/>
      </c>
      <c r="I101" s="14">
        <f>IFERROR(G101/H101,"")</f>
        <v/>
      </c>
      <c r="J101" s="14">
        <f>IFERROR(SUMIFS(Ordenes!$V$2:$V$840,Ordenes!$G$2:$G$840,$C101,Ordenes!$T$2:$T$840,"Válida")/H101,"")</f>
        <v/>
      </c>
      <c r="K101" s="25">
        <f>IFERROR((I101-J101)*100,"")</f>
        <v/>
      </c>
      <c r="L101" s="9">
        <f>COUNTIFS(Ordenes!$G$2:$G$840,$C101,Ordenes!$T$2:$T$840,"Válida")</f>
        <v/>
      </c>
      <c r="M101" s="9">
        <f>COUNTIFS(Ordenes!$G$2:$G$840,$C101,Ordenes!$T$2:$T$840,"A corregir")</f>
        <v/>
      </c>
      <c r="N101" s="13">
        <f>H101-G101</f>
        <v/>
      </c>
    </row>
    <row r="102">
      <c r="A102" s="9" t="n">
        <v>98</v>
      </c>
      <c r="B102" s="9" t="inlineStr">
        <is>
          <t>Saferock</t>
        </is>
      </c>
      <c r="C102" s="9" t="inlineStr">
        <is>
          <t>SAFEROCK 25MM 10,8M A420</t>
        </is>
      </c>
      <c r="D102" s="9" t="inlineStr">
        <is>
          <t>Ø25 mm · 10,8 m</t>
        </is>
      </c>
      <c r="E102" s="9" t="inlineStr">
        <is>
          <t>SFR 25</t>
        </is>
      </c>
      <c r="F102" s="9" t="n">
        <v>10.8</v>
      </c>
      <c r="G102" s="13">
        <f>SUMIFS(Ordenes!$P$2:$P$840,Ordenes!$G$2:$G$840,$C102,Ordenes!$T$2:$T$840,"Válida")</f>
        <v/>
      </c>
      <c r="H102" s="13">
        <f>SUMIFS(Ordenes!$Q$2:$Q$840,Ordenes!$G$2:$G$840,$C102,Ordenes!$T$2:$T$840,"Válida")</f>
        <v/>
      </c>
      <c r="I102" s="14">
        <f>IFERROR(G102/H102,"")</f>
        <v/>
      </c>
      <c r="J102" s="14">
        <f>IFERROR(SUMIFS(Ordenes!$V$2:$V$840,Ordenes!$G$2:$G$840,$C102,Ordenes!$T$2:$T$840,"Válida")/H102,"")</f>
        <v/>
      </c>
      <c r="K102" s="25">
        <f>IFERROR((I102-J102)*100,"")</f>
        <v/>
      </c>
      <c r="L102" s="9">
        <f>COUNTIFS(Ordenes!$G$2:$G$840,$C102,Ordenes!$T$2:$T$840,"Válida")</f>
        <v/>
      </c>
      <c r="M102" s="9">
        <f>COUNTIFS(Ordenes!$G$2:$G$840,$C102,Ordenes!$T$2:$T$840,"A corregir")</f>
        <v/>
      </c>
      <c r="N102" s="13">
        <f>H102-G102</f>
        <v/>
      </c>
    </row>
    <row r="103">
      <c r="A103" s="9" t="n">
        <v>99</v>
      </c>
      <c r="B103" s="9" t="inlineStr">
        <is>
          <t>B Hormigón</t>
        </is>
      </c>
      <c r="C103" s="9" t="inlineStr">
        <is>
          <t>B HORMIGON 18MM 12M A630-420HS (N)</t>
        </is>
      </c>
      <c r="D103" s="9" t="inlineStr">
        <is>
          <t>Ø18 mm · 12 m</t>
        </is>
      </c>
      <c r="E103" s="9" t="inlineStr">
        <is>
          <t>RED 18 CR</t>
        </is>
      </c>
      <c r="F103" s="9" t="n">
        <v>12</v>
      </c>
      <c r="G103" s="13">
        <f>SUMIFS(Ordenes!$P$2:$P$840,Ordenes!$G$2:$G$840,$C103,Ordenes!$T$2:$T$840,"Válida")</f>
        <v/>
      </c>
      <c r="H103" s="13">
        <f>SUMIFS(Ordenes!$Q$2:$Q$840,Ordenes!$G$2:$G$840,$C103,Ordenes!$T$2:$T$840,"Válida")</f>
        <v/>
      </c>
      <c r="I103" s="14">
        <f>IFERROR(G103/H103,"")</f>
        <v/>
      </c>
      <c r="J103" s="14">
        <f>IFERROR(SUMIFS(Ordenes!$V$2:$V$840,Ordenes!$G$2:$G$840,$C103,Ordenes!$T$2:$T$840,"Válida")/H103,"")</f>
        <v/>
      </c>
      <c r="K103" s="25">
        <f>IFERROR((I103-J103)*100,"")</f>
        <v/>
      </c>
      <c r="L103" s="9">
        <f>COUNTIFS(Ordenes!$G$2:$G$840,$C103,Ordenes!$T$2:$T$840,"Válida")</f>
        <v/>
      </c>
      <c r="M103" s="9">
        <f>COUNTIFS(Ordenes!$G$2:$G$840,$C103,Ordenes!$T$2:$T$840,"A corregir")</f>
        <v/>
      </c>
      <c r="N103" s="13">
        <f>H103-G103</f>
        <v/>
      </c>
    </row>
    <row r="104">
      <c r="A104" s="9" t="n">
        <v>100</v>
      </c>
      <c r="B104" s="9" t="inlineStr">
        <is>
          <t>Saferock</t>
        </is>
      </c>
      <c r="C104" s="9" t="inlineStr">
        <is>
          <t>SAFEROCK 25MM 11,96M A520</t>
        </is>
      </c>
      <c r="D104" s="9" t="inlineStr">
        <is>
          <t>Ø25 mm · 6 m</t>
        </is>
      </c>
      <c r="E104" s="9" t="inlineStr">
        <is>
          <t>SFR 25</t>
        </is>
      </c>
      <c r="F104" s="9" t="n">
        <v>6</v>
      </c>
      <c r="G104" s="13">
        <f>SUMIFS(Ordenes!$P$2:$P$840,Ordenes!$G$2:$G$840,$C104,Ordenes!$T$2:$T$840,"Válida")</f>
        <v/>
      </c>
      <c r="H104" s="13">
        <f>SUMIFS(Ordenes!$Q$2:$Q$840,Ordenes!$G$2:$G$840,$C104,Ordenes!$T$2:$T$840,"Válida")</f>
        <v/>
      </c>
      <c r="I104" s="14">
        <f>IFERROR(G104/H104,"")</f>
        <v/>
      </c>
      <c r="J104" s="14">
        <f>IFERROR(SUMIFS(Ordenes!$V$2:$V$840,Ordenes!$G$2:$G$840,$C104,Ordenes!$T$2:$T$840,"Válida")/H104,"")</f>
        <v/>
      </c>
      <c r="K104" s="25">
        <f>IFERROR((I104-J104)*100,"")</f>
        <v/>
      </c>
      <c r="L104" s="9">
        <f>COUNTIFS(Ordenes!$G$2:$G$840,$C104,Ordenes!$T$2:$T$840,"Válida")</f>
        <v/>
      </c>
      <c r="M104" s="9">
        <f>COUNTIFS(Ordenes!$G$2:$G$840,$C104,Ordenes!$T$2:$T$840,"A corregir")</f>
        <v/>
      </c>
      <c r="N104" s="13">
        <f>H104-G104</f>
        <v/>
      </c>
    </row>
    <row r="105">
      <c r="A105" s="9" t="n">
        <v>101</v>
      </c>
      <c r="B105" s="9" t="inlineStr">
        <is>
          <t>Plana</t>
        </is>
      </c>
      <c r="C105" s="9" t="inlineStr">
        <is>
          <t>PLANA 25X5MM 6M A270ES (N)</t>
        </is>
      </c>
      <c r="D105" s="9" t="inlineStr">
        <is>
          <t>25×5 mm · 6 m</t>
        </is>
      </c>
      <c r="E105" s="9" t="inlineStr">
        <is>
          <t>PL 25 x 5</t>
        </is>
      </c>
      <c r="F105" s="9" t="n">
        <v>6</v>
      </c>
      <c r="G105" s="13">
        <f>SUMIFS(Ordenes!$P$2:$P$840,Ordenes!$G$2:$G$840,$C105,Ordenes!$T$2:$T$840,"Válida")</f>
        <v/>
      </c>
      <c r="H105" s="13">
        <f>SUMIFS(Ordenes!$Q$2:$Q$840,Ordenes!$G$2:$G$840,$C105,Ordenes!$T$2:$T$840,"Válida")</f>
        <v/>
      </c>
      <c r="I105" s="14">
        <f>IFERROR(G105/H105,"")</f>
        <v/>
      </c>
      <c r="J105" s="14">
        <f>IFERROR(SUMIFS(Ordenes!$V$2:$V$840,Ordenes!$G$2:$G$840,$C105,Ordenes!$T$2:$T$840,"Válida")/H105,"")</f>
        <v/>
      </c>
      <c r="K105" s="25">
        <f>IFERROR((I105-J105)*100,"")</f>
        <v/>
      </c>
      <c r="L105" s="9">
        <f>COUNTIFS(Ordenes!$G$2:$G$840,$C105,Ordenes!$T$2:$T$840,"Válida")</f>
        <v/>
      </c>
      <c r="M105" s="9">
        <f>COUNTIFS(Ordenes!$G$2:$G$840,$C105,Ordenes!$T$2:$T$840,"A corregir")</f>
        <v/>
      </c>
      <c r="N105" s="13">
        <f>H105-G105</f>
        <v/>
      </c>
    </row>
    <row r="106">
      <c r="A106" s="9" t="n">
        <v>102</v>
      </c>
      <c r="B106" s="9" t="inlineStr">
        <is>
          <t>B Hormigón</t>
        </is>
      </c>
      <c r="C106" s="9" t="inlineStr">
        <is>
          <t>B HORMIGON 25MM 12M A630-420HS (N)</t>
        </is>
      </c>
      <c r="D106" s="9" t="inlineStr">
        <is>
          <t>Ø25 mm · 12 m</t>
        </is>
      </c>
      <c r="E106" s="9" t="inlineStr">
        <is>
          <t>RED 25 CR</t>
        </is>
      </c>
      <c r="F106" s="9" t="n">
        <v>12</v>
      </c>
      <c r="G106" s="13">
        <f>SUMIFS(Ordenes!$P$2:$P$840,Ordenes!$G$2:$G$840,$C106,Ordenes!$T$2:$T$840,"Válida")</f>
        <v/>
      </c>
      <c r="H106" s="13">
        <f>SUMIFS(Ordenes!$Q$2:$Q$840,Ordenes!$G$2:$G$840,$C106,Ordenes!$T$2:$T$840,"Válida")</f>
        <v/>
      </c>
      <c r="I106" s="14">
        <f>IFERROR(G106/H106,"")</f>
        <v/>
      </c>
      <c r="J106" s="14">
        <f>IFERROR(SUMIFS(Ordenes!$V$2:$V$840,Ordenes!$G$2:$G$840,$C106,Ordenes!$T$2:$T$840,"Válida")/H106,"")</f>
        <v/>
      </c>
      <c r="K106" s="25">
        <f>IFERROR((I106-J106)*100,"")</f>
        <v/>
      </c>
      <c r="L106" s="9">
        <f>COUNTIFS(Ordenes!$G$2:$G$840,$C106,Ordenes!$T$2:$T$840,"Válida")</f>
        <v/>
      </c>
      <c r="M106" s="9">
        <f>COUNTIFS(Ordenes!$G$2:$G$840,$C106,Ordenes!$T$2:$T$840,"A corregir")</f>
        <v/>
      </c>
      <c r="N106" s="13">
        <f>H106-G106</f>
        <v/>
      </c>
    </row>
    <row r="107">
      <c r="A107" s="9" t="n">
        <v>103</v>
      </c>
      <c r="B107" s="9" t="inlineStr">
        <is>
          <t>Redondo liso</t>
        </is>
      </c>
      <c r="C107" s="9" t="inlineStr">
        <is>
          <t>REDONDO LISO 1 1/2' 6M SAE 1045 (N)</t>
        </is>
      </c>
      <c r="D107" s="9" t="inlineStr">
        <is>
          <t>Ø38,1 mm · 6 m</t>
        </is>
      </c>
      <c r="E107" s="9" t="inlineStr">
        <is>
          <t>RED 1,1/2</t>
        </is>
      </c>
      <c r="F107" s="9" t="n">
        <v>6</v>
      </c>
      <c r="G107" s="13">
        <f>SUMIFS(Ordenes!$P$2:$P$840,Ordenes!$G$2:$G$840,$C107,Ordenes!$T$2:$T$840,"Válida")</f>
        <v/>
      </c>
      <c r="H107" s="13">
        <f>SUMIFS(Ordenes!$Q$2:$Q$840,Ordenes!$G$2:$G$840,$C107,Ordenes!$T$2:$T$840,"Válida")</f>
        <v/>
      </c>
      <c r="I107" s="14">
        <f>IFERROR(G107/H107,"")</f>
        <v/>
      </c>
      <c r="J107" s="14">
        <f>IFERROR(SUMIFS(Ordenes!$V$2:$V$840,Ordenes!$G$2:$G$840,$C107,Ordenes!$T$2:$T$840,"Válida")/H107,"")</f>
        <v/>
      </c>
      <c r="K107" s="25">
        <f>IFERROR((I107-J107)*100,"")</f>
        <v/>
      </c>
      <c r="L107" s="9">
        <f>COUNTIFS(Ordenes!$G$2:$G$840,$C107,Ordenes!$T$2:$T$840,"Válida")</f>
        <v/>
      </c>
      <c r="M107" s="9">
        <f>COUNTIFS(Ordenes!$G$2:$G$840,$C107,Ordenes!$T$2:$T$840,"A corregir")</f>
        <v/>
      </c>
      <c r="N107" s="13">
        <f>H107-G107</f>
        <v/>
      </c>
    </row>
    <row r="108">
      <c r="A108" s="9" t="n">
        <v>104</v>
      </c>
      <c r="B108" s="9" t="inlineStr">
        <is>
          <t>Plana</t>
        </is>
      </c>
      <c r="C108" s="9" t="inlineStr">
        <is>
          <t>PLANA 20X5MM 6M A270ES (N)</t>
        </is>
      </c>
      <c r="D108" s="9" t="inlineStr">
        <is>
          <t>20×5 mm · 6 m</t>
        </is>
      </c>
      <c r="E108" s="9" t="inlineStr">
        <is>
          <t>PL 20 x 5</t>
        </is>
      </c>
      <c r="F108" s="9" t="n">
        <v>6</v>
      </c>
      <c r="G108" s="13">
        <f>SUMIFS(Ordenes!$P$2:$P$840,Ordenes!$G$2:$G$840,$C108,Ordenes!$T$2:$T$840,"Válida")</f>
        <v/>
      </c>
      <c r="H108" s="13">
        <f>SUMIFS(Ordenes!$Q$2:$Q$840,Ordenes!$G$2:$G$840,$C108,Ordenes!$T$2:$T$840,"Válida")</f>
        <v/>
      </c>
      <c r="I108" s="14">
        <f>IFERROR(G108/H108,"")</f>
        <v/>
      </c>
      <c r="J108" s="14">
        <f>IFERROR(SUMIFS(Ordenes!$V$2:$V$840,Ordenes!$G$2:$G$840,$C108,Ordenes!$T$2:$T$840,"Válida")/H108,"")</f>
        <v/>
      </c>
      <c r="K108" s="25">
        <f>IFERROR((I108-J108)*100,"")</f>
        <v/>
      </c>
      <c r="L108" s="9">
        <f>COUNTIFS(Ordenes!$G$2:$G$840,$C108,Ordenes!$T$2:$T$840,"Válida")</f>
        <v/>
      </c>
      <c r="M108" s="9">
        <f>COUNTIFS(Ordenes!$G$2:$G$840,$C108,Ordenes!$T$2:$T$840,"A corregir")</f>
        <v/>
      </c>
      <c r="N108" s="13">
        <f>H108-G108</f>
        <v/>
      </c>
    </row>
    <row r="109">
      <c r="A109" s="9" t="n">
        <v>105</v>
      </c>
      <c r="B109" s="9" t="inlineStr">
        <is>
          <t>Plana</t>
        </is>
      </c>
      <c r="C109" s="9" t="inlineStr">
        <is>
          <t>PLANA 63X8MM 6M A270ES (N)</t>
        </is>
      </c>
      <c r="D109" s="9" t="inlineStr">
        <is>
          <t>63×8 mm · 6 m</t>
        </is>
      </c>
      <c r="E109" s="9" t="inlineStr">
        <is>
          <t>PL 63 x 8</t>
        </is>
      </c>
      <c r="F109" s="9" t="n">
        <v>6</v>
      </c>
      <c r="G109" s="13">
        <f>SUMIFS(Ordenes!$P$2:$P$840,Ordenes!$G$2:$G$840,$C109,Ordenes!$T$2:$T$840,"Válida")</f>
        <v/>
      </c>
      <c r="H109" s="13">
        <f>SUMIFS(Ordenes!$Q$2:$Q$840,Ordenes!$G$2:$G$840,$C109,Ordenes!$T$2:$T$840,"Válida")</f>
        <v/>
      </c>
      <c r="I109" s="14">
        <f>IFERROR(G109/H109,"")</f>
        <v/>
      </c>
      <c r="J109" s="14">
        <f>IFERROR(SUMIFS(Ordenes!$V$2:$V$840,Ordenes!$G$2:$G$840,$C109,Ordenes!$T$2:$T$840,"Válida")/H109,"")</f>
        <v/>
      </c>
      <c r="K109" s="25">
        <f>IFERROR((I109-J109)*100,"")</f>
        <v/>
      </c>
      <c r="L109" s="9">
        <f>COUNTIFS(Ordenes!$G$2:$G$840,$C109,Ordenes!$T$2:$T$840,"Válida")</f>
        <v/>
      </c>
      <c r="M109" s="9">
        <f>COUNTIFS(Ordenes!$G$2:$G$840,$C109,Ordenes!$T$2:$T$840,"A corregir")</f>
        <v/>
      </c>
      <c r="N109" s="13">
        <f>H109-G109</f>
        <v/>
      </c>
    </row>
    <row r="110">
      <c r="A110" s="9" t="n">
        <v>106</v>
      </c>
      <c r="B110" s="9" t="inlineStr">
        <is>
          <t>Plana</t>
        </is>
      </c>
      <c r="C110" s="9" t="inlineStr">
        <is>
          <t>PLANA 100X6MM 6M A270ES (N)</t>
        </is>
      </c>
      <c r="D110" s="9" t="inlineStr">
        <is>
          <t>100×6 mm · 6 m</t>
        </is>
      </c>
      <c r="E110" s="9" t="inlineStr">
        <is>
          <t>PL 100 x 6</t>
        </is>
      </c>
      <c r="F110" s="9" t="n">
        <v>6</v>
      </c>
      <c r="G110" s="13">
        <f>SUMIFS(Ordenes!$P$2:$P$840,Ordenes!$G$2:$G$840,$C110,Ordenes!$T$2:$T$840,"Válida")</f>
        <v/>
      </c>
      <c r="H110" s="13">
        <f>SUMIFS(Ordenes!$Q$2:$Q$840,Ordenes!$G$2:$G$840,$C110,Ordenes!$T$2:$T$840,"Válida")</f>
        <v/>
      </c>
      <c r="I110" s="14">
        <f>IFERROR(G110/H110,"")</f>
        <v/>
      </c>
      <c r="J110" s="14">
        <f>IFERROR(SUMIFS(Ordenes!$V$2:$V$840,Ordenes!$G$2:$G$840,$C110,Ordenes!$T$2:$T$840,"Válida")/H110,"")</f>
        <v/>
      </c>
      <c r="K110" s="25">
        <f>IFERROR((I110-J110)*100,"")</f>
        <v/>
      </c>
      <c r="L110" s="9">
        <f>COUNTIFS(Ordenes!$G$2:$G$840,$C110,Ordenes!$T$2:$T$840,"Válida")</f>
        <v/>
      </c>
      <c r="M110" s="9">
        <f>COUNTIFS(Ordenes!$G$2:$G$840,$C110,Ordenes!$T$2:$T$840,"A corregir")</f>
        <v/>
      </c>
      <c r="N110" s="13">
        <f>H110-G110</f>
        <v/>
      </c>
    </row>
    <row r="111">
      <c r="A111" s="9" t="n">
        <v>107</v>
      </c>
      <c r="B111" s="9" t="inlineStr">
        <is>
          <t>B Hormigón</t>
        </is>
      </c>
      <c r="C111" s="9" t="inlineStr">
        <is>
          <t>B HORMIGON 32MM 8M A630-420H (N)</t>
        </is>
      </c>
      <c r="D111" s="9" t="inlineStr">
        <is>
          <t>Ø32 mm · 8 m</t>
        </is>
      </c>
      <c r="E111" s="9" t="inlineStr">
        <is>
          <t>RED 32 CR</t>
        </is>
      </c>
      <c r="F111" s="9" t="n">
        <v>8</v>
      </c>
      <c r="G111" s="13">
        <f>SUMIFS(Ordenes!$P$2:$P$840,Ordenes!$G$2:$G$840,$C111,Ordenes!$T$2:$T$840,"Válida")</f>
        <v/>
      </c>
      <c r="H111" s="13">
        <f>SUMIFS(Ordenes!$Q$2:$Q$840,Ordenes!$G$2:$G$840,$C111,Ordenes!$T$2:$T$840,"Válida")</f>
        <v/>
      </c>
      <c r="I111" s="14">
        <f>IFERROR(G111/H111,"")</f>
        <v/>
      </c>
      <c r="J111" s="14">
        <f>IFERROR(SUMIFS(Ordenes!$V$2:$V$840,Ordenes!$G$2:$G$840,$C111,Ordenes!$T$2:$T$840,"Válida")/H111,"")</f>
        <v/>
      </c>
      <c r="K111" s="25">
        <f>IFERROR((I111-J111)*100,"")</f>
        <v/>
      </c>
      <c r="L111" s="9">
        <f>COUNTIFS(Ordenes!$G$2:$G$840,$C111,Ordenes!$T$2:$T$840,"Válida")</f>
        <v/>
      </c>
      <c r="M111" s="9">
        <f>COUNTIFS(Ordenes!$G$2:$G$840,$C111,Ordenes!$T$2:$T$840,"A corregir")</f>
        <v/>
      </c>
      <c r="N111" s="13">
        <f>H111-G111</f>
        <v/>
      </c>
    </row>
    <row r="112">
      <c r="A112" s="9" t="n">
        <v>108</v>
      </c>
      <c r="B112" s="9" t="inlineStr">
        <is>
          <t>B Hormigón</t>
        </is>
      </c>
      <c r="C112" s="9" t="inlineStr">
        <is>
          <t>B HORMIGON R 32MM 12M A630-420HS (N)</t>
        </is>
      </c>
      <c r="D112" s="9" t="inlineStr">
        <is>
          <t>Ø32 mm · 12 m</t>
        </is>
      </c>
      <c r="E112" s="9" t="n"/>
      <c r="F112" s="9" t="n">
        <v>12</v>
      </c>
      <c r="G112" s="13">
        <f>SUMIFS(Ordenes!$P$2:$P$840,Ordenes!$G$2:$G$840,$C112,Ordenes!$T$2:$T$840,"Válida")</f>
        <v/>
      </c>
      <c r="H112" s="13">
        <f>SUMIFS(Ordenes!$Q$2:$Q$840,Ordenes!$G$2:$G$840,$C112,Ordenes!$T$2:$T$840,"Válida")</f>
        <v/>
      </c>
      <c r="I112" s="14">
        <f>IFERROR(G112/H112,"")</f>
        <v/>
      </c>
      <c r="J112" s="14">
        <f>IFERROR(SUMIFS(Ordenes!$V$2:$V$840,Ordenes!$G$2:$G$840,$C112,Ordenes!$T$2:$T$840,"Válida")/H112,"")</f>
        <v/>
      </c>
      <c r="K112" s="25">
        <f>IFERROR((I112-J112)*100,"")</f>
        <v/>
      </c>
      <c r="L112" s="9">
        <f>COUNTIFS(Ordenes!$G$2:$G$840,$C112,Ordenes!$T$2:$T$840,"Válida")</f>
        <v/>
      </c>
      <c r="M112" s="9">
        <f>COUNTIFS(Ordenes!$G$2:$G$840,$C112,Ordenes!$T$2:$T$840,"A corregir")</f>
        <v/>
      </c>
      <c r="N112" s="13">
        <f>H112-G112</f>
        <v/>
      </c>
    </row>
    <row r="113">
      <c r="A113" s="9" t="n">
        <v>109</v>
      </c>
      <c r="B113" s="9" t="inlineStr">
        <is>
          <t>Saferock</t>
        </is>
      </c>
      <c r="C113" s="9" t="inlineStr">
        <is>
          <t>SAFEROCK 22MM 10.5M A280</t>
        </is>
      </c>
      <c r="D113" s="9" t="inlineStr">
        <is>
          <t>Ø22 mm · 10,5 m</t>
        </is>
      </c>
      <c r="E113" s="9" t="inlineStr">
        <is>
          <t>SFRCK 22</t>
        </is>
      </c>
      <c r="F113" s="9" t="n">
        <v>10.5</v>
      </c>
      <c r="G113" s="13">
        <f>SUMIFS(Ordenes!$P$2:$P$840,Ordenes!$G$2:$G$840,$C113,Ordenes!$T$2:$T$840,"Válida")</f>
        <v/>
      </c>
      <c r="H113" s="13">
        <f>SUMIFS(Ordenes!$Q$2:$Q$840,Ordenes!$G$2:$G$840,$C113,Ordenes!$T$2:$T$840,"Válida")</f>
        <v/>
      </c>
      <c r="I113" s="14">
        <f>IFERROR(G113/H113,"")</f>
        <v/>
      </c>
      <c r="J113" s="14">
        <f>IFERROR(SUMIFS(Ordenes!$V$2:$V$840,Ordenes!$G$2:$G$840,$C113,Ordenes!$T$2:$T$840,"Válida")/H113,"")</f>
        <v/>
      </c>
      <c r="K113" s="25">
        <f>IFERROR((I113-J113)*100,"")</f>
        <v/>
      </c>
      <c r="L113" s="9">
        <f>COUNTIFS(Ordenes!$G$2:$G$840,$C113,Ordenes!$T$2:$T$840,"Válida")</f>
        <v/>
      </c>
      <c r="M113" s="9">
        <f>COUNTIFS(Ordenes!$G$2:$G$840,$C113,Ordenes!$T$2:$T$840,"A corregir")</f>
        <v/>
      </c>
      <c r="N113" s="13">
        <f>H113-G113</f>
        <v/>
      </c>
    </row>
    <row r="114">
      <c r="A114" s="9" t="n">
        <v>110</v>
      </c>
      <c r="B114" s="9" t="inlineStr">
        <is>
          <t>Plana</t>
        </is>
      </c>
      <c r="C114" s="9" t="inlineStr">
        <is>
          <t>PLANA RESALTE 50X4 MM 11M A345 ES (N)</t>
        </is>
      </c>
      <c r="D114" s="9" t="inlineStr">
        <is>
          <t>50×4 mm · 11 m</t>
        </is>
      </c>
      <c r="E114" s="9" t="inlineStr">
        <is>
          <t>PL CR 50 x 4</t>
        </is>
      </c>
      <c r="F114" s="9" t="n">
        <v>11</v>
      </c>
      <c r="G114" s="13">
        <f>SUMIFS(Ordenes!$P$2:$P$840,Ordenes!$G$2:$G$840,$C114,Ordenes!$T$2:$T$840,"Válida")</f>
        <v/>
      </c>
      <c r="H114" s="13">
        <f>SUMIFS(Ordenes!$Q$2:$Q$840,Ordenes!$G$2:$G$840,$C114,Ordenes!$T$2:$T$840,"Válida")</f>
        <v/>
      </c>
      <c r="I114" s="14">
        <f>IFERROR(G114/H114,"")</f>
        <v/>
      </c>
      <c r="J114" s="14">
        <f>IFERROR(SUMIFS(Ordenes!$V$2:$V$840,Ordenes!$G$2:$G$840,$C114,Ordenes!$T$2:$T$840,"Válida")/H114,"")</f>
        <v/>
      </c>
      <c r="K114" s="25">
        <f>IFERROR((I114-J114)*100,"")</f>
        <v/>
      </c>
      <c r="L114" s="9">
        <f>COUNTIFS(Ordenes!$G$2:$G$840,$C114,Ordenes!$T$2:$T$840,"Válida")</f>
        <v/>
      </c>
      <c r="M114" s="9">
        <f>COUNTIFS(Ordenes!$G$2:$G$840,$C114,Ordenes!$T$2:$T$840,"A corregir")</f>
        <v/>
      </c>
      <c r="N114" s="13">
        <f>H114-G114</f>
        <v/>
      </c>
    </row>
    <row r="115">
      <c r="A115" s="9" t="n">
        <v>111</v>
      </c>
      <c r="B115" s="9" t="inlineStr">
        <is>
          <t>Plana</t>
        </is>
      </c>
      <c r="C115" s="9" t="inlineStr">
        <is>
          <t>PLANA 50X12MM 6M A270ES</t>
        </is>
      </c>
      <c r="D115" s="9" t="inlineStr">
        <is>
          <t>50×12 mm · 6 m</t>
        </is>
      </c>
      <c r="E115" s="9" t="inlineStr">
        <is>
          <t>Pl 50 x 12</t>
        </is>
      </c>
      <c r="F115" s="9" t="n">
        <v>6</v>
      </c>
      <c r="G115" s="13">
        <f>SUMIFS(Ordenes!$P$2:$P$840,Ordenes!$G$2:$G$840,$C115,Ordenes!$T$2:$T$840,"Válida")</f>
        <v/>
      </c>
      <c r="H115" s="13">
        <f>SUMIFS(Ordenes!$Q$2:$Q$840,Ordenes!$G$2:$G$840,$C115,Ordenes!$T$2:$T$840,"Válida")</f>
        <v/>
      </c>
      <c r="I115" s="14">
        <f>IFERROR(G115/H115,"")</f>
        <v/>
      </c>
      <c r="J115" s="14">
        <f>IFERROR(SUMIFS(Ordenes!$V$2:$V$840,Ordenes!$G$2:$G$840,$C115,Ordenes!$T$2:$T$840,"Válida")/H115,"")</f>
        <v/>
      </c>
      <c r="K115" s="25">
        <f>IFERROR((I115-J115)*100,"")</f>
        <v/>
      </c>
      <c r="L115" s="9">
        <f>COUNTIFS(Ordenes!$G$2:$G$840,$C115,Ordenes!$T$2:$T$840,"Válida")</f>
        <v/>
      </c>
      <c r="M115" s="9">
        <f>COUNTIFS(Ordenes!$G$2:$G$840,$C115,Ordenes!$T$2:$T$840,"A corregir")</f>
        <v/>
      </c>
      <c r="N115" s="13">
        <f>H115-G115</f>
        <v/>
      </c>
    </row>
    <row r="116">
      <c r="A116" s="9" t="n">
        <v>112</v>
      </c>
      <c r="B116" s="9" t="inlineStr">
        <is>
          <t>B Hormigón</t>
        </is>
      </c>
      <c r="C116" s="9" t="inlineStr">
        <is>
          <t>B HORMIGON 32MM 11M A630-420HS (N)</t>
        </is>
      </c>
      <c r="D116" s="9" t="inlineStr">
        <is>
          <t>Ø32 mm · 11 m</t>
        </is>
      </c>
      <c r="E116" s="9" t="inlineStr">
        <is>
          <t>RED 32 CR</t>
        </is>
      </c>
      <c r="F116" s="9" t="n">
        <v>11</v>
      </c>
      <c r="G116" s="13">
        <f>SUMIFS(Ordenes!$P$2:$P$840,Ordenes!$G$2:$G$840,$C116,Ordenes!$T$2:$T$840,"Válida")</f>
        <v/>
      </c>
      <c r="H116" s="13">
        <f>SUMIFS(Ordenes!$Q$2:$Q$840,Ordenes!$G$2:$G$840,$C116,Ordenes!$T$2:$T$840,"Válida")</f>
        <v/>
      </c>
      <c r="I116" s="14">
        <f>IFERROR(G116/H116,"")</f>
        <v/>
      </c>
      <c r="J116" s="14">
        <f>IFERROR(SUMIFS(Ordenes!$V$2:$V$840,Ordenes!$G$2:$G$840,$C116,Ordenes!$T$2:$T$840,"Válida")/H116,"")</f>
        <v/>
      </c>
      <c r="K116" s="25">
        <f>IFERROR((I116-J116)*100,"")</f>
        <v/>
      </c>
      <c r="L116" s="9">
        <f>COUNTIFS(Ordenes!$G$2:$G$840,$C116,Ordenes!$T$2:$T$840,"Válida")</f>
        <v/>
      </c>
      <c r="M116" s="9">
        <f>COUNTIFS(Ordenes!$G$2:$G$840,$C116,Ordenes!$T$2:$T$840,"A corregir")</f>
        <v/>
      </c>
      <c r="N116" s="13">
        <f>H116-G116</f>
        <v/>
      </c>
    </row>
    <row r="117">
      <c r="A117" s="9" t="n">
        <v>113</v>
      </c>
      <c r="B117" s="9" t="inlineStr">
        <is>
          <t>Ángulo</t>
        </is>
      </c>
      <c r="C117" s="9" t="inlineStr">
        <is>
          <t>ANGULO 65X65X8MM A270ES</t>
        </is>
      </c>
      <c r="D117" s="9" t="inlineStr">
        <is>
          <t>65×65×8 mm · 6 m</t>
        </is>
      </c>
      <c r="E117" s="9" t="inlineStr">
        <is>
          <t>ANG 65 x 8</t>
        </is>
      </c>
      <c r="F117" s="9" t="n">
        <v>6</v>
      </c>
      <c r="G117" s="13">
        <f>SUMIFS(Ordenes!$P$2:$P$840,Ordenes!$G$2:$G$840,$C117,Ordenes!$T$2:$T$840,"Válida")</f>
        <v/>
      </c>
      <c r="H117" s="13">
        <f>SUMIFS(Ordenes!$Q$2:$Q$840,Ordenes!$G$2:$G$840,$C117,Ordenes!$T$2:$T$840,"Válida")</f>
        <v/>
      </c>
      <c r="I117" s="14">
        <f>IFERROR(G117/H117,"")</f>
        <v/>
      </c>
      <c r="J117" s="14">
        <f>IFERROR(SUMIFS(Ordenes!$V$2:$V$840,Ordenes!$G$2:$G$840,$C117,Ordenes!$T$2:$T$840,"Válida")/H117,"")</f>
        <v/>
      </c>
      <c r="K117" s="25">
        <f>IFERROR((I117-J117)*100,"")</f>
        <v/>
      </c>
      <c r="L117" s="9">
        <f>COUNTIFS(Ordenes!$G$2:$G$840,$C117,Ordenes!$T$2:$T$840,"Válida")</f>
        <v/>
      </c>
      <c r="M117" s="9">
        <f>COUNTIFS(Ordenes!$G$2:$G$840,$C117,Ordenes!$T$2:$T$840,"A corregir")</f>
        <v/>
      </c>
      <c r="N117" s="13">
        <f>H117-G117</f>
        <v/>
      </c>
    </row>
    <row r="118">
      <c r="A118" s="9" t="n">
        <v>114</v>
      </c>
      <c r="B118" s="9" t="inlineStr">
        <is>
          <t>B Hormigón</t>
        </is>
      </c>
      <c r="C118" s="9" t="inlineStr">
        <is>
          <t>B HORMIGON 22MM 11M A630-420HS (N)</t>
        </is>
      </c>
      <c r="D118" s="9" t="inlineStr">
        <is>
          <t>Ø22 mm · 11 m</t>
        </is>
      </c>
      <c r="E118" s="9" t="inlineStr">
        <is>
          <t>RED 22 CR</t>
        </is>
      </c>
      <c r="F118" s="9" t="n">
        <v>11</v>
      </c>
      <c r="G118" s="13">
        <f>SUMIFS(Ordenes!$P$2:$P$840,Ordenes!$G$2:$G$840,$C118,Ordenes!$T$2:$T$840,"Válida")</f>
        <v/>
      </c>
      <c r="H118" s="13">
        <f>SUMIFS(Ordenes!$Q$2:$Q$840,Ordenes!$G$2:$G$840,$C118,Ordenes!$T$2:$T$840,"Válida")</f>
        <v/>
      </c>
      <c r="I118" s="14">
        <f>IFERROR(G118/H118,"")</f>
        <v/>
      </c>
      <c r="J118" s="14">
        <f>IFERROR(SUMIFS(Ordenes!$V$2:$V$840,Ordenes!$G$2:$G$840,$C118,Ordenes!$T$2:$T$840,"Válida")/H118,"")</f>
        <v/>
      </c>
      <c r="K118" s="25">
        <f>IFERROR((I118-J118)*100,"")</f>
        <v/>
      </c>
      <c r="L118" s="9">
        <f>COUNTIFS(Ordenes!$G$2:$G$840,$C118,Ordenes!$T$2:$T$840,"Válida")</f>
        <v/>
      </c>
      <c r="M118" s="9">
        <f>COUNTIFS(Ordenes!$G$2:$G$840,$C118,Ordenes!$T$2:$T$840,"A corregir")</f>
        <v/>
      </c>
      <c r="N118" s="13">
        <f>H118-G118</f>
        <v/>
      </c>
    </row>
    <row r="119">
      <c r="A119" s="9" t="n">
        <v>115</v>
      </c>
      <c r="B119" s="9" t="inlineStr">
        <is>
          <t>B Hormigón</t>
        </is>
      </c>
      <c r="C119" s="9" t="inlineStr">
        <is>
          <t>B HORMIGON 18MM 10M A630-420HS (N)</t>
        </is>
      </c>
      <c r="D119" s="9" t="inlineStr">
        <is>
          <t>Ø18 mm · 10 m</t>
        </is>
      </c>
      <c r="E119" s="9" t="inlineStr">
        <is>
          <t>RED 18 CR</t>
        </is>
      </c>
      <c r="F119" s="9" t="n">
        <v>10</v>
      </c>
      <c r="G119" s="13">
        <f>SUMIFS(Ordenes!$P$2:$P$840,Ordenes!$G$2:$G$840,$C119,Ordenes!$T$2:$T$840,"Válida")</f>
        <v/>
      </c>
      <c r="H119" s="13">
        <f>SUMIFS(Ordenes!$Q$2:$Q$840,Ordenes!$G$2:$G$840,$C119,Ordenes!$T$2:$T$840,"Válida")</f>
        <v/>
      </c>
      <c r="I119" s="14">
        <f>IFERROR(G119/H119,"")</f>
        <v/>
      </c>
      <c r="J119" s="14">
        <f>IFERROR(SUMIFS(Ordenes!$V$2:$V$840,Ordenes!$G$2:$G$840,$C119,Ordenes!$T$2:$T$840,"Válida")/H119,"")</f>
        <v/>
      </c>
      <c r="K119" s="25">
        <f>IFERROR((I119-J119)*100,"")</f>
        <v/>
      </c>
      <c r="L119" s="9">
        <f>COUNTIFS(Ordenes!$G$2:$G$840,$C119,Ordenes!$T$2:$T$840,"Válida")</f>
        <v/>
      </c>
      <c r="M119" s="9">
        <f>COUNTIFS(Ordenes!$G$2:$G$840,$C119,Ordenes!$T$2:$T$840,"A corregir")</f>
        <v/>
      </c>
      <c r="N119" s="13">
        <f>H119-G119</f>
        <v/>
      </c>
    </row>
    <row r="120">
      <c r="A120" s="9" t="n">
        <v>116</v>
      </c>
      <c r="B120" s="9" t="inlineStr">
        <is>
          <t>Plana</t>
        </is>
      </c>
      <c r="C120" s="9" t="inlineStr">
        <is>
          <t>PLANA 38X10MM 6M A270ES (N)</t>
        </is>
      </c>
      <c r="D120" s="9" t="inlineStr">
        <is>
          <t>38×10 mm · 6 m</t>
        </is>
      </c>
      <c r="E120" s="9" t="inlineStr">
        <is>
          <t>PL 38 x 10</t>
        </is>
      </c>
      <c r="F120" s="9" t="n">
        <v>6</v>
      </c>
      <c r="G120" s="13">
        <f>SUMIFS(Ordenes!$P$2:$P$840,Ordenes!$G$2:$G$840,$C120,Ordenes!$T$2:$T$840,"Válida")</f>
        <v/>
      </c>
      <c r="H120" s="13">
        <f>SUMIFS(Ordenes!$Q$2:$Q$840,Ordenes!$G$2:$G$840,$C120,Ordenes!$T$2:$T$840,"Válida")</f>
        <v/>
      </c>
      <c r="I120" s="14">
        <f>IFERROR(G120/H120,"")</f>
        <v/>
      </c>
      <c r="J120" s="14">
        <f>IFERROR(SUMIFS(Ordenes!$V$2:$V$840,Ordenes!$G$2:$G$840,$C120,Ordenes!$T$2:$T$840,"Válida")/H120,"")</f>
        <v/>
      </c>
      <c r="K120" s="25">
        <f>IFERROR((I120-J120)*100,"")</f>
        <v/>
      </c>
      <c r="L120" s="9">
        <f>COUNTIFS(Ordenes!$G$2:$G$840,$C120,Ordenes!$T$2:$T$840,"Válida")</f>
        <v/>
      </c>
      <c r="M120" s="9">
        <f>COUNTIFS(Ordenes!$G$2:$G$840,$C120,Ordenes!$T$2:$T$840,"A corregir")</f>
        <v/>
      </c>
      <c r="N120" s="13">
        <f>H120-G120</f>
        <v/>
      </c>
    </row>
    <row r="121">
      <c r="A121" s="9" t="n">
        <v>117</v>
      </c>
      <c r="B121" s="9" t="inlineStr">
        <is>
          <t>Ángulo</t>
        </is>
      </c>
      <c r="C121" s="9" t="inlineStr">
        <is>
          <t>ANGULO 80X80X10MM A270ES</t>
        </is>
      </c>
      <c r="D121" s="9" t="inlineStr">
        <is>
          <t>80×80×10 mm · 6 m</t>
        </is>
      </c>
      <c r="E121" s="9" t="inlineStr">
        <is>
          <t>ANG 80 x 10</t>
        </is>
      </c>
      <c r="F121" s="9" t="n">
        <v>6</v>
      </c>
      <c r="G121" s="13">
        <f>SUMIFS(Ordenes!$P$2:$P$840,Ordenes!$G$2:$G$840,$C121,Ordenes!$T$2:$T$840,"Válida")</f>
        <v/>
      </c>
      <c r="H121" s="13">
        <f>SUMIFS(Ordenes!$Q$2:$Q$840,Ordenes!$G$2:$G$840,$C121,Ordenes!$T$2:$T$840,"Válida")</f>
        <v/>
      </c>
      <c r="I121" s="14">
        <f>IFERROR(G121/H121,"")</f>
        <v/>
      </c>
      <c r="J121" s="14">
        <f>IFERROR(SUMIFS(Ordenes!$V$2:$V$840,Ordenes!$G$2:$G$840,$C121,Ordenes!$T$2:$T$840,"Válida")/H121,"")</f>
        <v/>
      </c>
      <c r="K121" s="25">
        <f>IFERROR((I121-J121)*100,"")</f>
        <v/>
      </c>
      <c r="L121" s="9">
        <f>COUNTIFS(Ordenes!$G$2:$G$840,$C121,Ordenes!$T$2:$T$840,"Válida")</f>
        <v/>
      </c>
      <c r="M121" s="9">
        <f>COUNTIFS(Ordenes!$G$2:$G$840,$C121,Ordenes!$T$2:$T$840,"A corregir")</f>
        <v/>
      </c>
      <c r="N121" s="13">
        <f>H121-G121</f>
        <v/>
      </c>
    </row>
    <row r="122">
      <c r="A122" s="9" t="n">
        <v>118</v>
      </c>
      <c r="B122" s="9" t="inlineStr">
        <is>
          <t>B Hormigón</t>
        </is>
      </c>
      <c r="C122" s="9" t="inlineStr">
        <is>
          <t>B HORMIGON 22MM 10M A630-420HS (N)</t>
        </is>
      </c>
      <c r="D122" s="9" t="inlineStr">
        <is>
          <t>Ø22 mm · 10 m</t>
        </is>
      </c>
      <c r="E122" s="9" t="inlineStr">
        <is>
          <t>RED 22 CR</t>
        </is>
      </c>
      <c r="F122" s="9" t="n">
        <v>10</v>
      </c>
      <c r="G122" s="13">
        <f>SUMIFS(Ordenes!$P$2:$P$840,Ordenes!$G$2:$G$840,$C122,Ordenes!$T$2:$T$840,"Válida")</f>
        <v/>
      </c>
      <c r="H122" s="13">
        <f>SUMIFS(Ordenes!$Q$2:$Q$840,Ordenes!$G$2:$G$840,$C122,Ordenes!$T$2:$T$840,"Válida")</f>
        <v/>
      </c>
      <c r="I122" s="14">
        <f>IFERROR(G122/H122,"")</f>
        <v/>
      </c>
      <c r="J122" s="14">
        <f>IFERROR(SUMIFS(Ordenes!$V$2:$V$840,Ordenes!$G$2:$G$840,$C122,Ordenes!$T$2:$T$840,"Válida")/H122,"")</f>
        <v/>
      </c>
      <c r="K122" s="25">
        <f>IFERROR((I122-J122)*100,"")</f>
        <v/>
      </c>
      <c r="L122" s="9">
        <f>COUNTIFS(Ordenes!$G$2:$G$840,$C122,Ordenes!$T$2:$T$840,"Válida")</f>
        <v/>
      </c>
      <c r="M122" s="9">
        <f>COUNTIFS(Ordenes!$G$2:$G$840,$C122,Ordenes!$T$2:$T$840,"A corregir")</f>
        <v/>
      </c>
      <c r="N122" s="13">
        <f>H122-G122</f>
        <v/>
      </c>
    </row>
    <row r="123">
      <c r="A123" s="9" t="n">
        <v>119</v>
      </c>
      <c r="B123" s="9" t="inlineStr">
        <is>
          <t>B Hormigón</t>
        </is>
      </c>
      <c r="C123" s="9" t="inlineStr">
        <is>
          <t>B HORMIGON 36MM 6M A630-420H (N)</t>
        </is>
      </c>
      <c r="D123" s="9" t="inlineStr">
        <is>
          <t>Ø36 mm · 6 m</t>
        </is>
      </c>
      <c r="E123" s="9" t="inlineStr">
        <is>
          <t>RED 36 CR</t>
        </is>
      </c>
      <c r="F123" s="9" t="n">
        <v>6</v>
      </c>
      <c r="G123" s="13">
        <f>SUMIFS(Ordenes!$P$2:$P$840,Ordenes!$G$2:$G$840,$C123,Ordenes!$T$2:$T$840,"Válida")</f>
        <v/>
      </c>
      <c r="H123" s="13">
        <f>SUMIFS(Ordenes!$Q$2:$Q$840,Ordenes!$G$2:$G$840,$C123,Ordenes!$T$2:$T$840,"Válida")</f>
        <v/>
      </c>
      <c r="I123" s="14">
        <f>IFERROR(G123/H123,"")</f>
        <v/>
      </c>
      <c r="J123" s="14">
        <f>IFERROR(SUMIFS(Ordenes!$V$2:$V$840,Ordenes!$G$2:$G$840,$C123,Ordenes!$T$2:$T$840,"Válida")/H123,"")</f>
        <v/>
      </c>
      <c r="K123" s="25">
        <f>IFERROR((I123-J123)*100,"")</f>
        <v/>
      </c>
      <c r="L123" s="9">
        <f>COUNTIFS(Ordenes!$G$2:$G$840,$C123,Ordenes!$T$2:$T$840,"Válida")</f>
        <v/>
      </c>
      <c r="M123" s="9">
        <f>COUNTIFS(Ordenes!$G$2:$G$840,$C123,Ordenes!$T$2:$T$840,"A corregir")</f>
        <v/>
      </c>
      <c r="N123" s="13">
        <f>H123-G123</f>
        <v/>
      </c>
    </row>
    <row r="124">
      <c r="A124" s="9" t="n">
        <v>120</v>
      </c>
      <c r="B124" s="9" t="inlineStr">
        <is>
          <t>Plana</t>
        </is>
      </c>
      <c r="C124" s="9" t="inlineStr">
        <is>
          <t>PLANA 100X12MM 6M A270ES (N)</t>
        </is>
      </c>
      <c r="D124" s="9" t="inlineStr">
        <is>
          <t>100×12 mm · 6 m</t>
        </is>
      </c>
      <c r="E124" s="9" t="inlineStr">
        <is>
          <t>PL 100 x 12</t>
        </is>
      </c>
      <c r="F124" s="9" t="n">
        <v>6</v>
      </c>
      <c r="G124" s="13">
        <f>SUMIFS(Ordenes!$P$2:$P$840,Ordenes!$G$2:$G$840,$C124,Ordenes!$T$2:$T$840,"Válida")</f>
        <v/>
      </c>
      <c r="H124" s="13">
        <f>SUMIFS(Ordenes!$Q$2:$Q$840,Ordenes!$G$2:$G$840,$C124,Ordenes!$T$2:$T$840,"Válida")</f>
        <v/>
      </c>
      <c r="I124" s="14">
        <f>IFERROR(G124/H124,"")</f>
        <v/>
      </c>
      <c r="J124" s="14">
        <f>IFERROR(SUMIFS(Ordenes!$V$2:$V$840,Ordenes!$G$2:$G$840,$C124,Ordenes!$T$2:$T$840,"Válida")/H124,"")</f>
        <v/>
      </c>
      <c r="K124" s="25">
        <f>IFERROR((I124-J124)*100,"")</f>
        <v/>
      </c>
      <c r="L124" s="9">
        <f>COUNTIFS(Ordenes!$G$2:$G$840,$C124,Ordenes!$T$2:$T$840,"Válida")</f>
        <v/>
      </c>
      <c r="M124" s="9">
        <f>COUNTIFS(Ordenes!$G$2:$G$840,$C124,Ordenes!$T$2:$T$840,"A corregir")</f>
        <v/>
      </c>
      <c r="N124" s="13">
        <f>H124-G124</f>
        <v/>
      </c>
    </row>
    <row r="125">
      <c r="A125" s="9" t="n">
        <v>121</v>
      </c>
      <c r="B125" s="9" t="inlineStr">
        <is>
          <t>B Hormigón</t>
        </is>
      </c>
      <c r="C125" s="9" t="inlineStr">
        <is>
          <t>B HORMIGON 32MM 7M A630-420H (N)</t>
        </is>
      </c>
      <c r="D125" s="9" t="inlineStr">
        <is>
          <t>Ø32 mm · 7 m</t>
        </is>
      </c>
      <c r="E125" s="9" t="inlineStr">
        <is>
          <t>RED 32 CR</t>
        </is>
      </c>
      <c r="F125" s="9" t="n">
        <v>7</v>
      </c>
      <c r="G125" s="13">
        <f>SUMIFS(Ordenes!$P$2:$P$840,Ordenes!$G$2:$G$840,$C125,Ordenes!$T$2:$T$840,"Válida")</f>
        <v/>
      </c>
      <c r="H125" s="13">
        <f>SUMIFS(Ordenes!$Q$2:$Q$840,Ordenes!$G$2:$G$840,$C125,Ordenes!$T$2:$T$840,"Válida")</f>
        <v/>
      </c>
      <c r="I125" s="14">
        <f>IFERROR(G125/H125,"")</f>
        <v/>
      </c>
      <c r="J125" s="14">
        <f>IFERROR(SUMIFS(Ordenes!$V$2:$V$840,Ordenes!$G$2:$G$840,$C125,Ordenes!$T$2:$T$840,"Válida")/H125,"")</f>
        <v/>
      </c>
      <c r="K125" s="25">
        <f>IFERROR((I125-J125)*100,"")</f>
        <v/>
      </c>
      <c r="L125" s="9">
        <f>COUNTIFS(Ordenes!$G$2:$G$840,$C125,Ordenes!$T$2:$T$840,"Válida")</f>
        <v/>
      </c>
      <c r="M125" s="9">
        <f>COUNTIFS(Ordenes!$G$2:$G$840,$C125,Ordenes!$T$2:$T$840,"A corregir")</f>
        <v/>
      </c>
      <c r="N125" s="13">
        <f>H125-G125</f>
        <v/>
      </c>
    </row>
    <row r="126">
      <c r="A126" s="9" t="n">
        <v>122</v>
      </c>
      <c r="B126" s="9" t="inlineStr">
        <is>
          <t>Saferock</t>
        </is>
      </c>
      <c r="C126" s="9" t="inlineStr">
        <is>
          <t>SAFEROCK 22MM 9,6M A420</t>
        </is>
      </c>
      <c r="D126" s="9" t="inlineStr">
        <is>
          <t>Ø22 mm · 9,6 m</t>
        </is>
      </c>
      <c r="E126" s="9" t="inlineStr">
        <is>
          <t>SFRCK 22</t>
        </is>
      </c>
      <c r="F126" s="9" t="n">
        <v>9.6</v>
      </c>
      <c r="G126" s="13">
        <f>SUMIFS(Ordenes!$P$2:$P$840,Ordenes!$G$2:$G$840,$C126,Ordenes!$T$2:$T$840,"Válida")</f>
        <v/>
      </c>
      <c r="H126" s="13">
        <f>SUMIFS(Ordenes!$Q$2:$Q$840,Ordenes!$G$2:$G$840,$C126,Ordenes!$T$2:$T$840,"Válida")</f>
        <v/>
      </c>
      <c r="I126" s="14">
        <f>IFERROR(G126/H126,"")</f>
        <v/>
      </c>
      <c r="J126" s="14">
        <f>IFERROR(SUMIFS(Ordenes!$V$2:$V$840,Ordenes!$G$2:$G$840,$C126,Ordenes!$T$2:$T$840,"Válida")/H126,"")</f>
        <v/>
      </c>
      <c r="K126" s="25">
        <f>IFERROR((I126-J126)*100,"")</f>
        <v/>
      </c>
      <c r="L126" s="9">
        <f>COUNTIFS(Ordenes!$G$2:$G$840,$C126,Ordenes!$T$2:$T$840,"Válida")</f>
        <v/>
      </c>
      <c r="M126" s="9">
        <f>COUNTIFS(Ordenes!$G$2:$G$840,$C126,Ordenes!$T$2:$T$840,"A corregir")</f>
        <v/>
      </c>
      <c r="N126" s="13">
        <f>H126-G126</f>
        <v/>
      </c>
    </row>
    <row r="127">
      <c r="A127" s="9" t="n">
        <v>123</v>
      </c>
      <c r="B127" s="9" t="inlineStr">
        <is>
          <t>Plana</t>
        </is>
      </c>
      <c r="C127" s="9" t="inlineStr">
        <is>
          <t>PLANA 75X12MM 6M A270ES</t>
        </is>
      </c>
      <c r="D127" s="9" t="inlineStr">
        <is>
          <t>75×12 mm · 6 m</t>
        </is>
      </c>
      <c r="E127" s="9" t="n"/>
      <c r="F127" s="9" t="n">
        <v>6</v>
      </c>
      <c r="G127" s="13">
        <f>SUMIFS(Ordenes!$P$2:$P$840,Ordenes!$G$2:$G$840,$C127,Ordenes!$T$2:$T$840,"Válida")</f>
        <v/>
      </c>
      <c r="H127" s="13">
        <f>SUMIFS(Ordenes!$Q$2:$Q$840,Ordenes!$G$2:$G$840,$C127,Ordenes!$T$2:$T$840,"Válida")</f>
        <v/>
      </c>
      <c r="I127" s="14">
        <f>IFERROR(G127/H127,"")</f>
        <v/>
      </c>
      <c r="J127" s="14">
        <f>IFERROR(SUMIFS(Ordenes!$V$2:$V$840,Ordenes!$G$2:$G$840,$C127,Ordenes!$T$2:$T$840,"Válida")/H127,"")</f>
        <v/>
      </c>
      <c r="K127" s="25">
        <f>IFERROR((I127-J127)*100,"")</f>
        <v/>
      </c>
      <c r="L127" s="9">
        <f>COUNTIFS(Ordenes!$G$2:$G$840,$C127,Ordenes!$T$2:$T$840,"Válida")</f>
        <v/>
      </c>
      <c r="M127" s="9">
        <f>COUNTIFS(Ordenes!$G$2:$G$840,$C127,Ordenes!$T$2:$T$840,"A corregir")</f>
        <v/>
      </c>
      <c r="N127" s="13">
        <f>H127-G127</f>
        <v/>
      </c>
    </row>
    <row r="128">
      <c r="A128" s="9" t="n">
        <v>124</v>
      </c>
      <c r="B128" s="9" t="inlineStr">
        <is>
          <t>B Hormigón</t>
        </is>
      </c>
      <c r="C128" s="9" t="inlineStr">
        <is>
          <t>B HORMIGON 36MM 9M A630-420H (N)</t>
        </is>
      </c>
      <c r="D128" s="9" t="inlineStr">
        <is>
          <t>Ø36 mm · 9 m</t>
        </is>
      </c>
      <c r="E128" s="9" t="inlineStr">
        <is>
          <t>RED 36 CR</t>
        </is>
      </c>
      <c r="F128" s="9" t="n">
        <v>9</v>
      </c>
      <c r="G128" s="13">
        <f>SUMIFS(Ordenes!$P$2:$P$840,Ordenes!$G$2:$G$840,$C128,Ordenes!$T$2:$T$840,"Válida")</f>
        <v/>
      </c>
      <c r="H128" s="13">
        <f>SUMIFS(Ordenes!$Q$2:$Q$840,Ordenes!$G$2:$G$840,$C128,Ordenes!$T$2:$T$840,"Válida")</f>
        <v/>
      </c>
      <c r="I128" s="14">
        <f>IFERROR(G128/H128,"")</f>
        <v/>
      </c>
      <c r="J128" s="14">
        <f>IFERROR(SUMIFS(Ordenes!$V$2:$V$840,Ordenes!$G$2:$G$840,$C128,Ordenes!$T$2:$T$840,"Válida")/H128,"")</f>
        <v/>
      </c>
      <c r="K128" s="25">
        <f>IFERROR((I128-J128)*100,"")</f>
        <v/>
      </c>
      <c r="L128" s="9">
        <f>COUNTIFS(Ordenes!$G$2:$G$840,$C128,Ordenes!$T$2:$T$840,"Válida")</f>
        <v/>
      </c>
      <c r="M128" s="9">
        <f>COUNTIFS(Ordenes!$G$2:$G$840,$C128,Ordenes!$T$2:$T$840,"A corregir")</f>
        <v/>
      </c>
      <c r="N128" s="13">
        <f>H128-G128</f>
        <v/>
      </c>
    </row>
    <row r="129">
      <c r="A129" s="9" t="n">
        <v>125</v>
      </c>
      <c r="B129" s="9" t="inlineStr">
        <is>
          <t>Plana</t>
        </is>
      </c>
      <c r="C129" s="9" t="inlineStr">
        <is>
          <t>PLANA 1"X3/16" X 6,1m ASTM A36 (P)</t>
        </is>
      </c>
      <c r="D129" s="9" t="inlineStr">
        <is>
          <t>25,4×4,8 mm · 6,1 m</t>
        </is>
      </c>
      <c r="E129" s="9" t="inlineStr">
        <is>
          <t>PL 1" x 6</t>
        </is>
      </c>
      <c r="F129" s="9" t="n">
        <v>6.1</v>
      </c>
      <c r="G129" s="13">
        <f>SUMIFS(Ordenes!$P$2:$P$840,Ordenes!$G$2:$G$840,$C129,Ordenes!$T$2:$T$840,"Válida")</f>
        <v/>
      </c>
      <c r="H129" s="13">
        <f>SUMIFS(Ordenes!$Q$2:$Q$840,Ordenes!$G$2:$G$840,$C129,Ordenes!$T$2:$T$840,"Válida")</f>
        <v/>
      </c>
      <c r="I129" s="14">
        <f>IFERROR(G129/H129,"")</f>
        <v/>
      </c>
      <c r="J129" s="14">
        <f>IFERROR(SUMIFS(Ordenes!$V$2:$V$840,Ordenes!$G$2:$G$840,$C129,Ordenes!$T$2:$T$840,"Válida")/H129,"")</f>
        <v/>
      </c>
      <c r="K129" s="25">
        <f>IFERROR((I129-J129)*100,"")</f>
        <v/>
      </c>
      <c r="L129" s="9">
        <f>COUNTIFS(Ordenes!$G$2:$G$840,$C129,Ordenes!$T$2:$T$840,"Válida")</f>
        <v/>
      </c>
      <c r="M129" s="9">
        <f>COUNTIFS(Ordenes!$G$2:$G$840,$C129,Ordenes!$T$2:$T$840,"A corregir")</f>
        <v/>
      </c>
      <c r="N129" s="13">
        <f>H129-G129</f>
        <v/>
      </c>
    </row>
    <row r="130">
      <c r="A130" s="9" t="n">
        <v>126</v>
      </c>
      <c r="B130" s="9" t="inlineStr">
        <is>
          <t>Plana</t>
        </is>
      </c>
      <c r="C130" s="9" t="inlineStr">
        <is>
          <t>PLANA 63X12MM 6M A270ES</t>
        </is>
      </c>
      <c r="D130" s="9" t="inlineStr">
        <is>
          <t>63×12 mm · 6 m</t>
        </is>
      </c>
      <c r="E130" s="9" t="inlineStr">
        <is>
          <t>PL 63 x 12</t>
        </is>
      </c>
      <c r="F130" s="9" t="n">
        <v>6</v>
      </c>
      <c r="G130" s="13">
        <f>SUMIFS(Ordenes!$P$2:$P$840,Ordenes!$G$2:$G$840,$C130,Ordenes!$T$2:$T$840,"Válida")</f>
        <v/>
      </c>
      <c r="H130" s="13">
        <f>SUMIFS(Ordenes!$Q$2:$Q$840,Ordenes!$G$2:$G$840,$C130,Ordenes!$T$2:$T$840,"Válida")</f>
        <v/>
      </c>
      <c r="I130" s="14">
        <f>IFERROR(G130/H130,"")</f>
        <v/>
      </c>
      <c r="J130" s="14">
        <f>IFERROR(SUMIFS(Ordenes!$V$2:$V$840,Ordenes!$G$2:$G$840,$C130,Ordenes!$T$2:$T$840,"Válida")/H130,"")</f>
        <v/>
      </c>
      <c r="K130" s="25">
        <f>IFERROR((I130-J130)*100,"")</f>
        <v/>
      </c>
      <c r="L130" s="9">
        <f>COUNTIFS(Ordenes!$G$2:$G$840,$C130,Ordenes!$T$2:$T$840,"Válida")</f>
        <v/>
      </c>
      <c r="M130" s="9">
        <f>COUNTIFS(Ordenes!$G$2:$G$840,$C130,Ordenes!$T$2:$T$840,"A corregir")</f>
        <v/>
      </c>
      <c r="N130" s="13">
        <f>H130-G130</f>
        <v/>
      </c>
    </row>
    <row r="131">
      <c r="A131" s="9" t="n">
        <v>127</v>
      </c>
      <c r="B131" s="9" t="inlineStr">
        <is>
          <t>Plana</t>
        </is>
      </c>
      <c r="C131" s="9" t="inlineStr">
        <is>
          <t>PLANA 75X6MM 6M A270ES (N)</t>
        </is>
      </c>
      <c r="D131" s="9" t="inlineStr">
        <is>
          <t>75×6 mm · 6 m</t>
        </is>
      </c>
      <c r="E131" s="9" t="inlineStr">
        <is>
          <t>PL 75 x 6</t>
        </is>
      </c>
      <c r="F131" s="9" t="n">
        <v>6</v>
      </c>
      <c r="G131" s="13">
        <f>SUMIFS(Ordenes!$P$2:$P$840,Ordenes!$G$2:$G$840,$C131,Ordenes!$T$2:$T$840,"Válida")</f>
        <v/>
      </c>
      <c r="H131" s="13">
        <f>SUMIFS(Ordenes!$Q$2:$Q$840,Ordenes!$G$2:$G$840,$C131,Ordenes!$T$2:$T$840,"Válida")</f>
        <v/>
      </c>
      <c r="I131" s="14">
        <f>IFERROR(G131/H131,"")</f>
        <v/>
      </c>
      <c r="J131" s="14">
        <f>IFERROR(SUMIFS(Ordenes!$V$2:$V$840,Ordenes!$G$2:$G$840,$C131,Ordenes!$T$2:$T$840,"Válida")/H131,"")</f>
        <v/>
      </c>
      <c r="K131" s="25">
        <f>IFERROR((I131-J131)*100,"")</f>
        <v/>
      </c>
      <c r="L131" s="9">
        <f>COUNTIFS(Ordenes!$G$2:$G$840,$C131,Ordenes!$T$2:$T$840,"Válida")</f>
        <v/>
      </c>
      <c r="M131" s="9">
        <f>COUNTIFS(Ordenes!$G$2:$G$840,$C131,Ordenes!$T$2:$T$840,"A corregir")</f>
        <v/>
      </c>
      <c r="N131" s="13">
        <f>H131-G131</f>
        <v/>
      </c>
    </row>
    <row r="132">
      <c r="A132" s="9" t="n">
        <v>128</v>
      </c>
      <c r="B132" s="9" t="inlineStr">
        <is>
          <t>B Hormigón</t>
        </is>
      </c>
      <c r="C132" s="9" t="inlineStr">
        <is>
          <t>B HORMIGON 18MM 11M A630-420HS (N)</t>
        </is>
      </c>
      <c r="D132" s="9" t="inlineStr">
        <is>
          <t>Ø18 mm · 11 m</t>
        </is>
      </c>
      <c r="E132" s="9" t="inlineStr">
        <is>
          <t>RED 18 CR</t>
        </is>
      </c>
      <c r="F132" s="9" t="n">
        <v>11</v>
      </c>
      <c r="G132" s="13">
        <f>SUMIFS(Ordenes!$P$2:$P$840,Ordenes!$G$2:$G$840,$C132,Ordenes!$T$2:$T$840,"Válida")</f>
        <v/>
      </c>
      <c r="H132" s="13">
        <f>SUMIFS(Ordenes!$Q$2:$Q$840,Ordenes!$G$2:$G$840,$C132,Ordenes!$T$2:$T$840,"Válida")</f>
        <v/>
      </c>
      <c r="I132" s="14">
        <f>IFERROR(G132/H132,"")</f>
        <v/>
      </c>
      <c r="J132" s="14">
        <f>IFERROR(SUMIFS(Ordenes!$V$2:$V$840,Ordenes!$G$2:$G$840,$C132,Ordenes!$T$2:$T$840,"Válida")/H132,"")</f>
        <v/>
      </c>
      <c r="K132" s="25">
        <f>IFERROR((I132-J132)*100,"")</f>
        <v/>
      </c>
      <c r="L132" s="9">
        <f>COUNTIFS(Ordenes!$G$2:$G$840,$C132,Ordenes!$T$2:$T$840,"Válida")</f>
        <v/>
      </c>
      <c r="M132" s="9">
        <f>COUNTIFS(Ordenes!$G$2:$G$840,$C132,Ordenes!$T$2:$T$840,"A corregir")</f>
        <v/>
      </c>
      <c r="N132" s="13">
        <f>H132-G132</f>
        <v/>
      </c>
    </row>
    <row r="133">
      <c r="A133" s="9" t="n">
        <v>129</v>
      </c>
      <c r="B133" s="9" t="inlineStr">
        <is>
          <t>Saferock</t>
        </is>
      </c>
      <c r="C133" s="9" t="inlineStr">
        <is>
          <t>SAFEROCK 25MM 11,6M A420</t>
        </is>
      </c>
      <c r="D133" s="9" t="inlineStr">
        <is>
          <t>Ø25 mm · 11,6 m</t>
        </is>
      </c>
      <c r="E133" s="9" t="inlineStr">
        <is>
          <t>SFR 25</t>
        </is>
      </c>
      <c r="F133" s="9" t="n">
        <v>11.6</v>
      </c>
      <c r="G133" s="13">
        <f>SUMIFS(Ordenes!$P$2:$P$840,Ordenes!$G$2:$G$840,$C133,Ordenes!$T$2:$T$840,"Válida")</f>
        <v/>
      </c>
      <c r="H133" s="13">
        <f>SUMIFS(Ordenes!$Q$2:$Q$840,Ordenes!$G$2:$G$840,$C133,Ordenes!$T$2:$T$840,"Válida")</f>
        <v/>
      </c>
      <c r="I133" s="14">
        <f>IFERROR(G133/H133,"")</f>
        <v/>
      </c>
      <c r="J133" s="14">
        <f>IFERROR(SUMIFS(Ordenes!$V$2:$V$840,Ordenes!$G$2:$G$840,$C133,Ordenes!$T$2:$T$840,"Válida")/H133,"")</f>
        <v/>
      </c>
      <c r="K133" s="25">
        <f>IFERROR((I133-J133)*100,"")</f>
        <v/>
      </c>
      <c r="L133" s="9">
        <f>COUNTIFS(Ordenes!$G$2:$G$840,$C133,Ordenes!$T$2:$T$840,"Válida")</f>
        <v/>
      </c>
      <c r="M133" s="9">
        <f>COUNTIFS(Ordenes!$G$2:$G$840,$C133,Ordenes!$T$2:$T$840,"A corregir")</f>
        <v/>
      </c>
      <c r="N133" s="13">
        <f>H133-G133</f>
        <v/>
      </c>
    </row>
    <row r="134">
      <c r="A134" s="9" t="n">
        <v>130</v>
      </c>
      <c r="B134" s="9" t="inlineStr">
        <is>
          <t>Plana</t>
        </is>
      </c>
      <c r="C134" s="9" t="inlineStr">
        <is>
          <t>PLANA 63X10MM 6M A270 (N)</t>
        </is>
      </c>
      <c r="D134" s="9" t="inlineStr">
        <is>
          <t>63×10 mm · 6 m</t>
        </is>
      </c>
      <c r="E134" s="9" t="inlineStr">
        <is>
          <t>PL 63 x 10</t>
        </is>
      </c>
      <c r="F134" s="9" t="n">
        <v>6</v>
      </c>
      <c r="G134" s="13">
        <f>SUMIFS(Ordenes!$P$2:$P$840,Ordenes!$G$2:$G$840,$C134,Ordenes!$T$2:$T$840,"Válida")</f>
        <v/>
      </c>
      <c r="H134" s="13">
        <f>SUMIFS(Ordenes!$Q$2:$Q$840,Ordenes!$G$2:$G$840,$C134,Ordenes!$T$2:$T$840,"Válida")</f>
        <v/>
      </c>
      <c r="I134" s="14">
        <f>IFERROR(G134/H134,"")</f>
        <v/>
      </c>
      <c r="J134" s="14">
        <f>IFERROR(SUMIFS(Ordenes!$V$2:$V$840,Ordenes!$G$2:$G$840,$C134,Ordenes!$T$2:$T$840,"Válida")/H134,"")</f>
        <v/>
      </c>
      <c r="K134" s="25">
        <f>IFERROR((I134-J134)*100,"")</f>
        <v/>
      </c>
      <c r="L134" s="9">
        <f>COUNTIFS(Ordenes!$G$2:$G$840,$C134,Ordenes!$T$2:$T$840,"Válida")</f>
        <v/>
      </c>
      <c r="M134" s="9">
        <f>COUNTIFS(Ordenes!$G$2:$G$840,$C134,Ordenes!$T$2:$T$840,"A corregir")</f>
        <v/>
      </c>
      <c r="N134" s="13">
        <f>H134-G134</f>
        <v/>
      </c>
    </row>
    <row r="135">
      <c r="A135" s="9" t="n">
        <v>131</v>
      </c>
      <c r="B135" s="9" t="inlineStr">
        <is>
          <t>B Hormigón</t>
        </is>
      </c>
      <c r="C135" s="9" t="inlineStr">
        <is>
          <t>B HORMIGON 32MM 10M A630-420HS (N)</t>
        </is>
      </c>
      <c r="D135" s="9" t="inlineStr">
        <is>
          <t>Ø32 mm · 10 m</t>
        </is>
      </c>
      <c r="E135" s="9" t="inlineStr">
        <is>
          <t>RED 32 CR</t>
        </is>
      </c>
      <c r="F135" s="9" t="n">
        <v>10</v>
      </c>
      <c r="G135" s="13">
        <f>SUMIFS(Ordenes!$P$2:$P$840,Ordenes!$G$2:$G$840,$C135,Ordenes!$T$2:$T$840,"Válida")</f>
        <v/>
      </c>
      <c r="H135" s="13">
        <f>SUMIFS(Ordenes!$Q$2:$Q$840,Ordenes!$G$2:$G$840,$C135,Ordenes!$T$2:$T$840,"Válida")</f>
        <v/>
      </c>
      <c r="I135" s="14">
        <f>IFERROR(G135/H135,"")</f>
        <v/>
      </c>
      <c r="J135" s="14">
        <f>IFERROR(SUMIFS(Ordenes!$V$2:$V$840,Ordenes!$G$2:$G$840,$C135,Ordenes!$T$2:$T$840,"Válida")/H135,"")</f>
        <v/>
      </c>
      <c r="K135" s="25">
        <f>IFERROR((I135-J135)*100,"")</f>
        <v/>
      </c>
      <c r="L135" s="9">
        <f>COUNTIFS(Ordenes!$G$2:$G$840,$C135,Ordenes!$T$2:$T$840,"Válida")</f>
        <v/>
      </c>
      <c r="M135" s="9">
        <f>COUNTIFS(Ordenes!$G$2:$G$840,$C135,Ordenes!$T$2:$T$840,"A corregir")</f>
        <v/>
      </c>
      <c r="N135" s="13">
        <f>H135-G135</f>
        <v/>
      </c>
    </row>
    <row r="136">
      <c r="A136" s="9" t="n">
        <v>132</v>
      </c>
      <c r="B136" s="9" t="inlineStr">
        <is>
          <t>Plana</t>
        </is>
      </c>
      <c r="C136" s="9" t="inlineStr">
        <is>
          <t>PLANA 32X10MM 6M A270ES (N)</t>
        </is>
      </c>
      <c r="D136" s="9" t="inlineStr">
        <is>
          <t>32×10 mm · 6 m</t>
        </is>
      </c>
      <c r="E136" s="9" t="inlineStr">
        <is>
          <t>PL 32 x 10</t>
        </is>
      </c>
      <c r="F136" s="9" t="n">
        <v>6</v>
      </c>
      <c r="G136" s="13">
        <f>SUMIFS(Ordenes!$P$2:$P$840,Ordenes!$G$2:$G$840,$C136,Ordenes!$T$2:$T$840,"Válida")</f>
        <v/>
      </c>
      <c r="H136" s="13">
        <f>SUMIFS(Ordenes!$Q$2:$Q$840,Ordenes!$G$2:$G$840,$C136,Ordenes!$T$2:$T$840,"Válida")</f>
        <v/>
      </c>
      <c r="I136" s="14">
        <f>IFERROR(G136/H136,"")</f>
        <v/>
      </c>
      <c r="J136" s="14">
        <f>IFERROR(SUMIFS(Ordenes!$V$2:$V$840,Ordenes!$G$2:$G$840,$C136,Ordenes!$T$2:$T$840,"Válida")/H136,"")</f>
        <v/>
      </c>
      <c r="K136" s="25">
        <f>IFERROR((I136-J136)*100,"")</f>
        <v/>
      </c>
      <c r="L136" s="9">
        <f>COUNTIFS(Ordenes!$G$2:$G$840,$C136,Ordenes!$T$2:$T$840,"Válida")</f>
        <v/>
      </c>
      <c r="M136" s="9">
        <f>COUNTIFS(Ordenes!$G$2:$G$840,$C136,Ordenes!$T$2:$T$840,"A corregir")</f>
        <v/>
      </c>
      <c r="N136" s="13">
        <f>H136-G136</f>
        <v/>
      </c>
    </row>
    <row r="137">
      <c r="A137" s="9" t="n">
        <v>133</v>
      </c>
      <c r="B137" s="9" t="inlineStr">
        <is>
          <t>Saferock</t>
        </is>
      </c>
      <c r="C137" s="9" t="inlineStr">
        <is>
          <t>SAFEROCK 25MM 10,5M A280</t>
        </is>
      </c>
      <c r="D137" s="9" t="inlineStr">
        <is>
          <t>Ø25 mm · 10,5 m</t>
        </is>
      </c>
      <c r="E137" s="9" t="inlineStr">
        <is>
          <t>SFR 25</t>
        </is>
      </c>
      <c r="F137" s="9" t="n">
        <v>10.5</v>
      </c>
      <c r="G137" s="13">
        <f>SUMIFS(Ordenes!$P$2:$P$840,Ordenes!$G$2:$G$840,$C137,Ordenes!$T$2:$T$840,"Válida")</f>
        <v/>
      </c>
      <c r="H137" s="13">
        <f>SUMIFS(Ordenes!$Q$2:$Q$840,Ordenes!$G$2:$G$840,$C137,Ordenes!$T$2:$T$840,"Válida")</f>
        <v/>
      </c>
      <c r="I137" s="14">
        <f>IFERROR(G137/H137,"")</f>
        <v/>
      </c>
      <c r="J137" s="14">
        <f>IFERROR(SUMIFS(Ordenes!$V$2:$V$840,Ordenes!$G$2:$G$840,$C137,Ordenes!$T$2:$T$840,"Válida")/H137,"")</f>
        <v/>
      </c>
      <c r="K137" s="25">
        <f>IFERROR((I137-J137)*100,"")</f>
        <v/>
      </c>
      <c r="L137" s="9">
        <f>COUNTIFS(Ordenes!$G$2:$G$840,$C137,Ordenes!$T$2:$T$840,"Válida")</f>
        <v/>
      </c>
      <c r="M137" s="9">
        <f>COUNTIFS(Ordenes!$G$2:$G$840,$C137,Ordenes!$T$2:$T$840,"A corregir")</f>
        <v/>
      </c>
      <c r="N137" s="13">
        <f>H137-G137</f>
        <v/>
      </c>
    </row>
    <row r="138">
      <c r="A138" s="9" t="n">
        <v>134</v>
      </c>
      <c r="B138" s="9" t="inlineStr">
        <is>
          <t>Redondo liso</t>
        </is>
      </c>
      <c r="C138" s="9" t="inlineStr">
        <is>
          <t>REDONDO LISO 1 1/4' 6M ASTM A 36 (N)</t>
        </is>
      </c>
      <c r="D138" s="9" t="inlineStr">
        <is>
          <t>Ø31,8 mm · 6 m</t>
        </is>
      </c>
      <c r="E138" s="9" t="inlineStr">
        <is>
          <t>RED 1,1/4</t>
        </is>
      </c>
      <c r="F138" s="9" t="n">
        <v>6</v>
      </c>
      <c r="G138" s="13">
        <f>SUMIFS(Ordenes!$P$2:$P$840,Ordenes!$G$2:$G$840,$C138,Ordenes!$T$2:$T$840,"Válida")</f>
        <v/>
      </c>
      <c r="H138" s="13">
        <f>SUMIFS(Ordenes!$Q$2:$Q$840,Ordenes!$G$2:$G$840,$C138,Ordenes!$T$2:$T$840,"Válida")</f>
        <v/>
      </c>
      <c r="I138" s="14">
        <f>IFERROR(G138/H138,"")</f>
        <v/>
      </c>
      <c r="J138" s="14">
        <f>IFERROR(SUMIFS(Ordenes!$V$2:$V$840,Ordenes!$G$2:$G$840,$C138,Ordenes!$T$2:$T$840,"Válida")/H138,"")</f>
        <v/>
      </c>
      <c r="K138" s="25">
        <f>IFERROR((I138-J138)*100,"")</f>
        <v/>
      </c>
      <c r="L138" s="9">
        <f>COUNTIFS(Ordenes!$G$2:$G$840,$C138,Ordenes!$T$2:$T$840,"Válida")</f>
        <v/>
      </c>
      <c r="M138" s="9">
        <f>COUNTIFS(Ordenes!$G$2:$G$840,$C138,Ordenes!$T$2:$T$840,"A corregir")</f>
        <v/>
      </c>
      <c r="N138" s="13">
        <f>H138-G138</f>
        <v/>
      </c>
    </row>
    <row r="139">
      <c r="A139" s="9" t="n">
        <v>135</v>
      </c>
      <c r="B139" s="9" t="inlineStr">
        <is>
          <t>Saferock</t>
        </is>
      </c>
      <c r="C139" s="9" t="inlineStr">
        <is>
          <t>SAFEROCK 25MM 10,8M A280</t>
        </is>
      </c>
      <c r="D139" s="9" t="inlineStr">
        <is>
          <t>Ø25 mm · 10,8 m</t>
        </is>
      </c>
      <c r="E139" s="9" t="inlineStr">
        <is>
          <t>SFR 25</t>
        </is>
      </c>
      <c r="F139" s="9" t="n">
        <v>10.8</v>
      </c>
      <c r="G139" s="13">
        <f>SUMIFS(Ordenes!$P$2:$P$840,Ordenes!$G$2:$G$840,$C139,Ordenes!$T$2:$T$840,"Válida")</f>
        <v/>
      </c>
      <c r="H139" s="13">
        <f>SUMIFS(Ordenes!$Q$2:$Q$840,Ordenes!$G$2:$G$840,$C139,Ordenes!$T$2:$T$840,"Válida")</f>
        <v/>
      </c>
      <c r="I139" s="14">
        <f>IFERROR(G139/H139,"")</f>
        <v/>
      </c>
      <c r="J139" s="14">
        <f>IFERROR(SUMIFS(Ordenes!$V$2:$V$840,Ordenes!$G$2:$G$840,$C139,Ordenes!$T$2:$T$840,"Válida")/H139,"")</f>
        <v/>
      </c>
      <c r="K139" s="25">
        <f>IFERROR((I139-J139)*100,"")</f>
        <v/>
      </c>
      <c r="L139" s="9">
        <f>COUNTIFS(Ordenes!$G$2:$G$840,$C139,Ordenes!$T$2:$T$840,"Válida")</f>
        <v/>
      </c>
      <c r="M139" s="9">
        <f>COUNTIFS(Ordenes!$G$2:$G$840,$C139,Ordenes!$T$2:$T$840,"A corregir")</f>
        <v/>
      </c>
      <c r="N139" s="13">
        <f>H139-G139</f>
        <v/>
      </c>
    </row>
    <row r="140">
      <c r="A140" s="9" t="n">
        <v>136</v>
      </c>
      <c r="B140" s="9" t="inlineStr">
        <is>
          <t>Redondo liso</t>
        </is>
      </c>
      <c r="C140" s="9" t="inlineStr">
        <is>
          <t>REDONDO LISO 1/2' 6M SAE 1020 (N)</t>
        </is>
      </c>
      <c r="D140" s="9" t="inlineStr">
        <is>
          <t>Ø12,7 mm · 6 m</t>
        </is>
      </c>
      <c r="E140" s="9" t="inlineStr">
        <is>
          <t>RED 1/2"</t>
        </is>
      </c>
      <c r="F140" s="9" t="n">
        <v>6</v>
      </c>
      <c r="G140" s="13">
        <f>SUMIFS(Ordenes!$P$2:$P$840,Ordenes!$G$2:$G$840,$C140,Ordenes!$T$2:$T$840,"Válida")</f>
        <v/>
      </c>
      <c r="H140" s="13">
        <f>SUMIFS(Ordenes!$Q$2:$Q$840,Ordenes!$G$2:$G$840,$C140,Ordenes!$T$2:$T$840,"Válida")</f>
        <v/>
      </c>
      <c r="I140" s="14">
        <f>IFERROR(G140/H140,"")</f>
        <v/>
      </c>
      <c r="J140" s="14">
        <f>IFERROR(SUMIFS(Ordenes!$V$2:$V$840,Ordenes!$G$2:$G$840,$C140,Ordenes!$T$2:$T$840,"Válida")/H140,"")</f>
        <v/>
      </c>
      <c r="K140" s="25">
        <f>IFERROR((I140-J140)*100,"")</f>
        <v/>
      </c>
      <c r="L140" s="9">
        <f>COUNTIFS(Ordenes!$G$2:$G$840,$C140,Ordenes!$T$2:$T$840,"Válida")</f>
        <v/>
      </c>
      <c r="M140" s="9">
        <f>COUNTIFS(Ordenes!$G$2:$G$840,$C140,Ordenes!$T$2:$T$840,"A corregir")</f>
        <v/>
      </c>
      <c r="N140" s="13">
        <f>H140-G140</f>
        <v/>
      </c>
    </row>
    <row r="141">
      <c r="A141" s="9" t="n">
        <v>137</v>
      </c>
      <c r="B141" s="9" t="inlineStr">
        <is>
          <t>Ángulo</t>
        </is>
      </c>
      <c r="C141" s="9" t="inlineStr">
        <is>
          <t>ANGULO 65X65X10MM A270ES</t>
        </is>
      </c>
      <c r="D141" s="9" t="inlineStr">
        <is>
          <t>65×65×10 mm · 6 m</t>
        </is>
      </c>
      <c r="E141" s="9" t="inlineStr">
        <is>
          <t>ANG 65 x 10</t>
        </is>
      </c>
      <c r="F141" s="9" t="n">
        <v>6</v>
      </c>
      <c r="G141" s="13">
        <f>SUMIFS(Ordenes!$P$2:$P$840,Ordenes!$G$2:$G$840,$C141,Ordenes!$T$2:$T$840,"Válida")</f>
        <v/>
      </c>
      <c r="H141" s="13">
        <f>SUMIFS(Ordenes!$Q$2:$Q$840,Ordenes!$G$2:$G$840,$C141,Ordenes!$T$2:$T$840,"Válida")</f>
        <v/>
      </c>
      <c r="I141" s="14">
        <f>IFERROR(G141/H141,"")</f>
        <v/>
      </c>
      <c r="J141" s="14">
        <f>IFERROR(SUMIFS(Ordenes!$V$2:$V$840,Ordenes!$G$2:$G$840,$C141,Ordenes!$T$2:$T$840,"Válida")/H141,"")</f>
        <v/>
      </c>
      <c r="K141" s="25">
        <f>IFERROR((I141-J141)*100,"")</f>
        <v/>
      </c>
      <c r="L141" s="9">
        <f>COUNTIFS(Ordenes!$G$2:$G$840,$C141,Ordenes!$T$2:$T$840,"Válida")</f>
        <v/>
      </c>
      <c r="M141" s="9">
        <f>COUNTIFS(Ordenes!$G$2:$G$840,$C141,Ordenes!$T$2:$T$840,"A corregir")</f>
        <v/>
      </c>
      <c r="N141" s="13">
        <f>H141-G141</f>
        <v/>
      </c>
    </row>
    <row r="142">
      <c r="A142" s="9" t="n">
        <v>138</v>
      </c>
      <c r="B142" s="9" t="inlineStr">
        <is>
          <t>Redondo liso</t>
        </is>
      </c>
      <c r="C142" s="9" t="inlineStr">
        <is>
          <t>REDONDO LISO 7/8' 6M ASTM A 36 (N)</t>
        </is>
      </c>
      <c r="D142" s="9" t="inlineStr">
        <is>
          <t>Ø22,2 mm · 6 m</t>
        </is>
      </c>
      <c r="E142" s="9" t="inlineStr">
        <is>
          <t>RED 7/8</t>
        </is>
      </c>
      <c r="F142" s="9" t="n">
        <v>6</v>
      </c>
      <c r="G142" s="13">
        <f>SUMIFS(Ordenes!$P$2:$P$840,Ordenes!$G$2:$G$840,$C142,Ordenes!$T$2:$T$840,"Válida")</f>
        <v/>
      </c>
      <c r="H142" s="13">
        <f>SUMIFS(Ordenes!$Q$2:$Q$840,Ordenes!$G$2:$G$840,$C142,Ordenes!$T$2:$T$840,"Válida")</f>
        <v/>
      </c>
      <c r="I142" s="14">
        <f>IFERROR(G142/H142,"")</f>
        <v/>
      </c>
      <c r="J142" s="14">
        <f>IFERROR(SUMIFS(Ordenes!$V$2:$V$840,Ordenes!$G$2:$G$840,$C142,Ordenes!$T$2:$T$840,"Válida")/H142,"")</f>
        <v/>
      </c>
      <c r="K142" s="25">
        <f>IFERROR((I142-J142)*100,"")</f>
        <v/>
      </c>
      <c r="L142" s="9">
        <f>COUNTIFS(Ordenes!$G$2:$G$840,$C142,Ordenes!$T$2:$T$840,"Válida")</f>
        <v/>
      </c>
      <c r="M142" s="9">
        <f>COUNTIFS(Ordenes!$G$2:$G$840,$C142,Ordenes!$T$2:$T$840,"A corregir")</f>
        <v/>
      </c>
      <c r="N142" s="13">
        <f>H142-G142</f>
        <v/>
      </c>
    </row>
    <row r="143">
      <c r="A143" s="9" t="n">
        <v>139</v>
      </c>
      <c r="B143" s="9" t="inlineStr">
        <is>
          <t>B Hormigón</t>
        </is>
      </c>
      <c r="C143" s="9" t="inlineStr">
        <is>
          <t>B HORMIGON 36MM 10M A630-420H (N)</t>
        </is>
      </c>
      <c r="D143" s="9" t="inlineStr">
        <is>
          <t>Ø36 mm · 10 m</t>
        </is>
      </c>
      <c r="E143" s="9" t="inlineStr">
        <is>
          <t>RED 36 CR</t>
        </is>
      </c>
      <c r="F143" s="9" t="n">
        <v>10</v>
      </c>
      <c r="G143" s="13">
        <f>SUMIFS(Ordenes!$P$2:$P$840,Ordenes!$G$2:$G$840,$C143,Ordenes!$T$2:$T$840,"Válida")</f>
        <v/>
      </c>
      <c r="H143" s="13">
        <f>SUMIFS(Ordenes!$Q$2:$Q$840,Ordenes!$G$2:$G$840,$C143,Ordenes!$T$2:$T$840,"Válida")</f>
        <v/>
      </c>
      <c r="I143" s="14">
        <f>IFERROR(G143/H143,"")</f>
        <v/>
      </c>
      <c r="J143" s="14">
        <f>IFERROR(SUMIFS(Ordenes!$V$2:$V$840,Ordenes!$G$2:$G$840,$C143,Ordenes!$T$2:$T$840,"Válida")/H143,"")</f>
        <v/>
      </c>
      <c r="K143" s="25">
        <f>IFERROR((I143-J143)*100,"")</f>
        <v/>
      </c>
      <c r="L143" s="9">
        <f>COUNTIFS(Ordenes!$G$2:$G$840,$C143,Ordenes!$T$2:$T$840,"Válida")</f>
        <v/>
      </c>
      <c r="M143" s="9">
        <f>COUNTIFS(Ordenes!$G$2:$G$840,$C143,Ordenes!$T$2:$T$840,"A corregir")</f>
        <v/>
      </c>
      <c r="N143" s="13">
        <f>H143-G143</f>
        <v/>
      </c>
    </row>
    <row r="144">
      <c r="A144" s="9" t="n">
        <v>140</v>
      </c>
      <c r="B144" s="9" t="inlineStr">
        <is>
          <t>Plana</t>
        </is>
      </c>
      <c r="C144" s="9" t="inlineStr">
        <is>
          <t>PLANA 38X8MM 6M A270ES (N)</t>
        </is>
      </c>
      <c r="D144" s="9" t="inlineStr">
        <is>
          <t>38×8 mm · 6 m</t>
        </is>
      </c>
      <c r="E144" s="9" t="inlineStr">
        <is>
          <t>PL 38 x 8</t>
        </is>
      </c>
      <c r="F144" s="9" t="n">
        <v>6</v>
      </c>
      <c r="G144" s="13">
        <f>SUMIFS(Ordenes!$P$2:$P$840,Ordenes!$G$2:$G$840,$C144,Ordenes!$T$2:$T$840,"Válida")</f>
        <v/>
      </c>
      <c r="H144" s="13">
        <f>SUMIFS(Ordenes!$Q$2:$Q$840,Ordenes!$G$2:$G$840,$C144,Ordenes!$T$2:$T$840,"Válida")</f>
        <v/>
      </c>
      <c r="I144" s="14">
        <f>IFERROR(G144/H144,"")</f>
        <v/>
      </c>
      <c r="J144" s="14">
        <f>IFERROR(SUMIFS(Ordenes!$V$2:$V$840,Ordenes!$G$2:$G$840,$C144,Ordenes!$T$2:$T$840,"Válida")/H144,"")</f>
        <v/>
      </c>
      <c r="K144" s="25">
        <f>IFERROR((I144-J144)*100,"")</f>
        <v/>
      </c>
      <c r="L144" s="9">
        <f>COUNTIFS(Ordenes!$G$2:$G$840,$C144,Ordenes!$T$2:$T$840,"Válida")</f>
        <v/>
      </c>
      <c r="M144" s="9">
        <f>COUNTIFS(Ordenes!$G$2:$G$840,$C144,Ordenes!$T$2:$T$840,"A corregir")</f>
        <v/>
      </c>
      <c r="N144" s="13">
        <f>H144-G144</f>
        <v/>
      </c>
    </row>
    <row r="145">
      <c r="A145" s="9" t="n">
        <v>141</v>
      </c>
      <c r="B145" s="9" t="inlineStr">
        <is>
          <t>Redondo liso</t>
        </is>
      </c>
      <c r="C145" s="9" t="inlineStr">
        <is>
          <t>REDONDO LISO 18MM 6M SAE 1020 (N)</t>
        </is>
      </c>
      <c r="D145" s="9" t="inlineStr">
        <is>
          <t>Ø18 mm · 6 m</t>
        </is>
      </c>
      <c r="E145" s="9" t="inlineStr">
        <is>
          <t>RED 18</t>
        </is>
      </c>
      <c r="F145" s="9" t="n">
        <v>6</v>
      </c>
      <c r="G145" s="13">
        <f>SUMIFS(Ordenes!$P$2:$P$840,Ordenes!$G$2:$G$840,$C145,Ordenes!$T$2:$T$840,"Válida")</f>
        <v/>
      </c>
      <c r="H145" s="13">
        <f>SUMIFS(Ordenes!$Q$2:$Q$840,Ordenes!$G$2:$G$840,$C145,Ordenes!$T$2:$T$840,"Válida")</f>
        <v/>
      </c>
      <c r="I145" s="14">
        <f>IFERROR(G145/H145,"")</f>
        <v/>
      </c>
      <c r="J145" s="14">
        <f>IFERROR(SUMIFS(Ordenes!$V$2:$V$840,Ordenes!$G$2:$G$840,$C145,Ordenes!$T$2:$T$840,"Válida")/H145,"")</f>
        <v/>
      </c>
      <c r="K145" s="25">
        <f>IFERROR((I145-J145)*100,"")</f>
        <v/>
      </c>
      <c r="L145" s="9">
        <f>COUNTIFS(Ordenes!$G$2:$G$840,$C145,Ordenes!$T$2:$T$840,"Válida")</f>
        <v/>
      </c>
      <c r="M145" s="9">
        <f>COUNTIFS(Ordenes!$G$2:$G$840,$C145,Ordenes!$T$2:$T$840,"A corregir")</f>
        <v/>
      </c>
      <c r="N145" s="13">
        <f>H145-G145</f>
        <v/>
      </c>
    </row>
    <row r="146">
      <c r="A146" s="9" t="n">
        <v>142</v>
      </c>
      <c r="B146" s="9" t="inlineStr">
        <is>
          <t>Redondo liso</t>
        </is>
      </c>
      <c r="C146" s="9" t="inlineStr">
        <is>
          <t>REDONDO LISO 1 3/4' 6M SAE 1045 (N)</t>
        </is>
      </c>
      <c r="D146" s="9" t="inlineStr">
        <is>
          <t>Ø44,4 mm · 6 m</t>
        </is>
      </c>
      <c r="E146" s="9" t="inlineStr">
        <is>
          <t>RL 1,3/4</t>
        </is>
      </c>
      <c r="F146" s="9" t="n">
        <v>6</v>
      </c>
      <c r="G146" s="13">
        <f>SUMIFS(Ordenes!$P$2:$P$840,Ordenes!$G$2:$G$840,$C146,Ordenes!$T$2:$T$840,"Válida")</f>
        <v/>
      </c>
      <c r="H146" s="13">
        <f>SUMIFS(Ordenes!$Q$2:$Q$840,Ordenes!$G$2:$G$840,$C146,Ordenes!$T$2:$T$840,"Válida")</f>
        <v/>
      </c>
      <c r="I146" s="14">
        <f>IFERROR(G146/H146,"")</f>
        <v/>
      </c>
      <c r="J146" s="14">
        <f>IFERROR(SUMIFS(Ordenes!$V$2:$V$840,Ordenes!$G$2:$G$840,$C146,Ordenes!$T$2:$T$840,"Válida")/H146,"")</f>
        <v/>
      </c>
      <c r="K146" s="25">
        <f>IFERROR((I146-J146)*100,"")</f>
        <v/>
      </c>
      <c r="L146" s="9">
        <f>COUNTIFS(Ordenes!$G$2:$G$840,$C146,Ordenes!$T$2:$T$840,"Válida")</f>
        <v/>
      </c>
      <c r="M146" s="9">
        <f>COUNTIFS(Ordenes!$G$2:$G$840,$C146,Ordenes!$T$2:$T$840,"A corregir")</f>
        <v/>
      </c>
      <c r="N146" s="13">
        <f>H146-G146</f>
        <v/>
      </c>
    </row>
    <row r="147">
      <c r="A147" s="9" t="n">
        <v>143</v>
      </c>
      <c r="B147" s="9" t="inlineStr">
        <is>
          <t>Ángulo</t>
        </is>
      </c>
      <c r="C147" s="9" t="inlineStr">
        <is>
          <t>ANG 80X80X6MM 12M ASTM A572 T2 (N)</t>
        </is>
      </c>
      <c r="D147" s="9" t="inlineStr">
        <is>
          <t>80×80×6 mm · 12 m</t>
        </is>
      </c>
      <c r="E147" s="9" t="inlineStr">
        <is>
          <t>ANG 80 x 6</t>
        </is>
      </c>
      <c r="F147" s="9" t="n">
        <v>12</v>
      </c>
      <c r="G147" s="13">
        <f>SUMIFS(Ordenes!$P$2:$P$840,Ordenes!$G$2:$G$840,$C147,Ordenes!$T$2:$T$840,"Válida")</f>
        <v/>
      </c>
      <c r="H147" s="13">
        <f>SUMIFS(Ordenes!$Q$2:$Q$840,Ordenes!$G$2:$G$840,$C147,Ordenes!$T$2:$T$840,"Válida")</f>
        <v/>
      </c>
      <c r="I147" s="14">
        <f>IFERROR(G147/H147,"")</f>
        <v/>
      </c>
      <c r="J147" s="14">
        <f>IFERROR(SUMIFS(Ordenes!$V$2:$V$840,Ordenes!$G$2:$G$840,$C147,Ordenes!$T$2:$T$840,"Válida")/H147,"")</f>
        <v/>
      </c>
      <c r="K147" s="25">
        <f>IFERROR((I147-J147)*100,"")</f>
        <v/>
      </c>
      <c r="L147" s="9">
        <f>COUNTIFS(Ordenes!$G$2:$G$840,$C147,Ordenes!$T$2:$T$840,"Válida")</f>
        <v/>
      </c>
      <c r="M147" s="9">
        <f>COUNTIFS(Ordenes!$G$2:$G$840,$C147,Ordenes!$T$2:$T$840,"A corregir")</f>
        <v/>
      </c>
      <c r="N147" s="13">
        <f>H147-G147</f>
        <v/>
      </c>
    </row>
    <row r="148">
      <c r="A148" s="9" t="n">
        <v>144</v>
      </c>
      <c r="B148" s="9" t="inlineStr">
        <is>
          <t>Plana</t>
        </is>
      </c>
      <c r="C148" s="9" t="inlineStr">
        <is>
          <t>PLANA 18X8MM 6M COM (Canto-RED) (N)</t>
        </is>
      </c>
      <c r="D148" s="9" t="inlineStr">
        <is>
          <t>18×8 mm · 6 m</t>
        </is>
      </c>
      <c r="E148" s="9" t="inlineStr">
        <is>
          <t>PL 18 x 8</t>
        </is>
      </c>
      <c r="F148" s="9" t="n">
        <v>6</v>
      </c>
      <c r="G148" s="13">
        <f>SUMIFS(Ordenes!$P$2:$P$840,Ordenes!$G$2:$G$840,$C148,Ordenes!$T$2:$T$840,"Válida")</f>
        <v/>
      </c>
      <c r="H148" s="13">
        <f>SUMIFS(Ordenes!$Q$2:$Q$840,Ordenes!$G$2:$G$840,$C148,Ordenes!$T$2:$T$840,"Válida")</f>
        <v/>
      </c>
      <c r="I148" s="14">
        <f>IFERROR(G148/H148,"")</f>
        <v/>
      </c>
      <c r="J148" s="14">
        <f>IFERROR(SUMIFS(Ordenes!$V$2:$V$840,Ordenes!$G$2:$G$840,$C148,Ordenes!$T$2:$T$840,"Válida")/H148,"")</f>
        <v/>
      </c>
      <c r="K148" s="25">
        <f>IFERROR((I148-J148)*100,"")</f>
        <v/>
      </c>
      <c r="L148" s="9">
        <f>COUNTIFS(Ordenes!$G$2:$G$840,$C148,Ordenes!$T$2:$T$840,"Válida")</f>
        <v/>
      </c>
      <c r="M148" s="9">
        <f>COUNTIFS(Ordenes!$G$2:$G$840,$C148,Ordenes!$T$2:$T$840,"A corregir")</f>
        <v/>
      </c>
      <c r="N148" s="13">
        <f>H148-G148</f>
        <v/>
      </c>
    </row>
    <row r="149">
      <c r="A149" s="9" t="n">
        <v>145</v>
      </c>
      <c r="B149" s="9" t="inlineStr">
        <is>
          <t>B Hormigón</t>
        </is>
      </c>
      <c r="C149" s="9" t="inlineStr">
        <is>
          <t>B HORMIGON R 28MM 12M A630-420H (N)</t>
        </is>
      </c>
      <c r="D149" s="9" t="inlineStr">
        <is>
          <t>Ø28 mm · 12 m</t>
        </is>
      </c>
      <c r="E149" s="9" t="inlineStr">
        <is>
          <t>RED 28 CR</t>
        </is>
      </c>
      <c r="F149" s="9" t="n">
        <v>12</v>
      </c>
      <c r="G149" s="13">
        <f>SUMIFS(Ordenes!$P$2:$P$840,Ordenes!$G$2:$G$840,$C149,Ordenes!$T$2:$T$840,"Válida")</f>
        <v/>
      </c>
      <c r="H149" s="13">
        <f>SUMIFS(Ordenes!$Q$2:$Q$840,Ordenes!$G$2:$G$840,$C149,Ordenes!$T$2:$T$840,"Válida")</f>
        <v/>
      </c>
      <c r="I149" s="14">
        <f>IFERROR(G149/H149,"")</f>
        <v/>
      </c>
      <c r="J149" s="14">
        <f>IFERROR(SUMIFS(Ordenes!$V$2:$V$840,Ordenes!$G$2:$G$840,$C149,Ordenes!$T$2:$T$840,"Válida")/H149,"")</f>
        <v/>
      </c>
      <c r="K149" s="25">
        <f>IFERROR((I149-J149)*100,"")</f>
        <v/>
      </c>
      <c r="L149" s="9">
        <f>COUNTIFS(Ordenes!$G$2:$G$840,$C149,Ordenes!$T$2:$T$840,"Válida")</f>
        <v/>
      </c>
      <c r="M149" s="9">
        <f>COUNTIFS(Ordenes!$G$2:$G$840,$C149,Ordenes!$T$2:$T$840,"A corregir")</f>
        <v/>
      </c>
      <c r="N149" s="13">
        <f>H149-G149</f>
        <v/>
      </c>
    </row>
    <row r="150">
      <c r="A150" s="9" t="n">
        <v>146</v>
      </c>
      <c r="B150" s="9" t="inlineStr">
        <is>
          <t>Plana</t>
        </is>
      </c>
      <c r="C150" s="9" t="inlineStr">
        <is>
          <t>PLANA ASERRADA 25X4,85MM 6M A270ES (N)</t>
        </is>
      </c>
      <c r="D150" s="9" t="inlineStr">
        <is>
          <t>25×4,85 mm · 6 m</t>
        </is>
      </c>
      <c r="E150" s="9" t="inlineStr">
        <is>
          <t>PL 25 x 4,85</t>
        </is>
      </c>
      <c r="F150" s="9" t="n">
        <v>6</v>
      </c>
      <c r="G150" s="13">
        <f>SUMIFS(Ordenes!$P$2:$P$840,Ordenes!$G$2:$G$840,$C150,Ordenes!$T$2:$T$840,"Válida")</f>
        <v/>
      </c>
      <c r="H150" s="13">
        <f>SUMIFS(Ordenes!$Q$2:$Q$840,Ordenes!$G$2:$G$840,$C150,Ordenes!$T$2:$T$840,"Válida")</f>
        <v/>
      </c>
      <c r="I150" s="14">
        <f>IFERROR(G150/H150,"")</f>
        <v/>
      </c>
      <c r="J150" s="14">
        <f>IFERROR(SUMIFS(Ordenes!$V$2:$V$840,Ordenes!$G$2:$G$840,$C150,Ordenes!$T$2:$T$840,"Válida")/H150,"")</f>
        <v/>
      </c>
      <c r="K150" s="25">
        <f>IFERROR((I150-J150)*100,"")</f>
        <v/>
      </c>
      <c r="L150" s="9">
        <f>COUNTIFS(Ordenes!$G$2:$G$840,$C150,Ordenes!$T$2:$T$840,"Válida")</f>
        <v/>
      </c>
      <c r="M150" s="9">
        <f>COUNTIFS(Ordenes!$G$2:$G$840,$C150,Ordenes!$T$2:$T$840,"A corregir")</f>
        <v/>
      </c>
      <c r="N150" s="13">
        <f>H150-G150</f>
        <v/>
      </c>
    </row>
    <row r="151">
      <c r="A151" s="9" t="n">
        <v>147</v>
      </c>
      <c r="B151" s="9" t="inlineStr">
        <is>
          <t>Plana</t>
        </is>
      </c>
      <c r="C151" s="9" t="inlineStr">
        <is>
          <t>PLANA 19X7,3MM 6M COMERCIAL (N)</t>
        </is>
      </c>
      <c r="D151" s="9" t="inlineStr">
        <is>
          <t>19×7,3 mm · 6 m</t>
        </is>
      </c>
      <c r="E151" s="9" t="inlineStr">
        <is>
          <t>PL 19 x 7,3</t>
        </is>
      </c>
      <c r="F151" s="9" t="n">
        <v>6</v>
      </c>
      <c r="G151" s="13">
        <f>SUMIFS(Ordenes!$P$2:$P$840,Ordenes!$G$2:$G$840,$C151,Ordenes!$T$2:$T$840,"Válida")</f>
        <v/>
      </c>
      <c r="H151" s="13">
        <f>SUMIFS(Ordenes!$Q$2:$Q$840,Ordenes!$G$2:$G$840,$C151,Ordenes!$T$2:$T$840,"Válida")</f>
        <v/>
      </c>
      <c r="I151" s="14">
        <f>IFERROR(G151/H151,"")</f>
        <v/>
      </c>
      <c r="J151" s="14">
        <f>IFERROR(SUMIFS(Ordenes!$V$2:$V$840,Ordenes!$G$2:$G$840,$C151,Ordenes!$T$2:$T$840,"Válida")/H151,"")</f>
        <v/>
      </c>
      <c r="K151" s="25">
        <f>IFERROR((I151-J151)*100,"")</f>
        <v/>
      </c>
      <c r="L151" s="9">
        <f>COUNTIFS(Ordenes!$G$2:$G$840,$C151,Ordenes!$T$2:$T$840,"Válida")</f>
        <v/>
      </c>
      <c r="M151" s="9">
        <f>COUNTIFS(Ordenes!$G$2:$G$840,$C151,Ordenes!$T$2:$T$840,"A corregir")</f>
        <v/>
      </c>
      <c r="N151" s="13">
        <f>H151-G151</f>
        <v/>
      </c>
    </row>
    <row r="152">
      <c r="A152" s="9" t="n">
        <v>148</v>
      </c>
      <c r="B152" s="9" t="inlineStr">
        <is>
          <t>Saferock</t>
        </is>
      </c>
      <c r="C152" s="9" t="inlineStr">
        <is>
          <t>SAFEROCK 22MM 12M A280D</t>
        </is>
      </c>
      <c r="D152" s="9" t="inlineStr">
        <is>
          <t>Ø22 mm · 12 m</t>
        </is>
      </c>
      <c r="E152" s="9" t="inlineStr">
        <is>
          <t>SFRCK 22</t>
        </is>
      </c>
      <c r="F152" s="9" t="n">
        <v>12</v>
      </c>
      <c r="G152" s="13">
        <f>SUMIFS(Ordenes!$P$2:$P$840,Ordenes!$G$2:$G$840,$C152,Ordenes!$T$2:$T$840,"Válida")</f>
        <v/>
      </c>
      <c r="H152" s="13">
        <f>SUMIFS(Ordenes!$Q$2:$Q$840,Ordenes!$G$2:$G$840,$C152,Ordenes!$T$2:$T$840,"Válida")</f>
        <v/>
      </c>
      <c r="I152" s="14">
        <f>IFERROR(G152/H152,"")</f>
        <v/>
      </c>
      <c r="J152" s="14">
        <f>IFERROR(SUMIFS(Ordenes!$V$2:$V$840,Ordenes!$G$2:$G$840,$C152,Ordenes!$T$2:$T$840,"Válida")/H152,"")</f>
        <v/>
      </c>
      <c r="K152" s="25">
        <f>IFERROR((I152-J152)*100,"")</f>
        <v/>
      </c>
      <c r="L152" s="9">
        <f>COUNTIFS(Ordenes!$G$2:$G$840,$C152,Ordenes!$T$2:$T$840,"Válida")</f>
        <v/>
      </c>
      <c r="M152" s="9">
        <f>COUNTIFS(Ordenes!$G$2:$G$840,$C152,Ordenes!$T$2:$T$840,"A corregir")</f>
        <v/>
      </c>
      <c r="N152" s="13">
        <f>H152-G152</f>
        <v/>
      </c>
    </row>
    <row r="153">
      <c r="A153" s="9" t="n">
        <v>149</v>
      </c>
      <c r="B153" s="9" t="inlineStr">
        <is>
          <t>Redondo liso</t>
        </is>
      </c>
      <c r="C153" s="9" t="inlineStr">
        <is>
          <t>REDONDO LISO 1 1/4' 6M SAE 1045 (N)</t>
        </is>
      </c>
      <c r="D153" s="9" t="inlineStr">
        <is>
          <t>Ø31,8 mm · 6 m</t>
        </is>
      </c>
      <c r="E153" s="9" t="inlineStr">
        <is>
          <t>RED 1,1/4</t>
        </is>
      </c>
      <c r="F153" s="9" t="n">
        <v>6</v>
      </c>
      <c r="G153" s="13">
        <f>SUMIFS(Ordenes!$P$2:$P$840,Ordenes!$G$2:$G$840,$C153,Ordenes!$T$2:$T$840,"Válida")</f>
        <v/>
      </c>
      <c r="H153" s="13">
        <f>SUMIFS(Ordenes!$Q$2:$Q$840,Ordenes!$G$2:$G$840,$C153,Ordenes!$T$2:$T$840,"Válida")</f>
        <v/>
      </c>
      <c r="I153" s="14">
        <f>IFERROR(G153/H153,"")</f>
        <v/>
      </c>
      <c r="J153" s="14">
        <f>IFERROR(SUMIFS(Ordenes!$V$2:$V$840,Ordenes!$G$2:$G$840,$C153,Ordenes!$T$2:$T$840,"Válida")/H153,"")</f>
        <v/>
      </c>
      <c r="K153" s="25">
        <f>IFERROR((I153-J153)*100,"")</f>
        <v/>
      </c>
      <c r="L153" s="9">
        <f>COUNTIFS(Ordenes!$G$2:$G$840,$C153,Ordenes!$T$2:$T$840,"Válida")</f>
        <v/>
      </c>
      <c r="M153" s="9">
        <f>COUNTIFS(Ordenes!$G$2:$G$840,$C153,Ordenes!$T$2:$T$840,"A corregir")</f>
        <v/>
      </c>
      <c r="N153" s="13">
        <f>H153-G153</f>
        <v/>
      </c>
    </row>
    <row r="154">
      <c r="A154" s="9" t="n">
        <v>150</v>
      </c>
      <c r="B154" s="9" t="inlineStr">
        <is>
          <t>Plana</t>
        </is>
      </c>
      <c r="C154" s="9" t="inlineStr">
        <is>
          <t>PLANA 32X6MM 6M A270ES (N)</t>
        </is>
      </c>
      <c r="D154" s="9" t="inlineStr">
        <is>
          <t>32×6 mm · 6 m</t>
        </is>
      </c>
      <c r="E154" s="9" t="inlineStr">
        <is>
          <t>PL 32 x 6</t>
        </is>
      </c>
      <c r="F154" s="9" t="n">
        <v>6</v>
      </c>
      <c r="G154" s="13">
        <f>SUMIFS(Ordenes!$P$2:$P$840,Ordenes!$G$2:$G$840,$C154,Ordenes!$T$2:$T$840,"Válida")</f>
        <v/>
      </c>
      <c r="H154" s="13">
        <f>SUMIFS(Ordenes!$Q$2:$Q$840,Ordenes!$G$2:$G$840,$C154,Ordenes!$T$2:$T$840,"Válida")</f>
        <v/>
      </c>
      <c r="I154" s="14">
        <f>IFERROR(G154/H154,"")</f>
        <v/>
      </c>
      <c r="J154" s="14">
        <f>IFERROR(SUMIFS(Ordenes!$V$2:$V$840,Ordenes!$G$2:$G$840,$C154,Ordenes!$T$2:$T$840,"Válida")/H154,"")</f>
        <v/>
      </c>
      <c r="K154" s="25">
        <f>IFERROR((I154-J154)*100,"")</f>
        <v/>
      </c>
      <c r="L154" s="9">
        <f>COUNTIFS(Ordenes!$G$2:$G$840,$C154,Ordenes!$T$2:$T$840,"Válida")</f>
        <v/>
      </c>
      <c r="M154" s="9">
        <f>COUNTIFS(Ordenes!$G$2:$G$840,$C154,Ordenes!$T$2:$T$840,"A corregir")</f>
        <v/>
      </c>
      <c r="N154" s="13">
        <f>H154-G154</f>
        <v/>
      </c>
    </row>
    <row r="155">
      <c r="A155" s="9" t="n">
        <v>151</v>
      </c>
      <c r="B155" s="9" t="inlineStr">
        <is>
          <t>Saferock</t>
        </is>
      </c>
      <c r="C155" s="9" t="inlineStr">
        <is>
          <t>SAFEROCK 22MM 6M A280</t>
        </is>
      </c>
      <c r="D155" s="9" t="inlineStr">
        <is>
          <t>Ø22 mm · 6 m</t>
        </is>
      </c>
      <c r="E155" s="9" t="inlineStr">
        <is>
          <t>SFRCK 22</t>
        </is>
      </c>
      <c r="F155" s="9" t="n">
        <v>6</v>
      </c>
      <c r="G155" s="13">
        <f>SUMIFS(Ordenes!$P$2:$P$840,Ordenes!$G$2:$G$840,$C155,Ordenes!$T$2:$T$840,"Válida")</f>
        <v/>
      </c>
      <c r="H155" s="13">
        <f>SUMIFS(Ordenes!$Q$2:$Q$840,Ordenes!$G$2:$G$840,$C155,Ordenes!$T$2:$T$840,"Válida")</f>
        <v/>
      </c>
      <c r="I155" s="14">
        <f>IFERROR(G155/H155,"")</f>
        <v/>
      </c>
      <c r="J155" s="14">
        <f>IFERROR(SUMIFS(Ordenes!$V$2:$V$840,Ordenes!$G$2:$G$840,$C155,Ordenes!$T$2:$T$840,"Válida")/H155,"")</f>
        <v/>
      </c>
      <c r="K155" s="25">
        <f>IFERROR((I155-J155)*100,"")</f>
        <v/>
      </c>
      <c r="L155" s="9">
        <f>COUNTIFS(Ordenes!$G$2:$G$840,$C155,Ordenes!$T$2:$T$840,"Válida")</f>
        <v/>
      </c>
      <c r="M155" s="9">
        <f>COUNTIFS(Ordenes!$G$2:$G$840,$C155,Ordenes!$T$2:$T$840,"A corregir")</f>
        <v/>
      </c>
      <c r="N155" s="13">
        <f>H155-G155</f>
        <v/>
      </c>
    </row>
    <row r="156">
      <c r="A156" s="9" t="n">
        <v>152</v>
      </c>
      <c r="B156" s="9" t="inlineStr">
        <is>
          <t>B Hormigón</t>
        </is>
      </c>
      <c r="C156" s="9" t="inlineStr">
        <is>
          <t>B HORMIGON 36MM 7M A630-420H (N)</t>
        </is>
      </c>
      <c r="D156" s="9" t="inlineStr">
        <is>
          <t>Ø36 mm · 7 m</t>
        </is>
      </c>
      <c r="E156" s="9" t="inlineStr">
        <is>
          <t>RED 36 CR</t>
        </is>
      </c>
      <c r="F156" s="9" t="n">
        <v>7</v>
      </c>
      <c r="G156" s="13">
        <f>SUMIFS(Ordenes!$P$2:$P$840,Ordenes!$G$2:$G$840,$C156,Ordenes!$T$2:$T$840,"Válida")</f>
        <v/>
      </c>
      <c r="H156" s="13">
        <f>SUMIFS(Ordenes!$Q$2:$Q$840,Ordenes!$G$2:$G$840,$C156,Ordenes!$T$2:$T$840,"Válida")</f>
        <v/>
      </c>
      <c r="I156" s="14">
        <f>IFERROR(G156/H156,"")</f>
        <v/>
      </c>
      <c r="J156" s="14">
        <f>IFERROR(SUMIFS(Ordenes!$V$2:$V$840,Ordenes!$G$2:$G$840,$C156,Ordenes!$T$2:$T$840,"Válida")/H156,"")</f>
        <v/>
      </c>
      <c r="K156" s="25">
        <f>IFERROR((I156-J156)*100,"")</f>
        <v/>
      </c>
      <c r="L156" s="9">
        <f>COUNTIFS(Ordenes!$G$2:$G$840,$C156,Ordenes!$T$2:$T$840,"Válida")</f>
        <v/>
      </c>
      <c r="M156" s="9">
        <f>COUNTIFS(Ordenes!$G$2:$G$840,$C156,Ordenes!$T$2:$T$840,"A corregir")</f>
        <v/>
      </c>
      <c r="N156" s="13">
        <f>H156-G156</f>
        <v/>
      </c>
    </row>
    <row r="157">
      <c r="A157" s="9" t="n">
        <v>153</v>
      </c>
      <c r="B157" s="9" t="inlineStr">
        <is>
          <t>Plana</t>
        </is>
      </c>
      <c r="C157" s="9" t="inlineStr">
        <is>
          <t>PLANA 63X6MM 6M A270ES (N)</t>
        </is>
      </c>
      <c r="D157" s="9" t="inlineStr">
        <is>
          <t>63×6 mm · 6 m</t>
        </is>
      </c>
      <c r="E157" s="9" t="inlineStr">
        <is>
          <t>PL 63 x 6</t>
        </is>
      </c>
      <c r="F157" s="9" t="n">
        <v>6</v>
      </c>
      <c r="G157" s="13">
        <f>SUMIFS(Ordenes!$P$2:$P$840,Ordenes!$G$2:$G$840,$C157,Ordenes!$T$2:$T$840,"Válida")</f>
        <v/>
      </c>
      <c r="H157" s="13">
        <f>SUMIFS(Ordenes!$Q$2:$Q$840,Ordenes!$G$2:$G$840,$C157,Ordenes!$T$2:$T$840,"Válida")</f>
        <v/>
      </c>
      <c r="I157" s="14">
        <f>IFERROR(G157/H157,"")</f>
        <v/>
      </c>
      <c r="J157" s="14">
        <f>IFERROR(SUMIFS(Ordenes!$V$2:$V$840,Ordenes!$G$2:$G$840,$C157,Ordenes!$T$2:$T$840,"Válida")/H157,"")</f>
        <v/>
      </c>
      <c r="K157" s="25">
        <f>IFERROR((I157-J157)*100,"")</f>
        <v/>
      </c>
      <c r="L157" s="9">
        <f>COUNTIFS(Ordenes!$G$2:$G$840,$C157,Ordenes!$T$2:$T$840,"Válida")</f>
        <v/>
      </c>
      <c r="M157" s="9">
        <f>COUNTIFS(Ordenes!$G$2:$G$840,$C157,Ordenes!$T$2:$T$840,"A corregir")</f>
        <v/>
      </c>
      <c r="N157" s="13">
        <f>H157-G157</f>
        <v/>
      </c>
    </row>
    <row r="158">
      <c r="A158" s="9" t="n">
        <v>154</v>
      </c>
      <c r="B158" s="9" t="inlineStr">
        <is>
          <t>Redondo liso</t>
        </is>
      </c>
      <c r="C158" s="9" t="inlineStr">
        <is>
          <t>BARRA TRASPASO CARGA 22MM 6,2M A630-420H</t>
        </is>
      </c>
      <c r="D158" s="9" t="inlineStr">
        <is>
          <t>Ø22 mm · 6,2 m</t>
        </is>
      </c>
      <c r="E158" s="9" t="inlineStr">
        <is>
          <t>RED 7/8</t>
        </is>
      </c>
      <c r="F158" s="9" t="n">
        <v>6.2</v>
      </c>
      <c r="G158" s="13">
        <f>SUMIFS(Ordenes!$P$2:$P$840,Ordenes!$G$2:$G$840,$C158,Ordenes!$T$2:$T$840,"Válida")</f>
        <v/>
      </c>
      <c r="H158" s="13">
        <f>SUMIFS(Ordenes!$Q$2:$Q$840,Ordenes!$G$2:$G$840,$C158,Ordenes!$T$2:$T$840,"Válida")</f>
        <v/>
      </c>
      <c r="I158" s="14">
        <f>IFERROR(G158/H158,"")</f>
        <v/>
      </c>
      <c r="J158" s="14">
        <f>IFERROR(SUMIFS(Ordenes!$V$2:$V$840,Ordenes!$G$2:$G$840,$C158,Ordenes!$T$2:$T$840,"Válida")/H158,"")</f>
        <v/>
      </c>
      <c r="K158" s="25">
        <f>IFERROR((I158-J158)*100,"")</f>
        <v/>
      </c>
      <c r="L158" s="9">
        <f>COUNTIFS(Ordenes!$G$2:$G$840,$C158,Ordenes!$T$2:$T$840,"Válida")</f>
        <v/>
      </c>
      <c r="M158" s="9">
        <f>COUNTIFS(Ordenes!$G$2:$G$840,$C158,Ordenes!$T$2:$T$840,"A corregir")</f>
        <v/>
      </c>
      <c r="N158" s="13">
        <f>H158-G158</f>
        <v/>
      </c>
    </row>
    <row r="159">
      <c r="A159" s="9" t="n">
        <v>155</v>
      </c>
      <c r="B159" s="9" t="inlineStr">
        <is>
          <t>Plana</t>
        </is>
      </c>
      <c r="C159" s="9" t="inlineStr">
        <is>
          <t>PLANA 18X8MM 6M COMERCIAL (N)</t>
        </is>
      </c>
      <c r="D159" s="9" t="inlineStr">
        <is>
          <t>18×8 mm · 6 m</t>
        </is>
      </c>
      <c r="E159" s="9" t="inlineStr">
        <is>
          <t>PL 18 x 8</t>
        </is>
      </c>
      <c r="F159" s="9" t="n">
        <v>6</v>
      </c>
      <c r="G159" s="13">
        <f>SUMIFS(Ordenes!$P$2:$P$840,Ordenes!$G$2:$G$840,$C159,Ordenes!$T$2:$T$840,"Válida")</f>
        <v/>
      </c>
      <c r="H159" s="13">
        <f>SUMIFS(Ordenes!$Q$2:$Q$840,Ordenes!$G$2:$G$840,$C159,Ordenes!$T$2:$T$840,"Válida")</f>
        <v/>
      </c>
      <c r="I159" s="14">
        <f>IFERROR(G159/H159,"")</f>
        <v/>
      </c>
      <c r="J159" s="14">
        <f>IFERROR(SUMIFS(Ordenes!$V$2:$V$840,Ordenes!$G$2:$G$840,$C159,Ordenes!$T$2:$T$840,"Válida")/H159,"")</f>
        <v/>
      </c>
      <c r="K159" s="25">
        <f>IFERROR((I159-J159)*100,"")</f>
        <v/>
      </c>
      <c r="L159" s="9">
        <f>COUNTIFS(Ordenes!$G$2:$G$840,$C159,Ordenes!$T$2:$T$840,"Válida")</f>
        <v/>
      </c>
      <c r="M159" s="9">
        <f>COUNTIFS(Ordenes!$G$2:$G$840,$C159,Ordenes!$T$2:$T$840,"A corregir")</f>
        <v/>
      </c>
      <c r="N159" s="13">
        <f>H159-G159</f>
        <v/>
      </c>
    </row>
    <row r="160">
      <c r="A160" s="9" t="n">
        <v>156</v>
      </c>
      <c r="B160" s="9" t="inlineStr">
        <is>
          <t>Redondo liso</t>
        </is>
      </c>
      <c r="C160" s="9" t="inlineStr">
        <is>
          <t>REDONDO LISO 1' 6M A615 GR60(P)</t>
        </is>
      </c>
      <c r="D160" s="9" t="inlineStr">
        <is>
          <t>Ø25,4 mm · 6 m</t>
        </is>
      </c>
      <c r="E160" s="9" t="n"/>
      <c r="F160" s="9" t="n">
        <v>6</v>
      </c>
      <c r="G160" s="13">
        <f>SUMIFS(Ordenes!$P$2:$P$840,Ordenes!$G$2:$G$840,$C160,Ordenes!$T$2:$T$840,"Válida")</f>
        <v/>
      </c>
      <c r="H160" s="13">
        <f>SUMIFS(Ordenes!$Q$2:$Q$840,Ordenes!$G$2:$G$840,$C160,Ordenes!$T$2:$T$840,"Válida")</f>
        <v/>
      </c>
      <c r="I160" s="14">
        <f>IFERROR(G160/H160,"")</f>
        <v/>
      </c>
      <c r="J160" s="14">
        <f>IFERROR(SUMIFS(Ordenes!$V$2:$V$840,Ordenes!$G$2:$G$840,$C160,Ordenes!$T$2:$T$840,"Válida")/H160,"")</f>
        <v/>
      </c>
      <c r="K160" s="25">
        <f>IFERROR((I160-J160)*100,"")</f>
        <v/>
      </c>
      <c r="L160" s="9">
        <f>COUNTIFS(Ordenes!$G$2:$G$840,$C160,Ordenes!$T$2:$T$840,"Válida")</f>
        <v/>
      </c>
      <c r="M160" s="9">
        <f>COUNTIFS(Ordenes!$G$2:$G$840,$C160,Ordenes!$T$2:$T$840,"A corregir")</f>
        <v/>
      </c>
      <c r="N160" s="13">
        <f>H160-G160</f>
        <v/>
      </c>
    </row>
    <row r="161">
      <c r="A161" s="9" t="n">
        <v>157</v>
      </c>
      <c r="B161" s="9" t="inlineStr">
        <is>
          <t>Redondo liso</t>
        </is>
      </c>
      <c r="C161" s="9" t="inlineStr">
        <is>
          <t>BARRA TRASPASO CARGA 25MM 6,2M A630-420H</t>
        </is>
      </c>
      <c r="D161" s="9" t="inlineStr">
        <is>
          <t>Ø25 mm · 6,2 m</t>
        </is>
      </c>
      <c r="E161" s="9" t="inlineStr">
        <is>
          <t>RED 1</t>
        </is>
      </c>
      <c r="F161" s="9" t="n">
        <v>6.2</v>
      </c>
      <c r="G161" s="13">
        <f>SUMIFS(Ordenes!$P$2:$P$840,Ordenes!$G$2:$G$840,$C161,Ordenes!$T$2:$T$840,"Válida")</f>
        <v/>
      </c>
      <c r="H161" s="13">
        <f>SUMIFS(Ordenes!$Q$2:$Q$840,Ordenes!$G$2:$G$840,$C161,Ordenes!$T$2:$T$840,"Válida")</f>
        <v/>
      </c>
      <c r="I161" s="14">
        <f>IFERROR(G161/H161,"")</f>
        <v/>
      </c>
      <c r="J161" s="14">
        <f>IFERROR(SUMIFS(Ordenes!$V$2:$V$840,Ordenes!$G$2:$G$840,$C161,Ordenes!$T$2:$T$840,"Válida")/H161,"")</f>
        <v/>
      </c>
      <c r="K161" s="25">
        <f>IFERROR((I161-J161)*100,"")</f>
        <v/>
      </c>
      <c r="L161" s="9">
        <f>COUNTIFS(Ordenes!$G$2:$G$840,$C161,Ordenes!$T$2:$T$840,"Válida")</f>
        <v/>
      </c>
      <c r="M161" s="9">
        <f>COUNTIFS(Ordenes!$G$2:$G$840,$C161,Ordenes!$T$2:$T$840,"A corregir")</f>
        <v/>
      </c>
      <c r="N161" s="13">
        <f>H161-G161</f>
        <v/>
      </c>
    </row>
    <row r="162">
      <c r="A162" s="9" t="n">
        <v>158</v>
      </c>
      <c r="B162" s="9" t="inlineStr">
        <is>
          <t>Plana</t>
        </is>
      </c>
      <c r="C162" s="9" t="inlineStr">
        <is>
          <t>PLANA 25X2,85MM 6M A270ES ARR(N)</t>
        </is>
      </c>
      <c r="D162" s="9" t="inlineStr">
        <is>
          <t>25×2,85 mm · 6 m</t>
        </is>
      </c>
      <c r="E162" s="9" t="inlineStr">
        <is>
          <t>PL 25 x 3</t>
        </is>
      </c>
      <c r="F162" s="9" t="n">
        <v>6</v>
      </c>
      <c r="G162" s="13">
        <f>SUMIFS(Ordenes!$P$2:$P$840,Ordenes!$G$2:$G$840,$C162,Ordenes!$T$2:$T$840,"Válida")</f>
        <v/>
      </c>
      <c r="H162" s="13">
        <f>SUMIFS(Ordenes!$Q$2:$Q$840,Ordenes!$G$2:$G$840,$C162,Ordenes!$T$2:$T$840,"Válida")</f>
        <v/>
      </c>
      <c r="I162" s="14">
        <f>IFERROR(G162/H162,"")</f>
        <v/>
      </c>
      <c r="J162" s="14">
        <f>IFERROR(SUMIFS(Ordenes!$V$2:$V$840,Ordenes!$G$2:$G$840,$C162,Ordenes!$T$2:$T$840,"Válida")/H162,"")</f>
        <v/>
      </c>
      <c r="K162" s="25">
        <f>IFERROR((I162-J162)*100,"")</f>
        <v/>
      </c>
      <c r="L162" s="9">
        <f>COUNTIFS(Ordenes!$G$2:$G$840,$C162,Ordenes!$T$2:$T$840,"Válida")</f>
        <v/>
      </c>
      <c r="M162" s="9">
        <f>COUNTIFS(Ordenes!$G$2:$G$840,$C162,Ordenes!$T$2:$T$840,"A corregir")</f>
        <v/>
      </c>
      <c r="N162" s="13">
        <f>H162-G162</f>
        <v/>
      </c>
    </row>
    <row r="163">
      <c r="A163" s="9" t="n">
        <v>159</v>
      </c>
      <c r="B163" s="9" t="inlineStr">
        <is>
          <t>B Hormigón</t>
        </is>
      </c>
      <c r="C163" s="9" t="inlineStr">
        <is>
          <t>B HORMIGON 28MM 6M A630-420H (N)</t>
        </is>
      </c>
      <c r="D163" s="9" t="inlineStr">
        <is>
          <t>Ø28 mm · 6 m</t>
        </is>
      </c>
      <c r="E163" s="9" t="inlineStr">
        <is>
          <t>RED 28 CR</t>
        </is>
      </c>
      <c r="F163" s="9" t="n">
        <v>6</v>
      </c>
      <c r="G163" s="13">
        <f>SUMIFS(Ordenes!$P$2:$P$840,Ordenes!$G$2:$G$840,$C163,Ordenes!$T$2:$T$840,"Válida")</f>
        <v/>
      </c>
      <c r="H163" s="13">
        <f>SUMIFS(Ordenes!$Q$2:$Q$840,Ordenes!$G$2:$G$840,$C163,Ordenes!$T$2:$T$840,"Válida")</f>
        <v/>
      </c>
      <c r="I163" s="14">
        <f>IFERROR(G163/H163,"")</f>
        <v/>
      </c>
      <c r="J163" s="14">
        <f>IFERROR(SUMIFS(Ordenes!$V$2:$V$840,Ordenes!$G$2:$G$840,$C163,Ordenes!$T$2:$T$840,"Válida")/H163,"")</f>
        <v/>
      </c>
      <c r="K163" s="25">
        <f>IFERROR((I163-J163)*100,"")</f>
        <v/>
      </c>
      <c r="L163" s="9">
        <f>COUNTIFS(Ordenes!$G$2:$G$840,$C163,Ordenes!$T$2:$T$840,"Válida")</f>
        <v/>
      </c>
      <c r="M163" s="9">
        <f>COUNTIFS(Ordenes!$G$2:$G$840,$C163,Ordenes!$T$2:$T$840,"A corregir")</f>
        <v/>
      </c>
      <c r="N163" s="13">
        <f>H163-G163</f>
        <v/>
      </c>
    </row>
    <row r="164">
      <c r="A164" s="9" t="n">
        <v>160</v>
      </c>
      <c r="B164" s="9" t="inlineStr">
        <is>
          <t>Cuadrado</t>
        </is>
      </c>
      <c r="C164" s="9" t="inlineStr">
        <is>
          <t>CUADRADO 16MM 6M COMERCIAL (N)</t>
        </is>
      </c>
      <c r="D164" s="9" t="inlineStr">
        <is>
          <t>16 mm · 6 m</t>
        </is>
      </c>
      <c r="E164" s="9" t="inlineStr">
        <is>
          <t>CUAD 16</t>
        </is>
      </c>
      <c r="F164" s="9" t="n">
        <v>6</v>
      </c>
      <c r="G164" s="13">
        <f>SUMIFS(Ordenes!$P$2:$P$840,Ordenes!$G$2:$G$840,$C164,Ordenes!$T$2:$T$840,"Válida")</f>
        <v/>
      </c>
      <c r="H164" s="13">
        <f>SUMIFS(Ordenes!$Q$2:$Q$840,Ordenes!$G$2:$G$840,$C164,Ordenes!$T$2:$T$840,"Válida")</f>
        <v/>
      </c>
      <c r="I164" s="14">
        <f>IFERROR(G164/H164,"")</f>
        <v/>
      </c>
      <c r="J164" s="14">
        <f>IFERROR(SUMIFS(Ordenes!$V$2:$V$840,Ordenes!$G$2:$G$840,$C164,Ordenes!$T$2:$T$840,"Válida")/H164,"")</f>
        <v/>
      </c>
      <c r="K164" s="25">
        <f>IFERROR((I164-J164)*100,"")</f>
        <v/>
      </c>
      <c r="L164" s="9">
        <f>COUNTIFS(Ordenes!$G$2:$G$840,$C164,Ordenes!$T$2:$T$840,"Válida")</f>
        <v/>
      </c>
      <c r="M164" s="9">
        <f>COUNTIFS(Ordenes!$G$2:$G$840,$C164,Ordenes!$T$2:$T$840,"A corregir")</f>
        <v/>
      </c>
      <c r="N164" s="13">
        <f>H164-G164</f>
        <v/>
      </c>
    </row>
    <row r="165">
      <c r="A165" s="9" t="n">
        <v>161</v>
      </c>
      <c r="B165" s="9" t="inlineStr">
        <is>
          <t>Redondo liso</t>
        </is>
      </c>
      <c r="C165" s="9" t="inlineStr">
        <is>
          <t>REDONDO LISO 1 1/2' 6M ASTM A 36 (N)</t>
        </is>
      </c>
      <c r="D165" s="9" t="inlineStr">
        <is>
          <t>Ø38,1 mm · 6 m</t>
        </is>
      </c>
      <c r="E165" s="9" t="inlineStr">
        <is>
          <t>RED 1,1/2</t>
        </is>
      </c>
      <c r="F165" s="9" t="n">
        <v>6</v>
      </c>
      <c r="G165" s="13">
        <f>SUMIFS(Ordenes!$P$2:$P$840,Ordenes!$G$2:$G$840,$C165,Ordenes!$T$2:$T$840,"Válida")</f>
        <v/>
      </c>
      <c r="H165" s="13">
        <f>SUMIFS(Ordenes!$Q$2:$Q$840,Ordenes!$G$2:$G$840,$C165,Ordenes!$T$2:$T$840,"Válida")</f>
        <v/>
      </c>
      <c r="I165" s="14">
        <f>IFERROR(G165/H165,"")</f>
        <v/>
      </c>
      <c r="J165" s="14">
        <f>IFERROR(SUMIFS(Ordenes!$V$2:$V$840,Ordenes!$G$2:$G$840,$C165,Ordenes!$T$2:$T$840,"Válida")/H165,"")</f>
        <v/>
      </c>
      <c r="K165" s="25">
        <f>IFERROR((I165-J165)*100,"")</f>
        <v/>
      </c>
      <c r="L165" s="9">
        <f>COUNTIFS(Ordenes!$G$2:$G$840,$C165,Ordenes!$T$2:$T$840,"Válida")</f>
        <v/>
      </c>
      <c r="M165" s="9">
        <f>COUNTIFS(Ordenes!$G$2:$G$840,$C165,Ordenes!$T$2:$T$840,"A corregir")</f>
        <v/>
      </c>
      <c r="N165" s="13">
        <f>H165-G165</f>
        <v/>
      </c>
    </row>
    <row r="166">
      <c r="A166" s="9" t="n">
        <v>162</v>
      </c>
      <c r="B166" s="9" t="inlineStr">
        <is>
          <t>Redondo liso</t>
        </is>
      </c>
      <c r="C166" s="9" t="inlineStr">
        <is>
          <t>REDONDO LISO 3/4' 6M SAE 1045 (N)</t>
        </is>
      </c>
      <c r="D166" s="9" t="inlineStr">
        <is>
          <t>Ø19 mm · 6 m</t>
        </is>
      </c>
      <c r="E166" s="9" t="inlineStr">
        <is>
          <t>RED 19</t>
        </is>
      </c>
      <c r="F166" s="9" t="n">
        <v>6</v>
      </c>
      <c r="G166" s="13">
        <f>SUMIFS(Ordenes!$P$2:$P$840,Ordenes!$G$2:$G$840,$C166,Ordenes!$T$2:$T$840,"Válida")</f>
        <v/>
      </c>
      <c r="H166" s="13">
        <f>SUMIFS(Ordenes!$Q$2:$Q$840,Ordenes!$G$2:$G$840,$C166,Ordenes!$T$2:$T$840,"Válida")</f>
        <v/>
      </c>
      <c r="I166" s="14">
        <f>IFERROR(G166/H166,"")</f>
        <v/>
      </c>
      <c r="J166" s="14">
        <f>IFERROR(SUMIFS(Ordenes!$V$2:$V$840,Ordenes!$G$2:$G$840,$C166,Ordenes!$T$2:$T$840,"Válida")/H166,"")</f>
        <v/>
      </c>
      <c r="K166" s="25">
        <f>IFERROR((I166-J166)*100,"")</f>
        <v/>
      </c>
      <c r="L166" s="9">
        <f>COUNTIFS(Ordenes!$G$2:$G$840,$C166,Ordenes!$T$2:$T$840,"Válida")</f>
        <v/>
      </c>
      <c r="M166" s="9">
        <f>COUNTIFS(Ordenes!$G$2:$G$840,$C166,Ordenes!$T$2:$T$840,"A corregir")</f>
        <v/>
      </c>
      <c r="N166" s="13">
        <f>H166-G166</f>
        <v/>
      </c>
    </row>
    <row r="167">
      <c r="A167" s="9" t="n">
        <v>163</v>
      </c>
      <c r="B167" s="9" t="inlineStr">
        <is>
          <t>Redondo liso</t>
        </is>
      </c>
      <c r="C167" s="9" t="inlineStr">
        <is>
          <t>REDONDO LISO 1/2' 6M SAE 1045 (N)</t>
        </is>
      </c>
      <c r="D167" s="9" t="inlineStr">
        <is>
          <t>Ø12,7 mm · 6 m</t>
        </is>
      </c>
      <c r="E167" s="9" t="inlineStr">
        <is>
          <t>RED 1/2"</t>
        </is>
      </c>
      <c r="F167" s="9" t="n">
        <v>6</v>
      </c>
      <c r="G167" s="13">
        <f>SUMIFS(Ordenes!$P$2:$P$840,Ordenes!$G$2:$G$840,$C167,Ordenes!$T$2:$T$840,"Válida")</f>
        <v/>
      </c>
      <c r="H167" s="13">
        <f>SUMIFS(Ordenes!$Q$2:$Q$840,Ordenes!$G$2:$G$840,$C167,Ordenes!$T$2:$T$840,"Válida")</f>
        <v/>
      </c>
      <c r="I167" s="14">
        <f>IFERROR(G167/H167,"")</f>
        <v/>
      </c>
      <c r="J167" s="14">
        <f>IFERROR(SUMIFS(Ordenes!$V$2:$V$840,Ordenes!$G$2:$G$840,$C167,Ordenes!$T$2:$T$840,"Válida")/H167,"")</f>
        <v/>
      </c>
      <c r="K167" s="25">
        <f>IFERROR((I167-J167)*100,"")</f>
        <v/>
      </c>
      <c r="L167" s="9">
        <f>COUNTIFS(Ordenes!$G$2:$G$840,$C167,Ordenes!$T$2:$T$840,"Válida")</f>
        <v/>
      </c>
      <c r="M167" s="9">
        <f>COUNTIFS(Ordenes!$G$2:$G$840,$C167,Ordenes!$T$2:$T$840,"A corregir")</f>
        <v/>
      </c>
      <c r="N167" s="13">
        <f>H167-G167</f>
        <v/>
      </c>
    </row>
    <row r="168">
      <c r="A168" s="9" t="n">
        <v>164</v>
      </c>
      <c r="B168" s="9" t="inlineStr">
        <is>
          <t>Saferock</t>
        </is>
      </c>
      <c r="C168" s="9" t="inlineStr">
        <is>
          <t>SAFEROCK 19MM 11,96M A520</t>
        </is>
      </c>
      <c r="D168" s="9" t="inlineStr">
        <is>
          <t>Ø19 mm · 6 m</t>
        </is>
      </c>
      <c r="E168" s="9" t="inlineStr">
        <is>
          <t>SFRCK 19</t>
        </is>
      </c>
      <c r="F168" s="9" t="n">
        <v>6</v>
      </c>
      <c r="G168" s="13">
        <f>SUMIFS(Ordenes!$P$2:$P$840,Ordenes!$G$2:$G$840,$C168,Ordenes!$T$2:$T$840,"Válida")</f>
        <v/>
      </c>
      <c r="H168" s="13">
        <f>SUMIFS(Ordenes!$Q$2:$Q$840,Ordenes!$G$2:$G$840,$C168,Ordenes!$T$2:$T$840,"Válida")</f>
        <v/>
      </c>
      <c r="I168" s="14">
        <f>IFERROR(G168/H168,"")</f>
        <v/>
      </c>
      <c r="J168" s="14">
        <f>IFERROR(SUMIFS(Ordenes!$V$2:$V$840,Ordenes!$G$2:$G$840,$C168,Ordenes!$T$2:$T$840,"Válida")/H168,"")</f>
        <v/>
      </c>
      <c r="K168" s="25">
        <f>IFERROR((I168-J168)*100,"")</f>
        <v/>
      </c>
      <c r="L168" s="9">
        <f>COUNTIFS(Ordenes!$G$2:$G$840,$C168,Ordenes!$T$2:$T$840,"Válida")</f>
        <v/>
      </c>
      <c r="M168" s="9">
        <f>COUNTIFS(Ordenes!$G$2:$G$840,$C168,Ordenes!$T$2:$T$840,"A corregir")</f>
        <v/>
      </c>
      <c r="N168" s="13">
        <f>H168-G168</f>
        <v/>
      </c>
    </row>
    <row r="169">
      <c r="A169" s="9" t="n">
        <v>165</v>
      </c>
      <c r="B169" s="9" t="inlineStr">
        <is>
          <t>B Hormigón</t>
        </is>
      </c>
      <c r="C169" s="9" t="inlineStr">
        <is>
          <t>B HORMIGON 25MM 11M A630-420HS (N)</t>
        </is>
      </c>
      <c r="D169" s="9" t="inlineStr">
        <is>
          <t>Ø25 mm · 11 m</t>
        </is>
      </c>
      <c r="E169" s="9" t="inlineStr">
        <is>
          <t>RED 25 CR</t>
        </is>
      </c>
      <c r="F169" s="9" t="n">
        <v>11</v>
      </c>
      <c r="G169" s="13">
        <f>SUMIFS(Ordenes!$P$2:$P$840,Ordenes!$G$2:$G$840,$C169,Ordenes!$T$2:$T$840,"Válida")</f>
        <v/>
      </c>
      <c r="H169" s="13">
        <f>SUMIFS(Ordenes!$Q$2:$Q$840,Ordenes!$G$2:$G$840,$C169,Ordenes!$T$2:$T$840,"Válida")</f>
        <v/>
      </c>
      <c r="I169" s="14">
        <f>IFERROR(G169/H169,"")</f>
        <v/>
      </c>
      <c r="J169" s="14">
        <f>IFERROR(SUMIFS(Ordenes!$V$2:$V$840,Ordenes!$G$2:$G$840,$C169,Ordenes!$T$2:$T$840,"Válida")/H169,"")</f>
        <v/>
      </c>
      <c r="K169" s="25">
        <f>IFERROR((I169-J169)*100,"")</f>
        <v/>
      </c>
      <c r="L169" s="9">
        <f>COUNTIFS(Ordenes!$G$2:$G$840,$C169,Ordenes!$T$2:$T$840,"Válida")</f>
        <v/>
      </c>
      <c r="M169" s="9">
        <f>COUNTIFS(Ordenes!$G$2:$G$840,$C169,Ordenes!$T$2:$T$840,"A corregir")</f>
        <v/>
      </c>
      <c r="N169" s="13">
        <f>H169-G169</f>
        <v/>
      </c>
    </row>
    <row r="170">
      <c r="A170" s="9" t="n">
        <v>166</v>
      </c>
      <c r="B170" s="9" t="inlineStr">
        <is>
          <t>Ángulo</t>
        </is>
      </c>
      <c r="C170" s="9" t="inlineStr">
        <is>
          <t>ANG 65X65X5MM 12M ASTM A572 T2 (N)</t>
        </is>
      </c>
      <c r="D170" s="9" t="inlineStr">
        <is>
          <t>65×65×5 mm · 12 m</t>
        </is>
      </c>
      <c r="E170" s="9" t="inlineStr">
        <is>
          <t>ANG 65 x 5</t>
        </is>
      </c>
      <c r="F170" s="9" t="n">
        <v>12</v>
      </c>
      <c r="G170" s="13">
        <f>SUMIFS(Ordenes!$P$2:$P$840,Ordenes!$G$2:$G$840,$C170,Ordenes!$T$2:$T$840,"Válida")</f>
        <v/>
      </c>
      <c r="H170" s="13">
        <f>SUMIFS(Ordenes!$Q$2:$Q$840,Ordenes!$G$2:$G$840,$C170,Ordenes!$T$2:$T$840,"Válida")</f>
        <v/>
      </c>
      <c r="I170" s="14">
        <f>IFERROR(G170/H170,"")</f>
        <v/>
      </c>
      <c r="J170" s="14">
        <f>IFERROR(SUMIFS(Ordenes!$V$2:$V$840,Ordenes!$G$2:$G$840,$C170,Ordenes!$T$2:$T$840,"Válida")/H170,"")</f>
        <v/>
      </c>
      <c r="K170" s="25">
        <f>IFERROR((I170-J170)*100,"")</f>
        <v/>
      </c>
      <c r="L170" s="9">
        <f>COUNTIFS(Ordenes!$G$2:$G$840,$C170,Ordenes!$T$2:$T$840,"Válida")</f>
        <v/>
      </c>
      <c r="M170" s="9">
        <f>COUNTIFS(Ordenes!$G$2:$G$840,$C170,Ordenes!$T$2:$T$840,"A corregir")</f>
        <v/>
      </c>
      <c r="N170" s="13">
        <f>H170-G170</f>
        <v/>
      </c>
    </row>
    <row r="171">
      <c r="A171" s="9" t="n">
        <v>167</v>
      </c>
      <c r="B171" s="9" t="inlineStr">
        <is>
          <t>B Hormigón</t>
        </is>
      </c>
      <c r="C171" s="9" t="inlineStr">
        <is>
          <t>B HORMIGON 36MM 8M A630-420HS (N)</t>
        </is>
      </c>
      <c r="D171" s="9" t="inlineStr">
        <is>
          <t>Ø36 mm · 8 m</t>
        </is>
      </c>
      <c r="E171" s="9" t="inlineStr">
        <is>
          <t>RED 36 CR</t>
        </is>
      </c>
      <c r="F171" s="9" t="n">
        <v>8</v>
      </c>
      <c r="G171" s="13">
        <f>SUMIFS(Ordenes!$P$2:$P$840,Ordenes!$G$2:$G$840,$C171,Ordenes!$T$2:$T$840,"Válida")</f>
        <v/>
      </c>
      <c r="H171" s="13">
        <f>SUMIFS(Ordenes!$Q$2:$Q$840,Ordenes!$G$2:$G$840,$C171,Ordenes!$T$2:$T$840,"Válida")</f>
        <v/>
      </c>
      <c r="I171" s="14">
        <f>IFERROR(G171/H171,"")</f>
        <v/>
      </c>
      <c r="J171" s="14">
        <f>IFERROR(SUMIFS(Ordenes!$V$2:$V$840,Ordenes!$G$2:$G$840,$C171,Ordenes!$T$2:$T$840,"Válida")/H171,"")</f>
        <v/>
      </c>
      <c r="K171" s="25">
        <f>IFERROR((I171-J171)*100,"")</f>
        <v/>
      </c>
      <c r="L171" s="9">
        <f>COUNTIFS(Ordenes!$G$2:$G$840,$C171,Ordenes!$T$2:$T$840,"Válida")</f>
        <v/>
      </c>
      <c r="M171" s="9">
        <f>COUNTIFS(Ordenes!$G$2:$G$840,$C171,Ordenes!$T$2:$T$840,"A corregir")</f>
        <v/>
      </c>
      <c r="N171" s="13">
        <f>H171-G171</f>
        <v/>
      </c>
    </row>
    <row r="172">
      <c r="A172" s="9" t="n">
        <v>168</v>
      </c>
      <c r="B172" s="9" t="inlineStr">
        <is>
          <t>B Hormigón</t>
        </is>
      </c>
      <c r="C172" s="9" t="inlineStr">
        <is>
          <t>B HORMIGON 32MM 6M A630-420H (N)</t>
        </is>
      </c>
      <c r="D172" s="9" t="inlineStr">
        <is>
          <t>Ø32 mm · 6 m</t>
        </is>
      </c>
      <c r="E172" s="9" t="inlineStr">
        <is>
          <t>RED 32 CR</t>
        </is>
      </c>
      <c r="F172" s="9" t="n">
        <v>6</v>
      </c>
      <c r="G172" s="13">
        <f>SUMIFS(Ordenes!$P$2:$P$840,Ordenes!$G$2:$G$840,$C172,Ordenes!$T$2:$T$840,"Válida")</f>
        <v/>
      </c>
      <c r="H172" s="13">
        <f>SUMIFS(Ordenes!$Q$2:$Q$840,Ordenes!$G$2:$G$840,$C172,Ordenes!$T$2:$T$840,"Válida")</f>
        <v/>
      </c>
      <c r="I172" s="14">
        <f>IFERROR(G172/H172,"")</f>
        <v/>
      </c>
      <c r="J172" s="14">
        <f>IFERROR(SUMIFS(Ordenes!$V$2:$V$840,Ordenes!$G$2:$G$840,$C172,Ordenes!$T$2:$T$840,"Válida")/H172,"")</f>
        <v/>
      </c>
      <c r="K172" s="25">
        <f>IFERROR((I172-J172)*100,"")</f>
        <v/>
      </c>
      <c r="L172" s="9">
        <f>COUNTIFS(Ordenes!$G$2:$G$840,$C172,Ordenes!$T$2:$T$840,"Válida")</f>
        <v/>
      </c>
      <c r="M172" s="9">
        <f>COUNTIFS(Ordenes!$G$2:$G$840,$C172,Ordenes!$T$2:$T$840,"A corregir")</f>
        <v/>
      </c>
      <c r="N172" s="13">
        <f>H172-G172</f>
        <v/>
      </c>
    </row>
    <row r="173">
      <c r="A173" s="9" t="n">
        <v>169</v>
      </c>
      <c r="B173" s="9" t="inlineStr">
        <is>
          <t>B Hormigón</t>
        </is>
      </c>
      <c r="C173" s="9" t="inlineStr">
        <is>
          <t>B HORMIGON 25MM 9M A630-420HS (N)</t>
        </is>
      </c>
      <c r="D173" s="9" t="inlineStr">
        <is>
          <t>Ø25 mm · 9 m</t>
        </is>
      </c>
      <c r="E173" s="9" t="inlineStr">
        <is>
          <t>RED 25 CR</t>
        </is>
      </c>
      <c r="F173" s="9" t="n">
        <v>9</v>
      </c>
      <c r="G173" s="13">
        <f>SUMIFS(Ordenes!$P$2:$P$840,Ordenes!$G$2:$G$840,$C173,Ordenes!$T$2:$T$840,"Válida")</f>
        <v/>
      </c>
      <c r="H173" s="13">
        <f>SUMIFS(Ordenes!$Q$2:$Q$840,Ordenes!$G$2:$G$840,$C173,Ordenes!$T$2:$T$840,"Válida")</f>
        <v/>
      </c>
      <c r="I173" s="14">
        <f>IFERROR(G173/H173,"")</f>
        <v/>
      </c>
      <c r="J173" s="14">
        <f>IFERROR(SUMIFS(Ordenes!$V$2:$V$840,Ordenes!$G$2:$G$840,$C173,Ordenes!$T$2:$T$840,"Válida")/H173,"")</f>
        <v/>
      </c>
      <c r="K173" s="25">
        <f>IFERROR((I173-J173)*100,"")</f>
        <v/>
      </c>
      <c r="L173" s="9">
        <f>COUNTIFS(Ordenes!$G$2:$G$840,$C173,Ordenes!$T$2:$T$840,"Válida")</f>
        <v/>
      </c>
      <c r="M173" s="9">
        <f>COUNTIFS(Ordenes!$G$2:$G$840,$C173,Ordenes!$T$2:$T$840,"A corregir")</f>
        <v/>
      </c>
      <c r="N173" s="13">
        <f>H173-G173</f>
        <v/>
      </c>
    </row>
    <row r="174">
      <c r="A174" s="9" t="n">
        <v>170</v>
      </c>
      <c r="B174" s="9" t="inlineStr">
        <is>
          <t>Redondo liso</t>
        </is>
      </c>
      <c r="C174" s="9" t="inlineStr">
        <is>
          <t>REDONDO LISO 7/8' 6M SAE 1045 (N)</t>
        </is>
      </c>
      <c r="D174" s="9" t="inlineStr">
        <is>
          <t>Ø22,2 mm · 6 m</t>
        </is>
      </c>
      <c r="E174" s="9" t="inlineStr">
        <is>
          <t>RED 7/8</t>
        </is>
      </c>
      <c r="F174" s="9" t="n">
        <v>6</v>
      </c>
      <c r="G174" s="13">
        <f>SUMIFS(Ordenes!$P$2:$P$840,Ordenes!$G$2:$G$840,$C174,Ordenes!$T$2:$T$840,"Válida")</f>
        <v/>
      </c>
      <c r="H174" s="13">
        <f>SUMIFS(Ordenes!$Q$2:$Q$840,Ordenes!$G$2:$G$840,$C174,Ordenes!$T$2:$T$840,"Válida")</f>
        <v/>
      </c>
      <c r="I174" s="14">
        <f>IFERROR(G174/H174,"")</f>
        <v/>
      </c>
      <c r="J174" s="14">
        <f>IFERROR(SUMIFS(Ordenes!$V$2:$V$840,Ordenes!$G$2:$G$840,$C174,Ordenes!$T$2:$T$840,"Válida")/H174,"")</f>
        <v/>
      </c>
      <c r="K174" s="25">
        <f>IFERROR((I174-J174)*100,"")</f>
        <v/>
      </c>
      <c r="L174" s="9">
        <f>COUNTIFS(Ordenes!$G$2:$G$840,$C174,Ordenes!$T$2:$T$840,"Válida")</f>
        <v/>
      </c>
      <c r="M174" s="9">
        <f>COUNTIFS(Ordenes!$G$2:$G$840,$C174,Ordenes!$T$2:$T$840,"A corregir")</f>
        <v/>
      </c>
      <c r="N174" s="13">
        <f>H174-G174</f>
        <v/>
      </c>
    </row>
    <row r="175">
      <c r="A175" s="9" t="n">
        <v>171</v>
      </c>
      <c r="B175" s="9" t="inlineStr">
        <is>
          <t>Hexágono</t>
        </is>
      </c>
      <c r="C175" s="9" t="inlineStr">
        <is>
          <t>HEXAGONO 1 1/8' 8MM SAE 1045 (N)</t>
        </is>
      </c>
      <c r="D175" s="9" t="inlineStr">
        <is>
          <t>28,6 mm e/c · 8 m</t>
        </is>
      </c>
      <c r="E175" s="9" t="n"/>
      <c r="F175" s="9" t="n">
        <v>8</v>
      </c>
      <c r="G175" s="13">
        <f>SUMIFS(Ordenes!$P$2:$P$840,Ordenes!$G$2:$G$840,$C175,Ordenes!$T$2:$T$840,"Válida")</f>
        <v/>
      </c>
      <c r="H175" s="13">
        <f>SUMIFS(Ordenes!$Q$2:$Q$840,Ordenes!$G$2:$G$840,$C175,Ordenes!$T$2:$T$840,"Válida")</f>
        <v/>
      </c>
      <c r="I175" s="14">
        <f>IFERROR(G175/H175,"")</f>
        <v/>
      </c>
      <c r="J175" s="14">
        <f>IFERROR(SUMIFS(Ordenes!$V$2:$V$840,Ordenes!$G$2:$G$840,$C175,Ordenes!$T$2:$T$840,"Válida")/H175,"")</f>
        <v/>
      </c>
      <c r="K175" s="25">
        <f>IFERROR((I175-J175)*100,"")</f>
        <v/>
      </c>
      <c r="L175" s="9">
        <f>COUNTIFS(Ordenes!$G$2:$G$840,$C175,Ordenes!$T$2:$T$840,"Válida")</f>
        <v/>
      </c>
      <c r="M175" s="9">
        <f>COUNTIFS(Ordenes!$G$2:$G$840,$C175,Ordenes!$T$2:$T$840,"A corregir")</f>
        <v/>
      </c>
      <c r="N175" s="13">
        <f>H175-G175</f>
        <v/>
      </c>
    </row>
    <row r="176">
      <c r="A176" s="9" t="n">
        <v>172</v>
      </c>
      <c r="B176" s="9" t="inlineStr">
        <is>
          <t>Plana</t>
        </is>
      </c>
      <c r="C176" s="9" t="inlineStr">
        <is>
          <t>PLANA 38X6MM 6M A270ES (N)</t>
        </is>
      </c>
      <c r="D176" s="9" t="inlineStr">
        <is>
          <t>38×6 mm · 6 m</t>
        </is>
      </c>
      <c r="E176" s="9" t="inlineStr">
        <is>
          <t>PL 38 x 6</t>
        </is>
      </c>
      <c r="F176" s="9" t="n">
        <v>6</v>
      </c>
      <c r="G176" s="13">
        <f>SUMIFS(Ordenes!$P$2:$P$840,Ordenes!$G$2:$G$840,$C176,Ordenes!$T$2:$T$840,"Válida")</f>
        <v/>
      </c>
      <c r="H176" s="13">
        <f>SUMIFS(Ordenes!$Q$2:$Q$840,Ordenes!$G$2:$G$840,$C176,Ordenes!$T$2:$T$840,"Válida")</f>
        <v/>
      </c>
      <c r="I176" s="14">
        <f>IFERROR(G176/H176,"")</f>
        <v/>
      </c>
      <c r="J176" s="14">
        <f>IFERROR(SUMIFS(Ordenes!$V$2:$V$840,Ordenes!$G$2:$G$840,$C176,Ordenes!$T$2:$T$840,"Válida")/H176,"")</f>
        <v/>
      </c>
      <c r="K176" s="25">
        <f>IFERROR((I176-J176)*100,"")</f>
        <v/>
      </c>
      <c r="L176" s="9">
        <f>COUNTIFS(Ordenes!$G$2:$G$840,$C176,Ordenes!$T$2:$T$840,"Válida")</f>
        <v/>
      </c>
      <c r="M176" s="9">
        <f>COUNTIFS(Ordenes!$G$2:$G$840,$C176,Ordenes!$T$2:$T$840,"A corregir")</f>
        <v/>
      </c>
      <c r="N176" s="13">
        <f>H176-G176</f>
        <v/>
      </c>
    </row>
    <row r="177">
      <c r="A177" s="9" t="n">
        <v>173</v>
      </c>
      <c r="B177" s="9" t="inlineStr">
        <is>
          <t>Redondo liso</t>
        </is>
      </c>
      <c r="C177" s="9" t="inlineStr">
        <is>
          <t>REDONDO LISO 5/8' 6M ASTM A 36 (N)</t>
        </is>
      </c>
      <c r="D177" s="9" t="inlineStr">
        <is>
          <t>Ø15,9 mm · 6 m</t>
        </is>
      </c>
      <c r="E177" s="9" t="inlineStr">
        <is>
          <t>RED 16</t>
        </is>
      </c>
      <c r="F177" s="9" t="n">
        <v>6</v>
      </c>
      <c r="G177" s="13">
        <f>SUMIFS(Ordenes!$P$2:$P$840,Ordenes!$G$2:$G$840,$C177,Ordenes!$T$2:$T$840,"Válida")</f>
        <v/>
      </c>
      <c r="H177" s="13">
        <f>SUMIFS(Ordenes!$Q$2:$Q$840,Ordenes!$G$2:$G$840,$C177,Ordenes!$T$2:$T$840,"Válida")</f>
        <v/>
      </c>
      <c r="I177" s="14">
        <f>IFERROR(G177/H177,"")</f>
        <v/>
      </c>
      <c r="J177" s="14">
        <f>IFERROR(SUMIFS(Ordenes!$V$2:$V$840,Ordenes!$G$2:$G$840,$C177,Ordenes!$T$2:$T$840,"Válida")/H177,"")</f>
        <v/>
      </c>
      <c r="K177" s="25">
        <f>IFERROR((I177-J177)*100,"")</f>
        <v/>
      </c>
      <c r="L177" s="9">
        <f>COUNTIFS(Ordenes!$G$2:$G$840,$C177,Ordenes!$T$2:$T$840,"Válida")</f>
        <v/>
      </c>
      <c r="M177" s="9">
        <f>COUNTIFS(Ordenes!$G$2:$G$840,$C177,Ordenes!$T$2:$T$840,"A corregir")</f>
        <v/>
      </c>
      <c r="N177" s="13">
        <f>H177-G177</f>
        <v/>
      </c>
    </row>
    <row r="178">
      <c r="A178" s="9" t="n">
        <v>174</v>
      </c>
      <c r="B178" s="9" t="inlineStr">
        <is>
          <t>Ángulo</t>
        </is>
      </c>
      <c r="C178" s="9" t="inlineStr">
        <is>
          <t>ANG 45X45X4MM 12M ASTM A572 T2 (N)</t>
        </is>
      </c>
      <c r="D178" s="9" t="inlineStr">
        <is>
          <t>45×45×4 mm · 12 m</t>
        </is>
      </c>
      <c r="E178" s="9" t="inlineStr">
        <is>
          <t>ANG 45 x 5</t>
        </is>
      </c>
      <c r="F178" s="9" t="n">
        <v>12</v>
      </c>
      <c r="G178" s="13">
        <f>SUMIFS(Ordenes!$P$2:$P$840,Ordenes!$G$2:$G$840,$C178,Ordenes!$T$2:$T$840,"Válida")</f>
        <v/>
      </c>
      <c r="H178" s="13">
        <f>SUMIFS(Ordenes!$Q$2:$Q$840,Ordenes!$G$2:$G$840,$C178,Ordenes!$T$2:$T$840,"Válida")</f>
        <v/>
      </c>
      <c r="I178" s="14">
        <f>IFERROR(G178/H178,"")</f>
        <v/>
      </c>
      <c r="J178" s="14">
        <f>IFERROR(SUMIFS(Ordenes!$V$2:$V$840,Ordenes!$G$2:$G$840,$C178,Ordenes!$T$2:$T$840,"Válida")/H178,"")</f>
        <v/>
      </c>
      <c r="K178" s="25">
        <f>IFERROR((I178-J178)*100,"")</f>
        <v/>
      </c>
      <c r="L178" s="9">
        <f>COUNTIFS(Ordenes!$G$2:$G$840,$C178,Ordenes!$T$2:$T$840,"Válida")</f>
        <v/>
      </c>
      <c r="M178" s="9">
        <f>COUNTIFS(Ordenes!$G$2:$G$840,$C178,Ordenes!$T$2:$T$840,"A corregir")</f>
        <v/>
      </c>
      <c r="N178" s="13">
        <f>H178-G178</f>
        <v/>
      </c>
    </row>
    <row r="179">
      <c r="A179" s="9" t="n">
        <v>175</v>
      </c>
      <c r="B179" s="9" t="inlineStr">
        <is>
          <t>Ángulo</t>
        </is>
      </c>
      <c r="C179" s="9" t="inlineStr">
        <is>
          <t>ANG 60X60X5MM 12M ASTM A572 T2 (N)</t>
        </is>
      </c>
      <c r="D179" s="9" t="inlineStr">
        <is>
          <t>60×60×5 mm · 12 m</t>
        </is>
      </c>
      <c r="E179" s="9" t="inlineStr">
        <is>
          <t>ANG 60 x 5</t>
        </is>
      </c>
      <c r="F179" s="9" t="n">
        <v>12</v>
      </c>
      <c r="G179" s="13">
        <f>SUMIFS(Ordenes!$P$2:$P$840,Ordenes!$G$2:$G$840,$C179,Ordenes!$T$2:$T$840,"Válida")</f>
        <v/>
      </c>
      <c r="H179" s="13">
        <f>SUMIFS(Ordenes!$Q$2:$Q$840,Ordenes!$G$2:$G$840,$C179,Ordenes!$T$2:$T$840,"Válida")</f>
        <v/>
      </c>
      <c r="I179" s="14">
        <f>IFERROR(G179/H179,"")</f>
        <v/>
      </c>
      <c r="J179" s="14">
        <f>IFERROR(SUMIFS(Ordenes!$V$2:$V$840,Ordenes!$G$2:$G$840,$C179,Ordenes!$T$2:$T$840,"Válida")/H179,"")</f>
        <v/>
      </c>
      <c r="K179" s="25">
        <f>IFERROR((I179-J179)*100,"")</f>
        <v/>
      </c>
      <c r="L179" s="9">
        <f>COUNTIFS(Ordenes!$G$2:$G$840,$C179,Ordenes!$T$2:$T$840,"Válida")</f>
        <v/>
      </c>
      <c r="M179" s="9">
        <f>COUNTIFS(Ordenes!$G$2:$G$840,$C179,Ordenes!$T$2:$T$840,"A corregir")</f>
        <v/>
      </c>
      <c r="N179" s="13">
        <f>H179-G179</f>
        <v/>
      </c>
    </row>
    <row r="180">
      <c r="A180" s="9" t="n">
        <v>176</v>
      </c>
      <c r="B180" s="9" t="inlineStr">
        <is>
          <t>Plana</t>
        </is>
      </c>
      <c r="C180" s="9" t="inlineStr">
        <is>
          <t>PLANA 20X6MM 6M A270ES (N)</t>
        </is>
      </c>
      <c r="D180" s="9" t="inlineStr">
        <is>
          <t>20×6 mm · 6 m</t>
        </is>
      </c>
      <c r="E180" s="9" t="inlineStr">
        <is>
          <t>PL 20 x 6</t>
        </is>
      </c>
      <c r="F180" s="9" t="n">
        <v>6</v>
      </c>
      <c r="G180" s="13">
        <f>SUMIFS(Ordenes!$P$2:$P$840,Ordenes!$G$2:$G$840,$C180,Ordenes!$T$2:$T$840,"Válida")</f>
        <v/>
      </c>
      <c r="H180" s="13">
        <f>SUMIFS(Ordenes!$Q$2:$Q$840,Ordenes!$G$2:$G$840,$C180,Ordenes!$T$2:$T$840,"Válida")</f>
        <v/>
      </c>
      <c r="I180" s="14">
        <f>IFERROR(G180/H180,"")</f>
        <v/>
      </c>
      <c r="J180" s="14">
        <f>IFERROR(SUMIFS(Ordenes!$V$2:$V$840,Ordenes!$G$2:$G$840,$C180,Ordenes!$T$2:$T$840,"Válida")/H180,"")</f>
        <v/>
      </c>
      <c r="K180" s="25">
        <f>IFERROR((I180-J180)*100,"")</f>
        <v/>
      </c>
      <c r="L180" s="9">
        <f>COUNTIFS(Ordenes!$G$2:$G$840,$C180,Ordenes!$T$2:$T$840,"Válida")</f>
        <v/>
      </c>
      <c r="M180" s="9">
        <f>COUNTIFS(Ordenes!$G$2:$G$840,$C180,Ordenes!$T$2:$T$840,"A corregir")</f>
        <v/>
      </c>
      <c r="N180" s="13">
        <f>H180-G180</f>
        <v/>
      </c>
    </row>
    <row r="181">
      <c r="A181" s="9" t="n">
        <v>177</v>
      </c>
      <c r="B181" s="9" t="inlineStr">
        <is>
          <t>Plana</t>
        </is>
      </c>
      <c r="C181" s="9" t="inlineStr">
        <is>
          <t>PLANA 20X8MM 6M A270ES (N)</t>
        </is>
      </c>
      <c r="D181" s="9" t="inlineStr">
        <is>
          <t>20×8 mm · 6 m</t>
        </is>
      </c>
      <c r="E181" s="9" t="inlineStr">
        <is>
          <t>PL 20 x 8</t>
        </is>
      </c>
      <c r="F181" s="9" t="n">
        <v>6</v>
      </c>
      <c r="G181" s="13">
        <f>SUMIFS(Ordenes!$P$2:$P$840,Ordenes!$G$2:$G$840,$C181,Ordenes!$T$2:$T$840,"Válida")</f>
        <v/>
      </c>
      <c r="H181" s="13">
        <f>SUMIFS(Ordenes!$Q$2:$Q$840,Ordenes!$G$2:$G$840,$C181,Ordenes!$T$2:$T$840,"Válida")</f>
        <v/>
      </c>
      <c r="I181" s="14">
        <f>IFERROR(G181/H181,"")</f>
        <v/>
      </c>
      <c r="J181" s="14">
        <f>IFERROR(SUMIFS(Ordenes!$V$2:$V$840,Ordenes!$G$2:$G$840,$C181,Ordenes!$T$2:$T$840,"Válida")/H181,"")</f>
        <v/>
      </c>
      <c r="K181" s="25">
        <f>IFERROR((I181-J181)*100,"")</f>
        <v/>
      </c>
      <c r="L181" s="9">
        <f>COUNTIFS(Ordenes!$G$2:$G$840,$C181,Ordenes!$T$2:$T$840,"Válida")</f>
        <v/>
      </c>
      <c r="M181" s="9">
        <f>COUNTIFS(Ordenes!$G$2:$G$840,$C181,Ordenes!$T$2:$T$840,"A corregir")</f>
        <v/>
      </c>
      <c r="N181" s="13">
        <f>H181-G181</f>
        <v/>
      </c>
    </row>
    <row r="182">
      <c r="A182" s="9" t="n">
        <v>178</v>
      </c>
      <c r="B182" s="9" t="inlineStr">
        <is>
          <t>B Hormigón</t>
        </is>
      </c>
      <c r="C182" s="9" t="inlineStr">
        <is>
          <t>B HORMIGON 28MM 12M A630-420HS (N)</t>
        </is>
      </c>
      <c r="D182" s="9" t="inlineStr">
        <is>
          <t>Ø28 mm · 12 m</t>
        </is>
      </c>
      <c r="E182" s="9" t="inlineStr">
        <is>
          <t>RED 28 CR</t>
        </is>
      </c>
      <c r="F182" s="9" t="n">
        <v>12</v>
      </c>
      <c r="G182" s="13">
        <f>SUMIFS(Ordenes!$P$2:$P$840,Ordenes!$G$2:$G$840,$C182,Ordenes!$T$2:$T$840,"Válida")</f>
        <v/>
      </c>
      <c r="H182" s="13">
        <f>SUMIFS(Ordenes!$Q$2:$Q$840,Ordenes!$G$2:$G$840,$C182,Ordenes!$T$2:$T$840,"Válida")</f>
        <v/>
      </c>
      <c r="I182" s="14">
        <f>IFERROR(G182/H182,"")</f>
        <v/>
      </c>
      <c r="J182" s="14">
        <f>IFERROR(SUMIFS(Ordenes!$V$2:$V$840,Ordenes!$G$2:$G$840,$C182,Ordenes!$T$2:$T$840,"Válida")/H182,"")</f>
        <v/>
      </c>
      <c r="K182" s="25">
        <f>IFERROR((I182-J182)*100,"")</f>
        <v/>
      </c>
      <c r="L182" s="9">
        <f>COUNTIFS(Ordenes!$G$2:$G$840,$C182,Ordenes!$T$2:$T$840,"Válida")</f>
        <v/>
      </c>
      <c r="M182" s="9">
        <f>COUNTIFS(Ordenes!$G$2:$G$840,$C182,Ordenes!$T$2:$T$840,"A corregir")</f>
        <v/>
      </c>
      <c r="N182" s="13">
        <f>H182-G182</f>
        <v/>
      </c>
    </row>
    <row r="183">
      <c r="A183" s="9" t="n">
        <v>179</v>
      </c>
      <c r="B183" s="9" t="inlineStr">
        <is>
          <t>Cuadrado</t>
        </is>
      </c>
      <c r="C183" s="9" t="inlineStr">
        <is>
          <t>CUADRADO 14MM 6M COMERCIAL (N)</t>
        </is>
      </c>
      <c r="D183" s="9" t="inlineStr">
        <is>
          <t>14 mm · 6 m</t>
        </is>
      </c>
      <c r="E183" s="9" t="inlineStr">
        <is>
          <t>CUAD 14</t>
        </is>
      </c>
      <c r="F183" s="9" t="n">
        <v>6</v>
      </c>
      <c r="G183" s="13">
        <f>SUMIFS(Ordenes!$P$2:$P$840,Ordenes!$G$2:$G$840,$C183,Ordenes!$T$2:$T$840,"Válida")</f>
        <v/>
      </c>
      <c r="H183" s="13">
        <f>SUMIFS(Ordenes!$Q$2:$Q$840,Ordenes!$G$2:$G$840,$C183,Ordenes!$T$2:$T$840,"Válida")</f>
        <v/>
      </c>
      <c r="I183" s="14">
        <f>IFERROR(G183/H183,"")</f>
        <v/>
      </c>
      <c r="J183" s="14">
        <f>IFERROR(SUMIFS(Ordenes!$V$2:$V$840,Ordenes!$G$2:$G$840,$C183,Ordenes!$T$2:$T$840,"Válida")/H183,"")</f>
        <v/>
      </c>
      <c r="K183" s="25">
        <f>IFERROR((I183-J183)*100,"")</f>
        <v/>
      </c>
      <c r="L183" s="9">
        <f>COUNTIFS(Ordenes!$G$2:$G$840,$C183,Ordenes!$T$2:$T$840,"Válida")</f>
        <v/>
      </c>
      <c r="M183" s="9">
        <f>COUNTIFS(Ordenes!$G$2:$G$840,$C183,Ordenes!$T$2:$T$840,"A corregir")</f>
        <v/>
      </c>
      <c r="N183" s="13">
        <f>H183-G183</f>
        <v/>
      </c>
    </row>
    <row r="184">
      <c r="A184" s="9" t="n">
        <v>180</v>
      </c>
      <c r="B184" s="9" t="inlineStr">
        <is>
          <t>Ángulo</t>
        </is>
      </c>
      <c r="C184" s="9" t="inlineStr">
        <is>
          <t>ANG 60X60X6MM 12M ASTM A572 T2 (N)</t>
        </is>
      </c>
      <c r="D184" s="9" t="inlineStr">
        <is>
          <t>60×60×6 mm · 12 m</t>
        </is>
      </c>
      <c r="E184" s="9" t="inlineStr">
        <is>
          <t>ANG 60 x 6</t>
        </is>
      </c>
      <c r="F184" s="9" t="n">
        <v>12</v>
      </c>
      <c r="G184" s="13">
        <f>SUMIFS(Ordenes!$P$2:$P$840,Ordenes!$G$2:$G$840,$C184,Ordenes!$T$2:$T$840,"Válida")</f>
        <v/>
      </c>
      <c r="H184" s="13">
        <f>SUMIFS(Ordenes!$Q$2:$Q$840,Ordenes!$G$2:$G$840,$C184,Ordenes!$T$2:$T$840,"Válida")</f>
        <v/>
      </c>
      <c r="I184" s="14">
        <f>IFERROR(G184/H184,"")</f>
        <v/>
      </c>
      <c r="J184" s="14">
        <f>IFERROR(SUMIFS(Ordenes!$V$2:$V$840,Ordenes!$G$2:$G$840,$C184,Ordenes!$T$2:$T$840,"Válida")/H184,"")</f>
        <v/>
      </c>
      <c r="K184" s="25">
        <f>IFERROR((I184-J184)*100,"")</f>
        <v/>
      </c>
      <c r="L184" s="9">
        <f>COUNTIFS(Ordenes!$G$2:$G$840,$C184,Ordenes!$T$2:$T$840,"Válida")</f>
        <v/>
      </c>
      <c r="M184" s="9">
        <f>COUNTIFS(Ordenes!$G$2:$G$840,$C184,Ordenes!$T$2:$T$840,"A corregir")</f>
        <v/>
      </c>
      <c r="N184" s="13">
        <f>H184-G184</f>
        <v/>
      </c>
    </row>
    <row r="185">
      <c r="A185" s="9" t="n">
        <v>181</v>
      </c>
      <c r="B185" s="9" t="inlineStr">
        <is>
          <t>Cuadrado</t>
        </is>
      </c>
      <c r="C185" s="9" t="inlineStr">
        <is>
          <t>CUADRADO 18MM 6M COMERCIAL (N)</t>
        </is>
      </c>
      <c r="D185" s="9" t="inlineStr">
        <is>
          <t>18 mm · 6 m</t>
        </is>
      </c>
      <c r="E185" s="9" t="inlineStr">
        <is>
          <t>CUAD 18</t>
        </is>
      </c>
      <c r="F185" s="9" t="n">
        <v>6</v>
      </c>
      <c r="G185" s="13">
        <f>SUMIFS(Ordenes!$P$2:$P$840,Ordenes!$G$2:$G$840,$C185,Ordenes!$T$2:$T$840,"Válida")</f>
        <v/>
      </c>
      <c r="H185" s="13">
        <f>SUMIFS(Ordenes!$Q$2:$Q$840,Ordenes!$G$2:$G$840,$C185,Ordenes!$T$2:$T$840,"Válida")</f>
        <v/>
      </c>
      <c r="I185" s="14">
        <f>IFERROR(G185/H185,"")</f>
        <v/>
      </c>
      <c r="J185" s="14">
        <f>IFERROR(SUMIFS(Ordenes!$V$2:$V$840,Ordenes!$G$2:$G$840,$C185,Ordenes!$T$2:$T$840,"Válida")/H185,"")</f>
        <v/>
      </c>
      <c r="K185" s="25">
        <f>IFERROR((I185-J185)*100,"")</f>
        <v/>
      </c>
      <c r="L185" s="9">
        <f>COUNTIFS(Ordenes!$G$2:$G$840,$C185,Ordenes!$T$2:$T$840,"Válida")</f>
        <v/>
      </c>
      <c r="M185" s="9">
        <f>COUNTIFS(Ordenes!$G$2:$G$840,$C185,Ordenes!$T$2:$T$840,"A corregir")</f>
        <v/>
      </c>
      <c r="N185" s="13">
        <f>H185-G185</f>
        <v/>
      </c>
    </row>
    <row r="186">
      <c r="A186" s="9" t="n">
        <v>182</v>
      </c>
      <c r="B186" s="9" t="inlineStr">
        <is>
          <t>Saferock</t>
        </is>
      </c>
      <c r="C186" s="9" t="inlineStr">
        <is>
          <t>SAFEROCK 25MM 12M A280</t>
        </is>
      </c>
      <c r="D186" s="9" t="inlineStr">
        <is>
          <t>Ø25 mm · 12 m</t>
        </is>
      </c>
      <c r="E186" s="9" t="inlineStr">
        <is>
          <t>SFR 25</t>
        </is>
      </c>
      <c r="F186" s="9" t="n">
        <v>12</v>
      </c>
      <c r="G186" s="13">
        <f>SUMIFS(Ordenes!$P$2:$P$840,Ordenes!$G$2:$G$840,$C186,Ordenes!$T$2:$T$840,"Válida")</f>
        <v/>
      </c>
      <c r="H186" s="13">
        <f>SUMIFS(Ordenes!$Q$2:$Q$840,Ordenes!$G$2:$G$840,$C186,Ordenes!$T$2:$T$840,"Válida")</f>
        <v/>
      </c>
      <c r="I186" s="14">
        <f>IFERROR(G186/H186,"")</f>
        <v/>
      </c>
      <c r="J186" s="14">
        <f>IFERROR(SUMIFS(Ordenes!$V$2:$V$840,Ordenes!$G$2:$G$840,$C186,Ordenes!$T$2:$T$840,"Válida")/H186,"")</f>
        <v/>
      </c>
      <c r="K186" s="25">
        <f>IFERROR((I186-J186)*100,"")</f>
        <v/>
      </c>
      <c r="L186" s="9">
        <f>COUNTIFS(Ordenes!$G$2:$G$840,$C186,Ordenes!$T$2:$T$840,"Válida")</f>
        <v/>
      </c>
      <c r="M186" s="9">
        <f>COUNTIFS(Ordenes!$G$2:$G$840,$C186,Ordenes!$T$2:$T$840,"A corregir")</f>
        <v/>
      </c>
      <c r="N186" s="13">
        <f>H186-G186</f>
        <v/>
      </c>
    </row>
    <row r="187">
      <c r="A187" s="9" t="n">
        <v>183</v>
      </c>
      <c r="B187" s="9" t="inlineStr">
        <is>
          <t>Saferock</t>
        </is>
      </c>
      <c r="C187" s="9" t="inlineStr">
        <is>
          <t>SAFEROCK 22MM 10M A420</t>
        </is>
      </c>
      <c r="D187" s="9" t="inlineStr">
        <is>
          <t>Ø22 mm · 10 m</t>
        </is>
      </c>
      <c r="E187" s="9" t="inlineStr">
        <is>
          <t>SFRCK 22</t>
        </is>
      </c>
      <c r="F187" s="9" t="n">
        <v>10</v>
      </c>
      <c r="G187" s="13">
        <f>SUMIFS(Ordenes!$P$2:$P$840,Ordenes!$G$2:$G$840,$C187,Ordenes!$T$2:$T$840,"Válida")</f>
        <v/>
      </c>
      <c r="H187" s="13">
        <f>SUMIFS(Ordenes!$Q$2:$Q$840,Ordenes!$G$2:$G$840,$C187,Ordenes!$T$2:$T$840,"Válida")</f>
        <v/>
      </c>
      <c r="I187" s="14">
        <f>IFERROR(G187/H187,"")</f>
        <v/>
      </c>
      <c r="J187" s="14">
        <f>IFERROR(SUMIFS(Ordenes!$V$2:$V$840,Ordenes!$G$2:$G$840,$C187,Ordenes!$T$2:$T$840,"Válida")/H187,"")</f>
        <v/>
      </c>
      <c r="K187" s="25">
        <f>IFERROR((I187-J187)*100,"")</f>
        <v/>
      </c>
      <c r="L187" s="9">
        <f>COUNTIFS(Ordenes!$G$2:$G$840,$C187,Ordenes!$T$2:$T$840,"Válida")</f>
        <v/>
      </c>
      <c r="M187" s="9">
        <f>COUNTIFS(Ordenes!$G$2:$G$840,$C187,Ordenes!$T$2:$T$840,"A corregir")</f>
        <v/>
      </c>
      <c r="N187" s="13">
        <f>H187-G187</f>
        <v/>
      </c>
    </row>
    <row r="188">
      <c r="A188" s="9" t="n">
        <v>184</v>
      </c>
      <c r="B188" s="9" t="inlineStr">
        <is>
          <t>Ángulo</t>
        </is>
      </c>
      <c r="C188" s="9" t="inlineStr">
        <is>
          <t>ANG 50X50X4MM 12M ASTM A572 T2 (N)</t>
        </is>
      </c>
      <c r="D188" s="9" t="inlineStr">
        <is>
          <t>50×50×4 mm · 12 m</t>
        </is>
      </c>
      <c r="E188" s="9" t="inlineStr">
        <is>
          <t>ANG 50 x 4</t>
        </is>
      </c>
      <c r="F188" s="9" t="n">
        <v>12</v>
      </c>
      <c r="G188" s="13">
        <f>SUMIFS(Ordenes!$P$2:$P$840,Ordenes!$G$2:$G$840,$C188,Ordenes!$T$2:$T$840,"Válida")</f>
        <v/>
      </c>
      <c r="H188" s="13">
        <f>SUMIFS(Ordenes!$Q$2:$Q$840,Ordenes!$G$2:$G$840,$C188,Ordenes!$T$2:$T$840,"Válida")</f>
        <v/>
      </c>
      <c r="I188" s="14">
        <f>IFERROR(G188/H188,"")</f>
        <v/>
      </c>
      <c r="J188" s="14">
        <f>IFERROR(SUMIFS(Ordenes!$V$2:$V$840,Ordenes!$G$2:$G$840,$C188,Ordenes!$T$2:$T$840,"Válida")/H188,"")</f>
        <v/>
      </c>
      <c r="K188" s="25">
        <f>IFERROR((I188-J188)*100,"")</f>
        <v/>
      </c>
      <c r="L188" s="9">
        <f>COUNTIFS(Ordenes!$G$2:$G$840,$C188,Ordenes!$T$2:$T$840,"Válida")</f>
        <v/>
      </c>
      <c r="M188" s="9">
        <f>COUNTIFS(Ordenes!$G$2:$G$840,$C188,Ordenes!$T$2:$T$840,"A corregir")</f>
        <v/>
      </c>
      <c r="N188" s="13">
        <f>H188-G188</f>
        <v/>
      </c>
    </row>
    <row r="189">
      <c r="A189" s="9" t="n">
        <v>185</v>
      </c>
      <c r="B189" s="9" t="inlineStr">
        <is>
          <t>Plana</t>
        </is>
      </c>
      <c r="C189" s="9" t="inlineStr">
        <is>
          <t>PLANA 32X8MM 6M A270ES (N)</t>
        </is>
      </c>
      <c r="D189" s="9" t="inlineStr">
        <is>
          <t>32×8 mm · 6 m</t>
        </is>
      </c>
      <c r="E189" s="9" t="inlineStr">
        <is>
          <t>PL 32 x 8</t>
        </is>
      </c>
      <c r="F189" s="9" t="n">
        <v>6</v>
      </c>
      <c r="G189" s="13">
        <f>SUMIFS(Ordenes!$P$2:$P$840,Ordenes!$G$2:$G$840,$C189,Ordenes!$T$2:$T$840,"Válida")</f>
        <v/>
      </c>
      <c r="H189" s="13">
        <f>SUMIFS(Ordenes!$Q$2:$Q$840,Ordenes!$G$2:$G$840,$C189,Ordenes!$T$2:$T$840,"Válida")</f>
        <v/>
      </c>
      <c r="I189" s="14">
        <f>IFERROR(G189/H189,"")</f>
        <v/>
      </c>
      <c r="J189" s="14">
        <f>IFERROR(SUMIFS(Ordenes!$V$2:$V$840,Ordenes!$G$2:$G$840,$C189,Ordenes!$T$2:$T$840,"Válida")/H189,"")</f>
        <v/>
      </c>
      <c r="K189" s="25">
        <f>IFERROR((I189-J189)*100,"")</f>
        <v/>
      </c>
      <c r="L189" s="9">
        <f>COUNTIFS(Ordenes!$G$2:$G$840,$C189,Ordenes!$T$2:$T$840,"Válida")</f>
        <v/>
      </c>
      <c r="M189" s="9">
        <f>COUNTIFS(Ordenes!$G$2:$G$840,$C189,Ordenes!$T$2:$T$840,"A corregir")</f>
        <v/>
      </c>
      <c r="N189" s="13">
        <f>H189-G189</f>
        <v/>
      </c>
    </row>
    <row r="190">
      <c r="A190" s="9" t="n">
        <v>186</v>
      </c>
      <c r="B190" s="9" t="inlineStr">
        <is>
          <t>Ángulo</t>
        </is>
      </c>
      <c r="C190" s="9" t="inlineStr">
        <is>
          <t>ANGULO 80X80X12MM A270ES</t>
        </is>
      </c>
      <c r="D190" s="9" t="inlineStr">
        <is>
          <t>80×80×12 mm · 6 m</t>
        </is>
      </c>
      <c r="E190" s="9" t="inlineStr">
        <is>
          <t>ANG 80 x 12</t>
        </is>
      </c>
      <c r="F190" s="9" t="n">
        <v>6</v>
      </c>
      <c r="G190" s="13">
        <f>SUMIFS(Ordenes!$P$2:$P$840,Ordenes!$G$2:$G$840,$C190,Ordenes!$T$2:$T$840,"Válida")</f>
        <v/>
      </c>
      <c r="H190" s="13">
        <f>SUMIFS(Ordenes!$Q$2:$Q$840,Ordenes!$G$2:$G$840,$C190,Ordenes!$T$2:$T$840,"Válida")</f>
        <v/>
      </c>
      <c r="I190" s="14">
        <f>IFERROR(G190/H190,"")</f>
        <v/>
      </c>
      <c r="J190" s="14">
        <f>IFERROR(SUMIFS(Ordenes!$V$2:$V$840,Ordenes!$G$2:$G$840,$C190,Ordenes!$T$2:$T$840,"Válida")/H190,"")</f>
        <v/>
      </c>
      <c r="K190" s="25">
        <f>IFERROR((I190-J190)*100,"")</f>
        <v/>
      </c>
      <c r="L190" s="9">
        <f>COUNTIFS(Ordenes!$G$2:$G$840,$C190,Ordenes!$T$2:$T$840,"Válida")</f>
        <v/>
      </c>
      <c r="M190" s="9">
        <f>COUNTIFS(Ordenes!$G$2:$G$840,$C190,Ordenes!$T$2:$T$840,"A corregir")</f>
        <v/>
      </c>
      <c r="N190" s="13">
        <f>H190-G190</f>
        <v/>
      </c>
    </row>
    <row r="191">
      <c r="A191" s="9" t="n">
        <v>187</v>
      </c>
      <c r="B191" s="9" t="inlineStr">
        <is>
          <t>B Hormigón</t>
        </is>
      </c>
      <c r="C191" s="9" t="inlineStr">
        <is>
          <t>B HORMIGON 36MM 11M A630-420H (N)</t>
        </is>
      </c>
      <c r="D191" s="9" t="inlineStr">
        <is>
          <t>Ø36 mm · 11 m</t>
        </is>
      </c>
      <c r="E191" s="9" t="inlineStr">
        <is>
          <t>RED 36 CR</t>
        </is>
      </c>
      <c r="F191" s="9" t="n">
        <v>11</v>
      </c>
      <c r="G191" s="13">
        <f>SUMIFS(Ordenes!$P$2:$P$840,Ordenes!$G$2:$G$840,$C191,Ordenes!$T$2:$T$840,"Válida")</f>
        <v/>
      </c>
      <c r="H191" s="13">
        <f>SUMIFS(Ordenes!$Q$2:$Q$840,Ordenes!$G$2:$G$840,$C191,Ordenes!$T$2:$T$840,"Válida")</f>
        <v/>
      </c>
      <c r="I191" s="14">
        <f>IFERROR(G191/H191,"")</f>
        <v/>
      </c>
      <c r="J191" s="14">
        <f>IFERROR(SUMIFS(Ordenes!$V$2:$V$840,Ordenes!$G$2:$G$840,$C191,Ordenes!$T$2:$T$840,"Válida")/H191,"")</f>
        <v/>
      </c>
      <c r="K191" s="25">
        <f>IFERROR((I191-J191)*100,"")</f>
        <v/>
      </c>
      <c r="L191" s="9">
        <f>COUNTIFS(Ordenes!$G$2:$G$840,$C191,Ordenes!$T$2:$T$840,"Válida")</f>
        <v/>
      </c>
      <c r="M191" s="9">
        <f>COUNTIFS(Ordenes!$G$2:$G$840,$C191,Ordenes!$T$2:$T$840,"A corregir")</f>
        <v/>
      </c>
      <c r="N191" s="13">
        <f>H191-G191</f>
        <v/>
      </c>
    </row>
    <row r="192">
      <c r="A192" s="9" t="n">
        <v>188</v>
      </c>
      <c r="B192" s="9" t="inlineStr">
        <is>
          <t>Saferock</t>
        </is>
      </c>
      <c r="C192" s="9" t="inlineStr">
        <is>
          <t>SAFEROCK 22MM 11,96M A520</t>
        </is>
      </c>
      <c r="D192" s="9" t="inlineStr">
        <is>
          <t>Ø22 mm · 6 m</t>
        </is>
      </c>
      <c r="E192" s="9" t="inlineStr">
        <is>
          <t>SFRCK 22</t>
        </is>
      </c>
      <c r="F192" s="9" t="n">
        <v>6</v>
      </c>
      <c r="G192" s="13">
        <f>SUMIFS(Ordenes!$P$2:$P$840,Ordenes!$G$2:$G$840,$C192,Ordenes!$T$2:$T$840,"Válida")</f>
        <v/>
      </c>
      <c r="H192" s="13">
        <f>SUMIFS(Ordenes!$Q$2:$Q$840,Ordenes!$G$2:$G$840,$C192,Ordenes!$T$2:$T$840,"Válida")</f>
        <v/>
      </c>
      <c r="I192" s="14">
        <f>IFERROR(G192/H192,"")</f>
        <v/>
      </c>
      <c r="J192" s="14">
        <f>IFERROR(SUMIFS(Ordenes!$V$2:$V$840,Ordenes!$G$2:$G$840,$C192,Ordenes!$T$2:$T$840,"Válida")/H192,"")</f>
        <v/>
      </c>
      <c r="K192" s="25">
        <f>IFERROR((I192-J192)*100,"")</f>
        <v/>
      </c>
      <c r="L192" s="9">
        <f>COUNTIFS(Ordenes!$G$2:$G$840,$C192,Ordenes!$T$2:$T$840,"Válida")</f>
        <v/>
      </c>
      <c r="M192" s="9">
        <f>COUNTIFS(Ordenes!$G$2:$G$840,$C192,Ordenes!$T$2:$T$840,"A corregir")</f>
        <v/>
      </c>
      <c r="N192" s="13">
        <f>H192-G192</f>
        <v/>
      </c>
    </row>
    <row r="193">
      <c r="A193" s="9" t="n">
        <v>189</v>
      </c>
      <c r="B193" s="9" t="inlineStr">
        <is>
          <t>Redondo liso</t>
        </is>
      </c>
      <c r="C193" s="9" t="inlineStr">
        <is>
          <t>REDONDO LISO 1 1/8' 6M SAE 1020 (N)</t>
        </is>
      </c>
      <c r="D193" s="9" t="inlineStr">
        <is>
          <t>Ø28,6 mm · 6 m</t>
        </is>
      </c>
      <c r="E193" s="9" t="inlineStr">
        <is>
          <t>RED 1,1/8L</t>
        </is>
      </c>
      <c r="F193" s="9" t="n">
        <v>6</v>
      </c>
      <c r="G193" s="13">
        <f>SUMIFS(Ordenes!$P$2:$P$840,Ordenes!$G$2:$G$840,$C193,Ordenes!$T$2:$T$840,"Válida")</f>
        <v/>
      </c>
      <c r="H193" s="13">
        <f>SUMIFS(Ordenes!$Q$2:$Q$840,Ordenes!$G$2:$G$840,$C193,Ordenes!$T$2:$T$840,"Válida")</f>
        <v/>
      </c>
      <c r="I193" s="14">
        <f>IFERROR(G193/H193,"")</f>
        <v/>
      </c>
      <c r="J193" s="14">
        <f>IFERROR(SUMIFS(Ordenes!$V$2:$V$840,Ordenes!$G$2:$G$840,$C193,Ordenes!$T$2:$T$840,"Válida")/H193,"")</f>
        <v/>
      </c>
      <c r="K193" s="25">
        <f>IFERROR((I193-J193)*100,"")</f>
        <v/>
      </c>
      <c r="L193" s="9">
        <f>COUNTIFS(Ordenes!$G$2:$G$840,$C193,Ordenes!$T$2:$T$840,"Válida")</f>
        <v/>
      </c>
      <c r="M193" s="9">
        <f>COUNTIFS(Ordenes!$G$2:$G$840,$C193,Ordenes!$T$2:$T$840,"A corregir")</f>
        <v/>
      </c>
      <c r="N193" s="13">
        <f>H193-G193</f>
        <v/>
      </c>
    </row>
    <row r="194">
      <c r="A194" s="9" t="n">
        <v>190</v>
      </c>
      <c r="B194" s="9" t="inlineStr">
        <is>
          <t>Ángulo</t>
        </is>
      </c>
      <c r="C194" s="9" t="inlineStr">
        <is>
          <t>ANGULO 25X25X5MM A270ES</t>
        </is>
      </c>
      <c r="D194" s="9" t="inlineStr">
        <is>
          <t>25×25×5 mm · 12 m</t>
        </is>
      </c>
      <c r="E194" s="9" t="inlineStr">
        <is>
          <t>ANG 25 x 5</t>
        </is>
      </c>
      <c r="F194" s="9" t="n">
        <v>12</v>
      </c>
      <c r="G194" s="13">
        <f>SUMIFS(Ordenes!$P$2:$P$840,Ordenes!$G$2:$G$840,$C194,Ordenes!$T$2:$T$840,"Válida")</f>
        <v/>
      </c>
      <c r="H194" s="13">
        <f>SUMIFS(Ordenes!$Q$2:$Q$840,Ordenes!$G$2:$G$840,$C194,Ordenes!$T$2:$T$840,"Válida")</f>
        <v/>
      </c>
      <c r="I194" s="14">
        <f>IFERROR(G194/H194,"")</f>
        <v/>
      </c>
      <c r="J194" s="14">
        <f>IFERROR(SUMIFS(Ordenes!$V$2:$V$840,Ordenes!$G$2:$G$840,$C194,Ordenes!$T$2:$T$840,"Válida")/H194,"")</f>
        <v/>
      </c>
      <c r="K194" s="25">
        <f>IFERROR((I194-J194)*100,"")</f>
        <v/>
      </c>
      <c r="L194" s="9">
        <f>COUNTIFS(Ordenes!$G$2:$G$840,$C194,Ordenes!$T$2:$T$840,"Válida")</f>
        <v/>
      </c>
      <c r="M194" s="9">
        <f>COUNTIFS(Ordenes!$G$2:$G$840,$C194,Ordenes!$T$2:$T$840,"A corregir")</f>
        <v/>
      </c>
      <c r="N194" s="13">
        <f>H194-G194</f>
        <v/>
      </c>
    </row>
    <row r="195">
      <c r="A195" s="9" t="n">
        <v>191</v>
      </c>
      <c r="B195" s="9" t="inlineStr">
        <is>
          <t>Plana</t>
        </is>
      </c>
      <c r="C195" s="9" t="inlineStr">
        <is>
          <t>PLANA 25X10MM 6M A270ES (N)</t>
        </is>
      </c>
      <c r="D195" s="9" t="inlineStr">
        <is>
          <t>25×10 mm · 6 m</t>
        </is>
      </c>
      <c r="E195" s="9" t="inlineStr">
        <is>
          <t>PL 25 x 10</t>
        </is>
      </c>
      <c r="F195" s="9" t="n">
        <v>6</v>
      </c>
      <c r="G195" s="13">
        <f>SUMIFS(Ordenes!$P$2:$P$840,Ordenes!$G$2:$G$840,$C195,Ordenes!$T$2:$T$840,"Válida")</f>
        <v/>
      </c>
      <c r="H195" s="13">
        <f>SUMIFS(Ordenes!$Q$2:$Q$840,Ordenes!$G$2:$G$840,$C195,Ordenes!$T$2:$T$840,"Válida")</f>
        <v/>
      </c>
      <c r="I195" s="14">
        <f>IFERROR(G195/H195,"")</f>
        <v/>
      </c>
      <c r="J195" s="14">
        <f>IFERROR(SUMIFS(Ordenes!$V$2:$V$840,Ordenes!$G$2:$G$840,$C195,Ordenes!$T$2:$T$840,"Válida")/H195,"")</f>
        <v/>
      </c>
      <c r="K195" s="25">
        <f>IFERROR((I195-J195)*100,"")</f>
        <v/>
      </c>
      <c r="L195" s="9">
        <f>COUNTIFS(Ordenes!$G$2:$G$840,$C195,Ordenes!$T$2:$T$840,"Válida")</f>
        <v/>
      </c>
      <c r="M195" s="9">
        <f>COUNTIFS(Ordenes!$G$2:$G$840,$C195,Ordenes!$T$2:$T$840,"A corregir")</f>
        <v/>
      </c>
      <c r="N195" s="13">
        <f>H195-G195</f>
        <v/>
      </c>
    </row>
    <row r="196">
      <c r="A196" s="9" t="n">
        <v>192</v>
      </c>
      <c r="B196" s="9" t="inlineStr">
        <is>
          <t>Cuadrado</t>
        </is>
      </c>
      <c r="C196" s="9" t="inlineStr">
        <is>
          <t>CUADRADO 25MM 6M COMERCIAL (N)</t>
        </is>
      </c>
      <c r="D196" s="9" t="inlineStr">
        <is>
          <t>25 mm · 6 m</t>
        </is>
      </c>
      <c r="E196" s="9" t="inlineStr">
        <is>
          <t>CUAD 25</t>
        </is>
      </c>
      <c r="F196" s="9" t="n">
        <v>6</v>
      </c>
      <c r="G196" s="13">
        <f>SUMIFS(Ordenes!$P$2:$P$840,Ordenes!$G$2:$G$840,$C196,Ordenes!$T$2:$T$840,"Válida")</f>
        <v/>
      </c>
      <c r="H196" s="13">
        <f>SUMIFS(Ordenes!$Q$2:$Q$840,Ordenes!$G$2:$G$840,$C196,Ordenes!$T$2:$T$840,"Válida")</f>
        <v/>
      </c>
      <c r="I196" s="14">
        <f>IFERROR(G196/H196,"")</f>
        <v/>
      </c>
      <c r="J196" s="14">
        <f>IFERROR(SUMIFS(Ordenes!$V$2:$V$840,Ordenes!$G$2:$G$840,$C196,Ordenes!$T$2:$T$840,"Válida")/H196,"")</f>
        <v/>
      </c>
      <c r="K196" s="25">
        <f>IFERROR((I196-J196)*100,"")</f>
        <v/>
      </c>
      <c r="L196" s="9">
        <f>COUNTIFS(Ordenes!$G$2:$G$840,$C196,Ordenes!$T$2:$T$840,"Válida")</f>
        <v/>
      </c>
      <c r="M196" s="9">
        <f>COUNTIFS(Ordenes!$G$2:$G$840,$C196,Ordenes!$T$2:$T$840,"A corregir")</f>
        <v/>
      </c>
      <c r="N196" s="13">
        <f>H196-G196</f>
        <v/>
      </c>
    </row>
    <row r="197">
      <c r="A197" s="9" t="n">
        <v>193</v>
      </c>
      <c r="B197" s="9" t="inlineStr">
        <is>
          <t>Saferock</t>
        </is>
      </c>
      <c r="C197" s="9" t="inlineStr">
        <is>
          <t>SAFEROCK 22MM 12M A520</t>
        </is>
      </c>
      <c r="D197" s="9" t="inlineStr">
        <is>
          <t>Ø22 mm · 12 m</t>
        </is>
      </c>
      <c r="E197" s="9" t="inlineStr">
        <is>
          <t>SFRCK 22</t>
        </is>
      </c>
      <c r="F197" s="9" t="n">
        <v>12</v>
      </c>
      <c r="G197" s="13">
        <f>SUMIFS(Ordenes!$P$2:$P$840,Ordenes!$G$2:$G$840,$C197,Ordenes!$T$2:$T$840,"Válida")</f>
        <v/>
      </c>
      <c r="H197" s="13">
        <f>SUMIFS(Ordenes!$Q$2:$Q$840,Ordenes!$G$2:$G$840,$C197,Ordenes!$T$2:$T$840,"Válida")</f>
        <v/>
      </c>
      <c r="I197" s="14">
        <f>IFERROR(G197/H197,"")</f>
        <v/>
      </c>
      <c r="J197" s="14">
        <f>IFERROR(SUMIFS(Ordenes!$V$2:$V$840,Ordenes!$G$2:$G$840,$C197,Ordenes!$T$2:$T$840,"Válida")/H197,"")</f>
        <v/>
      </c>
      <c r="K197" s="25">
        <f>IFERROR((I197-J197)*100,"")</f>
        <v/>
      </c>
      <c r="L197" s="9">
        <f>COUNTIFS(Ordenes!$G$2:$G$840,$C197,Ordenes!$T$2:$T$840,"Válida")</f>
        <v/>
      </c>
      <c r="M197" s="9">
        <f>COUNTIFS(Ordenes!$G$2:$G$840,$C197,Ordenes!$T$2:$T$840,"A corregir")</f>
        <v/>
      </c>
      <c r="N197" s="13">
        <f>H197-G197</f>
        <v/>
      </c>
    </row>
    <row r="198">
      <c r="A198" s="9" t="n">
        <v>194</v>
      </c>
      <c r="B198" s="9" t="inlineStr">
        <is>
          <t>B Hormigón</t>
        </is>
      </c>
      <c r="C198" s="9" t="inlineStr">
        <is>
          <t>B HORMIGON 25MM 7M A630-420HS (N)</t>
        </is>
      </c>
      <c r="D198" s="9" t="inlineStr">
        <is>
          <t>Ø25 mm · 7 m</t>
        </is>
      </c>
      <c r="E198" s="9" t="inlineStr">
        <is>
          <t>RED 25 CR</t>
        </is>
      </c>
      <c r="F198" s="9" t="n">
        <v>7</v>
      </c>
      <c r="G198" s="13">
        <f>SUMIFS(Ordenes!$P$2:$P$840,Ordenes!$G$2:$G$840,$C198,Ordenes!$T$2:$T$840,"Válida")</f>
        <v/>
      </c>
      <c r="H198" s="13">
        <f>SUMIFS(Ordenes!$Q$2:$Q$840,Ordenes!$G$2:$G$840,$C198,Ordenes!$T$2:$T$840,"Válida")</f>
        <v/>
      </c>
      <c r="I198" s="14">
        <f>IFERROR(G198/H198,"")</f>
        <v/>
      </c>
      <c r="J198" s="14">
        <f>IFERROR(SUMIFS(Ordenes!$V$2:$V$840,Ordenes!$G$2:$G$840,$C198,Ordenes!$T$2:$T$840,"Válida")/H198,"")</f>
        <v/>
      </c>
      <c r="K198" s="25">
        <f>IFERROR((I198-J198)*100,"")</f>
        <v/>
      </c>
      <c r="L198" s="9">
        <f>COUNTIFS(Ordenes!$G$2:$G$840,$C198,Ordenes!$T$2:$T$840,"Válida")</f>
        <v/>
      </c>
      <c r="M198" s="9">
        <f>COUNTIFS(Ordenes!$G$2:$G$840,$C198,Ordenes!$T$2:$T$840,"A corregir")</f>
        <v/>
      </c>
      <c r="N198" s="13">
        <f>H198-G198</f>
        <v/>
      </c>
    </row>
    <row r="199">
      <c r="A199" s="9" t="n">
        <v>195</v>
      </c>
      <c r="B199" s="9" t="inlineStr">
        <is>
          <t>Redondo liso</t>
        </is>
      </c>
      <c r="C199" s="9" t="inlineStr">
        <is>
          <t>REDONDO LISO 1 3/8'' 6M SAE 1020 (N)</t>
        </is>
      </c>
      <c r="D199" s="9" t="inlineStr">
        <is>
          <t>Ø34,9 mm · 6 m</t>
        </is>
      </c>
      <c r="E199" s="9" t="inlineStr">
        <is>
          <t>RL 1,3/8</t>
        </is>
      </c>
      <c r="F199" s="9" t="n">
        <v>6</v>
      </c>
      <c r="G199" s="13">
        <f>SUMIFS(Ordenes!$P$2:$P$840,Ordenes!$G$2:$G$840,$C199,Ordenes!$T$2:$T$840,"Válida")</f>
        <v/>
      </c>
      <c r="H199" s="13">
        <f>SUMIFS(Ordenes!$Q$2:$Q$840,Ordenes!$G$2:$G$840,$C199,Ordenes!$T$2:$T$840,"Válida")</f>
        <v/>
      </c>
      <c r="I199" s="14">
        <f>IFERROR(G199/H199,"")</f>
        <v/>
      </c>
      <c r="J199" s="14">
        <f>IFERROR(SUMIFS(Ordenes!$V$2:$V$840,Ordenes!$G$2:$G$840,$C199,Ordenes!$T$2:$T$840,"Válida")/H199,"")</f>
        <v/>
      </c>
      <c r="K199" s="25">
        <f>IFERROR((I199-J199)*100,"")</f>
        <v/>
      </c>
      <c r="L199" s="9">
        <f>COUNTIFS(Ordenes!$G$2:$G$840,$C199,Ordenes!$T$2:$T$840,"Válida")</f>
        <v/>
      </c>
      <c r="M199" s="9">
        <f>COUNTIFS(Ordenes!$G$2:$G$840,$C199,Ordenes!$T$2:$T$840,"A corregir")</f>
        <v/>
      </c>
      <c r="N199" s="13">
        <f>H199-G199</f>
        <v/>
      </c>
    </row>
    <row r="200">
      <c r="A200" s="9" t="n">
        <v>196</v>
      </c>
      <c r="B200" s="9" t="inlineStr">
        <is>
          <t>Redondo liso</t>
        </is>
      </c>
      <c r="C200" s="9" t="inlineStr">
        <is>
          <t>REDONDO LISO 1 3/4' 6M SAE 1020 (N)</t>
        </is>
      </c>
      <c r="D200" s="9" t="inlineStr">
        <is>
          <t>Ø44,4 mm · 6 m</t>
        </is>
      </c>
      <c r="E200" s="9" t="inlineStr">
        <is>
          <t>RL 1,3/4</t>
        </is>
      </c>
      <c r="F200" s="9" t="n">
        <v>6</v>
      </c>
      <c r="G200" s="13">
        <f>SUMIFS(Ordenes!$P$2:$P$840,Ordenes!$G$2:$G$840,$C200,Ordenes!$T$2:$T$840,"Válida")</f>
        <v/>
      </c>
      <c r="H200" s="13">
        <f>SUMIFS(Ordenes!$Q$2:$Q$840,Ordenes!$G$2:$G$840,$C200,Ordenes!$T$2:$T$840,"Válida")</f>
        <v/>
      </c>
      <c r="I200" s="14">
        <f>IFERROR(G200/H200,"")</f>
        <v/>
      </c>
      <c r="J200" s="14">
        <f>IFERROR(SUMIFS(Ordenes!$V$2:$V$840,Ordenes!$G$2:$G$840,$C200,Ordenes!$T$2:$T$840,"Válida")/H200,"")</f>
        <v/>
      </c>
      <c r="K200" s="25">
        <f>IFERROR((I200-J200)*100,"")</f>
        <v/>
      </c>
      <c r="L200" s="9">
        <f>COUNTIFS(Ordenes!$G$2:$G$840,$C200,Ordenes!$T$2:$T$840,"Válida")</f>
        <v/>
      </c>
      <c r="M200" s="9">
        <f>COUNTIFS(Ordenes!$G$2:$G$840,$C200,Ordenes!$T$2:$T$840,"A corregir")</f>
        <v/>
      </c>
      <c r="N200" s="13">
        <f>H200-G200</f>
        <v/>
      </c>
    </row>
    <row r="201">
      <c r="A201" s="9" t="n">
        <v>197</v>
      </c>
      <c r="B201" s="9" t="inlineStr">
        <is>
          <t>Plana</t>
        </is>
      </c>
      <c r="C201" s="9" t="inlineStr">
        <is>
          <t>PLANA 50X4 MM 6M A270ES (N)</t>
        </is>
      </c>
      <c r="D201" s="9" t="inlineStr">
        <is>
          <t>50×4 mm · 6 m</t>
        </is>
      </c>
      <c r="E201" s="9" t="inlineStr">
        <is>
          <t>PL 50 x 4</t>
        </is>
      </c>
      <c r="F201" s="9" t="n">
        <v>6</v>
      </c>
      <c r="G201" s="13">
        <f>SUMIFS(Ordenes!$P$2:$P$840,Ordenes!$G$2:$G$840,$C201,Ordenes!$T$2:$T$840,"Válida")</f>
        <v/>
      </c>
      <c r="H201" s="13">
        <f>SUMIFS(Ordenes!$Q$2:$Q$840,Ordenes!$G$2:$G$840,$C201,Ordenes!$T$2:$T$840,"Válida")</f>
        <v/>
      </c>
      <c r="I201" s="14">
        <f>IFERROR(G201/H201,"")</f>
        <v/>
      </c>
      <c r="J201" s="14">
        <f>IFERROR(SUMIFS(Ordenes!$V$2:$V$840,Ordenes!$G$2:$G$840,$C201,Ordenes!$T$2:$T$840,"Válida")/H201,"")</f>
        <v/>
      </c>
      <c r="K201" s="25">
        <f>IFERROR((I201-J201)*100,"")</f>
        <v/>
      </c>
      <c r="L201" s="9">
        <f>COUNTIFS(Ordenes!$G$2:$G$840,$C201,Ordenes!$T$2:$T$840,"Válida")</f>
        <v/>
      </c>
      <c r="M201" s="9">
        <f>COUNTIFS(Ordenes!$G$2:$G$840,$C201,Ordenes!$T$2:$T$840,"A corregir")</f>
        <v/>
      </c>
      <c r="N201" s="13">
        <f>H201-G201</f>
        <v/>
      </c>
    </row>
    <row r="202">
      <c r="A202" s="9" t="n">
        <v>198</v>
      </c>
      <c r="B202" s="9" t="inlineStr">
        <is>
          <t>Saferock</t>
        </is>
      </c>
      <c r="C202" s="9" t="inlineStr">
        <is>
          <t>SAFEROCK 22MM 10,5M A520</t>
        </is>
      </c>
      <c r="D202" s="9" t="inlineStr">
        <is>
          <t>Ø22 mm · 10,5 m</t>
        </is>
      </c>
      <c r="E202" s="9" t="inlineStr">
        <is>
          <t>SFRCK 22</t>
        </is>
      </c>
      <c r="F202" s="9" t="n">
        <v>10.5</v>
      </c>
      <c r="G202" s="13">
        <f>SUMIFS(Ordenes!$P$2:$P$840,Ordenes!$G$2:$G$840,$C202,Ordenes!$T$2:$T$840,"Válida")</f>
        <v/>
      </c>
      <c r="H202" s="13">
        <f>SUMIFS(Ordenes!$Q$2:$Q$840,Ordenes!$G$2:$G$840,$C202,Ordenes!$T$2:$T$840,"Válida")</f>
        <v/>
      </c>
      <c r="I202" s="14">
        <f>IFERROR(G202/H202,"")</f>
        <v/>
      </c>
      <c r="J202" s="14">
        <f>IFERROR(SUMIFS(Ordenes!$V$2:$V$840,Ordenes!$G$2:$G$840,$C202,Ordenes!$T$2:$T$840,"Válida")/H202,"")</f>
        <v/>
      </c>
      <c r="K202" s="25">
        <f>IFERROR((I202-J202)*100,"")</f>
        <v/>
      </c>
      <c r="L202" s="9">
        <f>COUNTIFS(Ordenes!$G$2:$G$840,$C202,Ordenes!$T$2:$T$840,"Válida")</f>
        <v/>
      </c>
      <c r="M202" s="9">
        <f>COUNTIFS(Ordenes!$G$2:$G$840,$C202,Ordenes!$T$2:$T$840,"A corregir")</f>
        <v/>
      </c>
      <c r="N202" s="13">
        <f>H202-G202</f>
        <v/>
      </c>
    </row>
    <row r="203">
      <c r="A203" s="9" t="n">
        <v>199</v>
      </c>
      <c r="B203" s="9" t="inlineStr">
        <is>
          <t>Saferock</t>
        </is>
      </c>
      <c r="C203" s="9" t="inlineStr">
        <is>
          <t>SAFEROCK 22MM 10,8M A280</t>
        </is>
      </c>
      <c r="D203" s="9" t="inlineStr">
        <is>
          <t>Ø22 mm · 10,8 m</t>
        </is>
      </c>
      <c r="E203" s="9" t="inlineStr">
        <is>
          <t>SFRCK 22</t>
        </is>
      </c>
      <c r="F203" s="9" t="n">
        <v>10.8</v>
      </c>
      <c r="G203" s="13">
        <f>SUMIFS(Ordenes!$P$2:$P$840,Ordenes!$G$2:$G$840,$C203,Ordenes!$T$2:$T$840,"Válida")</f>
        <v/>
      </c>
      <c r="H203" s="13">
        <f>SUMIFS(Ordenes!$Q$2:$Q$840,Ordenes!$G$2:$G$840,$C203,Ordenes!$T$2:$T$840,"Válida")</f>
        <v/>
      </c>
      <c r="I203" s="14">
        <f>IFERROR(G203/H203,"")</f>
        <v/>
      </c>
      <c r="J203" s="14">
        <f>IFERROR(SUMIFS(Ordenes!$V$2:$V$840,Ordenes!$G$2:$G$840,$C203,Ordenes!$T$2:$T$840,"Válida")/H203,"")</f>
        <v/>
      </c>
      <c r="K203" s="25">
        <f>IFERROR((I203-J203)*100,"")</f>
        <v/>
      </c>
      <c r="L203" s="9">
        <f>COUNTIFS(Ordenes!$G$2:$G$840,$C203,Ordenes!$T$2:$T$840,"Válida")</f>
        <v/>
      </c>
      <c r="M203" s="9">
        <f>COUNTIFS(Ordenes!$G$2:$G$840,$C203,Ordenes!$T$2:$T$840,"A corregir")</f>
        <v/>
      </c>
      <c r="N203" s="13">
        <f>H203-G203</f>
        <v/>
      </c>
    </row>
    <row r="204">
      <c r="A204" s="9" t="n">
        <v>200</v>
      </c>
      <c r="B204" s="9" t="inlineStr">
        <is>
          <t>Redondo liso</t>
        </is>
      </c>
      <c r="C204" s="9" t="inlineStr">
        <is>
          <t>REDONDO LISO 1 1/8' 6M ASTM A 36 (N)</t>
        </is>
      </c>
      <c r="D204" s="9" t="inlineStr">
        <is>
          <t>Ø28,6 mm · 6 m</t>
        </is>
      </c>
      <c r="E204" s="9" t="inlineStr">
        <is>
          <t>RED 1,1/8L</t>
        </is>
      </c>
      <c r="F204" s="9" t="n">
        <v>6</v>
      </c>
      <c r="G204" s="13">
        <f>SUMIFS(Ordenes!$P$2:$P$840,Ordenes!$G$2:$G$840,$C204,Ordenes!$T$2:$T$840,"Válida")</f>
        <v/>
      </c>
      <c r="H204" s="13">
        <f>SUMIFS(Ordenes!$Q$2:$Q$840,Ordenes!$G$2:$G$840,$C204,Ordenes!$T$2:$T$840,"Válida")</f>
        <v/>
      </c>
      <c r="I204" s="14">
        <f>IFERROR(G204/H204,"")</f>
        <v/>
      </c>
      <c r="J204" s="14">
        <f>IFERROR(SUMIFS(Ordenes!$V$2:$V$840,Ordenes!$G$2:$G$840,$C204,Ordenes!$T$2:$T$840,"Válida")/H204,"")</f>
        <v/>
      </c>
      <c r="K204" s="25">
        <f>IFERROR((I204-J204)*100,"")</f>
        <v/>
      </c>
      <c r="L204" s="9">
        <f>COUNTIFS(Ordenes!$G$2:$G$840,$C204,Ordenes!$T$2:$T$840,"Válida")</f>
        <v/>
      </c>
      <c r="M204" s="9">
        <f>COUNTIFS(Ordenes!$G$2:$G$840,$C204,Ordenes!$T$2:$T$840,"A corregir")</f>
        <v/>
      </c>
      <c r="N204" s="13">
        <f>H204-G204</f>
        <v/>
      </c>
    </row>
    <row r="205">
      <c r="A205" s="9" t="n">
        <v>201</v>
      </c>
      <c r="B205" s="9" t="inlineStr">
        <is>
          <t>Redondo liso</t>
        </is>
      </c>
      <c r="C205" s="9" t="inlineStr">
        <is>
          <t>REDONDO LISO 1/2' 6M ASTM A 36 (N)</t>
        </is>
      </c>
      <c r="D205" s="9" t="inlineStr">
        <is>
          <t>Ø12,7 mm · 6 m</t>
        </is>
      </c>
      <c r="E205" s="9" t="inlineStr">
        <is>
          <t>RED 1/2"</t>
        </is>
      </c>
      <c r="F205" s="9" t="n">
        <v>6</v>
      </c>
      <c r="G205" s="13">
        <f>SUMIFS(Ordenes!$P$2:$P$840,Ordenes!$G$2:$G$840,$C205,Ordenes!$T$2:$T$840,"Válida")</f>
        <v/>
      </c>
      <c r="H205" s="13">
        <f>SUMIFS(Ordenes!$Q$2:$Q$840,Ordenes!$G$2:$G$840,$C205,Ordenes!$T$2:$T$840,"Válida")</f>
        <v/>
      </c>
      <c r="I205" s="14">
        <f>IFERROR(G205/H205,"")</f>
        <v/>
      </c>
      <c r="J205" s="14">
        <f>IFERROR(SUMIFS(Ordenes!$V$2:$V$840,Ordenes!$G$2:$G$840,$C205,Ordenes!$T$2:$T$840,"Válida")/H205,"")</f>
        <v/>
      </c>
      <c r="K205" s="25">
        <f>IFERROR((I205-J205)*100,"")</f>
        <v/>
      </c>
      <c r="L205" s="9">
        <f>COUNTIFS(Ordenes!$G$2:$G$840,$C205,Ordenes!$T$2:$T$840,"Válida")</f>
        <v/>
      </c>
      <c r="M205" s="9">
        <f>COUNTIFS(Ordenes!$G$2:$G$840,$C205,Ordenes!$T$2:$T$840,"A corregir")</f>
        <v/>
      </c>
      <c r="N205" s="13">
        <f>H205-G205</f>
        <v/>
      </c>
    </row>
    <row r="206">
      <c r="A206" s="9" t="n">
        <v>202</v>
      </c>
      <c r="B206" s="9" t="inlineStr">
        <is>
          <t>Ángulo</t>
        </is>
      </c>
      <c r="C206" s="9" t="inlineStr">
        <is>
          <t>ANGULO 80X80X8MM 12m A270ES</t>
        </is>
      </c>
      <c r="D206" s="9" t="inlineStr">
        <is>
          <t>80×80×8 mm · 6 m</t>
        </is>
      </c>
      <c r="E206" s="9" t="inlineStr">
        <is>
          <t>ANG 80 x 8</t>
        </is>
      </c>
      <c r="F206" s="9" t="n">
        <v>6</v>
      </c>
      <c r="G206" s="13">
        <f>SUMIFS(Ordenes!$P$2:$P$840,Ordenes!$G$2:$G$840,$C206,Ordenes!$T$2:$T$840,"Válida")</f>
        <v/>
      </c>
      <c r="H206" s="13">
        <f>SUMIFS(Ordenes!$Q$2:$Q$840,Ordenes!$G$2:$G$840,$C206,Ordenes!$T$2:$T$840,"Válida")</f>
        <v/>
      </c>
      <c r="I206" s="14">
        <f>IFERROR(G206/H206,"")</f>
        <v/>
      </c>
      <c r="J206" s="14">
        <f>IFERROR(SUMIFS(Ordenes!$V$2:$V$840,Ordenes!$G$2:$G$840,$C206,Ordenes!$T$2:$T$840,"Válida")/H206,"")</f>
        <v/>
      </c>
      <c r="K206" s="25">
        <f>IFERROR((I206-J206)*100,"")</f>
        <v/>
      </c>
      <c r="L206" s="9">
        <f>COUNTIFS(Ordenes!$G$2:$G$840,$C206,Ordenes!$T$2:$T$840,"Válida")</f>
        <v/>
      </c>
      <c r="M206" s="9">
        <f>COUNTIFS(Ordenes!$G$2:$G$840,$C206,Ordenes!$T$2:$T$840,"A corregir")</f>
        <v/>
      </c>
      <c r="N206" s="13">
        <f>H206-G206</f>
        <v/>
      </c>
    </row>
    <row r="207">
      <c r="A207" s="9" t="n">
        <v>203</v>
      </c>
      <c r="B207" s="9" t="inlineStr">
        <is>
          <t>Plana</t>
        </is>
      </c>
      <c r="C207" s="9" t="inlineStr">
        <is>
          <t>PLANA 32x2,85mm 6m A270ES ARR(N)</t>
        </is>
      </c>
      <c r="D207" s="9" t="inlineStr">
        <is>
          <t>32×2,85 mm · 6 m</t>
        </is>
      </c>
      <c r="E207" s="9" t="inlineStr">
        <is>
          <t>PL 32 x 3</t>
        </is>
      </c>
      <c r="F207" s="9" t="n">
        <v>6</v>
      </c>
      <c r="G207" s="13">
        <f>SUMIFS(Ordenes!$P$2:$P$840,Ordenes!$G$2:$G$840,$C207,Ordenes!$T$2:$T$840,"Válida")</f>
        <v/>
      </c>
      <c r="H207" s="13">
        <f>SUMIFS(Ordenes!$Q$2:$Q$840,Ordenes!$G$2:$G$840,$C207,Ordenes!$T$2:$T$840,"Válida")</f>
        <v/>
      </c>
      <c r="I207" s="14">
        <f>IFERROR(G207/H207,"")</f>
        <v/>
      </c>
      <c r="J207" s="14">
        <f>IFERROR(SUMIFS(Ordenes!$V$2:$V$840,Ordenes!$G$2:$G$840,$C207,Ordenes!$T$2:$T$840,"Válida")/H207,"")</f>
        <v/>
      </c>
      <c r="K207" s="25">
        <f>IFERROR((I207-J207)*100,"")</f>
        <v/>
      </c>
      <c r="L207" s="9">
        <f>COUNTIFS(Ordenes!$G$2:$G$840,$C207,Ordenes!$T$2:$T$840,"Válida")</f>
        <v/>
      </c>
      <c r="M207" s="9">
        <f>COUNTIFS(Ordenes!$G$2:$G$840,$C207,Ordenes!$T$2:$T$840,"A corregir")</f>
        <v/>
      </c>
      <c r="N207" s="13">
        <f>H207-G207</f>
        <v/>
      </c>
    </row>
    <row r="208">
      <c r="A208" s="9" t="n">
        <v>204</v>
      </c>
      <c r="B208" s="9" t="inlineStr">
        <is>
          <t>B Hormigón</t>
        </is>
      </c>
      <c r="C208" s="9" t="inlineStr">
        <is>
          <t>B HORMIGON 28MM 11M A630-420HS (N)</t>
        </is>
      </c>
      <c r="D208" s="9" t="inlineStr">
        <is>
          <t>Ø28 mm · 11 m</t>
        </is>
      </c>
      <c r="E208" s="9" t="inlineStr">
        <is>
          <t>RED 28 CR</t>
        </is>
      </c>
      <c r="F208" s="9" t="n">
        <v>11</v>
      </c>
      <c r="G208" s="13">
        <f>SUMIFS(Ordenes!$P$2:$P$840,Ordenes!$G$2:$G$840,$C208,Ordenes!$T$2:$T$840,"Válida")</f>
        <v/>
      </c>
      <c r="H208" s="13">
        <f>SUMIFS(Ordenes!$Q$2:$Q$840,Ordenes!$G$2:$G$840,$C208,Ordenes!$T$2:$T$840,"Válida")</f>
        <v/>
      </c>
      <c r="I208" s="14">
        <f>IFERROR(G208/H208,"")</f>
        <v/>
      </c>
      <c r="J208" s="14">
        <f>IFERROR(SUMIFS(Ordenes!$V$2:$V$840,Ordenes!$G$2:$G$840,$C208,Ordenes!$T$2:$T$840,"Válida")/H208,"")</f>
        <v/>
      </c>
      <c r="K208" s="25">
        <f>IFERROR((I208-J208)*100,"")</f>
        <v/>
      </c>
      <c r="L208" s="9">
        <f>COUNTIFS(Ordenes!$G$2:$G$840,$C208,Ordenes!$T$2:$T$840,"Válida")</f>
        <v/>
      </c>
      <c r="M208" s="9">
        <f>COUNTIFS(Ordenes!$G$2:$G$840,$C208,Ordenes!$T$2:$T$840,"A corregir")</f>
        <v/>
      </c>
      <c r="N208" s="13">
        <f>H208-G208</f>
        <v/>
      </c>
    </row>
    <row r="209">
      <c r="A209" s="9" t="n">
        <v>205</v>
      </c>
      <c r="B209" s="9" t="inlineStr">
        <is>
          <t>Ángulo</t>
        </is>
      </c>
      <c r="C209" s="9" t="inlineStr">
        <is>
          <t>ANG 50X50X5MM 12M ASTM A572 T2 (N)</t>
        </is>
      </c>
      <c r="D209" s="9" t="inlineStr">
        <is>
          <t>50×50×5 mm · 12 m</t>
        </is>
      </c>
      <c r="E209" s="9" t="inlineStr">
        <is>
          <t>ANG 50 x 5</t>
        </is>
      </c>
      <c r="F209" s="9" t="n">
        <v>12</v>
      </c>
      <c r="G209" s="13">
        <f>SUMIFS(Ordenes!$P$2:$P$840,Ordenes!$G$2:$G$840,$C209,Ordenes!$T$2:$T$840,"Válida")</f>
        <v/>
      </c>
      <c r="H209" s="13">
        <f>SUMIFS(Ordenes!$Q$2:$Q$840,Ordenes!$G$2:$G$840,$C209,Ordenes!$T$2:$T$840,"Válida")</f>
        <v/>
      </c>
      <c r="I209" s="14">
        <f>IFERROR(G209/H209,"")</f>
        <v/>
      </c>
      <c r="J209" s="14">
        <f>IFERROR(SUMIFS(Ordenes!$V$2:$V$840,Ordenes!$G$2:$G$840,$C209,Ordenes!$T$2:$T$840,"Válida")/H209,"")</f>
        <v/>
      </c>
      <c r="K209" s="25">
        <f>IFERROR((I209-J209)*100,"")</f>
        <v/>
      </c>
      <c r="L209" s="9">
        <f>COUNTIFS(Ordenes!$G$2:$G$840,$C209,Ordenes!$T$2:$T$840,"Válida")</f>
        <v/>
      </c>
      <c r="M209" s="9">
        <f>COUNTIFS(Ordenes!$G$2:$G$840,$C209,Ordenes!$T$2:$T$840,"A corregir")</f>
        <v/>
      </c>
      <c r="N209" s="13">
        <f>H209-G209</f>
        <v/>
      </c>
    </row>
    <row r="210">
      <c r="A210" s="9" t="n">
        <v>206</v>
      </c>
      <c r="B210" s="9" t="inlineStr">
        <is>
          <t>B Hormigón</t>
        </is>
      </c>
      <c r="C210" s="9" t="inlineStr">
        <is>
          <t>B HORMIGON 25MM 10M A630-420HS (N)</t>
        </is>
      </c>
      <c r="D210" s="9" t="inlineStr">
        <is>
          <t>Ø25 mm · 10 m</t>
        </is>
      </c>
      <c r="E210" s="9" t="inlineStr">
        <is>
          <t>RED 25 CR</t>
        </is>
      </c>
      <c r="F210" s="9" t="n">
        <v>10</v>
      </c>
      <c r="G210" s="13">
        <f>SUMIFS(Ordenes!$P$2:$P$840,Ordenes!$G$2:$G$840,$C210,Ordenes!$T$2:$T$840,"Válida")</f>
        <v/>
      </c>
      <c r="H210" s="13">
        <f>SUMIFS(Ordenes!$Q$2:$Q$840,Ordenes!$G$2:$G$840,$C210,Ordenes!$T$2:$T$840,"Válida")</f>
        <v/>
      </c>
      <c r="I210" s="14">
        <f>IFERROR(G210/H210,"")</f>
        <v/>
      </c>
      <c r="J210" s="14">
        <f>IFERROR(SUMIFS(Ordenes!$V$2:$V$840,Ordenes!$G$2:$G$840,$C210,Ordenes!$T$2:$T$840,"Válida")/H210,"")</f>
        <v/>
      </c>
      <c r="K210" s="25">
        <f>IFERROR((I210-J210)*100,"")</f>
        <v/>
      </c>
      <c r="L210" s="9">
        <f>COUNTIFS(Ordenes!$G$2:$G$840,$C210,Ordenes!$T$2:$T$840,"Válida")</f>
        <v/>
      </c>
      <c r="M210" s="9">
        <f>COUNTIFS(Ordenes!$G$2:$G$840,$C210,Ordenes!$T$2:$T$840,"A corregir")</f>
        <v/>
      </c>
      <c r="N210" s="13">
        <f>H210-G210</f>
        <v/>
      </c>
    </row>
    <row r="211">
      <c r="A211" s="9" t="n">
        <v>207</v>
      </c>
      <c r="B211" s="9" t="inlineStr">
        <is>
          <t>B Hormigón</t>
        </is>
      </c>
      <c r="C211" s="9" t="inlineStr">
        <is>
          <t>B HORMIGON 18MM 7M A630-420HS (N)</t>
        </is>
      </c>
      <c r="D211" s="9" t="inlineStr">
        <is>
          <t>Ø18 mm · 7 m</t>
        </is>
      </c>
      <c r="E211" s="9" t="inlineStr">
        <is>
          <t>RED 18 CR</t>
        </is>
      </c>
      <c r="F211" s="9" t="n">
        <v>7</v>
      </c>
      <c r="G211" s="13">
        <f>SUMIFS(Ordenes!$P$2:$P$840,Ordenes!$G$2:$G$840,$C211,Ordenes!$T$2:$T$840,"Válida")</f>
        <v/>
      </c>
      <c r="H211" s="13">
        <f>SUMIFS(Ordenes!$Q$2:$Q$840,Ordenes!$G$2:$G$840,$C211,Ordenes!$T$2:$T$840,"Válida")</f>
        <v/>
      </c>
      <c r="I211" s="14">
        <f>IFERROR(G211/H211,"")</f>
        <v/>
      </c>
      <c r="J211" s="14">
        <f>IFERROR(SUMIFS(Ordenes!$V$2:$V$840,Ordenes!$G$2:$G$840,$C211,Ordenes!$T$2:$T$840,"Válida")/H211,"")</f>
        <v/>
      </c>
      <c r="K211" s="25">
        <f>IFERROR((I211-J211)*100,"")</f>
        <v/>
      </c>
      <c r="L211" s="9">
        <f>COUNTIFS(Ordenes!$G$2:$G$840,$C211,Ordenes!$T$2:$T$840,"Válida")</f>
        <v/>
      </c>
      <c r="M211" s="9">
        <f>COUNTIFS(Ordenes!$G$2:$G$840,$C211,Ordenes!$T$2:$T$840,"A corregir")</f>
        <v/>
      </c>
      <c r="N211" s="13">
        <f>H211-G211</f>
        <v/>
      </c>
    </row>
    <row r="212">
      <c r="A212" s="9" t="n">
        <v>208</v>
      </c>
      <c r="B212" s="9" t="inlineStr">
        <is>
          <t>B Hormigón</t>
        </is>
      </c>
      <c r="C212" s="9" t="inlineStr">
        <is>
          <t>B HORMIGON 28MM 7M A630-420HS (N)</t>
        </is>
      </c>
      <c r="D212" s="9" t="inlineStr">
        <is>
          <t>Ø28 mm · 7 m</t>
        </is>
      </c>
      <c r="E212" s="9" t="inlineStr">
        <is>
          <t>RED 28 CR</t>
        </is>
      </c>
      <c r="F212" s="9" t="n">
        <v>7</v>
      </c>
      <c r="G212" s="13">
        <f>SUMIFS(Ordenes!$P$2:$P$840,Ordenes!$G$2:$G$840,$C212,Ordenes!$T$2:$T$840,"Válida")</f>
        <v/>
      </c>
      <c r="H212" s="13">
        <f>SUMIFS(Ordenes!$Q$2:$Q$840,Ordenes!$G$2:$G$840,$C212,Ordenes!$T$2:$T$840,"Válida")</f>
        <v/>
      </c>
      <c r="I212" s="14">
        <f>IFERROR(G212/H212,"")</f>
        <v/>
      </c>
      <c r="J212" s="14">
        <f>IFERROR(SUMIFS(Ordenes!$V$2:$V$840,Ordenes!$G$2:$G$840,$C212,Ordenes!$T$2:$T$840,"Válida")/H212,"")</f>
        <v/>
      </c>
      <c r="K212" s="25">
        <f>IFERROR((I212-J212)*100,"")</f>
        <v/>
      </c>
      <c r="L212" s="9">
        <f>COUNTIFS(Ordenes!$G$2:$G$840,$C212,Ordenes!$T$2:$T$840,"Válida")</f>
        <v/>
      </c>
      <c r="M212" s="9">
        <f>COUNTIFS(Ordenes!$G$2:$G$840,$C212,Ordenes!$T$2:$T$840,"A corregir")</f>
        <v/>
      </c>
      <c r="N212" s="13">
        <f>H212-G212</f>
        <v/>
      </c>
    </row>
    <row r="213">
      <c r="A213" s="9" t="n">
        <v>209</v>
      </c>
      <c r="B213" s="9" t="inlineStr">
        <is>
          <t>Ángulo</t>
        </is>
      </c>
      <c r="C213" s="9" t="inlineStr">
        <is>
          <t>ANG 75X75X6MM 12M ASTM A572 T2 (N)</t>
        </is>
      </c>
      <c r="D213" s="9" t="inlineStr">
        <is>
          <t>75×75×6 mm · 12 m</t>
        </is>
      </c>
      <c r="E213" s="9" t="inlineStr">
        <is>
          <t>ANG 75 x 6</t>
        </is>
      </c>
      <c r="F213" s="9" t="n">
        <v>12</v>
      </c>
      <c r="G213" s="13">
        <f>SUMIFS(Ordenes!$P$2:$P$840,Ordenes!$G$2:$G$840,$C213,Ordenes!$T$2:$T$840,"Válida")</f>
        <v/>
      </c>
      <c r="H213" s="13">
        <f>SUMIFS(Ordenes!$Q$2:$Q$840,Ordenes!$G$2:$G$840,$C213,Ordenes!$T$2:$T$840,"Válida")</f>
        <v/>
      </c>
      <c r="I213" s="14">
        <f>IFERROR(G213/H213,"")</f>
        <v/>
      </c>
      <c r="J213" s="14">
        <f>IFERROR(SUMIFS(Ordenes!$V$2:$V$840,Ordenes!$G$2:$G$840,$C213,Ordenes!$T$2:$T$840,"Válida")/H213,"")</f>
        <v/>
      </c>
      <c r="K213" s="25">
        <f>IFERROR((I213-J213)*100,"")</f>
        <v/>
      </c>
      <c r="L213" s="9">
        <f>COUNTIFS(Ordenes!$G$2:$G$840,$C213,Ordenes!$T$2:$T$840,"Válida")</f>
        <v/>
      </c>
      <c r="M213" s="9">
        <f>COUNTIFS(Ordenes!$G$2:$G$840,$C213,Ordenes!$T$2:$T$840,"A corregir")</f>
        <v/>
      </c>
      <c r="N213" s="13">
        <f>H213-G213</f>
        <v/>
      </c>
    </row>
    <row r="214">
      <c r="A214" s="9" t="n">
        <v>210</v>
      </c>
      <c r="B214" s="9" t="inlineStr">
        <is>
          <t>Redondo liso</t>
        </is>
      </c>
      <c r="C214" s="9" t="inlineStr">
        <is>
          <t>BARRA TRASPASO CARGA 32MM 6,2M A630-420H</t>
        </is>
      </c>
      <c r="D214" s="9" t="inlineStr">
        <is>
          <t>Ø32 mm · 6 m</t>
        </is>
      </c>
      <c r="E214" s="9" t="inlineStr">
        <is>
          <t>RED 1,1/4</t>
        </is>
      </c>
      <c r="F214" s="9" t="n">
        <v>6</v>
      </c>
      <c r="G214" s="13">
        <f>SUMIFS(Ordenes!$P$2:$P$840,Ordenes!$G$2:$G$840,$C214,Ordenes!$T$2:$T$840,"Válida")</f>
        <v/>
      </c>
      <c r="H214" s="13">
        <f>SUMIFS(Ordenes!$Q$2:$Q$840,Ordenes!$G$2:$G$840,$C214,Ordenes!$T$2:$T$840,"Válida")</f>
        <v/>
      </c>
      <c r="I214" s="14">
        <f>IFERROR(G214/H214,"")</f>
        <v/>
      </c>
      <c r="J214" s="14">
        <f>IFERROR(SUMIFS(Ordenes!$V$2:$V$840,Ordenes!$G$2:$G$840,$C214,Ordenes!$T$2:$T$840,"Válida")/H214,"")</f>
        <v/>
      </c>
      <c r="K214" s="25">
        <f>IFERROR((I214-J214)*100,"")</f>
        <v/>
      </c>
      <c r="L214" s="9">
        <f>COUNTIFS(Ordenes!$G$2:$G$840,$C214,Ordenes!$T$2:$T$840,"Válida")</f>
        <v/>
      </c>
      <c r="M214" s="9">
        <f>COUNTIFS(Ordenes!$G$2:$G$840,$C214,Ordenes!$T$2:$T$840,"A corregir")</f>
        <v/>
      </c>
      <c r="N214" s="13">
        <f>H214-G214</f>
        <v/>
      </c>
    </row>
    <row r="215">
      <c r="A215" s="9" t="n">
        <v>211</v>
      </c>
      <c r="B215" s="9" t="inlineStr">
        <is>
          <t>Redondo liso</t>
        </is>
      </c>
      <c r="C215" s="9" t="inlineStr">
        <is>
          <t>REDONDO LISO 5/8' 6M SAE 1045 (N)</t>
        </is>
      </c>
      <c r="D215" s="9" t="inlineStr">
        <is>
          <t>Ø15,9 mm · 6 m</t>
        </is>
      </c>
      <c r="E215" s="9" t="inlineStr">
        <is>
          <t>RED 16</t>
        </is>
      </c>
      <c r="F215" s="9" t="n">
        <v>6</v>
      </c>
      <c r="G215" s="13">
        <f>SUMIFS(Ordenes!$P$2:$P$840,Ordenes!$G$2:$G$840,$C215,Ordenes!$T$2:$T$840,"Válida")</f>
        <v/>
      </c>
      <c r="H215" s="13">
        <f>SUMIFS(Ordenes!$Q$2:$Q$840,Ordenes!$G$2:$G$840,$C215,Ordenes!$T$2:$T$840,"Válida")</f>
        <v/>
      </c>
      <c r="I215" s="14">
        <f>IFERROR(G215/H215,"")</f>
        <v/>
      </c>
      <c r="J215" s="14">
        <f>IFERROR(SUMIFS(Ordenes!$V$2:$V$840,Ordenes!$G$2:$G$840,$C215,Ordenes!$T$2:$T$840,"Válida")/H215,"")</f>
        <v/>
      </c>
      <c r="K215" s="25">
        <f>IFERROR((I215-J215)*100,"")</f>
        <v/>
      </c>
      <c r="L215" s="9">
        <f>COUNTIFS(Ordenes!$G$2:$G$840,$C215,Ordenes!$T$2:$T$840,"Válida")</f>
        <v/>
      </c>
      <c r="M215" s="9">
        <f>COUNTIFS(Ordenes!$G$2:$G$840,$C215,Ordenes!$T$2:$T$840,"A corregir")</f>
        <v/>
      </c>
      <c r="N215" s="13">
        <f>H215-G215</f>
        <v/>
      </c>
    </row>
    <row r="216">
      <c r="A216" s="9" t="n">
        <v>212</v>
      </c>
      <c r="B216" s="9" t="inlineStr">
        <is>
          <t>Redondo liso</t>
        </is>
      </c>
      <c r="C216" s="9" t="inlineStr">
        <is>
          <t>REDONDO LISO 1 1/4' 6M A615 GR60(P)</t>
        </is>
      </c>
      <c r="D216" s="9" t="inlineStr">
        <is>
          <t>Ø31,8 mm · 6 m</t>
        </is>
      </c>
      <c r="E216" s="9" t="inlineStr">
        <is>
          <t>RED 1,1/4</t>
        </is>
      </c>
      <c r="F216" s="9" t="n">
        <v>6</v>
      </c>
      <c r="G216" s="13">
        <f>SUMIFS(Ordenes!$P$2:$P$840,Ordenes!$G$2:$G$840,$C216,Ordenes!$T$2:$T$840,"Válida")</f>
        <v/>
      </c>
      <c r="H216" s="13">
        <f>SUMIFS(Ordenes!$Q$2:$Q$840,Ordenes!$G$2:$G$840,$C216,Ordenes!$T$2:$T$840,"Válida")</f>
        <v/>
      </c>
      <c r="I216" s="14">
        <f>IFERROR(G216/H216,"")</f>
        <v/>
      </c>
      <c r="J216" s="14">
        <f>IFERROR(SUMIFS(Ordenes!$V$2:$V$840,Ordenes!$G$2:$G$840,$C216,Ordenes!$T$2:$T$840,"Válida")/H216,"")</f>
        <v/>
      </c>
      <c r="K216" s="25">
        <f>IFERROR((I216-J216)*100,"")</f>
        <v/>
      </c>
      <c r="L216" s="9">
        <f>COUNTIFS(Ordenes!$G$2:$G$840,$C216,Ordenes!$T$2:$T$840,"Válida")</f>
        <v/>
      </c>
      <c r="M216" s="9">
        <f>COUNTIFS(Ordenes!$G$2:$G$840,$C216,Ordenes!$T$2:$T$840,"A corregir")</f>
        <v/>
      </c>
      <c r="N216" s="13">
        <f>H216-G216</f>
        <v/>
      </c>
    </row>
    <row r="217">
      <c r="A217" s="9" t="n">
        <v>213</v>
      </c>
      <c r="B217" s="9" t="inlineStr">
        <is>
          <t>B Hormigón</t>
        </is>
      </c>
      <c r="C217" s="9" t="inlineStr">
        <is>
          <t>B HORMIGON 36MM 9M A630-420HS (N)</t>
        </is>
      </c>
      <c r="D217" s="9" t="inlineStr">
        <is>
          <t>Ø36 mm · 9 m</t>
        </is>
      </c>
      <c r="E217" s="9" t="inlineStr">
        <is>
          <t>RED 36 CR</t>
        </is>
      </c>
      <c r="F217" s="9" t="n">
        <v>9</v>
      </c>
      <c r="G217" s="13">
        <f>SUMIFS(Ordenes!$P$2:$P$840,Ordenes!$G$2:$G$840,$C217,Ordenes!$T$2:$T$840,"Válida")</f>
        <v/>
      </c>
      <c r="H217" s="13">
        <f>SUMIFS(Ordenes!$Q$2:$Q$840,Ordenes!$G$2:$G$840,$C217,Ordenes!$T$2:$T$840,"Válida")</f>
        <v/>
      </c>
      <c r="I217" s="14">
        <f>IFERROR(G217/H217,"")</f>
        <v/>
      </c>
      <c r="J217" s="14">
        <f>IFERROR(SUMIFS(Ordenes!$V$2:$V$840,Ordenes!$G$2:$G$840,$C217,Ordenes!$T$2:$T$840,"Válida")/H217,"")</f>
        <v/>
      </c>
      <c r="K217" s="25">
        <f>IFERROR((I217-J217)*100,"")</f>
        <v/>
      </c>
      <c r="L217" s="9">
        <f>COUNTIFS(Ordenes!$G$2:$G$840,$C217,Ordenes!$T$2:$T$840,"Válida")</f>
        <v/>
      </c>
      <c r="M217" s="9">
        <f>COUNTIFS(Ordenes!$G$2:$G$840,$C217,Ordenes!$T$2:$T$840,"A corregir")</f>
        <v/>
      </c>
      <c r="N217" s="13">
        <f>H217-G217</f>
        <v/>
      </c>
    </row>
    <row r="218">
      <c r="A218" s="9" t="n">
        <v>214</v>
      </c>
      <c r="B218" s="9" t="inlineStr">
        <is>
          <t>B Hormigón</t>
        </is>
      </c>
      <c r="C218" s="9" t="inlineStr">
        <is>
          <t>B HORMIGON 32MM 7M A630-420HS (N)</t>
        </is>
      </c>
      <c r="D218" s="9" t="inlineStr">
        <is>
          <t>Ø32 mm · 7 m</t>
        </is>
      </c>
      <c r="E218" s="9" t="inlineStr">
        <is>
          <t>RED 32 CR</t>
        </is>
      </c>
      <c r="F218" s="9" t="n">
        <v>7</v>
      </c>
      <c r="G218" s="13">
        <f>SUMIFS(Ordenes!$P$2:$P$840,Ordenes!$G$2:$G$840,$C218,Ordenes!$T$2:$T$840,"Válida")</f>
        <v/>
      </c>
      <c r="H218" s="13">
        <f>SUMIFS(Ordenes!$Q$2:$Q$840,Ordenes!$G$2:$G$840,$C218,Ordenes!$T$2:$T$840,"Válida")</f>
        <v/>
      </c>
      <c r="I218" s="14">
        <f>IFERROR(G218/H218,"")</f>
        <v/>
      </c>
      <c r="J218" s="14">
        <f>IFERROR(SUMIFS(Ordenes!$V$2:$V$840,Ordenes!$G$2:$G$840,$C218,Ordenes!$T$2:$T$840,"Válida")/H218,"")</f>
        <v/>
      </c>
      <c r="K218" s="25">
        <f>IFERROR((I218-J218)*100,"")</f>
        <v/>
      </c>
      <c r="L218" s="9">
        <f>COUNTIFS(Ordenes!$G$2:$G$840,$C218,Ordenes!$T$2:$T$840,"Válida")</f>
        <v/>
      </c>
      <c r="M218" s="9">
        <f>COUNTIFS(Ordenes!$G$2:$G$840,$C218,Ordenes!$T$2:$T$840,"A corregir")</f>
        <v/>
      </c>
      <c r="N218" s="13">
        <f>H218-G218</f>
        <v/>
      </c>
    </row>
    <row r="219">
      <c r="A219" s="9" t="n">
        <v>215</v>
      </c>
      <c r="B219" s="9" t="inlineStr">
        <is>
          <t>Saferock</t>
        </is>
      </c>
      <c r="C219" s="9" t="inlineStr">
        <is>
          <t>SAFEROCK 19MM 10,5M A520</t>
        </is>
      </c>
      <c r="D219" s="9" t="inlineStr">
        <is>
          <t>Ø19 mm · 10,5 m</t>
        </is>
      </c>
      <c r="E219" s="9" t="inlineStr">
        <is>
          <t>SFRCK 19</t>
        </is>
      </c>
      <c r="F219" s="9" t="n">
        <v>10.5</v>
      </c>
      <c r="G219" s="13">
        <f>SUMIFS(Ordenes!$P$2:$P$840,Ordenes!$G$2:$G$840,$C219,Ordenes!$T$2:$T$840,"Válida")</f>
        <v/>
      </c>
      <c r="H219" s="13">
        <f>SUMIFS(Ordenes!$Q$2:$Q$840,Ordenes!$G$2:$G$840,$C219,Ordenes!$T$2:$T$840,"Válida")</f>
        <v/>
      </c>
      <c r="I219" s="14">
        <f>IFERROR(G219/H219,"")</f>
        <v/>
      </c>
      <c r="J219" s="14">
        <f>IFERROR(SUMIFS(Ordenes!$V$2:$V$840,Ordenes!$G$2:$G$840,$C219,Ordenes!$T$2:$T$840,"Válida")/H219,"")</f>
        <v/>
      </c>
      <c r="K219" s="25">
        <f>IFERROR((I219-J219)*100,"")</f>
        <v/>
      </c>
      <c r="L219" s="9">
        <f>COUNTIFS(Ordenes!$G$2:$G$840,$C219,Ordenes!$T$2:$T$840,"Válida")</f>
        <v/>
      </c>
      <c r="M219" s="9">
        <f>COUNTIFS(Ordenes!$G$2:$G$840,$C219,Ordenes!$T$2:$T$840,"A corregir")</f>
        <v/>
      </c>
      <c r="N219" s="13">
        <f>H219-G219</f>
        <v/>
      </c>
    </row>
    <row r="220">
      <c r="A220" s="9" t="n">
        <v>216</v>
      </c>
      <c r="B220" s="9" t="inlineStr">
        <is>
          <t>Ángulo</t>
        </is>
      </c>
      <c r="C220" s="9" t="inlineStr">
        <is>
          <t>ANGULO 40X40X3MM 6M A36 (AL)</t>
        </is>
      </c>
      <c r="D220" s="9" t="inlineStr">
        <is>
          <t>40×40×3 mm · 6 m</t>
        </is>
      </c>
      <c r="E220" s="9" t="inlineStr">
        <is>
          <t>ANG 40 X 3</t>
        </is>
      </c>
      <c r="F220" s="9" t="n">
        <v>6</v>
      </c>
      <c r="G220" s="13">
        <f>SUMIFS(Ordenes!$P$2:$P$840,Ordenes!$G$2:$G$840,$C220,Ordenes!$T$2:$T$840,"Válida")</f>
        <v/>
      </c>
      <c r="H220" s="13">
        <f>SUMIFS(Ordenes!$Q$2:$Q$840,Ordenes!$G$2:$G$840,$C220,Ordenes!$T$2:$T$840,"Válida")</f>
        <v/>
      </c>
      <c r="I220" s="14">
        <f>IFERROR(G220/H220,"")</f>
        <v/>
      </c>
      <c r="J220" s="14">
        <f>IFERROR(SUMIFS(Ordenes!$V$2:$V$840,Ordenes!$G$2:$G$840,$C220,Ordenes!$T$2:$T$840,"Válida")/H220,"")</f>
        <v/>
      </c>
      <c r="K220" s="25">
        <f>IFERROR((I220-J220)*100,"")</f>
        <v/>
      </c>
      <c r="L220" s="9">
        <f>COUNTIFS(Ordenes!$G$2:$G$840,$C220,Ordenes!$T$2:$T$840,"Válida")</f>
        <v/>
      </c>
      <c r="M220" s="9">
        <f>COUNTIFS(Ordenes!$G$2:$G$840,$C220,Ordenes!$T$2:$T$840,"A corregir")</f>
        <v/>
      </c>
      <c r="N220" s="13">
        <f>H220-G220</f>
        <v/>
      </c>
    </row>
    <row r="221">
      <c r="A221" s="9" t="n">
        <v>217</v>
      </c>
      <c r="B221" s="9" t="inlineStr">
        <is>
          <t>Redondo liso</t>
        </is>
      </c>
      <c r="C221" s="9" t="inlineStr">
        <is>
          <t>REDONDO LISO 1 3/4' 6M A36 (N)</t>
        </is>
      </c>
      <c r="D221" s="9" t="inlineStr">
        <is>
          <t>Ø44,4 mm · 6 m</t>
        </is>
      </c>
      <c r="E221" s="9" t="inlineStr">
        <is>
          <t>RL 1,3/4</t>
        </is>
      </c>
      <c r="F221" s="9" t="n">
        <v>6</v>
      </c>
      <c r="G221" s="13">
        <f>SUMIFS(Ordenes!$P$2:$P$840,Ordenes!$G$2:$G$840,$C221,Ordenes!$T$2:$T$840,"Válida")</f>
        <v/>
      </c>
      <c r="H221" s="13">
        <f>SUMIFS(Ordenes!$Q$2:$Q$840,Ordenes!$G$2:$G$840,$C221,Ordenes!$T$2:$T$840,"Válida")</f>
        <v/>
      </c>
      <c r="I221" s="14">
        <f>IFERROR(G221/H221,"")</f>
        <v/>
      </c>
      <c r="J221" s="14">
        <f>IFERROR(SUMIFS(Ordenes!$V$2:$V$840,Ordenes!$G$2:$G$840,$C221,Ordenes!$T$2:$T$840,"Válida")/H221,"")</f>
        <v/>
      </c>
      <c r="K221" s="25">
        <f>IFERROR((I221-J221)*100,"")</f>
        <v/>
      </c>
      <c r="L221" s="9">
        <f>COUNTIFS(Ordenes!$G$2:$G$840,$C221,Ordenes!$T$2:$T$840,"Válida")</f>
        <v/>
      </c>
      <c r="M221" s="9">
        <f>COUNTIFS(Ordenes!$G$2:$G$840,$C221,Ordenes!$T$2:$T$840,"A corregir")</f>
        <v/>
      </c>
      <c r="N221" s="13">
        <f>H221-G221</f>
        <v/>
      </c>
    </row>
    <row r="222">
      <c r="A222" s="9" t="n">
        <v>218</v>
      </c>
      <c r="B222" s="9" t="inlineStr">
        <is>
          <t>B Hormigón</t>
        </is>
      </c>
      <c r="C222" s="9" t="inlineStr">
        <is>
          <t>B HORMIGON 36MM 11M A630-420HS (N)</t>
        </is>
      </c>
      <c r="D222" s="9" t="inlineStr">
        <is>
          <t>Ø36 mm · 11 m</t>
        </is>
      </c>
      <c r="E222" s="9" t="inlineStr">
        <is>
          <t>RED 36 CR</t>
        </is>
      </c>
      <c r="F222" s="9" t="n">
        <v>11</v>
      </c>
      <c r="G222" s="13">
        <f>SUMIFS(Ordenes!$P$2:$P$840,Ordenes!$G$2:$G$840,$C222,Ordenes!$T$2:$T$840,"Válida")</f>
        <v/>
      </c>
      <c r="H222" s="13">
        <f>SUMIFS(Ordenes!$Q$2:$Q$840,Ordenes!$G$2:$G$840,$C222,Ordenes!$T$2:$T$840,"Válida")</f>
        <v/>
      </c>
      <c r="I222" s="14">
        <f>IFERROR(G222/H222,"")</f>
        <v/>
      </c>
      <c r="J222" s="14">
        <f>IFERROR(SUMIFS(Ordenes!$V$2:$V$840,Ordenes!$G$2:$G$840,$C222,Ordenes!$T$2:$T$840,"Válida")/H222,"")</f>
        <v/>
      </c>
      <c r="K222" s="25">
        <f>IFERROR((I222-J222)*100,"")</f>
        <v/>
      </c>
      <c r="L222" s="9">
        <f>COUNTIFS(Ordenes!$G$2:$G$840,$C222,Ordenes!$T$2:$T$840,"Válida")</f>
        <v/>
      </c>
      <c r="M222" s="9">
        <f>COUNTIFS(Ordenes!$G$2:$G$840,$C222,Ordenes!$T$2:$T$840,"A corregir")</f>
        <v/>
      </c>
      <c r="N222" s="13">
        <f>H222-G222</f>
        <v/>
      </c>
    </row>
    <row r="223">
      <c r="A223" s="9" t="n">
        <v>219</v>
      </c>
      <c r="B223" s="9" t="inlineStr">
        <is>
          <t>Plana</t>
        </is>
      </c>
      <c r="C223" s="9" t="inlineStr">
        <is>
          <t>PLANA 20X10MM 6M A270ES (N)</t>
        </is>
      </c>
      <c r="D223" s="9" t="inlineStr">
        <is>
          <t>20×10 mm · 6 m</t>
        </is>
      </c>
      <c r="E223" s="9" t="inlineStr">
        <is>
          <t>PL 20 x 10</t>
        </is>
      </c>
      <c r="F223" s="9" t="n">
        <v>6</v>
      </c>
      <c r="G223" s="13">
        <f>SUMIFS(Ordenes!$P$2:$P$840,Ordenes!$G$2:$G$840,$C223,Ordenes!$T$2:$T$840,"Válida")</f>
        <v/>
      </c>
      <c r="H223" s="13">
        <f>SUMIFS(Ordenes!$Q$2:$Q$840,Ordenes!$G$2:$G$840,$C223,Ordenes!$T$2:$T$840,"Válida")</f>
        <v/>
      </c>
      <c r="I223" s="14">
        <f>IFERROR(G223/H223,"")</f>
        <v/>
      </c>
      <c r="J223" s="14">
        <f>IFERROR(SUMIFS(Ordenes!$V$2:$V$840,Ordenes!$G$2:$G$840,$C223,Ordenes!$T$2:$T$840,"Válida")/H223,"")</f>
        <v/>
      </c>
      <c r="K223" s="25">
        <f>IFERROR((I223-J223)*100,"")</f>
        <v/>
      </c>
      <c r="L223" s="9">
        <f>COUNTIFS(Ordenes!$G$2:$G$840,$C223,Ordenes!$T$2:$T$840,"Válida")</f>
        <v/>
      </c>
      <c r="M223" s="9">
        <f>COUNTIFS(Ordenes!$G$2:$G$840,$C223,Ordenes!$T$2:$T$840,"A corregir")</f>
        <v/>
      </c>
      <c r="N223" s="13">
        <f>H223-G223</f>
        <v/>
      </c>
    </row>
    <row r="224">
      <c r="A224" s="9" t="n">
        <v>220</v>
      </c>
      <c r="B224" s="9" t="inlineStr">
        <is>
          <t>B Hormigón</t>
        </is>
      </c>
      <c r="C224" s="9" t="inlineStr">
        <is>
          <t>B HORMIGON 32MM 9M A630-420HS (N)</t>
        </is>
      </c>
      <c r="D224" s="9" t="inlineStr">
        <is>
          <t>Ø32 mm · 9 m</t>
        </is>
      </c>
      <c r="E224" s="9" t="inlineStr">
        <is>
          <t>RED 32 CR</t>
        </is>
      </c>
      <c r="F224" s="9" t="n">
        <v>9</v>
      </c>
      <c r="G224" s="13">
        <f>SUMIFS(Ordenes!$P$2:$P$840,Ordenes!$G$2:$G$840,$C224,Ordenes!$T$2:$T$840,"Válida")</f>
        <v/>
      </c>
      <c r="H224" s="13">
        <f>SUMIFS(Ordenes!$Q$2:$Q$840,Ordenes!$G$2:$G$840,$C224,Ordenes!$T$2:$T$840,"Válida")</f>
        <v/>
      </c>
      <c r="I224" s="14">
        <f>IFERROR(G224/H224,"")</f>
        <v/>
      </c>
      <c r="J224" s="14">
        <f>IFERROR(SUMIFS(Ordenes!$V$2:$V$840,Ordenes!$G$2:$G$840,$C224,Ordenes!$T$2:$T$840,"Válida")/H224,"")</f>
        <v/>
      </c>
      <c r="K224" s="25">
        <f>IFERROR((I224-J224)*100,"")</f>
        <v/>
      </c>
      <c r="L224" s="9">
        <f>COUNTIFS(Ordenes!$G$2:$G$840,$C224,Ordenes!$T$2:$T$840,"Válida")</f>
        <v/>
      </c>
      <c r="M224" s="9">
        <f>COUNTIFS(Ordenes!$G$2:$G$840,$C224,Ordenes!$T$2:$T$840,"A corregir")</f>
        <v/>
      </c>
      <c r="N224" s="13">
        <f>H224-G224</f>
        <v/>
      </c>
    </row>
  </sheetData>
  <conditionalFormatting sqref="K5:K224">
    <cfRule type="cellIs" priority="1" operator="lessThan" dxfId="2">
      <formula>0</formula>
    </cfRule>
  </conditionalFormatting>
  <conditionalFormatting sqref="M5:M224">
    <cfRule type="cellIs" priority="2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44" customWidth="1" min="4" max="4"/>
    <col width="13" customWidth="1" min="5" max="5"/>
    <col width="13" customWidth="1" min="6" max="6"/>
    <col width="14" customWidth="1" min="7" max="7"/>
    <col width="11" customWidth="1" min="8" max="8"/>
    <col width="40" customWidth="1" min="9" max="9"/>
  </cols>
  <sheetData>
    <row r="1">
      <c r="A1" s="1" t="inlineStr">
        <is>
          <t>Órdenes a corregir (rendimiento &gt; 100 %)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Excluidas de todos los cálculos: producir más kg de los consumidos no es físicamente posible (consumo mal imputado o ajuste de mes).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30" customHeight="1">
      <c r="A4" s="10" t="inlineStr">
        <is>
          <t>Orden</t>
        </is>
      </c>
      <c r="B4" s="10" t="inlineStr">
        <is>
          <t>Fecha inicio</t>
        </is>
      </c>
      <c r="C4" s="10" t="inlineStr">
        <is>
          <t>Grupo</t>
        </is>
      </c>
      <c r="D4" s="10" t="inlineStr">
        <is>
          <t>Producto</t>
        </is>
      </c>
      <c r="E4" s="10" t="inlineStr">
        <is>
          <t>Kg producidos</t>
        </is>
      </c>
      <c r="F4" s="10" t="inlineStr">
        <is>
          <t>Kg consumidos</t>
        </is>
      </c>
      <c r="G4" s="10" t="inlineStr">
        <is>
          <t>Diferencia (kg)</t>
        </is>
      </c>
      <c r="H4" s="10" t="inlineStr">
        <is>
          <t>Rend. met.</t>
        </is>
      </c>
      <c r="I4" s="10" t="inlineStr">
        <is>
          <t>Comentario / corrección</t>
        </is>
      </c>
    </row>
    <row r="5">
      <c r="A5" s="9" t="n">
        <v>43049710</v>
      </c>
      <c r="B5" s="11" t="n">
        <v>46254.77497685186</v>
      </c>
      <c r="C5" s="9" t="inlineStr">
        <is>
          <t>Saferock</t>
        </is>
      </c>
      <c r="D5" s="9" t="inlineStr">
        <is>
          <t>SAFEROCK 25MM 10M A420</t>
        </is>
      </c>
      <c r="E5" s="13" t="n">
        <v>30009</v>
      </c>
      <c r="F5" s="13" t="n">
        <v>435.6</v>
      </c>
      <c r="G5" s="13">
        <f>E5-F5</f>
        <v/>
      </c>
      <c r="H5" s="26">
        <f>E5/F5</f>
        <v/>
      </c>
      <c r="I5" s="27" t="n"/>
    </row>
    <row r="6">
      <c r="A6" s="9" t="n">
        <v>43049604</v>
      </c>
      <c r="B6" s="11" t="n">
        <v>46241.87537037037</v>
      </c>
      <c r="C6" s="9" t="inlineStr">
        <is>
          <t>B Hormigón</t>
        </is>
      </c>
      <c r="D6" s="9" t="inlineStr">
        <is>
          <t>B HORMIGON 32MM 9M A630-420HS (N)</t>
        </is>
      </c>
      <c r="E6" s="13" t="n">
        <v>21721</v>
      </c>
      <c r="F6" s="13" t="n">
        <v>422.4</v>
      </c>
      <c r="G6" s="13">
        <f>E6-F6</f>
        <v/>
      </c>
      <c r="H6" s="26">
        <f>E6/F6</f>
        <v/>
      </c>
      <c r="I6" s="27" t="n"/>
    </row>
    <row r="7">
      <c r="A7" s="9" t="n">
        <v>43048184</v>
      </c>
      <c r="B7" s="11" t="n">
        <v>46150.75961805556</v>
      </c>
      <c r="C7" s="9" t="inlineStr">
        <is>
          <t>B Hormigón</t>
        </is>
      </c>
      <c r="D7" s="9" t="inlineStr">
        <is>
          <t>B HORMIGON 25MM 7M A630-420H (N)</t>
        </is>
      </c>
      <c r="E7" s="13" t="n">
        <v>12378</v>
      </c>
      <c r="F7" s="13" t="n">
        <v>435.6</v>
      </c>
      <c r="G7" s="13">
        <f>E7-F7</f>
        <v/>
      </c>
      <c r="H7" s="26">
        <f>E7/F7</f>
        <v/>
      </c>
      <c r="I7" s="27" t="n"/>
    </row>
    <row r="8">
      <c r="A8" s="9" t="n">
        <v>43049588</v>
      </c>
      <c r="B8" s="11" t="n">
        <v>46249.3205787037</v>
      </c>
      <c r="C8" s="9" t="inlineStr">
        <is>
          <t>Saferock</t>
        </is>
      </c>
      <c r="D8" s="9" t="inlineStr">
        <is>
          <t>SAFEROCK 25MM 10M A420</t>
        </is>
      </c>
      <c r="E8" s="13" t="n">
        <v>28183</v>
      </c>
      <c r="F8" s="13" t="n">
        <v>1795.2</v>
      </c>
      <c r="G8" s="13">
        <f>E8-F8</f>
        <v/>
      </c>
      <c r="H8" s="26">
        <f>E8/F8</f>
        <v/>
      </c>
      <c r="I8" s="27" t="n"/>
    </row>
    <row r="9">
      <c r="A9" s="9" t="n">
        <v>43048066</v>
      </c>
      <c r="B9" s="11" t="n">
        <v>46142.78081018518</v>
      </c>
      <c r="C9" s="9" t="inlineStr">
        <is>
          <t>B Hormigón</t>
        </is>
      </c>
      <c r="D9" s="9" t="inlineStr">
        <is>
          <t>B HORMIGON 28MM 11M A630-420H (N)</t>
        </is>
      </c>
      <c r="E9" s="13" t="n">
        <v>13219</v>
      </c>
      <c r="F9" s="13" t="n">
        <v>844.8</v>
      </c>
      <c r="G9" s="13">
        <f>E9-F9</f>
        <v/>
      </c>
      <c r="H9" s="26">
        <f>E9/F9</f>
        <v/>
      </c>
      <c r="I9" s="27" t="n"/>
    </row>
    <row r="10">
      <c r="A10" s="9" t="n">
        <v>43048034</v>
      </c>
      <c r="B10" s="11" t="n">
        <v>46142.74578703703</v>
      </c>
      <c r="C10" s="9" t="inlineStr">
        <is>
          <t>B Hormigón</t>
        </is>
      </c>
      <c r="D10" s="9" t="inlineStr">
        <is>
          <t>B HORMIGON 28MM 10M A630-420H (N)</t>
        </is>
      </c>
      <c r="E10" s="13" t="n">
        <v>5171</v>
      </c>
      <c r="F10" s="13" t="n">
        <v>422.4</v>
      </c>
      <c r="G10" s="13">
        <f>E10-F10</f>
        <v/>
      </c>
      <c r="H10" s="26">
        <f>E10/F10</f>
        <v/>
      </c>
      <c r="I10" s="27" t="n"/>
    </row>
    <row r="11">
      <c r="A11" s="9" t="n">
        <v>43048033</v>
      </c>
      <c r="B11" s="11" t="n">
        <v>46142.74388888889</v>
      </c>
      <c r="C11" s="9" t="inlineStr">
        <is>
          <t>B Hormigón</t>
        </is>
      </c>
      <c r="D11" s="9" t="inlineStr">
        <is>
          <t>B HORMIGON 28MM 8M A630-420H (N)</t>
        </is>
      </c>
      <c r="E11" s="13" t="n">
        <v>4030</v>
      </c>
      <c r="F11" s="13" t="n">
        <v>422.4</v>
      </c>
      <c r="G11" s="13">
        <f>E11-F11</f>
        <v/>
      </c>
      <c r="H11" s="26">
        <f>E11/F11</f>
        <v/>
      </c>
      <c r="I11" s="27" t="n"/>
    </row>
    <row r="12">
      <c r="A12" s="9" t="n">
        <v>43049831</v>
      </c>
      <c r="B12" s="11" t="n">
        <v>46260.41324074074</v>
      </c>
      <c r="C12" s="9" t="inlineStr">
        <is>
          <t>B Hormigón</t>
        </is>
      </c>
      <c r="D12" s="9" t="inlineStr">
        <is>
          <t>B HORMIGON 18MM 7M A630-420H (N)</t>
        </is>
      </c>
      <c r="E12" s="13" t="n">
        <v>9295</v>
      </c>
      <c r="F12" s="13" t="n">
        <v>4488</v>
      </c>
      <c r="G12" s="13">
        <f>E12-F12</f>
        <v/>
      </c>
      <c r="H12" s="26">
        <f>E12/F12</f>
        <v/>
      </c>
      <c r="I12" s="27" t="n"/>
    </row>
    <row r="13">
      <c r="A13" s="9" t="n">
        <v>43047850</v>
      </c>
      <c r="B13" s="11" t="n">
        <v>46129.60018518518</v>
      </c>
      <c r="C13" s="9" t="inlineStr">
        <is>
          <t>B Hormigón</t>
        </is>
      </c>
      <c r="D13" s="9" t="inlineStr">
        <is>
          <t>B HORMIGON 18MM 6M A630-420H (N)</t>
        </is>
      </c>
      <c r="E13" s="13" t="n">
        <v>28090</v>
      </c>
      <c r="F13" s="13" t="n">
        <v>16156.8</v>
      </c>
      <c r="G13" s="13">
        <f>E13-F13</f>
        <v/>
      </c>
      <c r="H13" s="26">
        <f>E13/F13</f>
        <v/>
      </c>
      <c r="I13" s="27" t="n"/>
    </row>
    <row r="14">
      <c r="A14" s="9" t="n">
        <v>43048827</v>
      </c>
      <c r="B14" s="11" t="n">
        <v>46200.40383101852</v>
      </c>
      <c r="C14" s="9" t="inlineStr">
        <is>
          <t>B Hormigón</t>
        </is>
      </c>
      <c r="D14" s="9" t="inlineStr">
        <is>
          <t>B HORMIGON 22MM 7M A630-420H (N)</t>
        </is>
      </c>
      <c r="E14" s="13" t="n">
        <v>157407</v>
      </c>
      <c r="F14" s="13" t="n">
        <v>97574.39999999999</v>
      </c>
      <c r="G14" s="13">
        <f>E14-F14</f>
        <v/>
      </c>
      <c r="H14" s="26">
        <f>E14/F14</f>
        <v/>
      </c>
      <c r="I14" s="27" t="n"/>
    </row>
    <row r="15">
      <c r="A15" s="9" t="n">
        <v>43046487</v>
      </c>
      <c r="B15" s="11" t="n">
        <v>46044.35064814815</v>
      </c>
      <c r="C15" s="9" t="inlineStr">
        <is>
          <t>Saferock</t>
        </is>
      </c>
      <c r="D15" s="9" t="inlineStr">
        <is>
          <t>SAFEROCK 22MM 10.5M A280</t>
        </is>
      </c>
      <c r="E15" s="13" t="n">
        <v>23187</v>
      </c>
      <c r="F15" s="13" t="n">
        <v>16051.2</v>
      </c>
      <c r="G15" s="13">
        <f>E15-F15</f>
        <v/>
      </c>
      <c r="H15" s="26">
        <f>E15/F15</f>
        <v/>
      </c>
      <c r="I15" s="27" t="n"/>
    </row>
    <row r="16">
      <c r="A16" s="9" t="n">
        <v>43049738</v>
      </c>
      <c r="B16" s="11" t="n">
        <v>46254.07247685185</v>
      </c>
      <c r="C16" s="9" t="inlineStr">
        <is>
          <t>Ángulo</t>
        </is>
      </c>
      <c r="D16" s="9" t="inlineStr">
        <is>
          <t>ANGULO 20X20X3MM A270ES</t>
        </is>
      </c>
      <c r="E16" s="13" t="n">
        <v>75009</v>
      </c>
      <c r="F16" s="13" t="n">
        <v>60403.2</v>
      </c>
      <c r="G16" s="13">
        <f>E16-F16</f>
        <v/>
      </c>
      <c r="H16" s="26">
        <f>E16/F16</f>
        <v/>
      </c>
      <c r="I16" s="27" t="n"/>
    </row>
    <row r="17">
      <c r="A17" s="9" t="n">
        <v>43049335</v>
      </c>
      <c r="B17" s="11" t="n">
        <v>46239.88563657407</v>
      </c>
      <c r="C17" s="9" t="inlineStr">
        <is>
          <t>B Hormigón</t>
        </is>
      </c>
      <c r="D17" s="9" t="inlineStr">
        <is>
          <t>B HORMIGON 22MM 6M A630-420H (N)</t>
        </is>
      </c>
      <c r="E17" s="13" t="n">
        <v>59206</v>
      </c>
      <c r="F17" s="13" t="n">
        <v>47876.4</v>
      </c>
      <c r="G17" s="13">
        <f>E17-F17</f>
        <v/>
      </c>
      <c r="H17" s="26">
        <f>E17/F17</f>
        <v/>
      </c>
      <c r="I17" s="27" t="n"/>
    </row>
    <row r="18">
      <c r="A18" s="9" t="n">
        <v>43046528</v>
      </c>
      <c r="B18" s="11" t="n">
        <v>46049.08616898148</v>
      </c>
      <c r="C18" s="9" t="inlineStr">
        <is>
          <t>Plana</t>
        </is>
      </c>
      <c r="D18" s="9" t="inlineStr">
        <is>
          <t>PLANA 100X8MM 6M A270ES (N)</t>
        </is>
      </c>
      <c r="E18" s="13" t="n">
        <v>5192</v>
      </c>
      <c r="F18" s="13" t="n">
        <v>4224</v>
      </c>
      <c r="G18" s="13">
        <f>E18-F18</f>
        <v/>
      </c>
      <c r="H18" s="26">
        <f>E18/F18</f>
        <v/>
      </c>
      <c r="I18" s="27" t="n"/>
    </row>
    <row r="19">
      <c r="A19" s="9" t="n">
        <v>43046439</v>
      </c>
      <c r="B19" s="11" t="n">
        <v>46044.17049768518</v>
      </c>
      <c r="C19" s="9" t="inlineStr">
        <is>
          <t>Saferock</t>
        </is>
      </c>
      <c r="D19" s="9" t="inlineStr">
        <is>
          <t>SAFEROCK 22MM 6M A280</t>
        </is>
      </c>
      <c r="E19" s="13" t="n">
        <v>23202</v>
      </c>
      <c r="F19" s="13" t="n">
        <v>19430.4</v>
      </c>
      <c r="G19" s="13">
        <f>E19-F19</f>
        <v/>
      </c>
      <c r="H19" s="26">
        <f>E19/F19</f>
        <v/>
      </c>
      <c r="I19" s="27" t="n"/>
    </row>
    <row r="20">
      <c r="A20" s="9" t="n">
        <v>43050165</v>
      </c>
      <c r="B20" s="11" t="n">
        <v>46279.08677083333</v>
      </c>
      <c r="C20" s="9" t="inlineStr">
        <is>
          <t>Redondo liso</t>
        </is>
      </c>
      <c r="D20" s="9" t="inlineStr">
        <is>
          <t>REDONDO LISO 3/4' 6M SAE 1020 (N)</t>
        </is>
      </c>
      <c r="E20" s="13" t="n">
        <v>10239</v>
      </c>
      <c r="F20" s="13" t="n">
        <v>9292.799999999999</v>
      </c>
      <c r="G20" s="13">
        <f>E20-F20</f>
        <v/>
      </c>
      <c r="H20" s="26">
        <f>E20/F20</f>
        <v/>
      </c>
      <c r="I20" s="27" t="n"/>
    </row>
    <row r="21">
      <c r="A21" s="9" t="n">
        <v>43049901</v>
      </c>
      <c r="B21" s="11" t="n">
        <v>46269.11071759259</v>
      </c>
      <c r="C21" s="9" t="inlineStr">
        <is>
          <t>B Hormigón</t>
        </is>
      </c>
      <c r="D21" s="9" t="inlineStr">
        <is>
          <t>B HORMIGON 32MM 9M A630-420H (N)</t>
        </is>
      </c>
      <c r="E21" s="13" t="n">
        <v>52602</v>
      </c>
      <c r="F21" s="13" t="n">
        <v>48153.6</v>
      </c>
      <c r="G21" s="13">
        <f>E21-F21</f>
        <v/>
      </c>
      <c r="H21" s="26">
        <f>E21/F21</f>
        <v/>
      </c>
      <c r="I21" s="27" t="n"/>
    </row>
    <row r="22">
      <c r="A22" s="9" t="n">
        <v>43048527</v>
      </c>
      <c r="B22" s="11" t="n">
        <v>46174.05386574074</v>
      </c>
      <c r="C22" s="9" t="inlineStr">
        <is>
          <t>B Hormigón</t>
        </is>
      </c>
      <c r="D22" s="9" t="inlineStr">
        <is>
          <t>B HORMIGON 25MM 9M A630-420H (N)</t>
        </is>
      </c>
      <c r="E22" s="13" t="n">
        <v>68819</v>
      </c>
      <c r="F22" s="13" t="n">
        <v>63360</v>
      </c>
      <c r="G22" s="13">
        <f>E22-F22</f>
        <v/>
      </c>
      <c r="H22" s="26">
        <f>E22/F22</f>
        <v/>
      </c>
      <c r="I22" s="27" t="n"/>
    </row>
    <row r="23">
      <c r="A23" s="9" t="n">
        <v>43048263</v>
      </c>
      <c r="B23" s="11" t="n">
        <v>46165.26596064815</v>
      </c>
      <c r="C23" s="9" t="inlineStr">
        <is>
          <t>B Hormigón</t>
        </is>
      </c>
      <c r="D23" s="9" t="inlineStr">
        <is>
          <t>B HORMIGON 28MM 10M A630-420H (N)</t>
        </is>
      </c>
      <c r="E23" s="13" t="n">
        <v>182100</v>
      </c>
      <c r="F23" s="13" t="n">
        <v>169197.6</v>
      </c>
      <c r="G23" s="13">
        <f>E23-F23</f>
        <v/>
      </c>
      <c r="H23" s="26">
        <f>E23/F23</f>
        <v/>
      </c>
      <c r="I23" s="27" t="n"/>
    </row>
    <row r="24">
      <c r="A24" s="9" t="n">
        <v>43047712</v>
      </c>
      <c r="B24" s="11" t="n">
        <v>46113.87902777778</v>
      </c>
      <c r="C24" s="9" t="inlineStr">
        <is>
          <t>Redondo liso</t>
        </is>
      </c>
      <c r="D24" s="9" t="inlineStr">
        <is>
          <t>REDONDO LISO 12MM 6M SAE 1020 (N)</t>
        </is>
      </c>
      <c r="E24" s="13" t="n">
        <v>122809</v>
      </c>
      <c r="F24" s="13" t="n">
        <v>114636.6</v>
      </c>
      <c r="G24" s="13">
        <f>E24-F24</f>
        <v/>
      </c>
      <c r="H24" s="26">
        <f>E24/F24</f>
        <v/>
      </c>
      <c r="I24" s="27" t="n"/>
    </row>
    <row r="25">
      <c r="A25" s="9" t="n">
        <v>43048695</v>
      </c>
      <c r="B25" s="11" t="n">
        <v>46190.36256944444</v>
      </c>
      <c r="C25" s="9" t="inlineStr">
        <is>
          <t>Plana</t>
        </is>
      </c>
      <c r="D25" s="9" t="inlineStr">
        <is>
          <t>PLANA 20X10MM 6M A270ES (N)</t>
        </is>
      </c>
      <c r="E25" s="13" t="n">
        <v>44824</v>
      </c>
      <c r="F25" s="13" t="n">
        <v>42240</v>
      </c>
      <c r="G25" s="13">
        <f>E25-F25</f>
        <v/>
      </c>
      <c r="H25" s="26">
        <f>E25/F25</f>
        <v/>
      </c>
      <c r="I25" s="27" t="n"/>
    </row>
    <row r="26">
      <c r="A26" s="9" t="n">
        <v>43047079</v>
      </c>
      <c r="B26" s="11" t="n">
        <v>46084.2069675926</v>
      </c>
      <c r="C26" s="9" t="inlineStr">
        <is>
          <t>Redondo liso</t>
        </is>
      </c>
      <c r="D26" s="9" t="inlineStr">
        <is>
          <t>REDONDO LISO 3/4' 6M SAE 1020 (N)</t>
        </is>
      </c>
      <c r="E26" s="13" t="n">
        <v>30217</v>
      </c>
      <c r="F26" s="13" t="n">
        <v>28723.2</v>
      </c>
      <c r="G26" s="13">
        <f>E26-F26</f>
        <v/>
      </c>
      <c r="H26" s="26">
        <f>E26/F26</f>
        <v/>
      </c>
      <c r="I26" s="27" t="n"/>
    </row>
    <row r="27">
      <c r="A27" s="9" t="n">
        <v>43049779</v>
      </c>
      <c r="B27" s="11" t="n">
        <v>46255.64462962963</v>
      </c>
      <c r="C27" s="9" t="inlineStr">
        <is>
          <t>Ángulo</t>
        </is>
      </c>
      <c r="D27" s="9" t="inlineStr">
        <is>
          <t>ANGULO 25X25X3MM A270ES</t>
        </is>
      </c>
      <c r="E27" s="13" t="n">
        <v>14123</v>
      </c>
      <c r="F27" s="13" t="n">
        <v>13516.8</v>
      </c>
      <c r="G27" s="13">
        <f>E27-F27</f>
        <v/>
      </c>
      <c r="H27" s="26">
        <f>E27/F27</f>
        <v/>
      </c>
      <c r="I27" s="27" t="n"/>
    </row>
    <row r="28">
      <c r="A28" s="9" t="n">
        <v>43049593</v>
      </c>
      <c r="B28" s="11" t="n">
        <v>46247.49320601852</v>
      </c>
      <c r="C28" s="9" t="inlineStr">
        <is>
          <t>B Hormigón</t>
        </is>
      </c>
      <c r="D28" s="9" t="inlineStr">
        <is>
          <t>B HORMIGON 18MM 7M A630-420H (N)</t>
        </is>
      </c>
      <c r="E28" s="13" t="n">
        <v>46625</v>
      </c>
      <c r="F28" s="13" t="n">
        <v>45328.8</v>
      </c>
      <c r="G28" s="13">
        <f>E28-F28</f>
        <v/>
      </c>
      <c r="H28" s="26">
        <f>E28/F28</f>
        <v/>
      </c>
      <c r="I28" s="27" t="n"/>
    </row>
    <row r="29">
      <c r="A29" s="9" t="n">
        <v>43048680</v>
      </c>
      <c r="B29" s="11" t="n">
        <v>46186.2379050926</v>
      </c>
      <c r="C29" s="9" t="inlineStr">
        <is>
          <t>B Hormigón</t>
        </is>
      </c>
      <c r="D29" s="9" t="inlineStr">
        <is>
          <t>B HORMIGON 25MM 8M A630-420H (N)</t>
        </is>
      </c>
      <c r="E29" s="13" t="n">
        <v>140562</v>
      </c>
      <c r="F29" s="13" t="n">
        <v>137332.8</v>
      </c>
      <c r="G29" s="13">
        <f>E29-F29</f>
        <v/>
      </c>
      <c r="H29" s="26">
        <f>E29/F29</f>
        <v/>
      </c>
      <c r="I29" s="27" t="n"/>
    </row>
    <row r="30">
      <c r="A30" s="9" t="n">
        <v>43047076</v>
      </c>
      <c r="B30" s="11" t="n">
        <v>46083.8590625</v>
      </c>
      <c r="C30" s="9" t="inlineStr">
        <is>
          <t>B Hormigón</t>
        </is>
      </c>
      <c r="D30" s="9" t="inlineStr">
        <is>
          <t>B HORMIGON 36MM 11M A630-420HS (N)</t>
        </is>
      </c>
      <c r="E30" s="13" t="n">
        <v>30534</v>
      </c>
      <c r="F30" s="13" t="n">
        <v>29858.4</v>
      </c>
      <c r="G30" s="13">
        <f>E30-F30</f>
        <v/>
      </c>
      <c r="H30" s="26">
        <f>E30/F30</f>
        <v/>
      </c>
      <c r="I30" s="27" t="n"/>
    </row>
    <row r="31">
      <c r="A31" s="9" t="n">
        <v>43046088</v>
      </c>
      <c r="B31" s="11" t="n">
        <v>46027.27679398148</v>
      </c>
      <c r="C31" s="9" t="inlineStr">
        <is>
          <t>B Hormigón</t>
        </is>
      </c>
      <c r="D31" s="9" t="inlineStr">
        <is>
          <t>B HORMIGON 18MM 11M A630-420HS (N)</t>
        </is>
      </c>
      <c r="E31" s="13" t="n">
        <v>29326</v>
      </c>
      <c r="F31" s="13" t="n">
        <v>28723.2</v>
      </c>
      <c r="G31" s="13">
        <f>E31-F31</f>
        <v/>
      </c>
      <c r="H31" s="26">
        <f>E31/F31</f>
        <v/>
      </c>
      <c r="I31" s="27" t="n"/>
    </row>
    <row r="32">
      <c r="A32" s="9" t="n">
        <v>43046489</v>
      </c>
      <c r="B32" s="11" t="n">
        <v>46044.39538194444</v>
      </c>
      <c r="C32" s="9" t="inlineStr">
        <is>
          <t>Saferock</t>
        </is>
      </c>
      <c r="D32" s="9" t="inlineStr">
        <is>
          <t>SAFEROCK 22MM 10,5M A280</t>
        </is>
      </c>
      <c r="E32" s="13" t="n">
        <v>49093</v>
      </c>
      <c r="F32" s="13" t="n">
        <v>48153.6</v>
      </c>
      <c r="G32" s="13">
        <f>E32-F32</f>
        <v/>
      </c>
      <c r="H32" s="26">
        <f>E32/F32</f>
        <v/>
      </c>
      <c r="I32" s="27" t="n"/>
    </row>
    <row r="33">
      <c r="A33" s="9" t="n">
        <v>43046427</v>
      </c>
      <c r="B33" s="11" t="n">
        <v>46042.26840277778</v>
      </c>
      <c r="C33" s="9" t="inlineStr">
        <is>
          <t>Plana</t>
        </is>
      </c>
      <c r="D33" s="9" t="inlineStr">
        <is>
          <t>PLANA 75X6MM 6M A270ES (N)</t>
        </is>
      </c>
      <c r="E33" s="13" t="n">
        <v>30556</v>
      </c>
      <c r="F33" s="13" t="n">
        <v>30069.6</v>
      </c>
      <c r="G33" s="13">
        <f>E33-F33</f>
        <v/>
      </c>
      <c r="H33" s="26">
        <f>E33/F33</f>
        <v/>
      </c>
      <c r="I33" s="27" t="n"/>
    </row>
    <row r="34">
      <c r="A34" s="9" t="n">
        <v>43048965</v>
      </c>
      <c r="B34" s="11" t="n">
        <v>46209.33346064815</v>
      </c>
      <c r="C34" s="9" t="inlineStr">
        <is>
          <t>B Hormigón</t>
        </is>
      </c>
      <c r="D34" s="9" t="inlineStr">
        <is>
          <t>B HORMIGON 32MM 11M A630-420HS (N)</t>
        </is>
      </c>
      <c r="E34" s="13" t="n">
        <v>8848</v>
      </c>
      <c r="F34" s="13" t="n">
        <v>8712</v>
      </c>
      <c r="G34" s="13">
        <f>E34-F34</f>
        <v/>
      </c>
      <c r="H34" s="26">
        <f>E34/F34</f>
        <v/>
      </c>
      <c r="I34" s="27" t="n"/>
    </row>
    <row r="35">
      <c r="A35" s="9" t="n">
        <v>43049396</v>
      </c>
      <c r="B35" s="11" t="n">
        <v>46241.73023148148</v>
      </c>
      <c r="C35" s="9" t="inlineStr">
        <is>
          <t>B Hormigón</t>
        </is>
      </c>
      <c r="D35" s="9" t="inlineStr">
        <is>
          <t>B HORMIGON 32MM 7M A630-420H (N)</t>
        </is>
      </c>
      <c r="E35" s="13" t="n">
        <v>17072</v>
      </c>
      <c r="F35" s="13" t="n">
        <v>16896</v>
      </c>
      <c r="G35" s="13">
        <f>E35-F35</f>
        <v/>
      </c>
      <c r="H35" s="26">
        <f>E35/F35</f>
        <v/>
      </c>
      <c r="I35" s="27" t="n"/>
    </row>
    <row r="36">
      <c r="A36" s="9" t="n">
        <v>43048317</v>
      </c>
      <c r="B36" s="11" t="n">
        <v>46167.50340277778</v>
      </c>
      <c r="C36" s="9" t="inlineStr">
        <is>
          <t>B Hormigón</t>
        </is>
      </c>
      <c r="D36" s="9" t="inlineStr">
        <is>
          <t>B HORMIGON 28MM 8M A630-420H (N)</t>
        </is>
      </c>
      <c r="E36" s="13" t="n">
        <v>19170</v>
      </c>
      <c r="F36" s="13" t="n">
        <v>19166.4</v>
      </c>
      <c r="G36" s="13">
        <f>E36-F36</f>
        <v/>
      </c>
      <c r="H36" s="26">
        <f>E36/F36</f>
        <v/>
      </c>
      <c r="I36" s="27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3" t="inlineStr">
        <is>
          <t>Columna amarilla: para anotar la corrección de cada orden.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24" customWidth="1" min="3" max="3"/>
    <col width="11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6" customWidth="1" min="11" max="11"/>
    <col width="14" customWidth="1" min="12" max="12"/>
    <col width="10" customWidth="1" min="13" max="13"/>
  </cols>
  <sheetData>
    <row r="1">
      <c r="A1" s="1" t="inlineStr">
        <is>
          <t>Catálogo de productos del período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Grupo y largo desde el maestro; medidas desde el nombre (mm).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30" customHeight="1">
      <c r="A4" s="10" t="inlineStr">
        <is>
          <t>Producto</t>
        </is>
      </c>
      <c r="B4" s="10" t="inlineStr">
        <is>
          <t>Grupo</t>
        </is>
      </c>
      <c r="C4" s="10" t="inlineStr">
        <is>
          <t>Medidas</t>
        </is>
      </c>
      <c r="D4" s="10" t="inlineStr">
        <is>
          <t>Diámetro (mm)</t>
        </is>
      </c>
      <c r="E4" s="10" t="inlineStr">
        <is>
          <t>Ancho (mm)</t>
        </is>
      </c>
      <c r="F4" s="10" t="inlineStr">
        <is>
          <t>Espesor (mm)</t>
        </is>
      </c>
      <c r="G4" s="10" t="inlineStr">
        <is>
          <t>Lado (mm)</t>
        </is>
      </c>
      <c r="H4" s="10" t="inlineStr">
        <is>
          <t>Pulgadas</t>
        </is>
      </c>
      <c r="I4" s="10" t="inlineStr">
        <is>
          <t>Largo (m)</t>
        </is>
      </c>
      <c r="J4" s="10" t="inlineStr">
        <is>
          <t>Largo asumido</t>
        </is>
      </c>
      <c r="K4" s="10" t="inlineStr">
        <is>
          <t>Formato (maestro)</t>
        </is>
      </c>
      <c r="L4" s="10" t="inlineStr">
        <is>
          <t>Código (maestro)</t>
        </is>
      </c>
      <c r="M4" s="10" t="inlineStr">
        <is>
          <t>En maestro</t>
        </is>
      </c>
    </row>
    <row r="5">
      <c r="A5" s="9" t="inlineStr">
        <is>
          <t>B HORMIGON 16MM 6M A630-420H (N)</t>
        </is>
      </c>
      <c r="B5" s="9" t="inlineStr">
        <is>
          <t>B Hormigón</t>
        </is>
      </c>
      <c r="C5" s="9" t="inlineStr">
        <is>
          <t>Ø16 mm · 6 m</t>
        </is>
      </c>
      <c r="D5" s="9" t="n">
        <v>16</v>
      </c>
      <c r="E5" s="9" t="n"/>
      <c r="F5" s="9" t="n"/>
      <c r="G5" s="9" t="n"/>
      <c r="H5" s="9" t="n"/>
      <c r="I5" s="9" t="n">
        <v>6</v>
      </c>
      <c r="J5" s="9" t="inlineStr">
        <is>
          <t>No</t>
        </is>
      </c>
      <c r="K5" s="9" t="inlineStr">
        <is>
          <t>RED 16 CR</t>
        </is>
      </c>
      <c r="L5" s="9" t="n">
        <v>110002928</v>
      </c>
      <c r="M5" s="9" t="inlineStr">
        <is>
          <t>Sí</t>
        </is>
      </c>
    </row>
    <row r="6">
      <c r="A6" s="9" t="inlineStr">
        <is>
          <t>B HORMIGON 18MM 10M A630-420H (N)</t>
        </is>
      </c>
      <c r="B6" s="9" t="inlineStr">
        <is>
          <t>B Hormigón</t>
        </is>
      </c>
      <c r="C6" s="9" t="inlineStr">
        <is>
          <t>Ø18 mm · 10 m</t>
        </is>
      </c>
      <c r="D6" s="9" t="n">
        <v>18</v>
      </c>
      <c r="E6" s="9" t="n"/>
      <c r="F6" s="9" t="n"/>
      <c r="G6" s="9" t="n"/>
      <c r="H6" s="9" t="n"/>
      <c r="I6" s="9" t="n">
        <v>10</v>
      </c>
      <c r="J6" s="9" t="inlineStr">
        <is>
          <t>No</t>
        </is>
      </c>
      <c r="K6" s="9" t="inlineStr">
        <is>
          <t>RED 18 CR</t>
        </is>
      </c>
      <c r="L6" s="9" t="n">
        <v>110002924</v>
      </c>
      <c r="M6" s="9" t="inlineStr">
        <is>
          <t>Sí</t>
        </is>
      </c>
    </row>
    <row r="7">
      <c r="A7" s="9" t="inlineStr">
        <is>
          <t>B HORMIGON 18MM 10M A630-420HS (N)</t>
        </is>
      </c>
      <c r="B7" s="9" t="inlineStr">
        <is>
          <t>B Hormigón</t>
        </is>
      </c>
      <c r="C7" s="9" t="inlineStr">
        <is>
          <t>Ø18 mm · 10 m</t>
        </is>
      </c>
      <c r="D7" s="9" t="n">
        <v>18</v>
      </c>
      <c r="E7" s="9" t="n"/>
      <c r="F7" s="9" t="n"/>
      <c r="G7" s="9" t="n"/>
      <c r="H7" s="9" t="n"/>
      <c r="I7" s="9" t="n">
        <v>10</v>
      </c>
      <c r="J7" s="9" t="inlineStr">
        <is>
          <t>No</t>
        </is>
      </c>
      <c r="K7" s="9" t="inlineStr">
        <is>
          <t>RED 18 CR</t>
        </is>
      </c>
      <c r="L7" s="9" t="n">
        <v>110007323</v>
      </c>
      <c r="M7" s="9" t="inlineStr">
        <is>
          <t>Sí</t>
        </is>
      </c>
    </row>
    <row r="8">
      <c r="A8" s="9" t="inlineStr">
        <is>
          <t>B HORMIGON 18MM 11M A630-420H (N)</t>
        </is>
      </c>
      <c r="B8" s="9" t="inlineStr">
        <is>
          <t>B Hormigón</t>
        </is>
      </c>
      <c r="C8" s="9" t="inlineStr">
        <is>
          <t>Ø18 mm · 11 m</t>
        </is>
      </c>
      <c r="D8" s="9" t="n">
        <v>18</v>
      </c>
      <c r="E8" s="9" t="n"/>
      <c r="F8" s="9" t="n"/>
      <c r="G8" s="9" t="n"/>
      <c r="H8" s="9" t="n"/>
      <c r="I8" s="9" t="n">
        <v>11</v>
      </c>
      <c r="J8" s="9" t="inlineStr">
        <is>
          <t>No</t>
        </is>
      </c>
      <c r="K8" s="9" t="inlineStr">
        <is>
          <t>RED 18 CR</t>
        </is>
      </c>
      <c r="L8" s="9" t="n">
        <v>110002937</v>
      </c>
      <c r="M8" s="9" t="inlineStr">
        <is>
          <t>Sí</t>
        </is>
      </c>
    </row>
    <row r="9">
      <c r="A9" s="9" t="inlineStr">
        <is>
          <t>B HORMIGON 18MM 11M A630-420HS (N)</t>
        </is>
      </c>
      <c r="B9" s="9" t="inlineStr">
        <is>
          <t>B Hormigón</t>
        </is>
      </c>
      <c r="C9" s="9" t="inlineStr">
        <is>
          <t>Ø18 mm · 11 m</t>
        </is>
      </c>
      <c r="D9" s="9" t="n">
        <v>18</v>
      </c>
      <c r="E9" s="9" t="n"/>
      <c r="F9" s="9" t="n"/>
      <c r="G9" s="9" t="n"/>
      <c r="H9" s="9" t="n"/>
      <c r="I9" s="9" t="n">
        <v>11</v>
      </c>
      <c r="J9" s="9" t="inlineStr">
        <is>
          <t>No</t>
        </is>
      </c>
      <c r="K9" s="9" t="inlineStr">
        <is>
          <t>RED 18 CR</t>
        </is>
      </c>
      <c r="L9" s="9" t="n">
        <v>110007314</v>
      </c>
      <c r="M9" s="9" t="inlineStr">
        <is>
          <t>Sí</t>
        </is>
      </c>
    </row>
    <row r="10">
      <c r="A10" s="9" t="inlineStr">
        <is>
          <t>B HORMIGON 18MM 12M A630-420H (N)</t>
        </is>
      </c>
      <c r="B10" s="9" t="inlineStr">
        <is>
          <t>B Hormigón</t>
        </is>
      </c>
      <c r="C10" s="9" t="inlineStr">
        <is>
          <t>Ø18 mm · 12 m</t>
        </is>
      </c>
      <c r="D10" s="9" t="n">
        <v>18</v>
      </c>
      <c r="E10" s="9" t="n"/>
      <c r="F10" s="9" t="n"/>
      <c r="G10" s="9" t="n"/>
      <c r="H10" s="9" t="n"/>
      <c r="I10" s="9" t="n">
        <v>12</v>
      </c>
      <c r="J10" s="9" t="inlineStr">
        <is>
          <t>No</t>
        </is>
      </c>
      <c r="K10" s="9" t="inlineStr">
        <is>
          <t>RED 18 CR</t>
        </is>
      </c>
      <c r="L10" s="9" t="n">
        <v>110002938</v>
      </c>
      <c r="M10" s="9" t="inlineStr">
        <is>
          <t>Sí</t>
        </is>
      </c>
    </row>
    <row r="11">
      <c r="A11" s="9" t="inlineStr">
        <is>
          <t>B HORMIGON 18MM 12M A630-420HS (N)</t>
        </is>
      </c>
      <c r="B11" s="9" t="inlineStr">
        <is>
          <t>B Hormigón</t>
        </is>
      </c>
      <c r="C11" s="9" t="inlineStr">
        <is>
          <t>Ø18 mm · 12 m</t>
        </is>
      </c>
      <c r="D11" s="9" t="n">
        <v>18</v>
      </c>
      <c r="E11" s="9" t="n"/>
      <c r="F11" s="9" t="n"/>
      <c r="G11" s="9" t="n"/>
      <c r="H11" s="9" t="n"/>
      <c r="I11" s="9" t="n">
        <v>12</v>
      </c>
      <c r="J11" s="9" t="inlineStr">
        <is>
          <t>No</t>
        </is>
      </c>
      <c r="K11" s="9" t="inlineStr">
        <is>
          <t>RED 18 CR</t>
        </is>
      </c>
      <c r="L11" s="9" t="n">
        <v>110007120</v>
      </c>
      <c r="M11" s="9" t="inlineStr">
        <is>
          <t>Sí</t>
        </is>
      </c>
    </row>
    <row r="12">
      <c r="A12" s="9" t="inlineStr">
        <is>
          <t>B HORMIGON 18MM 6M A630-420H (N)</t>
        </is>
      </c>
      <c r="B12" s="9" t="inlineStr">
        <is>
          <t>B Hormigón</t>
        </is>
      </c>
      <c r="C12" s="9" t="inlineStr">
        <is>
          <t>Ø18 mm · 6 m</t>
        </is>
      </c>
      <c r="D12" s="9" t="n">
        <v>18</v>
      </c>
      <c r="E12" s="9" t="n"/>
      <c r="F12" s="9" t="n"/>
      <c r="G12" s="9" t="n"/>
      <c r="H12" s="9" t="n"/>
      <c r="I12" s="9" t="n">
        <v>6</v>
      </c>
      <c r="J12" s="9" t="inlineStr">
        <is>
          <t>No</t>
        </is>
      </c>
      <c r="K12" s="9" t="inlineStr">
        <is>
          <t>RED 18 CR</t>
        </is>
      </c>
      <c r="L12" s="9" t="n">
        <v>110002942</v>
      </c>
      <c r="M12" s="9" t="inlineStr">
        <is>
          <t>Sí</t>
        </is>
      </c>
    </row>
    <row r="13">
      <c r="A13" s="9" t="inlineStr">
        <is>
          <t>B HORMIGON 18MM 7M A630-420H (N)</t>
        </is>
      </c>
      <c r="B13" s="9" t="inlineStr">
        <is>
          <t>B Hormigón</t>
        </is>
      </c>
      <c r="C13" s="9" t="inlineStr">
        <is>
          <t>Ø18 mm · 7 m</t>
        </is>
      </c>
      <c r="D13" s="9" t="n">
        <v>18</v>
      </c>
      <c r="E13" s="9" t="n"/>
      <c r="F13" s="9" t="n"/>
      <c r="G13" s="9" t="n"/>
      <c r="H13" s="9" t="n"/>
      <c r="I13" s="9" t="n">
        <v>7</v>
      </c>
      <c r="J13" s="9" t="inlineStr">
        <is>
          <t>No</t>
        </is>
      </c>
      <c r="K13" s="9" t="inlineStr">
        <is>
          <t>RED 18 CR</t>
        </is>
      </c>
      <c r="L13" s="9" t="n">
        <v>110002940</v>
      </c>
      <c r="M13" s="9" t="inlineStr">
        <is>
          <t>Sí</t>
        </is>
      </c>
    </row>
    <row r="14">
      <c r="A14" s="9" t="inlineStr">
        <is>
          <t>B HORMIGON 18MM 7M A630-420HS (N)</t>
        </is>
      </c>
      <c r="B14" s="9" t="inlineStr">
        <is>
          <t>B Hormigón</t>
        </is>
      </c>
      <c r="C14" s="9" t="inlineStr">
        <is>
          <t>Ø18 mm · 7 m</t>
        </is>
      </c>
      <c r="D14" s="9" t="n">
        <v>18</v>
      </c>
      <c r="E14" s="9" t="n"/>
      <c r="F14" s="9" t="n"/>
      <c r="G14" s="9" t="n"/>
      <c r="H14" s="9" t="n"/>
      <c r="I14" s="9" t="n">
        <v>7</v>
      </c>
      <c r="J14" s="9" t="inlineStr">
        <is>
          <t>No</t>
        </is>
      </c>
      <c r="K14" s="9" t="inlineStr">
        <is>
          <t>RED 18 CR</t>
        </is>
      </c>
      <c r="L14" s="9" t="n">
        <v>110007351</v>
      </c>
      <c r="M14" s="9" t="inlineStr">
        <is>
          <t>Sí</t>
        </is>
      </c>
    </row>
    <row r="15">
      <c r="A15" s="9" t="inlineStr">
        <is>
          <t>B HORMIGON 18MM 8M A630-420H (N)</t>
        </is>
      </c>
      <c r="B15" s="9" t="inlineStr">
        <is>
          <t>B Hormigón</t>
        </is>
      </c>
      <c r="C15" s="9" t="inlineStr">
        <is>
          <t>Ø18 mm · 8 m</t>
        </is>
      </c>
      <c r="D15" s="9" t="n">
        <v>18</v>
      </c>
      <c r="E15" s="9" t="n"/>
      <c r="F15" s="9" t="n"/>
      <c r="G15" s="9" t="n"/>
      <c r="H15" s="9" t="n"/>
      <c r="I15" s="9" t="n">
        <v>8</v>
      </c>
      <c r="J15" s="9" t="inlineStr">
        <is>
          <t>No</t>
        </is>
      </c>
      <c r="K15" s="9" t="inlineStr">
        <is>
          <t>RED 18 CR</t>
        </is>
      </c>
      <c r="L15" s="9" t="n">
        <v>110002952</v>
      </c>
      <c r="M15" s="9" t="inlineStr">
        <is>
          <t>Sí</t>
        </is>
      </c>
    </row>
    <row r="16">
      <c r="A16" s="9" t="inlineStr">
        <is>
          <t>B HORMIGON 18MM 9M A630-420H (N)</t>
        </is>
      </c>
      <c r="B16" s="9" t="inlineStr">
        <is>
          <t>B Hormigón</t>
        </is>
      </c>
      <c r="C16" s="9" t="inlineStr">
        <is>
          <t>Ø18 mm · 9 m</t>
        </is>
      </c>
      <c r="D16" s="9" t="n">
        <v>18</v>
      </c>
      <c r="E16" s="9" t="n"/>
      <c r="F16" s="9" t="n"/>
      <c r="G16" s="9" t="n"/>
      <c r="H16" s="9" t="n"/>
      <c r="I16" s="9" t="n">
        <v>9</v>
      </c>
      <c r="J16" s="9" t="inlineStr">
        <is>
          <t>No</t>
        </is>
      </c>
      <c r="K16" s="9" t="inlineStr">
        <is>
          <t>RED 18 CR</t>
        </is>
      </c>
      <c r="L16" s="9" t="n">
        <v>110002951</v>
      </c>
      <c r="M16" s="9" t="inlineStr">
        <is>
          <t>Sí</t>
        </is>
      </c>
    </row>
    <row r="17">
      <c r="A17" s="9" t="inlineStr">
        <is>
          <t>B HORMIGON 22MM 10M A630-420H (N)</t>
        </is>
      </c>
      <c r="B17" s="9" t="inlineStr">
        <is>
          <t>B Hormigón</t>
        </is>
      </c>
      <c r="C17" s="9" t="inlineStr">
        <is>
          <t>Ø22 mm · 10 m</t>
        </is>
      </c>
      <c r="D17" s="9" t="n">
        <v>22</v>
      </c>
      <c r="E17" s="9" t="n"/>
      <c r="F17" s="9" t="n"/>
      <c r="G17" s="9" t="n"/>
      <c r="H17" s="9" t="n"/>
      <c r="I17" s="9" t="n">
        <v>10</v>
      </c>
      <c r="J17" s="9" t="inlineStr">
        <is>
          <t>No</t>
        </is>
      </c>
      <c r="K17" s="9" t="inlineStr">
        <is>
          <t>RED 22 CR</t>
        </is>
      </c>
      <c r="L17" s="9" t="n">
        <v>110002950</v>
      </c>
      <c r="M17" s="9" t="inlineStr">
        <is>
          <t>Sí</t>
        </is>
      </c>
    </row>
    <row r="18">
      <c r="A18" s="9" t="inlineStr">
        <is>
          <t>B HORMIGON 22MM 10M A630-420HS (N)</t>
        </is>
      </c>
      <c r="B18" s="9" t="inlineStr">
        <is>
          <t>B Hormigón</t>
        </is>
      </c>
      <c r="C18" s="9" t="inlineStr">
        <is>
          <t>Ø22 mm · 10 m</t>
        </is>
      </c>
      <c r="D18" s="9" t="n">
        <v>22</v>
      </c>
      <c r="E18" s="9" t="n"/>
      <c r="F18" s="9" t="n"/>
      <c r="G18" s="9" t="n"/>
      <c r="H18" s="9" t="n"/>
      <c r="I18" s="9" t="n">
        <v>10</v>
      </c>
      <c r="J18" s="9" t="inlineStr">
        <is>
          <t>No</t>
        </is>
      </c>
      <c r="K18" s="9" t="inlineStr">
        <is>
          <t>RED 22 CR</t>
        </is>
      </c>
      <c r="L18" s="9" t="n">
        <v>110007124</v>
      </c>
      <c r="M18" s="9" t="inlineStr">
        <is>
          <t>Sí</t>
        </is>
      </c>
    </row>
    <row r="19">
      <c r="A19" s="9" t="inlineStr">
        <is>
          <t>B HORMIGON 22MM 11M A630-420H (N)</t>
        </is>
      </c>
      <c r="B19" s="9" t="inlineStr">
        <is>
          <t>B Hormigón</t>
        </is>
      </c>
      <c r="C19" s="9" t="inlineStr">
        <is>
          <t>Ø22 mm · 11 m</t>
        </is>
      </c>
      <c r="D19" s="9" t="n">
        <v>22</v>
      </c>
      <c r="E19" s="9" t="n"/>
      <c r="F19" s="9" t="n"/>
      <c r="G19" s="9" t="n"/>
      <c r="H19" s="9" t="n"/>
      <c r="I19" s="9" t="n">
        <v>11</v>
      </c>
      <c r="J19" s="9" t="inlineStr">
        <is>
          <t>No</t>
        </is>
      </c>
      <c r="K19" s="9" t="inlineStr">
        <is>
          <t>RED 22 CR</t>
        </is>
      </c>
      <c r="L19" s="9" t="n">
        <v>110002949</v>
      </c>
      <c r="M19" s="9" t="inlineStr">
        <is>
          <t>Sí</t>
        </is>
      </c>
    </row>
    <row r="20">
      <c r="A20" s="9" t="inlineStr">
        <is>
          <t>B HORMIGON 22MM 11M A630-420HS (N)</t>
        </is>
      </c>
      <c r="B20" s="9" t="inlineStr">
        <is>
          <t>B Hormigón</t>
        </is>
      </c>
      <c r="C20" s="9" t="inlineStr">
        <is>
          <t>Ø22 mm · 11 m</t>
        </is>
      </c>
      <c r="D20" s="9" t="n">
        <v>22</v>
      </c>
      <c r="E20" s="9" t="n"/>
      <c r="F20" s="9" t="n"/>
      <c r="G20" s="9" t="n"/>
      <c r="H20" s="9" t="n"/>
      <c r="I20" s="9" t="n">
        <v>11</v>
      </c>
      <c r="J20" s="9" t="inlineStr">
        <is>
          <t>No</t>
        </is>
      </c>
      <c r="K20" s="9" t="inlineStr">
        <is>
          <t>RED 22 CR</t>
        </is>
      </c>
      <c r="L20" s="9" t="n">
        <v>110007127</v>
      </c>
      <c r="M20" s="9" t="inlineStr">
        <is>
          <t>Sí</t>
        </is>
      </c>
    </row>
    <row r="21">
      <c r="A21" s="9" t="inlineStr">
        <is>
          <t>B HORMIGON 22MM 12M A630-420H (N)</t>
        </is>
      </c>
      <c r="B21" s="9" t="inlineStr">
        <is>
          <t>B Hormigón</t>
        </is>
      </c>
      <c r="C21" s="9" t="inlineStr">
        <is>
          <t>Ø22 mm · 12 m</t>
        </is>
      </c>
      <c r="D21" s="9" t="n">
        <v>22</v>
      </c>
      <c r="E21" s="9" t="n"/>
      <c r="F21" s="9" t="n"/>
      <c r="G21" s="9" t="n"/>
      <c r="H21" s="9" t="n"/>
      <c r="I21" s="9" t="n">
        <v>12</v>
      </c>
      <c r="J21" s="9" t="inlineStr">
        <is>
          <t>No</t>
        </is>
      </c>
      <c r="K21" s="9" t="inlineStr">
        <is>
          <t>RED 22 CR</t>
        </is>
      </c>
      <c r="L21" s="9" t="n">
        <v>110002948</v>
      </c>
      <c r="M21" s="9" t="inlineStr">
        <is>
          <t>Sí</t>
        </is>
      </c>
    </row>
    <row r="22">
      <c r="A22" s="9" t="inlineStr">
        <is>
          <t>B HORMIGON 22MM 12M A630-420HS (N)</t>
        </is>
      </c>
      <c r="B22" s="9" t="inlineStr">
        <is>
          <t>B Hormigón</t>
        </is>
      </c>
      <c r="C22" s="9" t="inlineStr">
        <is>
          <t>Ø22 mm · 12 m</t>
        </is>
      </c>
      <c r="D22" s="9" t="n">
        <v>22</v>
      </c>
      <c r="E22" s="9" t="n"/>
      <c r="F22" s="9" t="n"/>
      <c r="G22" s="9" t="n"/>
      <c r="H22" s="9" t="n"/>
      <c r="I22" s="9" t="n">
        <v>12</v>
      </c>
      <c r="J22" s="9" t="inlineStr">
        <is>
          <t>No</t>
        </is>
      </c>
      <c r="K22" s="9" t="inlineStr">
        <is>
          <t>RED 22 CR</t>
        </is>
      </c>
      <c r="L22" s="9" t="n">
        <v>110007121</v>
      </c>
      <c r="M22" s="9" t="inlineStr">
        <is>
          <t>Sí</t>
        </is>
      </c>
    </row>
    <row r="23">
      <c r="A23" s="9" t="inlineStr">
        <is>
          <t>B HORMIGON 22MM 6M A630-420H (N)</t>
        </is>
      </c>
      <c r="B23" s="9" t="inlineStr">
        <is>
          <t>B Hormigón</t>
        </is>
      </c>
      <c r="C23" s="9" t="inlineStr">
        <is>
          <t>Ø22 mm · 6 m</t>
        </is>
      </c>
      <c r="D23" s="9" t="n">
        <v>22</v>
      </c>
      <c r="E23" s="9" t="n"/>
      <c r="F23" s="9" t="n"/>
      <c r="G23" s="9" t="n"/>
      <c r="H23" s="9" t="n"/>
      <c r="I23" s="9" t="n">
        <v>6</v>
      </c>
      <c r="J23" s="9" t="inlineStr">
        <is>
          <t>No</t>
        </is>
      </c>
      <c r="K23" s="9" t="inlineStr">
        <is>
          <t>RED 22 CR</t>
        </is>
      </c>
      <c r="L23" s="9" t="n">
        <v>110002953</v>
      </c>
      <c r="M23" s="9" t="inlineStr">
        <is>
          <t>Sí</t>
        </is>
      </c>
    </row>
    <row r="24">
      <c r="A24" s="9" t="inlineStr">
        <is>
          <t>B HORMIGON 22MM 7M A630-420H (N)</t>
        </is>
      </c>
      <c r="B24" s="9" t="inlineStr">
        <is>
          <t>B Hormigón</t>
        </is>
      </c>
      <c r="C24" s="9" t="inlineStr">
        <is>
          <t>Ø22 mm · 7 m</t>
        </is>
      </c>
      <c r="D24" s="9" t="n">
        <v>22</v>
      </c>
      <c r="E24" s="9" t="n"/>
      <c r="F24" s="9" t="n"/>
      <c r="G24" s="9" t="n"/>
      <c r="H24" s="9" t="n"/>
      <c r="I24" s="9" t="n">
        <v>7</v>
      </c>
      <c r="J24" s="9" t="inlineStr">
        <is>
          <t>No</t>
        </is>
      </c>
      <c r="K24" s="9" t="inlineStr">
        <is>
          <t>RED 22 CR</t>
        </is>
      </c>
      <c r="L24" s="9" t="n">
        <v>110002946</v>
      </c>
      <c r="M24" s="9" t="inlineStr">
        <is>
          <t>Sí</t>
        </is>
      </c>
    </row>
    <row r="25">
      <c r="A25" s="9" t="inlineStr">
        <is>
          <t>B HORMIGON 22MM 8M A630-420H (N)</t>
        </is>
      </c>
      <c r="B25" s="9" t="inlineStr">
        <is>
          <t>B Hormigón</t>
        </is>
      </c>
      <c r="C25" s="9" t="inlineStr">
        <is>
          <t>Ø22 mm · 8 m</t>
        </is>
      </c>
      <c r="D25" s="9" t="n">
        <v>22</v>
      </c>
      <c r="E25" s="9" t="n"/>
      <c r="F25" s="9" t="n"/>
      <c r="G25" s="9" t="n"/>
      <c r="H25" s="9" t="n"/>
      <c r="I25" s="9" t="n">
        <v>8</v>
      </c>
      <c r="J25" s="9" t="inlineStr">
        <is>
          <t>No</t>
        </is>
      </c>
      <c r="K25" s="9" t="inlineStr">
        <is>
          <t>RED 22 CR</t>
        </is>
      </c>
      <c r="L25" s="9" t="n">
        <v>110002945</v>
      </c>
      <c r="M25" s="9" t="inlineStr">
        <is>
          <t>Sí</t>
        </is>
      </c>
    </row>
    <row r="26">
      <c r="A26" s="9" t="inlineStr">
        <is>
          <t>B HORMIGON 22MM 9M A630-420H (N)</t>
        </is>
      </c>
      <c r="B26" s="9" t="inlineStr">
        <is>
          <t>B Hormigón</t>
        </is>
      </c>
      <c r="C26" s="9" t="inlineStr">
        <is>
          <t>Ø22 mm · 9 m</t>
        </is>
      </c>
      <c r="D26" s="9" t="n">
        <v>22</v>
      </c>
      <c r="E26" s="9" t="n"/>
      <c r="F26" s="9" t="n"/>
      <c r="G26" s="9" t="n"/>
      <c r="H26" s="9" t="n"/>
      <c r="I26" s="9" t="n">
        <v>9</v>
      </c>
      <c r="J26" s="9" t="inlineStr">
        <is>
          <t>No</t>
        </is>
      </c>
      <c r="K26" s="9" t="inlineStr">
        <is>
          <t>RED 22 CR</t>
        </is>
      </c>
      <c r="L26" s="9" t="n">
        <v>110002944</v>
      </c>
      <c r="M26" s="9" t="inlineStr">
        <is>
          <t>Sí</t>
        </is>
      </c>
    </row>
    <row r="27">
      <c r="A27" s="9" t="inlineStr">
        <is>
          <t>B HORMIGON 25MM 10M A630-420H (N)</t>
        </is>
      </c>
      <c r="B27" s="9" t="inlineStr">
        <is>
          <t>B Hormigón</t>
        </is>
      </c>
      <c r="C27" s="9" t="inlineStr">
        <is>
          <t>Ø25 mm · 10 m</t>
        </is>
      </c>
      <c r="D27" s="9" t="n">
        <v>25</v>
      </c>
      <c r="E27" s="9" t="n"/>
      <c r="F27" s="9" t="n"/>
      <c r="G27" s="9" t="n"/>
      <c r="H27" s="9" t="n"/>
      <c r="I27" s="9" t="n">
        <v>10</v>
      </c>
      <c r="J27" s="9" t="inlineStr">
        <is>
          <t>No</t>
        </is>
      </c>
      <c r="K27" s="9" t="inlineStr">
        <is>
          <t>RED 25 CR</t>
        </is>
      </c>
      <c r="L27" s="9" t="n">
        <v>110002943</v>
      </c>
      <c r="M27" s="9" t="inlineStr">
        <is>
          <t>Sí</t>
        </is>
      </c>
    </row>
    <row r="28">
      <c r="A28" s="9" t="inlineStr">
        <is>
          <t>B HORMIGON 25MM 10M A630-420HS (N)</t>
        </is>
      </c>
      <c r="B28" s="9" t="inlineStr">
        <is>
          <t>B Hormigón</t>
        </is>
      </c>
      <c r="C28" s="9" t="inlineStr">
        <is>
          <t>Ø25 mm · 10 m</t>
        </is>
      </c>
      <c r="D28" s="9" t="n">
        <v>25</v>
      </c>
      <c r="E28" s="9" t="n"/>
      <c r="F28" s="9" t="n"/>
      <c r="G28" s="9" t="n"/>
      <c r="H28" s="9" t="n"/>
      <c r="I28" s="9" t="n">
        <v>10</v>
      </c>
      <c r="J28" s="9" t="inlineStr">
        <is>
          <t>No</t>
        </is>
      </c>
      <c r="K28" s="9" t="inlineStr">
        <is>
          <t>RED 25 CR</t>
        </is>
      </c>
      <c r="L28" s="9" t="n">
        <v>110007864</v>
      </c>
      <c r="M28" s="9" t="inlineStr">
        <is>
          <t>Sí</t>
        </is>
      </c>
    </row>
    <row r="29">
      <c r="A29" s="9" t="inlineStr">
        <is>
          <t>B HORMIGON 25MM 11M A630-420H (N)</t>
        </is>
      </c>
      <c r="B29" s="9" t="inlineStr">
        <is>
          <t>B Hormigón</t>
        </is>
      </c>
      <c r="C29" s="9" t="inlineStr">
        <is>
          <t>Ø25 mm · 11 m</t>
        </is>
      </c>
      <c r="D29" s="9" t="n">
        <v>25</v>
      </c>
      <c r="E29" s="9" t="n"/>
      <c r="F29" s="9" t="n"/>
      <c r="G29" s="9" t="n"/>
      <c r="H29" s="9" t="n"/>
      <c r="I29" s="9" t="n">
        <v>11</v>
      </c>
      <c r="J29" s="9" t="inlineStr">
        <is>
          <t>No</t>
        </is>
      </c>
      <c r="K29" s="9" t="inlineStr">
        <is>
          <t>RED 25 CR</t>
        </is>
      </c>
      <c r="L29" s="9" t="n">
        <v>110002947</v>
      </c>
      <c r="M29" s="9" t="inlineStr">
        <is>
          <t>Sí</t>
        </is>
      </c>
    </row>
    <row r="30">
      <c r="A30" s="9" t="inlineStr">
        <is>
          <t>B HORMIGON 25MM 11M A630-420HS (N)</t>
        </is>
      </c>
      <c r="B30" s="9" t="inlineStr">
        <is>
          <t>B Hormigón</t>
        </is>
      </c>
      <c r="C30" s="9" t="inlineStr">
        <is>
          <t>Ø25 mm · 11 m</t>
        </is>
      </c>
      <c r="D30" s="9" t="n">
        <v>25</v>
      </c>
      <c r="E30" s="9" t="n"/>
      <c r="F30" s="9" t="n"/>
      <c r="G30" s="9" t="n"/>
      <c r="H30" s="9" t="n"/>
      <c r="I30" s="9" t="n">
        <v>11</v>
      </c>
      <c r="J30" s="9" t="inlineStr">
        <is>
          <t>No</t>
        </is>
      </c>
      <c r="K30" s="9" t="inlineStr">
        <is>
          <t>RED 25 CR</t>
        </is>
      </c>
      <c r="L30" s="9" t="n">
        <v>110007414</v>
      </c>
      <c r="M30" s="9" t="inlineStr">
        <is>
          <t>Sí</t>
        </is>
      </c>
    </row>
    <row r="31">
      <c r="A31" s="9" t="inlineStr">
        <is>
          <t>B HORMIGON 25MM 12M A630-420H (N)</t>
        </is>
      </c>
      <c r="B31" s="9" t="inlineStr">
        <is>
          <t>B Hormigón</t>
        </is>
      </c>
      <c r="C31" s="9" t="inlineStr">
        <is>
          <t>Ø25 mm · 12 m</t>
        </is>
      </c>
      <c r="D31" s="9" t="n">
        <v>25</v>
      </c>
      <c r="E31" s="9" t="n"/>
      <c r="F31" s="9" t="n"/>
      <c r="G31" s="9" t="n"/>
      <c r="H31" s="9" t="n"/>
      <c r="I31" s="9" t="n">
        <v>12</v>
      </c>
      <c r="J31" s="9" t="inlineStr">
        <is>
          <t>No</t>
        </is>
      </c>
      <c r="K31" s="9" t="inlineStr">
        <is>
          <t>RED 25 CR</t>
        </is>
      </c>
      <c r="L31" s="9" t="n">
        <v>110002941</v>
      </c>
      <c r="M31" s="9" t="inlineStr">
        <is>
          <t>Sí</t>
        </is>
      </c>
    </row>
    <row r="32">
      <c r="A32" s="9" t="inlineStr">
        <is>
          <t>B HORMIGON 25MM 12M A630-420HS (N)</t>
        </is>
      </c>
      <c r="B32" s="9" t="inlineStr">
        <is>
          <t>B Hormigón</t>
        </is>
      </c>
      <c r="C32" s="9" t="inlineStr">
        <is>
          <t>Ø25 mm · 12 m</t>
        </is>
      </c>
      <c r="D32" s="9" t="n">
        <v>25</v>
      </c>
      <c r="E32" s="9" t="n"/>
      <c r="F32" s="9" t="n"/>
      <c r="G32" s="9" t="n"/>
      <c r="H32" s="9" t="n"/>
      <c r="I32" s="9" t="n">
        <v>12</v>
      </c>
      <c r="J32" s="9" t="inlineStr">
        <is>
          <t>No</t>
        </is>
      </c>
      <c r="K32" s="9" t="inlineStr">
        <is>
          <t>RED 25 CR</t>
        </is>
      </c>
      <c r="L32" s="9" t="n">
        <v>110007122</v>
      </c>
      <c r="M32" s="9" t="inlineStr">
        <is>
          <t>Sí</t>
        </is>
      </c>
    </row>
    <row r="33">
      <c r="A33" s="9" t="inlineStr">
        <is>
          <t>B HORMIGON 25MM 6M A630-420H (N)</t>
        </is>
      </c>
      <c r="B33" s="9" t="inlineStr">
        <is>
          <t>B Hormigón</t>
        </is>
      </c>
      <c r="C33" s="9" t="inlineStr">
        <is>
          <t>Ø25 mm · 6 m</t>
        </is>
      </c>
      <c r="D33" s="9" t="n">
        <v>25</v>
      </c>
      <c r="E33" s="9" t="n"/>
      <c r="F33" s="9" t="n"/>
      <c r="G33" s="9" t="n"/>
      <c r="H33" s="9" t="n"/>
      <c r="I33" s="9" t="n">
        <v>6</v>
      </c>
      <c r="J33" s="9" t="inlineStr">
        <is>
          <t>No</t>
        </is>
      </c>
      <c r="K33" s="9" t="inlineStr">
        <is>
          <t>RED 25 CR</t>
        </is>
      </c>
      <c r="L33" s="9" t="n">
        <v>110002923</v>
      </c>
      <c r="M33" s="9" t="inlineStr">
        <is>
          <t>Sí</t>
        </is>
      </c>
    </row>
    <row r="34">
      <c r="A34" s="9" t="inlineStr">
        <is>
          <t>B HORMIGON 25MM 7M A630-420H (N)</t>
        </is>
      </c>
      <c r="B34" s="9" t="inlineStr">
        <is>
          <t>B Hormigón</t>
        </is>
      </c>
      <c r="C34" s="9" t="inlineStr">
        <is>
          <t>Ø25 mm · 7 m</t>
        </is>
      </c>
      <c r="D34" s="9" t="n">
        <v>25</v>
      </c>
      <c r="E34" s="9" t="n"/>
      <c r="F34" s="9" t="n"/>
      <c r="G34" s="9" t="n"/>
      <c r="H34" s="9" t="n"/>
      <c r="I34" s="9" t="n">
        <v>7</v>
      </c>
      <c r="J34" s="9" t="inlineStr">
        <is>
          <t>No</t>
        </is>
      </c>
      <c r="K34" s="9" t="inlineStr">
        <is>
          <t>RED 25 CR</t>
        </is>
      </c>
      <c r="L34" s="9" t="n">
        <v>110002927</v>
      </c>
      <c r="M34" s="9" t="inlineStr">
        <is>
          <t>Sí</t>
        </is>
      </c>
    </row>
    <row r="35">
      <c r="A35" s="9" t="inlineStr">
        <is>
          <t>B HORMIGON 25MM 7M A630-420HS (N)</t>
        </is>
      </c>
      <c r="B35" s="9" t="inlineStr">
        <is>
          <t>B Hormigón</t>
        </is>
      </c>
      <c r="C35" s="9" t="inlineStr">
        <is>
          <t>Ø25 mm · 7 m</t>
        </is>
      </c>
      <c r="D35" s="9" t="n">
        <v>25</v>
      </c>
      <c r="E35" s="9" t="n"/>
      <c r="F35" s="9" t="n"/>
      <c r="G35" s="9" t="n"/>
      <c r="H35" s="9" t="n"/>
      <c r="I35" s="9" t="n">
        <v>7</v>
      </c>
      <c r="J35" s="9" t="inlineStr">
        <is>
          <t>No</t>
        </is>
      </c>
      <c r="K35" s="9" t="inlineStr">
        <is>
          <t>RED 25 CR</t>
        </is>
      </c>
      <c r="L35" s="9" t="n">
        <v>110007410</v>
      </c>
      <c r="M35" s="9" t="inlineStr">
        <is>
          <t>Sí</t>
        </is>
      </c>
    </row>
    <row r="36">
      <c r="A36" s="9" t="inlineStr">
        <is>
          <t>B HORMIGON 25MM 8M A630-420H (N)</t>
        </is>
      </c>
      <c r="B36" s="9" t="inlineStr">
        <is>
          <t>B Hormigón</t>
        </is>
      </c>
      <c r="C36" s="9" t="inlineStr">
        <is>
          <t>Ø25 mm · 8 m</t>
        </is>
      </c>
      <c r="D36" s="9" t="n">
        <v>25</v>
      </c>
      <c r="E36" s="9" t="n"/>
      <c r="F36" s="9" t="n"/>
      <c r="G36" s="9" t="n"/>
      <c r="H36" s="9" t="n"/>
      <c r="I36" s="9" t="n">
        <v>8</v>
      </c>
      <c r="J36" s="9" t="inlineStr">
        <is>
          <t>No</t>
        </is>
      </c>
      <c r="K36" s="9" t="inlineStr">
        <is>
          <t>RED 25 CR</t>
        </is>
      </c>
      <c r="L36" s="9" t="n">
        <v>110002921</v>
      </c>
      <c r="M36" s="9" t="inlineStr">
        <is>
          <t>Sí</t>
        </is>
      </c>
    </row>
    <row r="37">
      <c r="A37" s="9" t="inlineStr">
        <is>
          <t>B HORMIGON 25MM 9M A630-420H (N)</t>
        </is>
      </c>
      <c r="B37" s="9" t="inlineStr">
        <is>
          <t>B Hormigón</t>
        </is>
      </c>
      <c r="C37" s="9" t="inlineStr">
        <is>
          <t>Ø25 mm · 9 m</t>
        </is>
      </c>
      <c r="D37" s="9" t="n">
        <v>25</v>
      </c>
      <c r="E37" s="9" t="n"/>
      <c r="F37" s="9" t="n"/>
      <c r="G37" s="9" t="n"/>
      <c r="H37" s="9" t="n"/>
      <c r="I37" s="9" t="n">
        <v>9</v>
      </c>
      <c r="J37" s="9" t="inlineStr">
        <is>
          <t>No</t>
        </is>
      </c>
      <c r="K37" s="9" t="inlineStr">
        <is>
          <t>RED 25 CR</t>
        </is>
      </c>
      <c r="L37" s="9" t="n">
        <v>110002905</v>
      </c>
      <c r="M37" s="9" t="inlineStr">
        <is>
          <t>Sí</t>
        </is>
      </c>
    </row>
    <row r="38">
      <c r="A38" s="9" t="inlineStr">
        <is>
          <t>B HORMIGON 25MM 9M A630-420HS (N)</t>
        </is>
      </c>
      <c r="B38" s="9" t="inlineStr">
        <is>
          <t>B Hormigón</t>
        </is>
      </c>
      <c r="C38" s="9" t="inlineStr">
        <is>
          <t>Ø25 mm · 9 m</t>
        </is>
      </c>
      <c r="D38" s="9" t="n">
        <v>25</v>
      </c>
      <c r="E38" s="9" t="n"/>
      <c r="F38" s="9" t="n"/>
      <c r="G38" s="9" t="n"/>
      <c r="H38" s="9" t="n"/>
      <c r="I38" s="9" t="n">
        <v>9</v>
      </c>
      <c r="J38" s="9" t="inlineStr">
        <is>
          <t>No</t>
        </is>
      </c>
      <c r="K38" s="9" t="inlineStr">
        <is>
          <t>RED 25 CR</t>
        </is>
      </c>
      <c r="L38" s="9" t="n">
        <v>110007412</v>
      </c>
      <c r="M38" s="9" t="inlineStr">
        <is>
          <t>Sí</t>
        </is>
      </c>
    </row>
    <row r="39">
      <c r="A39" s="9" t="inlineStr">
        <is>
          <t>B HORMIGON 28MM 10M A630-420H (N)</t>
        </is>
      </c>
      <c r="B39" s="9" t="inlineStr">
        <is>
          <t>B Hormigón</t>
        </is>
      </c>
      <c r="C39" s="9" t="inlineStr">
        <is>
          <t>Ø28 mm · 10 m</t>
        </is>
      </c>
      <c r="D39" s="9" t="n">
        <v>28</v>
      </c>
      <c r="E39" s="9" t="n"/>
      <c r="F39" s="9" t="n"/>
      <c r="G39" s="9" t="n"/>
      <c r="H39" s="9" t="n"/>
      <c r="I39" s="9" t="n">
        <v>10</v>
      </c>
      <c r="J39" s="9" t="inlineStr">
        <is>
          <t>No</t>
        </is>
      </c>
      <c r="K39" s="9" t="inlineStr">
        <is>
          <t>RED 28 CR</t>
        </is>
      </c>
      <c r="L39" s="9" t="n">
        <v>110002892</v>
      </c>
      <c r="M39" s="9" t="inlineStr">
        <is>
          <t>Sí</t>
        </is>
      </c>
    </row>
    <row r="40">
      <c r="A40" s="9" t="inlineStr">
        <is>
          <t>B HORMIGON 28MM 11M A630-420H (N)</t>
        </is>
      </c>
      <c r="B40" s="9" t="inlineStr">
        <is>
          <t>B Hormigón</t>
        </is>
      </c>
      <c r="C40" s="9" t="inlineStr">
        <is>
          <t>Ø28 mm · 11 m</t>
        </is>
      </c>
      <c r="D40" s="9" t="n">
        <v>28</v>
      </c>
      <c r="E40" s="9" t="n"/>
      <c r="F40" s="9" t="n"/>
      <c r="G40" s="9" t="n"/>
      <c r="H40" s="9" t="n"/>
      <c r="I40" s="9" t="n">
        <v>11</v>
      </c>
      <c r="J40" s="9" t="inlineStr">
        <is>
          <t>No</t>
        </is>
      </c>
      <c r="K40" s="9" t="inlineStr">
        <is>
          <t>RED 28 CR</t>
        </is>
      </c>
      <c r="L40" s="9" t="n">
        <v>110002893</v>
      </c>
      <c r="M40" s="9" t="inlineStr">
        <is>
          <t>Sí</t>
        </is>
      </c>
    </row>
    <row r="41">
      <c r="A41" s="9" t="inlineStr">
        <is>
          <t>B HORMIGON 28MM 11M A630-420HS (N)</t>
        </is>
      </c>
      <c r="B41" s="9" t="inlineStr">
        <is>
          <t>B Hormigón</t>
        </is>
      </c>
      <c r="C41" s="9" t="inlineStr">
        <is>
          <t>Ø28 mm · 11 m</t>
        </is>
      </c>
      <c r="D41" s="9" t="n">
        <v>28</v>
      </c>
      <c r="E41" s="9" t="n"/>
      <c r="F41" s="9" t="n"/>
      <c r="G41" s="9" t="n"/>
      <c r="H41" s="9" t="n"/>
      <c r="I41" s="9" t="n">
        <v>11</v>
      </c>
      <c r="J41" s="9" t="inlineStr">
        <is>
          <t>No</t>
        </is>
      </c>
      <c r="K41" s="9" t="inlineStr">
        <is>
          <t>RED 28 CR</t>
        </is>
      </c>
      <c r="L41" s="9" t="n">
        <v>110007324</v>
      </c>
      <c r="M41" s="9" t="inlineStr">
        <is>
          <t>Sí</t>
        </is>
      </c>
    </row>
    <row r="42">
      <c r="A42" s="9" t="inlineStr">
        <is>
          <t>B HORMIGON 28MM 12M A630-420H (N)</t>
        </is>
      </c>
      <c r="B42" s="9" t="inlineStr">
        <is>
          <t>B Hormigón</t>
        </is>
      </c>
      <c r="C42" s="9" t="inlineStr">
        <is>
          <t>Ø28 mm · 12 m</t>
        </is>
      </c>
      <c r="D42" s="9" t="n">
        <v>28</v>
      </c>
      <c r="E42" s="9" t="n"/>
      <c r="F42" s="9" t="n"/>
      <c r="G42" s="9" t="n"/>
      <c r="H42" s="9" t="n"/>
      <c r="I42" s="9" t="n">
        <v>12</v>
      </c>
      <c r="J42" s="9" t="inlineStr">
        <is>
          <t>No</t>
        </is>
      </c>
      <c r="K42" s="9" t="inlineStr">
        <is>
          <t>RED 28 CR</t>
        </is>
      </c>
      <c r="L42" s="9" t="n">
        <v>110002894</v>
      </c>
      <c r="M42" s="9" t="inlineStr">
        <is>
          <t>Sí</t>
        </is>
      </c>
    </row>
    <row r="43">
      <c r="A43" s="9" t="inlineStr">
        <is>
          <t>B HORMIGON 28MM 12M A630-420HS (N)</t>
        </is>
      </c>
      <c r="B43" s="9" t="inlineStr">
        <is>
          <t>B Hormigón</t>
        </is>
      </c>
      <c r="C43" s="9" t="inlineStr">
        <is>
          <t>Ø28 mm · 12 m</t>
        </is>
      </c>
      <c r="D43" s="9" t="n">
        <v>28</v>
      </c>
      <c r="E43" s="9" t="n"/>
      <c r="F43" s="9" t="n"/>
      <c r="G43" s="9" t="n"/>
      <c r="H43" s="9" t="n"/>
      <c r="I43" s="9" t="n">
        <v>12</v>
      </c>
      <c r="J43" s="9" t="inlineStr">
        <is>
          <t>No</t>
        </is>
      </c>
      <c r="K43" s="9" t="inlineStr">
        <is>
          <t>RED 28 CR</t>
        </is>
      </c>
      <c r="L43" s="9" t="n">
        <v>110007133</v>
      </c>
      <c r="M43" s="9" t="inlineStr">
        <is>
          <t>Sí</t>
        </is>
      </c>
    </row>
    <row r="44">
      <c r="A44" s="9" t="inlineStr">
        <is>
          <t>B HORMIGON 28MM 6M A630-420H (N)</t>
        </is>
      </c>
      <c r="B44" s="9" t="inlineStr">
        <is>
          <t>B Hormigón</t>
        </is>
      </c>
      <c r="C44" s="9" t="inlineStr">
        <is>
          <t>Ø28 mm · 6 m</t>
        </is>
      </c>
      <c r="D44" s="9" t="n">
        <v>28</v>
      </c>
      <c r="E44" s="9" t="n"/>
      <c r="F44" s="9" t="n"/>
      <c r="G44" s="9" t="n"/>
      <c r="H44" s="9" t="n"/>
      <c r="I44" s="9" t="n">
        <v>6</v>
      </c>
      <c r="J44" s="9" t="inlineStr">
        <is>
          <t>No</t>
        </is>
      </c>
      <c r="K44" s="9" t="inlineStr">
        <is>
          <t>RED 28 CR</t>
        </is>
      </c>
      <c r="L44" s="9" t="n">
        <v>110002922</v>
      </c>
      <c r="M44" s="9" t="inlineStr">
        <is>
          <t>Sí</t>
        </is>
      </c>
    </row>
    <row r="45">
      <c r="A45" s="9" t="inlineStr">
        <is>
          <t>B HORMIGON 28MM 7M A630-420H (N)</t>
        </is>
      </c>
      <c r="B45" s="9" t="inlineStr">
        <is>
          <t>B Hormigón</t>
        </is>
      </c>
      <c r="C45" s="9" t="inlineStr">
        <is>
          <t>Ø28 mm · 7 m</t>
        </is>
      </c>
      <c r="D45" s="9" t="n">
        <v>28</v>
      </c>
      <c r="E45" s="9" t="n"/>
      <c r="F45" s="9" t="n"/>
      <c r="G45" s="9" t="n"/>
      <c r="H45" s="9" t="n"/>
      <c r="I45" s="9" t="n">
        <v>7</v>
      </c>
      <c r="J45" s="9" t="inlineStr">
        <is>
          <t>No</t>
        </is>
      </c>
      <c r="K45" s="9" t="inlineStr">
        <is>
          <t>RED 28 CR</t>
        </is>
      </c>
      <c r="L45" s="9" t="n">
        <v>110002895</v>
      </c>
      <c r="M45" s="9" t="inlineStr">
        <is>
          <t>Sí</t>
        </is>
      </c>
    </row>
    <row r="46">
      <c r="A46" s="9" t="inlineStr">
        <is>
          <t>B HORMIGON 28MM 7M A630-420HS (N)</t>
        </is>
      </c>
      <c r="B46" s="9" t="inlineStr">
        <is>
          <t>B Hormigón</t>
        </is>
      </c>
      <c r="C46" s="9" t="inlineStr">
        <is>
          <t>Ø28 mm · 7 m</t>
        </is>
      </c>
      <c r="D46" s="9" t="n">
        <v>28</v>
      </c>
      <c r="E46" s="9" t="n"/>
      <c r="F46" s="9" t="n"/>
      <c r="G46" s="9" t="n"/>
      <c r="H46" s="9" t="n"/>
      <c r="I46" s="9" t="n">
        <v>7</v>
      </c>
      <c r="J46" s="9" t="inlineStr">
        <is>
          <t>No</t>
        </is>
      </c>
      <c r="K46" s="9" t="inlineStr">
        <is>
          <t>RED 28 CR</t>
        </is>
      </c>
      <c r="L46" s="9" t="n">
        <v>110007327</v>
      </c>
      <c r="M46" s="9" t="inlineStr">
        <is>
          <t>Sí</t>
        </is>
      </c>
    </row>
    <row r="47">
      <c r="A47" s="9" t="inlineStr">
        <is>
          <t>B HORMIGON 28MM 8M A630-420H (N)</t>
        </is>
      </c>
      <c r="B47" s="9" t="inlineStr">
        <is>
          <t>B Hormigón</t>
        </is>
      </c>
      <c r="C47" s="9" t="inlineStr">
        <is>
          <t>Ø28 mm · 8 m</t>
        </is>
      </c>
      <c r="D47" s="9" t="n">
        <v>28</v>
      </c>
      <c r="E47" s="9" t="n"/>
      <c r="F47" s="9" t="n"/>
      <c r="G47" s="9" t="n"/>
      <c r="H47" s="9" t="n"/>
      <c r="I47" s="9" t="n">
        <v>8</v>
      </c>
      <c r="J47" s="9" t="inlineStr">
        <is>
          <t>No</t>
        </is>
      </c>
      <c r="K47" s="9" t="inlineStr">
        <is>
          <t>RED 28 CR</t>
        </is>
      </c>
      <c r="L47" s="9" t="n">
        <v>110002896</v>
      </c>
      <c r="M47" s="9" t="inlineStr">
        <is>
          <t>Sí</t>
        </is>
      </c>
    </row>
    <row r="48">
      <c r="A48" s="9" t="inlineStr">
        <is>
          <t>B HORMIGON 28MM 9M A630-420H (N)</t>
        </is>
      </c>
      <c r="B48" s="9" t="inlineStr">
        <is>
          <t>B Hormigón</t>
        </is>
      </c>
      <c r="C48" s="9" t="inlineStr">
        <is>
          <t>Ø28 mm · 9 m</t>
        </is>
      </c>
      <c r="D48" s="9" t="n">
        <v>28</v>
      </c>
      <c r="E48" s="9" t="n"/>
      <c r="F48" s="9" t="n"/>
      <c r="G48" s="9" t="n"/>
      <c r="H48" s="9" t="n"/>
      <c r="I48" s="9" t="n">
        <v>9</v>
      </c>
      <c r="J48" s="9" t="inlineStr">
        <is>
          <t>No</t>
        </is>
      </c>
      <c r="K48" s="9" t="inlineStr">
        <is>
          <t>RED 28 CR</t>
        </is>
      </c>
      <c r="L48" s="9" t="n">
        <v>110002897</v>
      </c>
      <c r="M48" s="9" t="inlineStr">
        <is>
          <t>Sí</t>
        </is>
      </c>
    </row>
    <row r="49">
      <c r="A49" s="9" t="inlineStr">
        <is>
          <t>B HORMIGON 32MM 10M A630-420H (N)</t>
        </is>
      </c>
      <c r="B49" s="9" t="inlineStr">
        <is>
          <t>B Hormigón</t>
        </is>
      </c>
      <c r="C49" s="9" t="inlineStr">
        <is>
          <t>Ø32 mm · 10 m</t>
        </is>
      </c>
      <c r="D49" s="9" t="n">
        <v>32</v>
      </c>
      <c r="E49" s="9" t="n"/>
      <c r="F49" s="9" t="n"/>
      <c r="G49" s="9" t="n"/>
      <c r="H49" s="9" t="n"/>
      <c r="I49" s="9" t="n">
        <v>10</v>
      </c>
      <c r="J49" s="9" t="inlineStr">
        <is>
          <t>No</t>
        </is>
      </c>
      <c r="K49" s="9" t="inlineStr">
        <is>
          <t>RED 32 CR</t>
        </is>
      </c>
      <c r="L49" s="9" t="n">
        <v>110002898</v>
      </c>
      <c r="M49" s="9" t="inlineStr">
        <is>
          <t>Sí</t>
        </is>
      </c>
    </row>
    <row r="50">
      <c r="A50" s="9" t="inlineStr">
        <is>
          <t>B HORMIGON 32MM 10M A630-420HS (N)</t>
        </is>
      </c>
      <c r="B50" s="9" t="inlineStr">
        <is>
          <t>B Hormigón</t>
        </is>
      </c>
      <c r="C50" s="9" t="inlineStr">
        <is>
          <t>Ø32 mm · 10 m</t>
        </is>
      </c>
      <c r="D50" s="9" t="n">
        <v>32</v>
      </c>
      <c r="E50" s="9" t="n"/>
      <c r="F50" s="9" t="n"/>
      <c r="G50" s="9" t="n"/>
      <c r="H50" s="9" t="n"/>
      <c r="I50" s="9" t="n">
        <v>10</v>
      </c>
      <c r="J50" s="9" t="inlineStr">
        <is>
          <t>No</t>
        </is>
      </c>
      <c r="K50" s="9" t="inlineStr">
        <is>
          <t>RED 32 CR</t>
        </is>
      </c>
      <c r="L50" s="9" t="n">
        <v>110007131</v>
      </c>
      <c r="M50" s="9" t="inlineStr">
        <is>
          <t>Sí</t>
        </is>
      </c>
    </row>
    <row r="51">
      <c r="A51" s="9" t="inlineStr">
        <is>
          <t>B HORMIGON 32MM 11M A630-420H (N)</t>
        </is>
      </c>
      <c r="B51" s="9" t="inlineStr">
        <is>
          <t>B Hormigón</t>
        </is>
      </c>
      <c r="C51" s="9" t="inlineStr">
        <is>
          <t>Ø32 mm · 11 m</t>
        </is>
      </c>
      <c r="D51" s="9" t="n">
        <v>32</v>
      </c>
      <c r="E51" s="9" t="n"/>
      <c r="F51" s="9" t="n"/>
      <c r="G51" s="9" t="n"/>
      <c r="H51" s="9" t="n"/>
      <c r="I51" s="9" t="n">
        <v>11</v>
      </c>
      <c r="J51" s="9" t="inlineStr">
        <is>
          <t>No</t>
        </is>
      </c>
      <c r="K51" s="9" t="inlineStr">
        <is>
          <t>RED 32 CR</t>
        </is>
      </c>
      <c r="L51" s="9" t="n">
        <v>110002899</v>
      </c>
      <c r="M51" s="9" t="inlineStr">
        <is>
          <t>Sí</t>
        </is>
      </c>
    </row>
    <row r="52">
      <c r="A52" s="9" t="inlineStr">
        <is>
          <t>B HORMIGON 32MM 11M A630-420HS (N)</t>
        </is>
      </c>
      <c r="B52" s="9" t="inlineStr">
        <is>
          <t>B Hormigón</t>
        </is>
      </c>
      <c r="C52" s="9" t="inlineStr">
        <is>
          <t>Ø32 mm · 11 m</t>
        </is>
      </c>
      <c r="D52" s="9" t="n">
        <v>32</v>
      </c>
      <c r="E52" s="9" t="n"/>
      <c r="F52" s="9" t="n"/>
      <c r="G52" s="9" t="n"/>
      <c r="H52" s="9" t="n"/>
      <c r="I52" s="9" t="n">
        <v>11</v>
      </c>
      <c r="J52" s="9" t="inlineStr">
        <is>
          <t>No</t>
        </is>
      </c>
      <c r="K52" s="9" t="inlineStr">
        <is>
          <t>RED 32 CR</t>
        </is>
      </c>
      <c r="L52" s="9" t="n">
        <v>110007132</v>
      </c>
      <c r="M52" s="9" t="inlineStr">
        <is>
          <t>Sí</t>
        </is>
      </c>
    </row>
    <row r="53">
      <c r="A53" s="9" t="inlineStr">
        <is>
          <t>B HORMIGON 32MM 12M A630-420H (N)</t>
        </is>
      </c>
      <c r="B53" s="9" t="inlineStr">
        <is>
          <t>B Hormigón</t>
        </is>
      </c>
      <c r="C53" s="9" t="inlineStr">
        <is>
          <t>Ø32 mm · 12 m</t>
        </is>
      </c>
      <c r="D53" s="9" t="n">
        <v>32</v>
      </c>
      <c r="E53" s="9" t="n"/>
      <c r="F53" s="9" t="n"/>
      <c r="G53" s="9" t="n"/>
      <c r="H53" s="9" t="n"/>
      <c r="I53" s="9" t="n">
        <v>12</v>
      </c>
      <c r="J53" s="9" t="inlineStr">
        <is>
          <t>No</t>
        </is>
      </c>
      <c r="K53" s="9" t="inlineStr">
        <is>
          <t>RED 32 CR</t>
        </is>
      </c>
      <c r="L53" s="9" t="n">
        <v>110002900</v>
      </c>
      <c r="M53" s="9" t="inlineStr">
        <is>
          <t>Sí</t>
        </is>
      </c>
    </row>
    <row r="54">
      <c r="A54" s="9" t="inlineStr">
        <is>
          <t>B HORMIGON 32MM 12M A630-420HS (N)</t>
        </is>
      </c>
      <c r="B54" s="9" t="inlineStr">
        <is>
          <t>B Hormigón</t>
        </is>
      </c>
      <c r="C54" s="9" t="inlineStr">
        <is>
          <t>Ø32 mm · 12 m</t>
        </is>
      </c>
      <c r="D54" s="9" t="n">
        <v>32</v>
      </c>
      <c r="E54" s="9" t="n"/>
      <c r="F54" s="9" t="n"/>
      <c r="G54" s="9" t="n"/>
      <c r="H54" s="9" t="n"/>
      <c r="I54" s="9" t="n">
        <v>12</v>
      </c>
      <c r="J54" s="9" t="inlineStr">
        <is>
          <t>No</t>
        </is>
      </c>
      <c r="K54" s="9" t="inlineStr">
        <is>
          <t>RED 32 CR</t>
        </is>
      </c>
      <c r="L54" s="9" t="n">
        <v>110005868</v>
      </c>
      <c r="M54" s="9" t="inlineStr">
        <is>
          <t>Sí</t>
        </is>
      </c>
    </row>
    <row r="55">
      <c r="A55" s="9" t="inlineStr">
        <is>
          <t>B HORMIGON 32MM 6M A630-420H (N)</t>
        </is>
      </c>
      <c r="B55" s="9" t="inlineStr">
        <is>
          <t>B Hormigón</t>
        </is>
      </c>
      <c r="C55" s="9" t="inlineStr">
        <is>
          <t>Ø32 mm · 6 m</t>
        </is>
      </c>
      <c r="D55" s="9" t="n">
        <v>32</v>
      </c>
      <c r="E55" s="9" t="n"/>
      <c r="F55" s="9" t="n"/>
      <c r="G55" s="9" t="n"/>
      <c r="H55" s="9" t="n"/>
      <c r="I55" s="9" t="n">
        <v>6</v>
      </c>
      <c r="J55" s="9" t="inlineStr">
        <is>
          <t>No</t>
        </is>
      </c>
      <c r="K55" s="9" t="inlineStr">
        <is>
          <t>RED 32 CR</t>
        </is>
      </c>
      <c r="L55" s="9" t="n">
        <v>110002901</v>
      </c>
      <c r="M55" s="9" t="inlineStr">
        <is>
          <t>Sí</t>
        </is>
      </c>
    </row>
    <row r="56">
      <c r="A56" s="9" t="inlineStr">
        <is>
          <t>B HORMIGON 32MM 7M A630-420H (N)</t>
        </is>
      </c>
      <c r="B56" s="9" t="inlineStr">
        <is>
          <t>B Hormigón</t>
        </is>
      </c>
      <c r="C56" s="9" t="inlineStr">
        <is>
          <t>Ø32 mm · 7 m</t>
        </is>
      </c>
      <c r="D56" s="9" t="n">
        <v>32</v>
      </c>
      <c r="E56" s="9" t="n"/>
      <c r="F56" s="9" t="n"/>
      <c r="G56" s="9" t="n"/>
      <c r="H56" s="9" t="n"/>
      <c r="I56" s="9" t="n">
        <v>7</v>
      </c>
      <c r="J56" s="9" t="inlineStr">
        <is>
          <t>No</t>
        </is>
      </c>
      <c r="K56" s="9" t="inlineStr">
        <is>
          <t>RED 32 CR</t>
        </is>
      </c>
      <c r="L56" s="9" t="n">
        <v>110002902</v>
      </c>
      <c r="M56" s="9" t="inlineStr">
        <is>
          <t>Sí</t>
        </is>
      </c>
    </row>
    <row r="57">
      <c r="A57" s="9" t="inlineStr">
        <is>
          <t>B HORMIGON 32MM 7M A630-420HS (N)</t>
        </is>
      </c>
      <c r="B57" s="9" t="inlineStr">
        <is>
          <t>B Hormigón</t>
        </is>
      </c>
      <c r="C57" s="9" t="inlineStr">
        <is>
          <t>Ø32 mm · 7 m</t>
        </is>
      </c>
      <c r="D57" s="9" t="n">
        <v>32</v>
      </c>
      <c r="E57" s="9" t="n"/>
      <c r="F57" s="9" t="n"/>
      <c r="G57" s="9" t="n"/>
      <c r="H57" s="9" t="n"/>
      <c r="I57" s="9" t="n">
        <v>7</v>
      </c>
      <c r="J57" s="9" t="inlineStr">
        <is>
          <t>No</t>
        </is>
      </c>
      <c r="K57" s="9" t="inlineStr">
        <is>
          <t>RED 32 CR</t>
        </is>
      </c>
      <c r="L57" s="9" t="n">
        <v>110007164</v>
      </c>
      <c r="M57" s="9" t="inlineStr">
        <is>
          <t>Sí</t>
        </is>
      </c>
    </row>
    <row r="58">
      <c r="A58" s="9" t="inlineStr">
        <is>
          <t>B HORMIGON 32MM 8M A630-420H (N)</t>
        </is>
      </c>
      <c r="B58" s="9" t="inlineStr">
        <is>
          <t>B Hormigón</t>
        </is>
      </c>
      <c r="C58" s="9" t="inlineStr">
        <is>
          <t>Ø32 mm · 8 m</t>
        </is>
      </c>
      <c r="D58" s="9" t="n">
        <v>32</v>
      </c>
      <c r="E58" s="9" t="n"/>
      <c r="F58" s="9" t="n"/>
      <c r="G58" s="9" t="n"/>
      <c r="H58" s="9" t="n"/>
      <c r="I58" s="9" t="n">
        <v>8</v>
      </c>
      <c r="J58" s="9" t="inlineStr">
        <is>
          <t>No</t>
        </is>
      </c>
      <c r="K58" s="9" t="inlineStr">
        <is>
          <t>RED 32 CR</t>
        </is>
      </c>
      <c r="L58" s="9" t="n">
        <v>110002903</v>
      </c>
      <c r="M58" s="9" t="inlineStr">
        <is>
          <t>Sí</t>
        </is>
      </c>
    </row>
    <row r="59">
      <c r="A59" s="9" t="inlineStr">
        <is>
          <t>B HORMIGON 32MM 9M A630-420H (N)</t>
        </is>
      </c>
      <c r="B59" s="9" t="inlineStr">
        <is>
          <t>B Hormigón</t>
        </is>
      </c>
      <c r="C59" s="9" t="inlineStr">
        <is>
          <t>Ø32 mm · 9 m</t>
        </is>
      </c>
      <c r="D59" s="9" t="n">
        <v>32</v>
      </c>
      <c r="E59" s="9" t="n"/>
      <c r="F59" s="9" t="n"/>
      <c r="G59" s="9" t="n"/>
      <c r="H59" s="9" t="n"/>
      <c r="I59" s="9" t="n">
        <v>9</v>
      </c>
      <c r="J59" s="9" t="inlineStr">
        <is>
          <t>No</t>
        </is>
      </c>
      <c r="K59" s="9" t="inlineStr">
        <is>
          <t>RED 32 CR</t>
        </is>
      </c>
      <c r="L59" s="9" t="n">
        <v>110002904</v>
      </c>
      <c r="M59" s="9" t="inlineStr">
        <is>
          <t>Sí</t>
        </is>
      </c>
    </row>
    <row r="60">
      <c r="A60" s="9" t="inlineStr">
        <is>
          <t>B HORMIGON 32MM 9M A630-420HS (N)</t>
        </is>
      </c>
      <c r="B60" s="9" t="inlineStr">
        <is>
          <t>B Hormigón</t>
        </is>
      </c>
      <c r="C60" s="9" t="inlineStr">
        <is>
          <t>Ø32 mm · 9 m</t>
        </is>
      </c>
      <c r="D60" s="9" t="n">
        <v>32</v>
      </c>
      <c r="E60" s="9" t="n"/>
      <c r="F60" s="9" t="n"/>
      <c r="G60" s="9" t="n"/>
      <c r="H60" s="9" t="n"/>
      <c r="I60" s="9" t="n">
        <v>9</v>
      </c>
      <c r="J60" s="9" t="inlineStr">
        <is>
          <t>No</t>
        </is>
      </c>
      <c r="K60" s="9" t="inlineStr">
        <is>
          <t>RED 32 CR</t>
        </is>
      </c>
      <c r="L60" s="9" t="n">
        <v>110007169</v>
      </c>
      <c r="M60" s="9" t="inlineStr">
        <is>
          <t>Sí</t>
        </is>
      </c>
    </row>
    <row r="61">
      <c r="A61" s="9" t="inlineStr">
        <is>
          <t>B HORMIGON 36MM 10M A630-420H (N)</t>
        </is>
      </c>
      <c r="B61" s="9" t="inlineStr">
        <is>
          <t>B Hormigón</t>
        </is>
      </c>
      <c r="C61" s="9" t="inlineStr">
        <is>
          <t>Ø36 mm · 10 m</t>
        </is>
      </c>
      <c r="D61" s="9" t="n">
        <v>36</v>
      </c>
      <c r="E61" s="9" t="n"/>
      <c r="F61" s="9" t="n"/>
      <c r="G61" s="9" t="n"/>
      <c r="H61" s="9" t="n"/>
      <c r="I61" s="9" t="n">
        <v>10</v>
      </c>
      <c r="J61" s="9" t="inlineStr">
        <is>
          <t>No</t>
        </is>
      </c>
      <c r="K61" s="9" t="inlineStr">
        <is>
          <t>RED 36 CR</t>
        </is>
      </c>
      <c r="L61" s="9" t="n">
        <v>110002906</v>
      </c>
      <c r="M61" s="9" t="inlineStr">
        <is>
          <t>Sí</t>
        </is>
      </c>
    </row>
    <row r="62">
      <c r="A62" s="9" t="inlineStr">
        <is>
          <t>B HORMIGON 36MM 11M A630-420H (N)</t>
        </is>
      </c>
      <c r="B62" s="9" t="inlineStr">
        <is>
          <t>B Hormigón</t>
        </is>
      </c>
      <c r="C62" s="9" t="inlineStr">
        <is>
          <t>Ø36 mm · 11 m</t>
        </is>
      </c>
      <c r="D62" s="9" t="n">
        <v>36</v>
      </c>
      <c r="E62" s="9" t="n"/>
      <c r="F62" s="9" t="n"/>
      <c r="G62" s="9" t="n"/>
      <c r="H62" s="9" t="n"/>
      <c r="I62" s="9" t="n">
        <v>11</v>
      </c>
      <c r="J62" s="9" t="inlineStr">
        <is>
          <t>No</t>
        </is>
      </c>
      <c r="K62" s="9" t="inlineStr">
        <is>
          <t>RED 36 CR</t>
        </is>
      </c>
      <c r="L62" s="9" t="n">
        <v>110002920</v>
      </c>
      <c r="M62" s="9" t="inlineStr">
        <is>
          <t>Sí</t>
        </is>
      </c>
    </row>
    <row r="63">
      <c r="A63" s="9" t="inlineStr">
        <is>
          <t>B HORMIGON 36MM 11M A630-420HS (N)</t>
        </is>
      </c>
      <c r="B63" s="9" t="inlineStr">
        <is>
          <t>B Hormigón</t>
        </is>
      </c>
      <c r="C63" s="9" t="inlineStr">
        <is>
          <t>Ø36 mm · 11 m</t>
        </is>
      </c>
      <c r="D63" s="9" t="n">
        <v>36</v>
      </c>
      <c r="E63" s="9" t="n"/>
      <c r="F63" s="9" t="n"/>
      <c r="G63" s="9" t="n"/>
      <c r="H63" s="9" t="n"/>
      <c r="I63" s="9" t="n">
        <v>11</v>
      </c>
      <c r="J63" s="9" t="inlineStr">
        <is>
          <t>No</t>
        </is>
      </c>
      <c r="K63" s="9" t="inlineStr">
        <is>
          <t>RED 36 CR</t>
        </is>
      </c>
      <c r="L63" s="9" t="n">
        <v>110007599</v>
      </c>
      <c r="M63" s="9" t="inlineStr">
        <is>
          <t>Sí</t>
        </is>
      </c>
    </row>
    <row r="64">
      <c r="A64" s="9" t="inlineStr">
        <is>
          <t>B HORMIGON 36MM 12M A630-420H (N)</t>
        </is>
      </c>
      <c r="B64" s="9" t="inlineStr">
        <is>
          <t>B Hormigón</t>
        </is>
      </c>
      <c r="C64" s="9" t="inlineStr">
        <is>
          <t>Ø36 mm · 12 m</t>
        </is>
      </c>
      <c r="D64" s="9" t="n">
        <v>36</v>
      </c>
      <c r="E64" s="9" t="n"/>
      <c r="F64" s="9" t="n"/>
      <c r="G64" s="9" t="n"/>
      <c r="H64" s="9" t="n"/>
      <c r="I64" s="9" t="n">
        <v>12</v>
      </c>
      <c r="J64" s="9" t="inlineStr">
        <is>
          <t>No</t>
        </is>
      </c>
      <c r="K64" s="9" t="inlineStr">
        <is>
          <t>RED 36 CR</t>
        </is>
      </c>
      <c r="L64" s="9" t="n">
        <v>110002907</v>
      </c>
      <c r="M64" s="9" t="inlineStr">
        <is>
          <t>Sí</t>
        </is>
      </c>
    </row>
    <row r="65">
      <c r="A65" s="9" t="inlineStr">
        <is>
          <t>B HORMIGON 36MM 12M A630-420HS (N)</t>
        </is>
      </c>
      <c r="B65" s="9" t="inlineStr">
        <is>
          <t>B Hormigón</t>
        </is>
      </c>
      <c r="C65" s="9" t="inlineStr">
        <is>
          <t>Ø36 mm · 12 m</t>
        </is>
      </c>
      <c r="D65" s="9" t="n">
        <v>36</v>
      </c>
      <c r="E65" s="9" t="n"/>
      <c r="F65" s="9" t="n"/>
      <c r="G65" s="9" t="n"/>
      <c r="H65" s="9" t="n"/>
      <c r="I65" s="9" t="n">
        <v>12</v>
      </c>
      <c r="J65" s="9" t="inlineStr">
        <is>
          <t>No</t>
        </is>
      </c>
      <c r="K65" s="9" t="inlineStr">
        <is>
          <t>RED 36 CR</t>
        </is>
      </c>
      <c r="L65" s="9" t="n">
        <v>110007600</v>
      </c>
      <c r="M65" s="9" t="inlineStr">
        <is>
          <t>Sí</t>
        </is>
      </c>
    </row>
    <row r="66">
      <c r="A66" s="9" t="inlineStr">
        <is>
          <t>B HORMIGON 36MM 6M A630-420H (N)</t>
        </is>
      </c>
      <c r="B66" s="9" t="inlineStr">
        <is>
          <t>B Hormigón</t>
        </is>
      </c>
      <c r="C66" s="9" t="inlineStr">
        <is>
          <t>Ø36 mm · 6 m</t>
        </is>
      </c>
      <c r="D66" s="9" t="n">
        <v>36</v>
      </c>
      <c r="E66" s="9" t="n"/>
      <c r="F66" s="9" t="n"/>
      <c r="G66" s="9" t="n"/>
      <c r="H66" s="9" t="n"/>
      <c r="I66" s="9" t="n">
        <v>6</v>
      </c>
      <c r="J66" s="9" t="inlineStr">
        <is>
          <t>No</t>
        </is>
      </c>
      <c r="K66" s="9" t="inlineStr">
        <is>
          <t>RED 36 CR</t>
        </is>
      </c>
      <c r="L66" s="9" t="n">
        <v>110002919</v>
      </c>
      <c r="M66" s="9" t="inlineStr">
        <is>
          <t>Sí</t>
        </is>
      </c>
    </row>
    <row r="67">
      <c r="A67" s="9" t="inlineStr">
        <is>
          <t>B HORMIGON 36MM 7M A630-420H (N)</t>
        </is>
      </c>
      <c r="B67" s="9" t="inlineStr">
        <is>
          <t>B Hormigón</t>
        </is>
      </c>
      <c r="C67" s="9" t="inlineStr">
        <is>
          <t>Ø36 mm · 7 m</t>
        </is>
      </c>
      <c r="D67" s="9" t="n">
        <v>36</v>
      </c>
      <c r="E67" s="9" t="n"/>
      <c r="F67" s="9" t="n"/>
      <c r="G67" s="9" t="n"/>
      <c r="H67" s="9" t="n"/>
      <c r="I67" s="9" t="n">
        <v>7</v>
      </c>
      <c r="J67" s="9" t="inlineStr">
        <is>
          <t>No</t>
        </is>
      </c>
      <c r="K67" s="9" t="inlineStr">
        <is>
          <t>RED 36 CR</t>
        </is>
      </c>
      <c r="L67" s="9" t="n">
        <v>110002908</v>
      </c>
      <c r="M67" s="9" t="inlineStr">
        <is>
          <t>Sí</t>
        </is>
      </c>
    </row>
    <row r="68">
      <c r="A68" s="9" t="inlineStr">
        <is>
          <t>B HORMIGON 36MM 8M A630-420HS (N)</t>
        </is>
      </c>
      <c r="B68" s="9" t="inlineStr">
        <is>
          <t>B Hormigón</t>
        </is>
      </c>
      <c r="C68" s="9" t="inlineStr">
        <is>
          <t>Ø36 mm · 8 m</t>
        </is>
      </c>
      <c r="D68" s="9" t="n">
        <v>36</v>
      </c>
      <c r="E68" s="9" t="n"/>
      <c r="F68" s="9" t="n"/>
      <c r="G68" s="9" t="n"/>
      <c r="H68" s="9" t="n"/>
      <c r="I68" s="9" t="n">
        <v>8</v>
      </c>
      <c r="J68" s="9" t="inlineStr">
        <is>
          <t>No</t>
        </is>
      </c>
      <c r="K68" s="9" t="inlineStr">
        <is>
          <t>RED 36 CR</t>
        </is>
      </c>
      <c r="L68" s="9" t="n">
        <v>110007603</v>
      </c>
      <c r="M68" s="9" t="inlineStr">
        <is>
          <t>Sí</t>
        </is>
      </c>
    </row>
    <row r="69">
      <c r="A69" s="9" t="inlineStr">
        <is>
          <t>B HORMIGON 36MM 9M A630-420H (N)</t>
        </is>
      </c>
      <c r="B69" s="9" t="inlineStr">
        <is>
          <t>B Hormigón</t>
        </is>
      </c>
      <c r="C69" s="9" t="inlineStr">
        <is>
          <t>Ø36 mm · 9 m</t>
        </is>
      </c>
      <c r="D69" s="9" t="n">
        <v>36</v>
      </c>
      <c r="E69" s="9" t="n"/>
      <c r="F69" s="9" t="n"/>
      <c r="G69" s="9" t="n"/>
      <c r="H69" s="9" t="n"/>
      <c r="I69" s="9" t="n">
        <v>9</v>
      </c>
      <c r="J69" s="9" t="inlineStr">
        <is>
          <t>No</t>
        </is>
      </c>
      <c r="K69" s="9" t="inlineStr">
        <is>
          <t>RED 36 CR</t>
        </is>
      </c>
      <c r="L69" s="9" t="n">
        <v>110002910</v>
      </c>
      <c r="M69" s="9" t="inlineStr">
        <is>
          <t>Sí</t>
        </is>
      </c>
    </row>
    <row r="70">
      <c r="A70" s="9" t="inlineStr">
        <is>
          <t>B HORMIGON 36MM 9M A630-420HS (N)</t>
        </is>
      </c>
      <c r="B70" s="9" t="inlineStr">
        <is>
          <t>B Hormigón</t>
        </is>
      </c>
      <c r="C70" s="9" t="inlineStr">
        <is>
          <t>Ø36 mm · 9 m</t>
        </is>
      </c>
      <c r="D70" s="9" t="n">
        <v>36</v>
      </c>
      <c r="E70" s="9" t="n"/>
      <c r="F70" s="9" t="n"/>
      <c r="G70" s="9" t="n"/>
      <c r="H70" s="9" t="n"/>
      <c r="I70" s="9" t="n">
        <v>9</v>
      </c>
      <c r="J70" s="9" t="inlineStr">
        <is>
          <t>No</t>
        </is>
      </c>
      <c r="K70" s="9" t="inlineStr">
        <is>
          <t>RED 36 CR</t>
        </is>
      </c>
      <c r="L70" s="9" t="n">
        <v>110007602</v>
      </c>
      <c r="M70" s="9" t="inlineStr">
        <is>
          <t>Sí</t>
        </is>
      </c>
    </row>
    <row r="71">
      <c r="A71" s="9" t="inlineStr">
        <is>
          <t>B HORMIGON R 25MM 12M A630-420HS(N)</t>
        </is>
      </c>
      <c r="B71" s="9" t="inlineStr">
        <is>
          <t>B Hormigón</t>
        </is>
      </c>
      <c r="C71" s="9" t="inlineStr">
        <is>
          <t>Ø25 mm · 12 m</t>
        </is>
      </c>
      <c r="D71" s="9" t="n">
        <v>25</v>
      </c>
      <c r="E71" s="9" t="n"/>
      <c r="F71" s="9" t="n"/>
      <c r="G71" s="9" t="n"/>
      <c r="H71" s="9" t="n"/>
      <c r="I71" s="9" t="n">
        <v>12</v>
      </c>
      <c r="J71" s="9" t="inlineStr">
        <is>
          <t>No</t>
        </is>
      </c>
      <c r="K71" s="9" t="inlineStr">
        <is>
          <t>RED 25 CR</t>
        </is>
      </c>
      <c r="L71" s="9" t="n">
        <v>119506789</v>
      </c>
      <c r="M71" s="9" t="inlineStr">
        <is>
          <t>Sí</t>
        </is>
      </c>
    </row>
    <row r="72">
      <c r="A72" s="9" t="inlineStr">
        <is>
          <t>B HORMIGON R 28MM 12M A630-420H (N)</t>
        </is>
      </c>
      <c r="B72" s="9" t="inlineStr">
        <is>
          <t>B Hormigón</t>
        </is>
      </c>
      <c r="C72" s="9" t="inlineStr">
        <is>
          <t>Ø28 mm · 12 m</t>
        </is>
      </c>
      <c r="D72" s="9" t="n">
        <v>28</v>
      </c>
      <c r="E72" s="9" t="n"/>
      <c r="F72" s="9" t="n"/>
      <c r="G72" s="9" t="n"/>
      <c r="H72" s="9" t="n"/>
      <c r="I72" s="9" t="n">
        <v>12</v>
      </c>
      <c r="J72" s="9" t="inlineStr">
        <is>
          <t>No</t>
        </is>
      </c>
      <c r="K72" s="9" t="inlineStr">
        <is>
          <t>RED 28 CR</t>
        </is>
      </c>
      <c r="L72" s="9" t="n">
        <v>119506608</v>
      </c>
      <c r="M72" s="9" t="inlineStr">
        <is>
          <t>Sí</t>
        </is>
      </c>
    </row>
    <row r="73">
      <c r="A73" s="9" t="inlineStr">
        <is>
          <t>B HORMIGON R 32MM 12M A630-420HS (N)</t>
        </is>
      </c>
      <c r="B73" s="9" t="inlineStr">
        <is>
          <t>B Hormigón</t>
        </is>
      </c>
      <c r="C73" s="9" t="inlineStr">
        <is>
          <t>Ø32 mm · 12 m</t>
        </is>
      </c>
      <c r="D73" s="9" t="n">
        <v>32</v>
      </c>
      <c r="E73" s="9" t="n"/>
      <c r="F73" s="9" t="n"/>
      <c r="G73" s="9" t="n"/>
      <c r="H73" s="9" t="n"/>
      <c r="I73" s="9" t="n">
        <v>12</v>
      </c>
      <c r="J73" s="9" t="inlineStr">
        <is>
          <t>No</t>
        </is>
      </c>
      <c r="K73" s="9" t="n"/>
      <c r="L73" s="9" t="n"/>
      <c r="M73" s="9" t="inlineStr">
        <is>
          <t>No</t>
        </is>
      </c>
    </row>
    <row r="74">
      <c r="A74" s="9" t="inlineStr">
        <is>
          <t>BARRA TRASPASO CARGA 22MM 6,2M A630-420H</t>
        </is>
      </c>
      <c r="B74" s="9" t="inlineStr">
        <is>
          <t>Redondo liso</t>
        </is>
      </c>
      <c r="C74" s="9" t="inlineStr">
        <is>
          <t>Ø22 mm · 6,2 m</t>
        </is>
      </c>
      <c r="D74" s="9" t="n">
        <v>22</v>
      </c>
      <c r="E74" s="9" t="n"/>
      <c r="F74" s="9" t="n"/>
      <c r="G74" s="9" t="n"/>
      <c r="H74" s="9" t="n"/>
      <c r="I74" s="9" t="n">
        <v>6.2</v>
      </c>
      <c r="J74" s="9" t="inlineStr">
        <is>
          <t>No</t>
        </is>
      </c>
      <c r="K74" s="9" t="inlineStr">
        <is>
          <t>RED 7/8</t>
        </is>
      </c>
      <c r="L74" s="9" t="n">
        <v>119506107</v>
      </c>
      <c r="M74" s="9" t="inlineStr">
        <is>
          <t>Sí</t>
        </is>
      </c>
    </row>
    <row r="75">
      <c r="A75" s="9" t="inlineStr">
        <is>
          <t>BARRA TRASPASO CARGA 25MM 6,2M A630-420H</t>
        </is>
      </c>
      <c r="B75" s="9" t="inlineStr">
        <is>
          <t>Redondo liso</t>
        </is>
      </c>
      <c r="C75" s="9" t="inlineStr">
        <is>
          <t>Ø25 mm · 6,2 m</t>
        </is>
      </c>
      <c r="D75" s="9" t="n">
        <v>25</v>
      </c>
      <c r="E75" s="9" t="n"/>
      <c r="F75" s="9" t="n"/>
      <c r="G75" s="9" t="n"/>
      <c r="H75" s="9" t="n"/>
      <c r="I75" s="9" t="n">
        <v>6.2</v>
      </c>
      <c r="J75" s="9" t="inlineStr">
        <is>
          <t>No</t>
        </is>
      </c>
      <c r="K75" s="9" t="inlineStr">
        <is>
          <t>RED 1</t>
        </is>
      </c>
      <c r="L75" s="9" t="n">
        <v>119507277</v>
      </c>
      <c r="M75" s="9" t="inlineStr">
        <is>
          <t>Sí</t>
        </is>
      </c>
    </row>
    <row r="76">
      <c r="A76" s="9" t="inlineStr">
        <is>
          <t>BARRA TRASPASO CARGA 32MM 6,2M A630-420H</t>
        </is>
      </c>
      <c r="B76" s="9" t="inlineStr">
        <is>
          <t>Redondo liso</t>
        </is>
      </c>
      <c r="C76" s="9" t="inlineStr">
        <is>
          <t>Ø32 mm · 6 m</t>
        </is>
      </c>
      <c r="D76" s="9" t="n">
        <v>32</v>
      </c>
      <c r="E76" s="9" t="n"/>
      <c r="F76" s="9" t="n"/>
      <c r="G76" s="9" t="n"/>
      <c r="H76" s="9" t="n"/>
      <c r="I76" s="9" t="n">
        <v>6</v>
      </c>
      <c r="J76" s="9" t="inlineStr">
        <is>
          <t>No</t>
        </is>
      </c>
      <c r="K76" s="9" t="inlineStr">
        <is>
          <t>RED 1,1/4</t>
        </is>
      </c>
      <c r="L76" s="9" t="n">
        <v>119506110</v>
      </c>
      <c r="M76" s="9" t="inlineStr">
        <is>
          <t>Sí</t>
        </is>
      </c>
    </row>
    <row r="77">
      <c r="A77" s="9" t="inlineStr">
        <is>
          <t>REDONDO LISO 1 1/2' 6M ASTM A 36 (N)</t>
        </is>
      </c>
      <c r="B77" s="9" t="inlineStr">
        <is>
          <t>Redondo liso</t>
        </is>
      </c>
      <c r="C77" s="9" t="inlineStr">
        <is>
          <t>Ø38,1 mm · 6 m</t>
        </is>
      </c>
      <c r="D77" s="9" t="n">
        <v>38.1</v>
      </c>
      <c r="E77" s="9" t="n"/>
      <c r="F77" s="9" t="n"/>
      <c r="G77" s="9" t="n"/>
      <c r="H77" s="9" t="inlineStr">
        <is>
          <t>1 1/2"</t>
        </is>
      </c>
      <c r="I77" s="9" t="n">
        <v>6</v>
      </c>
      <c r="J77" s="9" t="inlineStr">
        <is>
          <t>No</t>
        </is>
      </c>
      <c r="K77" s="9" t="inlineStr">
        <is>
          <t>RED 1,1/2</t>
        </is>
      </c>
      <c r="L77" s="9" t="n">
        <v>109006963</v>
      </c>
      <c r="M77" s="9" t="inlineStr">
        <is>
          <t>Sí</t>
        </is>
      </c>
    </row>
    <row r="78">
      <c r="A78" s="9" t="inlineStr">
        <is>
          <t>REDONDO LISO 1 1/2' 6M SAE 1020 (N)</t>
        </is>
      </c>
      <c r="B78" s="9" t="inlineStr">
        <is>
          <t>Redondo liso</t>
        </is>
      </c>
      <c r="C78" s="9" t="inlineStr">
        <is>
          <t>Ø38,1 mm · 6 m</t>
        </is>
      </c>
      <c r="D78" s="9" t="n">
        <v>38.1</v>
      </c>
      <c r="E78" s="9" t="n"/>
      <c r="F78" s="9" t="n"/>
      <c r="G78" s="9" t="n"/>
      <c r="H78" s="9" t="inlineStr">
        <is>
          <t>1 1/2"</t>
        </is>
      </c>
      <c r="I78" s="9" t="n">
        <v>6</v>
      </c>
      <c r="J78" s="9" t="inlineStr">
        <is>
          <t>No</t>
        </is>
      </c>
      <c r="K78" s="9" t="inlineStr">
        <is>
          <t>RED 1,1/2</t>
        </is>
      </c>
      <c r="L78" s="9" t="n">
        <v>109006908</v>
      </c>
      <c r="M78" s="9" t="inlineStr">
        <is>
          <t>Sí</t>
        </is>
      </c>
    </row>
    <row r="79">
      <c r="A79" s="9" t="inlineStr">
        <is>
          <t>REDONDO LISO 1 1/2' 6M SAE 1045 (N)</t>
        </is>
      </c>
      <c r="B79" s="9" t="inlineStr">
        <is>
          <t>Redondo liso</t>
        </is>
      </c>
      <c r="C79" s="9" t="inlineStr">
        <is>
          <t>Ø38,1 mm · 6 m</t>
        </is>
      </c>
      <c r="D79" s="9" t="n">
        <v>38.1</v>
      </c>
      <c r="E79" s="9" t="n"/>
      <c r="F79" s="9" t="n"/>
      <c r="G79" s="9" t="n"/>
      <c r="H79" s="9" t="inlineStr">
        <is>
          <t>1 1/2"</t>
        </is>
      </c>
      <c r="I79" s="9" t="n">
        <v>6</v>
      </c>
      <c r="J79" s="9" t="inlineStr">
        <is>
          <t>No</t>
        </is>
      </c>
      <c r="K79" s="9" t="inlineStr">
        <is>
          <t>RED 1,1/2</t>
        </is>
      </c>
      <c r="L79" s="9" t="n">
        <v>109006885</v>
      </c>
      <c r="M79" s="9" t="inlineStr">
        <is>
          <t>Sí</t>
        </is>
      </c>
    </row>
    <row r="80">
      <c r="A80" s="9" t="inlineStr">
        <is>
          <t>REDONDO LISO 1 1/4' 6M A615 GR60(P)</t>
        </is>
      </c>
      <c r="B80" s="9" t="inlineStr">
        <is>
          <t>Redondo liso</t>
        </is>
      </c>
      <c r="C80" s="9" t="inlineStr">
        <is>
          <t>Ø31,8 mm · 6 m</t>
        </is>
      </c>
      <c r="D80" s="9" t="n">
        <v>31.8</v>
      </c>
      <c r="E80" s="9" t="n"/>
      <c r="F80" s="9" t="n"/>
      <c r="G80" s="9" t="n"/>
      <c r="H80" s="9" t="inlineStr">
        <is>
          <t>1 1/4"</t>
        </is>
      </c>
      <c r="I80" s="9" t="n">
        <v>6</v>
      </c>
      <c r="J80" s="9" t="inlineStr">
        <is>
          <t>No</t>
        </is>
      </c>
      <c r="K80" s="9" t="inlineStr">
        <is>
          <t>RED 1,1/4</t>
        </is>
      </c>
      <c r="L80" s="9" t="n">
        <v>119502541</v>
      </c>
      <c r="M80" s="9" t="inlineStr">
        <is>
          <t>Sí</t>
        </is>
      </c>
    </row>
    <row r="81">
      <c r="A81" s="9" t="inlineStr">
        <is>
          <t>REDONDO LISO 1 1/4' 6M ASTM A 36 (N)</t>
        </is>
      </c>
      <c r="B81" s="9" t="inlineStr">
        <is>
          <t>Redondo liso</t>
        </is>
      </c>
      <c r="C81" s="9" t="inlineStr">
        <is>
          <t>Ø31,8 mm · 6 m</t>
        </is>
      </c>
      <c r="D81" s="9" t="n">
        <v>31.8</v>
      </c>
      <c r="E81" s="9" t="n"/>
      <c r="F81" s="9" t="n"/>
      <c r="G81" s="9" t="n"/>
      <c r="H81" s="9" t="inlineStr">
        <is>
          <t>1 1/4"</t>
        </is>
      </c>
      <c r="I81" s="9" t="n">
        <v>6</v>
      </c>
      <c r="J81" s="9" t="inlineStr">
        <is>
          <t>No</t>
        </is>
      </c>
      <c r="K81" s="9" t="inlineStr">
        <is>
          <t>RED 1,1/4</t>
        </is>
      </c>
      <c r="L81" s="9" t="n">
        <v>109006933</v>
      </c>
      <c r="M81" s="9" t="inlineStr">
        <is>
          <t>Sí</t>
        </is>
      </c>
    </row>
    <row r="82">
      <c r="A82" s="9" t="inlineStr">
        <is>
          <t>REDONDO LISO 1 1/4' 6M SAE 1020 (N)</t>
        </is>
      </c>
      <c r="B82" s="9" t="inlineStr">
        <is>
          <t>Redondo liso</t>
        </is>
      </c>
      <c r="C82" s="9" t="inlineStr">
        <is>
          <t>Ø31,8 mm · 6 m</t>
        </is>
      </c>
      <c r="D82" s="9" t="n">
        <v>31.8</v>
      </c>
      <c r="E82" s="9" t="n"/>
      <c r="F82" s="9" t="n"/>
      <c r="G82" s="9" t="n"/>
      <c r="H82" s="9" t="inlineStr">
        <is>
          <t>1 1/4"</t>
        </is>
      </c>
      <c r="I82" s="9" t="n">
        <v>6</v>
      </c>
      <c r="J82" s="9" t="inlineStr">
        <is>
          <t>No</t>
        </is>
      </c>
      <c r="K82" s="9" t="inlineStr">
        <is>
          <t>RED 1,1/4</t>
        </is>
      </c>
      <c r="L82" s="9" t="n">
        <v>109006898</v>
      </c>
      <c r="M82" s="9" t="inlineStr">
        <is>
          <t>Sí</t>
        </is>
      </c>
    </row>
    <row r="83">
      <c r="A83" s="9" t="inlineStr">
        <is>
          <t>REDONDO LISO 1 1/4' 6M SAE 1045 (N)</t>
        </is>
      </c>
      <c r="B83" s="9" t="inlineStr">
        <is>
          <t>Redondo liso</t>
        </is>
      </c>
      <c r="C83" s="9" t="inlineStr">
        <is>
          <t>Ø31,8 mm · 6 m</t>
        </is>
      </c>
      <c r="D83" s="9" t="n">
        <v>31.8</v>
      </c>
      <c r="E83" s="9" t="n"/>
      <c r="F83" s="9" t="n"/>
      <c r="G83" s="9" t="n"/>
      <c r="H83" s="9" t="inlineStr">
        <is>
          <t>1 1/4"</t>
        </is>
      </c>
      <c r="I83" s="9" t="n">
        <v>6</v>
      </c>
      <c r="J83" s="9" t="inlineStr">
        <is>
          <t>No</t>
        </is>
      </c>
      <c r="K83" s="9" t="inlineStr">
        <is>
          <t>RED 1,1/4</t>
        </is>
      </c>
      <c r="L83" s="9" t="n">
        <v>109006873</v>
      </c>
      <c r="M83" s="9" t="inlineStr">
        <is>
          <t>Sí</t>
        </is>
      </c>
    </row>
    <row r="84">
      <c r="A84" s="9" t="inlineStr">
        <is>
          <t>REDONDO LISO 1 1/8' 6M ASTM A 36 (N)</t>
        </is>
      </c>
      <c r="B84" s="9" t="inlineStr">
        <is>
          <t>Redondo liso</t>
        </is>
      </c>
      <c r="C84" s="9" t="inlineStr">
        <is>
          <t>Ø28,6 mm · 6 m</t>
        </is>
      </c>
      <c r="D84" s="9" t="n">
        <v>28.6</v>
      </c>
      <c r="E84" s="9" t="n"/>
      <c r="F84" s="9" t="n"/>
      <c r="G84" s="9" t="n"/>
      <c r="H84" s="9" t="inlineStr">
        <is>
          <t>1 1/8"</t>
        </is>
      </c>
      <c r="I84" s="9" t="n">
        <v>6</v>
      </c>
      <c r="J84" s="9" t="inlineStr">
        <is>
          <t>No</t>
        </is>
      </c>
      <c r="K84" s="9" t="inlineStr">
        <is>
          <t>RED 1,1/8L</t>
        </is>
      </c>
      <c r="L84" s="9" t="n">
        <v>109006932</v>
      </c>
      <c r="M84" s="9" t="inlineStr">
        <is>
          <t>Sí</t>
        </is>
      </c>
    </row>
    <row r="85">
      <c r="A85" s="9" t="inlineStr">
        <is>
          <t>REDONDO LISO 1 1/8' 6M SAE 1020 (N)</t>
        </is>
      </c>
      <c r="B85" s="9" t="inlineStr">
        <is>
          <t>Redondo liso</t>
        </is>
      </c>
      <c r="C85" s="9" t="inlineStr">
        <is>
          <t>Ø28,6 mm · 6 m</t>
        </is>
      </c>
      <c r="D85" s="9" t="n">
        <v>28.6</v>
      </c>
      <c r="E85" s="9" t="n"/>
      <c r="F85" s="9" t="n"/>
      <c r="G85" s="9" t="n"/>
      <c r="H85" s="9" t="inlineStr">
        <is>
          <t>1 1/8"</t>
        </is>
      </c>
      <c r="I85" s="9" t="n">
        <v>6</v>
      </c>
      <c r="J85" s="9" t="inlineStr">
        <is>
          <t>No</t>
        </is>
      </c>
      <c r="K85" s="9" t="inlineStr">
        <is>
          <t>RED 1,1/8L</t>
        </is>
      </c>
      <c r="L85" s="9" t="n">
        <v>109006905</v>
      </c>
      <c r="M85" s="9" t="inlineStr">
        <is>
          <t>Sí</t>
        </is>
      </c>
    </row>
    <row r="86">
      <c r="A86" s="9" t="inlineStr">
        <is>
          <t>REDONDO LISO 1 3/4' 6M A36 (N)</t>
        </is>
      </c>
      <c r="B86" s="9" t="inlineStr">
        <is>
          <t>Redondo liso</t>
        </is>
      </c>
      <c r="C86" s="9" t="inlineStr">
        <is>
          <t>Ø44,4 mm · 6 m</t>
        </is>
      </c>
      <c r="D86" s="9" t="n">
        <v>44.4</v>
      </c>
      <c r="E86" s="9" t="n"/>
      <c r="F86" s="9" t="n"/>
      <c r="G86" s="9" t="n"/>
      <c r="H86" s="9" t="inlineStr">
        <is>
          <t>1 3/4"</t>
        </is>
      </c>
      <c r="I86" s="9" t="n">
        <v>6</v>
      </c>
      <c r="J86" s="9" t="inlineStr">
        <is>
          <t>No</t>
        </is>
      </c>
      <c r="K86" s="9" t="inlineStr">
        <is>
          <t>RL 1,3/4</t>
        </is>
      </c>
      <c r="L86" s="9" t="n">
        <v>119502538</v>
      </c>
      <c r="M86" s="9" t="inlineStr">
        <is>
          <t>Sí</t>
        </is>
      </c>
    </row>
    <row r="87">
      <c r="A87" s="9" t="inlineStr">
        <is>
          <t>REDONDO LISO 1 3/4' 6M SAE 1020 (N)</t>
        </is>
      </c>
      <c r="B87" s="9" t="inlineStr">
        <is>
          <t>Redondo liso</t>
        </is>
      </c>
      <c r="C87" s="9" t="inlineStr">
        <is>
          <t>Ø44,4 mm · 6 m</t>
        </is>
      </c>
      <c r="D87" s="9" t="n">
        <v>44.4</v>
      </c>
      <c r="E87" s="9" t="n"/>
      <c r="F87" s="9" t="n"/>
      <c r="G87" s="9" t="n"/>
      <c r="H87" s="9" t="inlineStr">
        <is>
          <t>1 3/4"</t>
        </is>
      </c>
      <c r="I87" s="9" t="n">
        <v>6</v>
      </c>
      <c r="J87" s="9" t="inlineStr">
        <is>
          <t>No</t>
        </is>
      </c>
      <c r="K87" s="9" t="inlineStr">
        <is>
          <t>RL 1,3/4</t>
        </is>
      </c>
      <c r="L87" s="9" t="n">
        <v>109006938</v>
      </c>
      <c r="M87" s="9" t="inlineStr">
        <is>
          <t>Sí</t>
        </is>
      </c>
    </row>
    <row r="88">
      <c r="A88" s="9" t="inlineStr">
        <is>
          <t>REDONDO LISO 1 3/4' 6M SAE 1045 (N)</t>
        </is>
      </c>
      <c r="B88" s="9" t="inlineStr">
        <is>
          <t>Redondo liso</t>
        </is>
      </c>
      <c r="C88" s="9" t="inlineStr">
        <is>
          <t>Ø44,4 mm · 6 m</t>
        </is>
      </c>
      <c r="D88" s="9" t="n">
        <v>44.4</v>
      </c>
      <c r="E88" s="9" t="n"/>
      <c r="F88" s="9" t="n"/>
      <c r="G88" s="9" t="n"/>
      <c r="H88" s="9" t="inlineStr">
        <is>
          <t>1 3/4"</t>
        </is>
      </c>
      <c r="I88" s="9" t="n">
        <v>6</v>
      </c>
      <c r="J88" s="9" t="inlineStr">
        <is>
          <t>No</t>
        </is>
      </c>
      <c r="K88" s="9" t="inlineStr">
        <is>
          <t>RL 1,3/4</t>
        </is>
      </c>
      <c r="L88" s="9" t="n">
        <v>119502537</v>
      </c>
      <c r="M88" s="9" t="inlineStr">
        <is>
          <t>Sí</t>
        </is>
      </c>
    </row>
    <row r="89">
      <c r="A89" s="9" t="inlineStr">
        <is>
          <t>REDONDO LISO 1 3/8'' 6M SAE 1020 (N)</t>
        </is>
      </c>
      <c r="B89" s="9" t="inlineStr">
        <is>
          <t>Redondo liso</t>
        </is>
      </c>
      <c r="C89" s="9" t="inlineStr">
        <is>
          <t>Ø34,9 mm · 6 m</t>
        </is>
      </c>
      <c r="D89" s="9" t="n">
        <v>34.9</v>
      </c>
      <c r="E89" s="9" t="n"/>
      <c r="F89" s="9" t="n"/>
      <c r="G89" s="9" t="n"/>
      <c r="H89" s="9" t="inlineStr">
        <is>
          <t>1 3/8"</t>
        </is>
      </c>
      <c r="I89" s="9" t="n">
        <v>6</v>
      </c>
      <c r="J89" s="9" t="inlineStr">
        <is>
          <t>No</t>
        </is>
      </c>
      <c r="K89" s="9" t="inlineStr">
        <is>
          <t>RL 1,3/8</t>
        </is>
      </c>
      <c r="L89" s="9" t="n">
        <v>119502803</v>
      </c>
      <c r="M89" s="9" t="inlineStr">
        <is>
          <t>Sí</t>
        </is>
      </c>
    </row>
    <row r="90">
      <c r="A90" s="9" t="inlineStr">
        <is>
          <t>REDONDO LISO 1' 6M A615 GR60(P)</t>
        </is>
      </c>
      <c r="B90" s="9" t="inlineStr">
        <is>
          <t>Redondo liso</t>
        </is>
      </c>
      <c r="C90" s="9" t="inlineStr">
        <is>
          <t>Ø25,4 mm · 6 m</t>
        </is>
      </c>
      <c r="D90" s="9" t="n">
        <v>25.4</v>
      </c>
      <c r="E90" s="9" t="n"/>
      <c r="F90" s="9" t="n"/>
      <c r="G90" s="9" t="n"/>
      <c r="H90" s="9" t="inlineStr">
        <is>
          <t>1"</t>
        </is>
      </c>
      <c r="I90" s="9" t="n">
        <v>6</v>
      </c>
      <c r="J90" s="9" t="inlineStr">
        <is>
          <t>No</t>
        </is>
      </c>
      <c r="K90" s="9" t="n"/>
      <c r="L90" s="9" t="n"/>
      <c r="M90" s="9" t="inlineStr">
        <is>
          <t>No</t>
        </is>
      </c>
    </row>
    <row r="91">
      <c r="A91" s="9" t="inlineStr">
        <is>
          <t>REDONDO LISO 1' 6M ASTM A 36 (N)</t>
        </is>
      </c>
      <c r="B91" s="9" t="inlineStr">
        <is>
          <t>Redondo liso</t>
        </is>
      </c>
      <c r="C91" s="9" t="inlineStr">
        <is>
          <t>Ø25,4 mm · 6 m</t>
        </is>
      </c>
      <c r="D91" s="9" t="n">
        <v>25.4</v>
      </c>
      <c r="E91" s="9" t="n"/>
      <c r="F91" s="9" t="n"/>
      <c r="G91" s="9" t="n"/>
      <c r="H91" s="9" t="inlineStr">
        <is>
          <t>1"</t>
        </is>
      </c>
      <c r="I91" s="9" t="n">
        <v>6</v>
      </c>
      <c r="J91" s="9" t="inlineStr">
        <is>
          <t>No</t>
        </is>
      </c>
      <c r="K91" s="9" t="inlineStr">
        <is>
          <t>RED 1</t>
        </is>
      </c>
      <c r="L91" s="9" t="n">
        <v>109006880</v>
      </c>
      <c r="M91" s="9" t="inlineStr">
        <is>
          <t>Sí</t>
        </is>
      </c>
    </row>
    <row r="92">
      <c r="A92" s="9" t="inlineStr">
        <is>
          <t>REDONDO LISO 1' 6M SAE 1020 (N)</t>
        </is>
      </c>
      <c r="B92" s="9" t="inlineStr">
        <is>
          <t>Redondo liso</t>
        </is>
      </c>
      <c r="C92" s="9" t="inlineStr">
        <is>
          <t>Ø25,4 mm · 6 m</t>
        </is>
      </c>
      <c r="D92" s="9" t="n">
        <v>25.4</v>
      </c>
      <c r="E92" s="9" t="n"/>
      <c r="F92" s="9" t="n"/>
      <c r="G92" s="9" t="n"/>
      <c r="H92" s="9" t="inlineStr">
        <is>
          <t>1"</t>
        </is>
      </c>
      <c r="I92" s="9" t="n">
        <v>6</v>
      </c>
      <c r="J92" s="9" t="inlineStr">
        <is>
          <t>No</t>
        </is>
      </c>
      <c r="K92" s="9" t="inlineStr">
        <is>
          <t>RED 1</t>
        </is>
      </c>
      <c r="L92" s="9" t="n">
        <v>109006911</v>
      </c>
      <c r="M92" s="9" t="inlineStr">
        <is>
          <t>Sí</t>
        </is>
      </c>
    </row>
    <row r="93">
      <c r="A93" s="9" t="inlineStr">
        <is>
          <t>REDONDO LISO 1' 6M SAE 1045 (N)</t>
        </is>
      </c>
      <c r="B93" s="9" t="inlineStr">
        <is>
          <t>Redondo liso</t>
        </is>
      </c>
      <c r="C93" s="9" t="inlineStr">
        <is>
          <t>Ø25,4 mm · 6 m</t>
        </is>
      </c>
      <c r="D93" s="9" t="n">
        <v>25.4</v>
      </c>
      <c r="E93" s="9" t="n"/>
      <c r="F93" s="9" t="n"/>
      <c r="G93" s="9" t="n"/>
      <c r="H93" s="9" t="inlineStr">
        <is>
          <t>1"</t>
        </is>
      </c>
      <c r="I93" s="9" t="n">
        <v>6</v>
      </c>
      <c r="J93" s="9" t="inlineStr">
        <is>
          <t>No</t>
        </is>
      </c>
      <c r="K93" s="9" t="inlineStr">
        <is>
          <t>RED 1</t>
        </is>
      </c>
      <c r="L93" s="9" t="n">
        <v>109006875</v>
      </c>
      <c r="M93" s="9" t="inlineStr">
        <is>
          <t>Sí</t>
        </is>
      </c>
    </row>
    <row r="94">
      <c r="A94" s="9" t="inlineStr">
        <is>
          <t>REDONDO LISO 1/2' 6M ASTM A 36 (N)</t>
        </is>
      </c>
      <c r="B94" s="9" t="inlineStr">
        <is>
          <t>Redondo liso</t>
        </is>
      </c>
      <c r="C94" s="9" t="inlineStr">
        <is>
          <t>Ø12,7 mm · 6 m</t>
        </is>
      </c>
      <c r="D94" s="9" t="n">
        <v>12.7</v>
      </c>
      <c r="E94" s="9" t="n"/>
      <c r="F94" s="9" t="n"/>
      <c r="G94" s="9" t="n"/>
      <c r="H94" s="9" t="inlineStr">
        <is>
          <t>1/2"</t>
        </is>
      </c>
      <c r="I94" s="9" t="n">
        <v>6</v>
      </c>
      <c r="J94" s="9" t="inlineStr">
        <is>
          <t>No</t>
        </is>
      </c>
      <c r="K94" s="9" t="inlineStr">
        <is>
          <t>RED 1/2"</t>
        </is>
      </c>
      <c r="L94" s="9" t="n">
        <v>109006907</v>
      </c>
      <c r="M94" s="9" t="inlineStr">
        <is>
          <t>Sí</t>
        </is>
      </c>
    </row>
    <row r="95">
      <c r="A95" s="9" t="inlineStr">
        <is>
          <t>REDONDO LISO 1/2' 6M SAE 1020 (N)</t>
        </is>
      </c>
      <c r="B95" s="9" t="inlineStr">
        <is>
          <t>Redondo liso</t>
        </is>
      </c>
      <c r="C95" s="9" t="inlineStr">
        <is>
          <t>Ø12,7 mm · 6 m</t>
        </is>
      </c>
      <c r="D95" s="9" t="n">
        <v>12.7</v>
      </c>
      <c r="E95" s="9" t="n"/>
      <c r="F95" s="9" t="n"/>
      <c r="G95" s="9" t="n"/>
      <c r="H95" s="9" t="inlineStr">
        <is>
          <t>1/2"</t>
        </is>
      </c>
      <c r="I95" s="9" t="n">
        <v>6</v>
      </c>
      <c r="J95" s="9" t="inlineStr">
        <is>
          <t>No</t>
        </is>
      </c>
      <c r="K95" s="9" t="inlineStr">
        <is>
          <t>RED 1/2"</t>
        </is>
      </c>
      <c r="L95" s="9" t="n">
        <v>109006915</v>
      </c>
      <c r="M95" s="9" t="inlineStr">
        <is>
          <t>Sí</t>
        </is>
      </c>
    </row>
    <row r="96">
      <c r="A96" s="9" t="inlineStr">
        <is>
          <t>REDONDO LISO 1/2' 6M SAE 1045 (N)</t>
        </is>
      </c>
      <c r="B96" s="9" t="inlineStr">
        <is>
          <t>Redondo liso</t>
        </is>
      </c>
      <c r="C96" s="9" t="inlineStr">
        <is>
          <t>Ø12,7 mm · 6 m</t>
        </is>
      </c>
      <c r="D96" s="9" t="n">
        <v>12.7</v>
      </c>
      <c r="E96" s="9" t="n"/>
      <c r="F96" s="9" t="n"/>
      <c r="G96" s="9" t="n"/>
      <c r="H96" s="9" t="inlineStr">
        <is>
          <t>1/2"</t>
        </is>
      </c>
      <c r="I96" s="9" t="n">
        <v>6</v>
      </c>
      <c r="J96" s="9" t="inlineStr">
        <is>
          <t>No</t>
        </is>
      </c>
      <c r="K96" s="9" t="inlineStr">
        <is>
          <t>RED 1/2"</t>
        </is>
      </c>
      <c r="L96" s="9" t="n">
        <v>109006879</v>
      </c>
      <c r="M96" s="9" t="inlineStr">
        <is>
          <t>Sí</t>
        </is>
      </c>
    </row>
    <row r="97">
      <c r="A97" s="9" t="inlineStr">
        <is>
          <t>REDONDO LISO 12MM 6M SAE 1020 (N)</t>
        </is>
      </c>
      <c r="B97" s="9" t="inlineStr">
        <is>
          <t>Redondo liso</t>
        </is>
      </c>
      <c r="C97" s="9" t="inlineStr">
        <is>
          <t>Ø12 mm · 6 m</t>
        </is>
      </c>
      <c r="D97" s="9" t="n">
        <v>12</v>
      </c>
      <c r="E97" s="9" t="n"/>
      <c r="F97" s="9" t="n"/>
      <c r="G97" s="9" t="n"/>
      <c r="H97" s="9" t="n"/>
      <c r="I97" s="9" t="n">
        <v>6</v>
      </c>
      <c r="J97" s="9" t="inlineStr">
        <is>
          <t>No</t>
        </is>
      </c>
      <c r="K97" s="9" t="inlineStr">
        <is>
          <t>RED 12</t>
        </is>
      </c>
      <c r="L97" s="9" t="n">
        <v>109007067</v>
      </c>
      <c r="M97" s="9" t="inlineStr">
        <is>
          <t>Sí</t>
        </is>
      </c>
    </row>
    <row r="98">
      <c r="A98" s="9" t="inlineStr">
        <is>
          <t>REDONDO LISO 16MM 6M SAE 1020 (N)</t>
        </is>
      </c>
      <c r="B98" s="9" t="inlineStr">
        <is>
          <t>Redondo liso</t>
        </is>
      </c>
      <c r="C98" s="9" t="inlineStr">
        <is>
          <t>Ø16 mm · 6 m</t>
        </is>
      </c>
      <c r="D98" s="9" t="n">
        <v>16</v>
      </c>
      <c r="E98" s="9" t="n"/>
      <c r="F98" s="9" t="n"/>
      <c r="G98" s="9" t="n"/>
      <c r="H98" s="9" t="n"/>
      <c r="I98" s="9" t="n">
        <v>6</v>
      </c>
      <c r="J98" s="9" t="inlineStr">
        <is>
          <t>No</t>
        </is>
      </c>
      <c r="K98" s="9" t="inlineStr">
        <is>
          <t>RED 16</t>
        </is>
      </c>
      <c r="L98" s="9" t="n">
        <v>119502683</v>
      </c>
      <c r="M98" s="9" t="inlineStr">
        <is>
          <t>Sí</t>
        </is>
      </c>
    </row>
    <row r="99">
      <c r="A99" s="9" t="inlineStr">
        <is>
          <t>REDONDO LISO 18MM 6M SAE 1020 (N)</t>
        </is>
      </c>
      <c r="B99" s="9" t="inlineStr">
        <is>
          <t>Redondo liso</t>
        </is>
      </c>
      <c r="C99" s="9" t="inlineStr">
        <is>
          <t>Ø18 mm · 6 m</t>
        </is>
      </c>
      <c r="D99" s="9" t="n">
        <v>18</v>
      </c>
      <c r="E99" s="9" t="n"/>
      <c r="F99" s="9" t="n"/>
      <c r="G99" s="9" t="n"/>
      <c r="H99" s="9" t="n"/>
      <c r="I99" s="9" t="n">
        <v>6</v>
      </c>
      <c r="J99" s="9" t="inlineStr">
        <is>
          <t>No</t>
        </is>
      </c>
      <c r="K99" s="9" t="inlineStr">
        <is>
          <t>RED 18</t>
        </is>
      </c>
      <c r="L99" s="9" t="n">
        <v>109006919</v>
      </c>
      <c r="M99" s="9" t="inlineStr">
        <is>
          <t>Sí</t>
        </is>
      </c>
    </row>
    <row r="100">
      <c r="A100" s="9" t="inlineStr">
        <is>
          <t>REDONDO LISO 19MM 6M SAE 1020 (N)</t>
        </is>
      </c>
      <c r="B100" s="9" t="inlineStr">
        <is>
          <t>Redondo liso</t>
        </is>
      </c>
      <c r="C100" s="9" t="inlineStr">
        <is>
          <t>Ø19 mm · 6 m</t>
        </is>
      </c>
      <c r="D100" s="9" t="n">
        <v>19</v>
      </c>
      <c r="E100" s="9" t="n"/>
      <c r="F100" s="9" t="n"/>
      <c r="G100" s="9" t="n"/>
      <c r="H100" s="9" t="n"/>
      <c r="I100" s="9" t="n">
        <v>6</v>
      </c>
      <c r="J100" s="9" t="inlineStr">
        <is>
          <t>No</t>
        </is>
      </c>
      <c r="K100" s="9" t="inlineStr">
        <is>
          <t>RED 19</t>
        </is>
      </c>
      <c r="L100" s="9" t="n">
        <v>109006918</v>
      </c>
      <c r="M100" s="9" t="inlineStr">
        <is>
          <t>Sí</t>
        </is>
      </c>
    </row>
    <row r="101">
      <c r="A101" s="9" t="inlineStr">
        <is>
          <t>REDONDO LISO 3/4' 6M ASTM A 36 (N)</t>
        </is>
      </c>
      <c r="B101" s="9" t="inlineStr">
        <is>
          <t>Redondo liso</t>
        </is>
      </c>
      <c r="C101" s="9" t="inlineStr">
        <is>
          <t>Ø19 mm · 6 m</t>
        </is>
      </c>
      <c r="D101" s="9" t="n">
        <v>19</v>
      </c>
      <c r="E101" s="9" t="n"/>
      <c r="F101" s="9" t="n"/>
      <c r="G101" s="9" t="n"/>
      <c r="H101" s="9" t="inlineStr">
        <is>
          <t>3/4"</t>
        </is>
      </c>
      <c r="I101" s="9" t="n">
        <v>6</v>
      </c>
      <c r="J101" s="9" t="inlineStr">
        <is>
          <t>No</t>
        </is>
      </c>
      <c r="K101" s="9" t="inlineStr">
        <is>
          <t>RED 19</t>
        </is>
      </c>
      <c r="L101" s="9" t="n">
        <v>109006937</v>
      </c>
      <c r="M101" s="9" t="inlineStr">
        <is>
          <t>Sí</t>
        </is>
      </c>
    </row>
    <row r="102">
      <c r="A102" s="9" t="inlineStr">
        <is>
          <t>REDONDO LISO 3/4' 6M SAE 1020 (N)</t>
        </is>
      </c>
      <c r="B102" s="9" t="inlineStr">
        <is>
          <t>Redondo liso</t>
        </is>
      </c>
      <c r="C102" s="9" t="inlineStr">
        <is>
          <t>Ø19 mm · 6 m</t>
        </is>
      </c>
      <c r="D102" s="9" t="n">
        <v>19</v>
      </c>
      <c r="E102" s="9" t="n"/>
      <c r="F102" s="9" t="n"/>
      <c r="G102" s="9" t="n"/>
      <c r="H102" s="9" t="inlineStr">
        <is>
          <t>3/4"</t>
        </is>
      </c>
      <c r="I102" s="9" t="n">
        <v>6</v>
      </c>
      <c r="J102" s="9" t="inlineStr">
        <is>
          <t>No</t>
        </is>
      </c>
      <c r="K102" s="9" t="inlineStr">
        <is>
          <t>RED 19</t>
        </is>
      </c>
      <c r="L102" s="9" t="n">
        <v>109006926</v>
      </c>
      <c r="M102" s="9" t="inlineStr">
        <is>
          <t>Sí</t>
        </is>
      </c>
    </row>
    <row r="103">
      <c r="A103" s="9" t="inlineStr">
        <is>
          <t>REDONDO LISO 3/4' 6M SAE 1045 (N)</t>
        </is>
      </c>
      <c r="B103" s="9" t="inlineStr">
        <is>
          <t>Redondo liso</t>
        </is>
      </c>
      <c r="C103" s="9" t="inlineStr">
        <is>
          <t>Ø19 mm · 6 m</t>
        </is>
      </c>
      <c r="D103" s="9" t="n">
        <v>19</v>
      </c>
      <c r="E103" s="9" t="n"/>
      <c r="F103" s="9" t="n"/>
      <c r="G103" s="9" t="n"/>
      <c r="H103" s="9" t="inlineStr">
        <is>
          <t>3/4"</t>
        </is>
      </c>
      <c r="I103" s="9" t="n">
        <v>6</v>
      </c>
      <c r="J103" s="9" t="inlineStr">
        <is>
          <t>No</t>
        </is>
      </c>
      <c r="K103" s="9" t="inlineStr">
        <is>
          <t>RED 19</t>
        </is>
      </c>
      <c r="L103" s="9" t="n">
        <v>109006877</v>
      </c>
      <c r="M103" s="9" t="inlineStr">
        <is>
          <t>Sí</t>
        </is>
      </c>
    </row>
    <row r="104">
      <c r="A104" s="9" t="inlineStr">
        <is>
          <t>REDONDO LISO 5/8' 6M ASTM A 36 (N)</t>
        </is>
      </c>
      <c r="B104" s="9" t="inlineStr">
        <is>
          <t>Redondo liso</t>
        </is>
      </c>
      <c r="C104" s="9" t="inlineStr">
        <is>
          <t>Ø15,9 mm · 6 m</t>
        </is>
      </c>
      <c r="D104" s="9" t="n">
        <v>15.9</v>
      </c>
      <c r="E104" s="9" t="n"/>
      <c r="F104" s="9" t="n"/>
      <c r="G104" s="9" t="n"/>
      <c r="H104" s="9" t="inlineStr">
        <is>
          <t>5/8"</t>
        </is>
      </c>
      <c r="I104" s="9" t="n">
        <v>6</v>
      </c>
      <c r="J104" s="9" t="inlineStr">
        <is>
          <t>No</t>
        </is>
      </c>
      <c r="K104" s="9" t="inlineStr">
        <is>
          <t>RED 16</t>
        </is>
      </c>
      <c r="L104" s="9" t="n">
        <v>109006935</v>
      </c>
      <c r="M104" s="9" t="inlineStr">
        <is>
          <t>Sí</t>
        </is>
      </c>
    </row>
    <row r="105">
      <c r="A105" s="9" t="inlineStr">
        <is>
          <t>REDONDO LISO 5/8' 6M SAE 1020 (N)</t>
        </is>
      </c>
      <c r="B105" s="9" t="inlineStr">
        <is>
          <t>Redondo liso</t>
        </is>
      </c>
      <c r="C105" s="9" t="inlineStr">
        <is>
          <t>Ø15,9 mm · 6 m</t>
        </is>
      </c>
      <c r="D105" s="9" t="n">
        <v>15.9</v>
      </c>
      <c r="E105" s="9" t="n"/>
      <c r="F105" s="9" t="n"/>
      <c r="G105" s="9" t="n"/>
      <c r="H105" s="9" t="inlineStr">
        <is>
          <t>5/8"</t>
        </is>
      </c>
      <c r="I105" s="9" t="n">
        <v>6</v>
      </c>
      <c r="J105" s="9" t="inlineStr">
        <is>
          <t>No</t>
        </is>
      </c>
      <c r="K105" s="9" t="inlineStr">
        <is>
          <t>RED 16</t>
        </is>
      </c>
      <c r="L105" s="9" t="n">
        <v>109006913</v>
      </c>
      <c r="M105" s="9" t="inlineStr">
        <is>
          <t>Sí</t>
        </is>
      </c>
    </row>
    <row r="106">
      <c r="A106" s="9" t="inlineStr">
        <is>
          <t>REDONDO LISO 5/8' 6M SAE 1045 (N)</t>
        </is>
      </c>
      <c r="B106" s="9" t="inlineStr">
        <is>
          <t>Redondo liso</t>
        </is>
      </c>
      <c r="C106" s="9" t="inlineStr">
        <is>
          <t>Ø15,9 mm · 6 m</t>
        </is>
      </c>
      <c r="D106" s="9" t="n">
        <v>15.9</v>
      </c>
      <c r="E106" s="9" t="n"/>
      <c r="F106" s="9" t="n"/>
      <c r="G106" s="9" t="n"/>
      <c r="H106" s="9" t="inlineStr">
        <is>
          <t>5/8"</t>
        </is>
      </c>
      <c r="I106" s="9" t="n">
        <v>6</v>
      </c>
      <c r="J106" s="9" t="inlineStr">
        <is>
          <t>No</t>
        </is>
      </c>
      <c r="K106" s="9" t="inlineStr">
        <is>
          <t>RED 16</t>
        </is>
      </c>
      <c r="L106" s="9" t="n">
        <v>109006878</v>
      </c>
      <c r="M106" s="9" t="inlineStr">
        <is>
          <t>Sí</t>
        </is>
      </c>
    </row>
    <row r="107">
      <c r="A107" s="9" t="inlineStr">
        <is>
          <t>REDONDO LISO 7/8' 6M ASTM A 36 (N)</t>
        </is>
      </c>
      <c r="B107" s="9" t="inlineStr">
        <is>
          <t>Redondo liso</t>
        </is>
      </c>
      <c r="C107" s="9" t="inlineStr">
        <is>
          <t>Ø22,2 mm · 6 m</t>
        </is>
      </c>
      <c r="D107" s="9" t="n">
        <v>22.2</v>
      </c>
      <c r="E107" s="9" t="n"/>
      <c r="F107" s="9" t="n"/>
      <c r="G107" s="9" t="n"/>
      <c r="H107" s="9" t="inlineStr">
        <is>
          <t>7/8"</t>
        </is>
      </c>
      <c r="I107" s="9" t="n">
        <v>6</v>
      </c>
      <c r="J107" s="9" t="inlineStr">
        <is>
          <t>No</t>
        </is>
      </c>
      <c r="K107" s="9" t="inlineStr">
        <is>
          <t>RED 7/8</t>
        </is>
      </c>
      <c r="L107" s="9" t="n">
        <v>109006936</v>
      </c>
      <c r="M107" s="9" t="inlineStr">
        <is>
          <t>Sí</t>
        </is>
      </c>
    </row>
    <row r="108">
      <c r="A108" s="9" t="inlineStr">
        <is>
          <t>REDONDO LISO 7/8' 6M SAE 1020 (N)</t>
        </is>
      </c>
      <c r="B108" s="9" t="inlineStr">
        <is>
          <t>Redondo liso</t>
        </is>
      </c>
      <c r="C108" s="9" t="inlineStr">
        <is>
          <t>Ø22,2 mm · 6 m</t>
        </is>
      </c>
      <c r="D108" s="9" t="n">
        <v>22.2</v>
      </c>
      <c r="E108" s="9" t="n"/>
      <c r="F108" s="9" t="n"/>
      <c r="G108" s="9" t="n"/>
      <c r="H108" s="9" t="inlineStr">
        <is>
          <t>7/8"</t>
        </is>
      </c>
      <c r="I108" s="9" t="n">
        <v>6</v>
      </c>
      <c r="J108" s="9" t="inlineStr">
        <is>
          <t>No</t>
        </is>
      </c>
      <c r="K108" s="9" t="inlineStr">
        <is>
          <t>RED 7/8</t>
        </is>
      </c>
      <c r="L108" s="9" t="n">
        <v>109006912</v>
      </c>
      <c r="M108" s="9" t="inlineStr">
        <is>
          <t>Sí</t>
        </is>
      </c>
    </row>
    <row r="109">
      <c r="A109" s="9" t="inlineStr">
        <is>
          <t>REDONDO LISO 7/8' 6M SAE 1045 (N)</t>
        </is>
      </c>
      <c r="B109" s="9" t="inlineStr">
        <is>
          <t>Redondo liso</t>
        </is>
      </c>
      <c r="C109" s="9" t="inlineStr">
        <is>
          <t>Ø22,2 mm · 6 m</t>
        </is>
      </c>
      <c r="D109" s="9" t="n">
        <v>22.2</v>
      </c>
      <c r="E109" s="9" t="n"/>
      <c r="F109" s="9" t="n"/>
      <c r="G109" s="9" t="n"/>
      <c r="H109" s="9" t="inlineStr">
        <is>
          <t>7/8"</t>
        </is>
      </c>
      <c r="I109" s="9" t="n">
        <v>6</v>
      </c>
      <c r="J109" s="9" t="inlineStr">
        <is>
          <t>No</t>
        </is>
      </c>
      <c r="K109" s="9" t="inlineStr">
        <is>
          <t>RED 7/8</t>
        </is>
      </c>
      <c r="L109" s="9" t="n">
        <v>109006876</v>
      </c>
      <c r="M109" s="9" t="inlineStr">
        <is>
          <t>Sí</t>
        </is>
      </c>
    </row>
    <row r="110">
      <c r="A110" s="9" t="inlineStr">
        <is>
          <t>PLANA 1"X1/8" X 7,315m ASTM A36 (P)</t>
        </is>
      </c>
      <c r="B110" s="9" t="inlineStr">
        <is>
          <t>Plana</t>
        </is>
      </c>
      <c r="C110" s="9" t="inlineStr">
        <is>
          <t>25,4×3,2 mm · 7,315 m</t>
        </is>
      </c>
      <c r="D110" s="9" t="n"/>
      <c r="E110" s="9" t="n">
        <v>25.4</v>
      </c>
      <c r="F110" s="9" t="n">
        <v>3.2</v>
      </c>
      <c r="G110" s="9" t="n"/>
      <c r="H110" s="9" t="inlineStr">
        <is>
          <t>1"x1/8"</t>
        </is>
      </c>
      <c r="I110" s="9" t="n">
        <v>7.315</v>
      </c>
      <c r="J110" s="9" t="inlineStr">
        <is>
          <t>No</t>
        </is>
      </c>
      <c r="K110" s="9" t="n"/>
      <c r="L110" s="9" t="n"/>
      <c r="M110" s="9" t="inlineStr">
        <is>
          <t>No</t>
        </is>
      </c>
    </row>
    <row r="111">
      <c r="A111" s="9" t="inlineStr">
        <is>
          <t>PLANA 1"X3/16" X 6,1m ASTM A36 (P)</t>
        </is>
      </c>
      <c r="B111" s="9" t="inlineStr">
        <is>
          <t>Plana</t>
        </is>
      </c>
      <c r="C111" s="9" t="inlineStr">
        <is>
          <t>25,4×4,8 mm · 6,1 m</t>
        </is>
      </c>
      <c r="D111" s="9" t="n"/>
      <c r="E111" s="9" t="n">
        <v>25.4</v>
      </c>
      <c r="F111" s="9" t="n">
        <v>4.8</v>
      </c>
      <c r="G111" s="9" t="n"/>
      <c r="H111" s="9" t="inlineStr">
        <is>
          <t>1"x3/16"</t>
        </is>
      </c>
      <c r="I111" s="9" t="n">
        <v>6.1</v>
      </c>
      <c r="J111" s="9" t="inlineStr">
        <is>
          <t>No</t>
        </is>
      </c>
      <c r="K111" s="9" t="inlineStr">
        <is>
          <t>PL 1" x 6</t>
        </is>
      </c>
      <c r="L111" s="9" t="n">
        <v>119507005</v>
      </c>
      <c r="M111" s="9" t="inlineStr">
        <is>
          <t>Sí</t>
        </is>
      </c>
    </row>
    <row r="112">
      <c r="A112" s="9" t="inlineStr">
        <is>
          <t>PLANA 100X10MM 6M A270ES (N)</t>
        </is>
      </c>
      <c r="B112" s="9" t="inlineStr">
        <is>
          <t>Plana</t>
        </is>
      </c>
      <c r="C112" s="9" t="inlineStr">
        <is>
          <t>100×10 mm · 6 m</t>
        </is>
      </c>
      <c r="D112" s="9" t="n"/>
      <c r="E112" s="9" t="n">
        <v>100</v>
      </c>
      <c r="F112" s="9" t="n">
        <v>10</v>
      </c>
      <c r="G112" s="9" t="n"/>
      <c r="H112" s="9" t="n"/>
      <c r="I112" s="9" t="n">
        <v>6</v>
      </c>
      <c r="J112" s="9" t="inlineStr">
        <is>
          <t>No</t>
        </is>
      </c>
      <c r="K112" s="9" t="inlineStr">
        <is>
          <t>PL 100 x 10</t>
        </is>
      </c>
      <c r="L112" s="9" t="n">
        <v>109007136</v>
      </c>
      <c r="M112" s="9" t="inlineStr">
        <is>
          <t>Sí</t>
        </is>
      </c>
    </row>
    <row r="113">
      <c r="A113" s="9" t="inlineStr">
        <is>
          <t>PLANA 100X12MM 6M A270ES (N)</t>
        </is>
      </c>
      <c r="B113" s="9" t="inlineStr">
        <is>
          <t>Plana</t>
        </is>
      </c>
      <c r="C113" s="9" t="inlineStr">
        <is>
          <t>100×12 mm · 6 m</t>
        </is>
      </c>
      <c r="D113" s="9" t="n"/>
      <c r="E113" s="9" t="n">
        <v>100</v>
      </c>
      <c r="F113" s="9" t="n">
        <v>12</v>
      </c>
      <c r="G113" s="9" t="n"/>
      <c r="H113" s="9" t="n"/>
      <c r="I113" s="9" t="n">
        <v>6</v>
      </c>
      <c r="J113" s="9" t="inlineStr">
        <is>
          <t>No</t>
        </is>
      </c>
      <c r="K113" s="9" t="inlineStr">
        <is>
          <t>PL 100 x 12</t>
        </is>
      </c>
      <c r="L113" s="9" t="n">
        <v>109007135</v>
      </c>
      <c r="M113" s="9" t="inlineStr">
        <is>
          <t>Sí</t>
        </is>
      </c>
    </row>
    <row r="114">
      <c r="A114" s="9" t="inlineStr">
        <is>
          <t>PLANA 100X5MM 6M A270ES (N)</t>
        </is>
      </c>
      <c r="B114" s="9" t="inlineStr">
        <is>
          <t>Plana</t>
        </is>
      </c>
      <c r="C114" s="9" t="inlineStr">
        <is>
          <t>100×5 mm · 6 m</t>
        </is>
      </c>
      <c r="D114" s="9" t="n"/>
      <c r="E114" s="9" t="n">
        <v>100</v>
      </c>
      <c r="F114" s="9" t="n">
        <v>5</v>
      </c>
      <c r="G114" s="9" t="n"/>
      <c r="H114" s="9" t="n"/>
      <c r="I114" s="9" t="n">
        <v>6</v>
      </c>
      <c r="J114" s="9" t="inlineStr">
        <is>
          <t>No</t>
        </is>
      </c>
      <c r="K114" s="9" t="inlineStr">
        <is>
          <t>PL 100 x 5</t>
        </is>
      </c>
      <c r="L114" s="9" t="n">
        <v>109007139</v>
      </c>
      <c r="M114" s="9" t="inlineStr">
        <is>
          <t>Sí</t>
        </is>
      </c>
    </row>
    <row r="115">
      <c r="A115" s="9" t="inlineStr">
        <is>
          <t>PLANA 100X6MM 6M A270ES (N)</t>
        </is>
      </c>
      <c r="B115" s="9" t="inlineStr">
        <is>
          <t>Plana</t>
        </is>
      </c>
      <c r="C115" s="9" t="inlineStr">
        <is>
          <t>100×6 mm · 6 m</t>
        </is>
      </c>
      <c r="D115" s="9" t="n"/>
      <c r="E115" s="9" t="n">
        <v>100</v>
      </c>
      <c r="F115" s="9" t="n">
        <v>6</v>
      </c>
      <c r="G115" s="9" t="n"/>
      <c r="H115" s="9" t="n"/>
      <c r="I115" s="9" t="n">
        <v>6</v>
      </c>
      <c r="J115" s="9" t="inlineStr">
        <is>
          <t>No</t>
        </is>
      </c>
      <c r="K115" s="9" t="inlineStr">
        <is>
          <t>PL 100 x 6</t>
        </is>
      </c>
      <c r="L115" s="9" t="n">
        <v>109007138</v>
      </c>
      <c r="M115" s="9" t="inlineStr">
        <is>
          <t>Sí</t>
        </is>
      </c>
    </row>
    <row r="116">
      <c r="A116" s="9" t="inlineStr">
        <is>
          <t>PLANA 100X8MM 6M A270ES (N)</t>
        </is>
      </c>
      <c r="B116" s="9" t="inlineStr">
        <is>
          <t>Plana</t>
        </is>
      </c>
      <c r="C116" s="9" t="inlineStr">
        <is>
          <t>100×8 mm · 6 m</t>
        </is>
      </c>
      <c r="D116" s="9" t="n"/>
      <c r="E116" s="9" t="n">
        <v>100</v>
      </c>
      <c r="F116" s="9" t="n">
        <v>8</v>
      </c>
      <c r="G116" s="9" t="n"/>
      <c r="H116" s="9" t="n"/>
      <c r="I116" s="9" t="n">
        <v>6</v>
      </c>
      <c r="J116" s="9" t="inlineStr">
        <is>
          <t>No</t>
        </is>
      </c>
      <c r="K116" s="9" t="inlineStr">
        <is>
          <t>PL 100 x 8</t>
        </is>
      </c>
      <c r="L116" s="9" t="n">
        <v>109007137</v>
      </c>
      <c r="M116" s="9" t="inlineStr">
        <is>
          <t>Sí</t>
        </is>
      </c>
    </row>
    <row r="117">
      <c r="A117" s="9" t="inlineStr">
        <is>
          <t>PLANA 18X8MM 6M COM (Canto-RED) (N)</t>
        </is>
      </c>
      <c r="B117" s="9" t="inlineStr">
        <is>
          <t>Plana</t>
        </is>
      </c>
      <c r="C117" s="9" t="inlineStr">
        <is>
          <t>18×8 mm · 6 m</t>
        </is>
      </c>
      <c r="D117" s="9" t="n"/>
      <c r="E117" s="9" t="n">
        <v>18</v>
      </c>
      <c r="F117" s="9" t="n">
        <v>8</v>
      </c>
      <c r="G117" s="9" t="n"/>
      <c r="H117" s="9" t="n"/>
      <c r="I117" s="9" t="n">
        <v>6</v>
      </c>
      <c r="J117" s="9" t="inlineStr">
        <is>
          <t>No</t>
        </is>
      </c>
      <c r="K117" s="9" t="inlineStr">
        <is>
          <t>PL 18 x 8</t>
        </is>
      </c>
      <c r="L117" s="9" t="n">
        <v>119502737</v>
      </c>
      <c r="M117" s="9" t="inlineStr">
        <is>
          <t>Sí</t>
        </is>
      </c>
    </row>
    <row r="118">
      <c r="A118" s="9" t="inlineStr">
        <is>
          <t>PLANA 18X8MM 6M COMERCIAL (N)</t>
        </is>
      </c>
      <c r="B118" s="9" t="inlineStr">
        <is>
          <t>Plana</t>
        </is>
      </c>
      <c r="C118" s="9" t="inlineStr">
        <is>
          <t>18×8 mm · 6 m</t>
        </is>
      </c>
      <c r="D118" s="9" t="n"/>
      <c r="E118" s="9" t="n">
        <v>18</v>
      </c>
      <c r="F118" s="9" t="n">
        <v>8</v>
      </c>
      <c r="G118" s="9" t="n"/>
      <c r="H118" s="9" t="n"/>
      <c r="I118" s="9" t="n">
        <v>6</v>
      </c>
      <c r="J118" s="9" t="inlineStr">
        <is>
          <t>No</t>
        </is>
      </c>
      <c r="K118" s="9" t="inlineStr">
        <is>
          <t>PL 18 x 8</t>
        </is>
      </c>
      <c r="L118" s="9" t="n">
        <v>109007087</v>
      </c>
      <c r="M118" s="9" t="inlineStr">
        <is>
          <t>Sí</t>
        </is>
      </c>
    </row>
    <row r="119">
      <c r="A119" s="9" t="inlineStr">
        <is>
          <t>PLANA 19X7,3MM 6M COMERCIAL (N)</t>
        </is>
      </c>
      <c r="B119" s="9" t="inlineStr">
        <is>
          <t>Plana</t>
        </is>
      </c>
      <c r="C119" s="9" t="inlineStr">
        <is>
          <t>19×7,3 mm · 6 m</t>
        </is>
      </c>
      <c r="D119" s="9" t="n"/>
      <c r="E119" s="9" t="n">
        <v>19</v>
      </c>
      <c r="F119" s="9" t="n">
        <v>7.3</v>
      </c>
      <c r="G119" s="9" t="n"/>
      <c r="H119" s="9" t="n"/>
      <c r="I119" s="9" t="n">
        <v>6</v>
      </c>
      <c r="J119" s="9" t="inlineStr">
        <is>
          <t>No</t>
        </is>
      </c>
      <c r="K119" s="9" t="inlineStr">
        <is>
          <t>PL 19 x 7,3</t>
        </is>
      </c>
      <c r="L119" s="9" t="n">
        <v>109007019</v>
      </c>
      <c r="M119" s="9" t="inlineStr">
        <is>
          <t>Sí</t>
        </is>
      </c>
    </row>
    <row r="120">
      <c r="A120" s="9" t="inlineStr">
        <is>
          <t>PLANA 20X10MM 6M A270ES (N)</t>
        </is>
      </c>
      <c r="B120" s="9" t="inlineStr">
        <is>
          <t>Plana</t>
        </is>
      </c>
      <c r="C120" s="9" t="inlineStr">
        <is>
          <t>20×10 mm · 6 m</t>
        </is>
      </c>
      <c r="D120" s="9" t="n"/>
      <c r="E120" s="9" t="n">
        <v>20</v>
      </c>
      <c r="F120" s="9" t="n">
        <v>10</v>
      </c>
      <c r="G120" s="9" t="n"/>
      <c r="H120" s="9" t="n"/>
      <c r="I120" s="9" t="n">
        <v>6</v>
      </c>
      <c r="J120" s="9" t="inlineStr">
        <is>
          <t>No</t>
        </is>
      </c>
      <c r="K120" s="9" t="inlineStr">
        <is>
          <t>PL 20 x 10</t>
        </is>
      </c>
      <c r="L120" s="9" t="n">
        <v>119502248</v>
      </c>
      <c r="M120" s="9" t="inlineStr">
        <is>
          <t>Sí</t>
        </is>
      </c>
    </row>
    <row r="121">
      <c r="A121" s="9" t="inlineStr">
        <is>
          <t>PLANA 20X5MM 6M A270ES (N)</t>
        </is>
      </c>
      <c r="B121" s="9" t="inlineStr">
        <is>
          <t>Plana</t>
        </is>
      </c>
      <c r="C121" s="9" t="inlineStr">
        <is>
          <t>20×5 mm · 6 m</t>
        </is>
      </c>
      <c r="D121" s="9" t="n"/>
      <c r="E121" s="9" t="n">
        <v>20</v>
      </c>
      <c r="F121" s="9" t="n">
        <v>5</v>
      </c>
      <c r="G121" s="9" t="n"/>
      <c r="H121" s="9" t="n"/>
      <c r="I121" s="9" t="n">
        <v>6</v>
      </c>
      <c r="J121" s="9" t="inlineStr">
        <is>
          <t>No</t>
        </is>
      </c>
      <c r="K121" s="9" t="inlineStr">
        <is>
          <t>PL 20 x 5</t>
        </is>
      </c>
      <c r="L121" s="9" t="n">
        <v>119502244</v>
      </c>
      <c r="M121" s="9" t="inlineStr">
        <is>
          <t>Sí</t>
        </is>
      </c>
    </row>
    <row r="122">
      <c r="A122" s="9" t="inlineStr">
        <is>
          <t>PLANA 20X6MM 6M A270ES (N)</t>
        </is>
      </c>
      <c r="B122" s="9" t="inlineStr">
        <is>
          <t>Plana</t>
        </is>
      </c>
      <c r="C122" s="9" t="inlineStr">
        <is>
          <t>20×6 mm · 6 m</t>
        </is>
      </c>
      <c r="D122" s="9" t="n"/>
      <c r="E122" s="9" t="n">
        <v>20</v>
      </c>
      <c r="F122" s="9" t="n">
        <v>6</v>
      </c>
      <c r="G122" s="9" t="n"/>
      <c r="H122" s="9" t="n"/>
      <c r="I122" s="9" t="n">
        <v>6</v>
      </c>
      <c r="J122" s="9" t="inlineStr">
        <is>
          <t>No</t>
        </is>
      </c>
      <c r="K122" s="9" t="inlineStr">
        <is>
          <t>PL 20 x 6</t>
        </is>
      </c>
      <c r="L122" s="9" t="n">
        <v>119502246</v>
      </c>
      <c r="M122" s="9" t="inlineStr">
        <is>
          <t>Sí</t>
        </is>
      </c>
    </row>
    <row r="123">
      <c r="A123" s="9" t="inlineStr">
        <is>
          <t>PLANA 20X8MM 6M A270ES (N)</t>
        </is>
      </c>
      <c r="B123" s="9" t="inlineStr">
        <is>
          <t>Plana</t>
        </is>
      </c>
      <c r="C123" s="9" t="inlineStr">
        <is>
          <t>20×8 mm · 6 m</t>
        </is>
      </c>
      <c r="D123" s="9" t="n"/>
      <c r="E123" s="9" t="n">
        <v>20</v>
      </c>
      <c r="F123" s="9" t="n">
        <v>8</v>
      </c>
      <c r="G123" s="9" t="n"/>
      <c r="H123" s="9" t="n"/>
      <c r="I123" s="9" t="n">
        <v>6</v>
      </c>
      <c r="J123" s="9" t="inlineStr">
        <is>
          <t>No</t>
        </is>
      </c>
      <c r="K123" s="9" t="inlineStr">
        <is>
          <t>PL 20 x 8</t>
        </is>
      </c>
      <c r="L123" s="9" t="n">
        <v>119502247</v>
      </c>
      <c r="M123" s="9" t="inlineStr">
        <is>
          <t>Sí</t>
        </is>
      </c>
    </row>
    <row r="124">
      <c r="A124" s="9" t="inlineStr">
        <is>
          <t>PLANA 25X10MM 6M A270ES (N)</t>
        </is>
      </c>
      <c r="B124" s="9" t="inlineStr">
        <is>
          <t>Plana</t>
        </is>
      </c>
      <c r="C124" s="9" t="inlineStr">
        <is>
          <t>25×10 mm · 6 m</t>
        </is>
      </c>
      <c r="D124" s="9" t="n"/>
      <c r="E124" s="9" t="n">
        <v>25</v>
      </c>
      <c r="F124" s="9" t="n">
        <v>10</v>
      </c>
      <c r="G124" s="9" t="n"/>
      <c r="H124" s="9" t="n"/>
      <c r="I124" s="9" t="n">
        <v>6</v>
      </c>
      <c r="J124" s="9" t="inlineStr">
        <is>
          <t>No</t>
        </is>
      </c>
      <c r="K124" s="9" t="inlineStr">
        <is>
          <t>PL 25 x 10</t>
        </is>
      </c>
      <c r="L124" s="9" t="n">
        <v>109013857</v>
      </c>
      <c r="M124" s="9" t="inlineStr">
        <is>
          <t>Sí</t>
        </is>
      </c>
    </row>
    <row r="125">
      <c r="A125" s="9" t="inlineStr">
        <is>
          <t>PLANA 25X2,85MM 6M A270ES ARR(N)</t>
        </is>
      </c>
      <c r="B125" s="9" t="inlineStr">
        <is>
          <t>Plana</t>
        </is>
      </c>
      <c r="C125" s="9" t="inlineStr">
        <is>
          <t>25×2,85 mm · 6 m</t>
        </is>
      </c>
      <c r="D125" s="9" t="n"/>
      <c r="E125" s="9" t="n">
        <v>25</v>
      </c>
      <c r="F125" s="9" t="n">
        <v>2.85</v>
      </c>
      <c r="G125" s="9" t="n"/>
      <c r="H125" s="9" t="n"/>
      <c r="I125" s="9" t="n">
        <v>6</v>
      </c>
      <c r="J125" s="9" t="inlineStr">
        <is>
          <t>No</t>
        </is>
      </c>
      <c r="K125" s="9" t="inlineStr">
        <is>
          <t>PL 25 x 3</t>
        </is>
      </c>
      <c r="L125" s="9" t="n">
        <v>109015693</v>
      </c>
      <c r="M125" s="9" t="inlineStr">
        <is>
          <t>Sí</t>
        </is>
      </c>
    </row>
    <row r="126">
      <c r="A126" s="9" t="inlineStr">
        <is>
          <t>PLANA 25X3MM 6M A270ES (N)</t>
        </is>
      </c>
      <c r="B126" s="9" t="inlineStr">
        <is>
          <t>Plana</t>
        </is>
      </c>
      <c r="C126" s="9" t="inlineStr">
        <is>
          <t>25×3 mm · 6 m</t>
        </is>
      </c>
      <c r="D126" s="9" t="n"/>
      <c r="E126" s="9" t="n">
        <v>25</v>
      </c>
      <c r="F126" s="9" t="n">
        <v>3</v>
      </c>
      <c r="G126" s="9" t="n"/>
      <c r="H126" s="9" t="n"/>
      <c r="I126" s="9" t="n">
        <v>6</v>
      </c>
      <c r="J126" s="9" t="inlineStr">
        <is>
          <t>No</t>
        </is>
      </c>
      <c r="K126" s="9" t="inlineStr">
        <is>
          <t>PL 25 x 3</t>
        </is>
      </c>
      <c r="L126" s="9" t="n">
        <v>109013858</v>
      </c>
      <c r="M126" s="9" t="inlineStr">
        <is>
          <t>Sí</t>
        </is>
      </c>
    </row>
    <row r="127">
      <c r="A127" s="9" t="inlineStr">
        <is>
          <t>PLANA 25X5MM 6M A270ES (N)</t>
        </is>
      </c>
      <c r="B127" s="9" t="inlineStr">
        <is>
          <t>Plana</t>
        </is>
      </c>
      <c r="C127" s="9" t="inlineStr">
        <is>
          <t>25×5 mm · 6 m</t>
        </is>
      </c>
      <c r="D127" s="9" t="n"/>
      <c r="E127" s="9" t="n">
        <v>25</v>
      </c>
      <c r="F127" s="9" t="n">
        <v>5</v>
      </c>
      <c r="G127" s="9" t="n"/>
      <c r="H127" s="9" t="n"/>
      <c r="I127" s="9" t="n">
        <v>6</v>
      </c>
      <c r="J127" s="9" t="inlineStr">
        <is>
          <t>No</t>
        </is>
      </c>
      <c r="K127" s="9" t="inlineStr">
        <is>
          <t>PL 25 x 5</t>
        </is>
      </c>
      <c r="L127" s="9" t="n">
        <v>109013945</v>
      </c>
      <c r="M127" s="9" t="inlineStr">
        <is>
          <t>Sí</t>
        </is>
      </c>
    </row>
    <row r="128">
      <c r="A128" s="9" t="inlineStr">
        <is>
          <t>PLANA 32X10MM 6M A270ES (N)</t>
        </is>
      </c>
      <c r="B128" s="9" t="inlineStr">
        <is>
          <t>Plana</t>
        </is>
      </c>
      <c r="C128" s="9" t="inlineStr">
        <is>
          <t>32×10 mm · 6 m</t>
        </is>
      </c>
      <c r="D128" s="9" t="n"/>
      <c r="E128" s="9" t="n">
        <v>32</v>
      </c>
      <c r="F128" s="9" t="n">
        <v>10</v>
      </c>
      <c r="G128" s="9" t="n"/>
      <c r="H128" s="9" t="n"/>
      <c r="I128" s="9" t="n">
        <v>6</v>
      </c>
      <c r="J128" s="9" t="inlineStr">
        <is>
          <t>No</t>
        </is>
      </c>
      <c r="K128" s="9" t="inlineStr">
        <is>
          <t>PL 32 x 10</t>
        </is>
      </c>
      <c r="L128" s="9" t="n">
        <v>109013877</v>
      </c>
      <c r="M128" s="9" t="inlineStr">
        <is>
          <t>Sí</t>
        </is>
      </c>
    </row>
    <row r="129">
      <c r="A129" s="9" t="inlineStr">
        <is>
          <t>PLANA 32X3MM 6M A270ES (N)</t>
        </is>
      </c>
      <c r="B129" s="9" t="inlineStr">
        <is>
          <t>Plana</t>
        </is>
      </c>
      <c r="C129" s="9" t="inlineStr">
        <is>
          <t>32×3 mm · 6 m</t>
        </is>
      </c>
      <c r="D129" s="9" t="n"/>
      <c r="E129" s="9" t="n">
        <v>32</v>
      </c>
      <c r="F129" s="9" t="n">
        <v>3</v>
      </c>
      <c r="G129" s="9" t="n"/>
      <c r="H129" s="9" t="n"/>
      <c r="I129" s="9" t="n">
        <v>6</v>
      </c>
      <c r="J129" s="9" t="inlineStr">
        <is>
          <t>No</t>
        </is>
      </c>
      <c r="K129" s="9" t="inlineStr">
        <is>
          <t>PL 32 x 3</t>
        </is>
      </c>
      <c r="L129" s="9" t="n">
        <v>109013879</v>
      </c>
      <c r="M129" s="9" t="inlineStr">
        <is>
          <t>Sí</t>
        </is>
      </c>
    </row>
    <row r="130">
      <c r="A130" s="9" t="inlineStr">
        <is>
          <t>PLANA 32X5MM 6M A270ES (N)</t>
        </is>
      </c>
      <c r="B130" s="9" t="inlineStr">
        <is>
          <t>Plana</t>
        </is>
      </c>
      <c r="C130" s="9" t="inlineStr">
        <is>
          <t>32×5 mm · 6 m</t>
        </is>
      </c>
      <c r="D130" s="9" t="n"/>
      <c r="E130" s="9" t="n">
        <v>32</v>
      </c>
      <c r="F130" s="9" t="n">
        <v>5</v>
      </c>
      <c r="G130" s="9" t="n"/>
      <c r="H130" s="9" t="n"/>
      <c r="I130" s="9" t="n">
        <v>6</v>
      </c>
      <c r="J130" s="9" t="inlineStr">
        <is>
          <t>No</t>
        </is>
      </c>
      <c r="K130" s="9" t="inlineStr">
        <is>
          <t>PL 32 x 5</t>
        </is>
      </c>
      <c r="L130" s="9" t="n">
        <v>109013897</v>
      </c>
      <c r="M130" s="9" t="inlineStr">
        <is>
          <t>Sí</t>
        </is>
      </c>
    </row>
    <row r="131">
      <c r="A131" s="9" t="inlineStr">
        <is>
          <t>PLANA 32X6MM 6M A270ES (N)</t>
        </is>
      </c>
      <c r="B131" s="9" t="inlineStr">
        <is>
          <t>Plana</t>
        </is>
      </c>
      <c r="C131" s="9" t="inlineStr">
        <is>
          <t>32×6 mm · 6 m</t>
        </is>
      </c>
      <c r="D131" s="9" t="n"/>
      <c r="E131" s="9" t="n">
        <v>32</v>
      </c>
      <c r="F131" s="9" t="n">
        <v>6</v>
      </c>
      <c r="G131" s="9" t="n"/>
      <c r="H131" s="9" t="n"/>
      <c r="I131" s="9" t="n">
        <v>6</v>
      </c>
      <c r="J131" s="9" t="inlineStr">
        <is>
          <t>No</t>
        </is>
      </c>
      <c r="K131" s="9" t="inlineStr">
        <is>
          <t>PL 32 x 6</t>
        </is>
      </c>
      <c r="L131" s="9" t="n">
        <v>109013916</v>
      </c>
      <c r="M131" s="9" t="inlineStr">
        <is>
          <t>Sí</t>
        </is>
      </c>
    </row>
    <row r="132">
      <c r="A132" s="9" t="inlineStr">
        <is>
          <t>PLANA 32X8MM 6M A270ES (N)</t>
        </is>
      </c>
      <c r="B132" s="9" t="inlineStr">
        <is>
          <t>Plana</t>
        </is>
      </c>
      <c r="C132" s="9" t="inlineStr">
        <is>
          <t>32×8 mm · 6 m</t>
        </is>
      </c>
      <c r="D132" s="9" t="n"/>
      <c r="E132" s="9" t="n">
        <v>32</v>
      </c>
      <c r="F132" s="9" t="n">
        <v>8</v>
      </c>
      <c r="G132" s="9" t="n"/>
      <c r="H132" s="9" t="n"/>
      <c r="I132" s="9" t="n">
        <v>6</v>
      </c>
      <c r="J132" s="9" t="inlineStr">
        <is>
          <t>No</t>
        </is>
      </c>
      <c r="K132" s="9" t="inlineStr">
        <is>
          <t>PL 32 x 8</t>
        </is>
      </c>
      <c r="L132" s="9" t="n">
        <v>109013915</v>
      </c>
      <c r="M132" s="9" t="inlineStr">
        <is>
          <t>Sí</t>
        </is>
      </c>
    </row>
    <row r="133">
      <c r="A133" s="9" t="inlineStr">
        <is>
          <t>PLANA 32x2,85mm 6m A270ES ARR(N)</t>
        </is>
      </c>
      <c r="B133" s="9" t="inlineStr">
        <is>
          <t>Plana</t>
        </is>
      </c>
      <c r="C133" s="9" t="inlineStr">
        <is>
          <t>32×2,85 mm · 6 m</t>
        </is>
      </c>
      <c r="D133" s="9" t="n"/>
      <c r="E133" s="9" t="n">
        <v>32</v>
      </c>
      <c r="F133" s="9" t="n">
        <v>2.85</v>
      </c>
      <c r="G133" s="9" t="n"/>
      <c r="H133" s="9" t="n"/>
      <c r="I133" s="9" t="n">
        <v>6</v>
      </c>
      <c r="J133" s="9" t="inlineStr">
        <is>
          <t>No</t>
        </is>
      </c>
      <c r="K133" s="9" t="inlineStr">
        <is>
          <t>PL 32 x 3</t>
        </is>
      </c>
      <c r="L133" s="9" t="n">
        <v>109015695</v>
      </c>
      <c r="M133" s="9" t="inlineStr">
        <is>
          <t>Sí</t>
        </is>
      </c>
    </row>
    <row r="134">
      <c r="A134" s="9" t="inlineStr">
        <is>
          <t>PLANA 38X10MM 6M A270ES (N)</t>
        </is>
      </c>
      <c r="B134" s="9" t="inlineStr">
        <is>
          <t>Plana</t>
        </is>
      </c>
      <c r="C134" s="9" t="inlineStr">
        <is>
          <t>38×10 mm · 6 m</t>
        </is>
      </c>
      <c r="D134" s="9" t="n"/>
      <c r="E134" s="9" t="n">
        <v>38</v>
      </c>
      <c r="F134" s="9" t="n">
        <v>10</v>
      </c>
      <c r="G134" s="9" t="n"/>
      <c r="H134" s="9" t="n"/>
      <c r="I134" s="9" t="n">
        <v>6</v>
      </c>
      <c r="J134" s="9" t="inlineStr">
        <is>
          <t>No</t>
        </is>
      </c>
      <c r="K134" s="9" t="inlineStr">
        <is>
          <t>PL 38 x 10</t>
        </is>
      </c>
      <c r="L134" s="9" t="n">
        <v>109013898</v>
      </c>
      <c r="M134" s="9" t="inlineStr">
        <is>
          <t>Sí</t>
        </is>
      </c>
    </row>
    <row r="135">
      <c r="A135" s="9" t="inlineStr">
        <is>
          <t>PLANA 38X3MM 6M A270ES (N)</t>
        </is>
      </c>
      <c r="B135" s="9" t="inlineStr">
        <is>
          <t>Plana</t>
        </is>
      </c>
      <c r="C135" s="9" t="inlineStr">
        <is>
          <t>38×3 mm · 6 m</t>
        </is>
      </c>
      <c r="D135" s="9" t="n"/>
      <c r="E135" s="9" t="n">
        <v>38</v>
      </c>
      <c r="F135" s="9" t="n">
        <v>3</v>
      </c>
      <c r="G135" s="9" t="n"/>
      <c r="H135" s="9" t="n"/>
      <c r="I135" s="9" t="n">
        <v>6</v>
      </c>
      <c r="J135" s="9" t="inlineStr">
        <is>
          <t>No</t>
        </is>
      </c>
      <c r="K135" s="9" t="inlineStr">
        <is>
          <t>PL 38 x 3</t>
        </is>
      </c>
      <c r="L135" s="9" t="n">
        <v>109013904</v>
      </c>
      <c r="M135" s="9" t="inlineStr">
        <is>
          <t>Sí</t>
        </is>
      </c>
    </row>
    <row r="136">
      <c r="A136" s="9" t="inlineStr">
        <is>
          <t>PLANA 38X5MM 6M A270ES (N)</t>
        </is>
      </c>
      <c r="B136" s="9" t="inlineStr">
        <is>
          <t>Plana</t>
        </is>
      </c>
      <c r="C136" s="9" t="inlineStr">
        <is>
          <t>38×5 mm · 6 m</t>
        </is>
      </c>
      <c r="D136" s="9" t="n"/>
      <c r="E136" s="9" t="n">
        <v>38</v>
      </c>
      <c r="F136" s="9" t="n">
        <v>5</v>
      </c>
      <c r="G136" s="9" t="n"/>
      <c r="H136" s="9" t="n"/>
      <c r="I136" s="9" t="n">
        <v>6</v>
      </c>
      <c r="J136" s="9" t="inlineStr">
        <is>
          <t>No</t>
        </is>
      </c>
      <c r="K136" s="9" t="inlineStr">
        <is>
          <t>PL 38 x 5</t>
        </is>
      </c>
      <c r="L136" s="9" t="n">
        <v>109013914</v>
      </c>
      <c r="M136" s="9" t="inlineStr">
        <is>
          <t>Sí</t>
        </is>
      </c>
    </row>
    <row r="137">
      <c r="A137" s="9" t="inlineStr">
        <is>
          <t>PLANA 38X6MM 6M A270ES (N)</t>
        </is>
      </c>
      <c r="B137" s="9" t="inlineStr">
        <is>
          <t>Plana</t>
        </is>
      </c>
      <c r="C137" s="9" t="inlineStr">
        <is>
          <t>38×6 mm · 6 m</t>
        </is>
      </c>
      <c r="D137" s="9" t="n"/>
      <c r="E137" s="9" t="n">
        <v>38</v>
      </c>
      <c r="F137" s="9" t="n">
        <v>6</v>
      </c>
      <c r="G137" s="9" t="n"/>
      <c r="H137" s="9" t="n"/>
      <c r="I137" s="9" t="n">
        <v>6</v>
      </c>
      <c r="J137" s="9" t="inlineStr">
        <is>
          <t>No</t>
        </is>
      </c>
      <c r="K137" s="9" t="inlineStr">
        <is>
          <t>PL 38 x 6</t>
        </is>
      </c>
      <c r="L137" s="9" t="n">
        <v>109013913</v>
      </c>
      <c r="M137" s="9" t="inlineStr">
        <is>
          <t>Sí</t>
        </is>
      </c>
    </row>
    <row r="138">
      <c r="A138" s="9" t="inlineStr">
        <is>
          <t>PLANA 38X8MM 6M A270ES (N)</t>
        </is>
      </c>
      <c r="B138" s="9" t="inlineStr">
        <is>
          <t>Plana</t>
        </is>
      </c>
      <c r="C138" s="9" t="inlineStr">
        <is>
          <t>38×8 mm · 6 m</t>
        </is>
      </c>
      <c r="D138" s="9" t="n"/>
      <c r="E138" s="9" t="n">
        <v>38</v>
      </c>
      <c r="F138" s="9" t="n">
        <v>8</v>
      </c>
      <c r="G138" s="9" t="n"/>
      <c r="H138" s="9" t="n"/>
      <c r="I138" s="9" t="n">
        <v>6</v>
      </c>
      <c r="J138" s="9" t="inlineStr">
        <is>
          <t>No</t>
        </is>
      </c>
      <c r="K138" s="9" t="inlineStr">
        <is>
          <t>PL 38 x 8</t>
        </is>
      </c>
      <c r="L138" s="9" t="n">
        <v>109013912</v>
      </c>
      <c r="M138" s="9" t="inlineStr">
        <is>
          <t>Sí</t>
        </is>
      </c>
    </row>
    <row r="139">
      <c r="A139" s="9" t="inlineStr">
        <is>
          <t>PLANA 50X10MM 6M A270ES (N)</t>
        </is>
      </c>
      <c r="B139" s="9" t="inlineStr">
        <is>
          <t>Plana</t>
        </is>
      </c>
      <c r="C139" s="9" t="inlineStr">
        <is>
          <t>50×10 mm · 6 m</t>
        </is>
      </c>
      <c r="D139" s="9" t="n"/>
      <c r="E139" s="9" t="n">
        <v>50</v>
      </c>
      <c r="F139" s="9" t="n">
        <v>10</v>
      </c>
      <c r="G139" s="9" t="n"/>
      <c r="H139" s="9" t="n"/>
      <c r="I139" s="9" t="n">
        <v>6</v>
      </c>
      <c r="J139" s="9" t="inlineStr">
        <is>
          <t>No</t>
        </is>
      </c>
      <c r="K139" s="9" t="inlineStr">
        <is>
          <t>PL 50 x 10</t>
        </is>
      </c>
      <c r="L139" s="9" t="n">
        <v>109013905</v>
      </c>
      <c r="M139" s="9" t="inlineStr">
        <is>
          <t>Sí</t>
        </is>
      </c>
    </row>
    <row r="140">
      <c r="A140" s="9" t="inlineStr">
        <is>
          <t>PLANA 50X12MM 6M A270ES</t>
        </is>
      </c>
      <c r="B140" s="9" t="inlineStr">
        <is>
          <t>Plana</t>
        </is>
      </c>
      <c r="C140" s="9" t="inlineStr">
        <is>
          <t>50×12 mm · 6 m</t>
        </is>
      </c>
      <c r="D140" s="9" t="n"/>
      <c r="E140" s="9" t="n">
        <v>50</v>
      </c>
      <c r="F140" s="9" t="n">
        <v>12</v>
      </c>
      <c r="G140" s="9" t="n"/>
      <c r="H140" s="9" t="n"/>
      <c r="I140" s="9" t="n">
        <v>6</v>
      </c>
      <c r="J140" s="9" t="inlineStr">
        <is>
          <t>No</t>
        </is>
      </c>
      <c r="K140" s="9" t="inlineStr">
        <is>
          <t>Pl 50 x 12</t>
        </is>
      </c>
      <c r="L140" s="9" t="n">
        <v>109014933</v>
      </c>
      <c r="M140" s="9" t="inlineStr">
        <is>
          <t>Sí</t>
        </is>
      </c>
    </row>
    <row r="141">
      <c r="A141" s="9" t="inlineStr">
        <is>
          <t>PLANA 50X3 MM 6M A270ES (N)</t>
        </is>
      </c>
      <c r="B141" s="9" t="inlineStr">
        <is>
          <t>Plana</t>
        </is>
      </c>
      <c r="C141" s="9" t="inlineStr">
        <is>
          <t>50×3 mm · 6 m</t>
        </is>
      </c>
      <c r="D141" s="9" t="n"/>
      <c r="E141" s="9" t="n">
        <v>50</v>
      </c>
      <c r="F141" s="9" t="n">
        <v>3</v>
      </c>
      <c r="G141" s="9" t="n"/>
      <c r="H141" s="9" t="n"/>
      <c r="I141" s="9" t="n">
        <v>6</v>
      </c>
      <c r="J141" s="9" t="inlineStr">
        <is>
          <t>No</t>
        </is>
      </c>
      <c r="K141" s="9" t="inlineStr">
        <is>
          <t>PL 50 x 3</t>
        </is>
      </c>
      <c r="L141" s="9" t="n">
        <v>109013903</v>
      </c>
      <c r="M141" s="9" t="inlineStr">
        <is>
          <t>Sí</t>
        </is>
      </c>
    </row>
    <row r="142">
      <c r="A142" s="9" t="inlineStr">
        <is>
          <t>PLANA 50X4 MM 6M A270ES (N)</t>
        </is>
      </c>
      <c r="B142" s="9" t="inlineStr">
        <is>
          <t>Plana</t>
        </is>
      </c>
      <c r="C142" s="9" t="inlineStr">
        <is>
          <t>50×4 mm · 6 m</t>
        </is>
      </c>
      <c r="D142" s="9" t="n"/>
      <c r="E142" s="9" t="n">
        <v>50</v>
      </c>
      <c r="F142" s="9" t="n">
        <v>4</v>
      </c>
      <c r="G142" s="9" t="n"/>
      <c r="H142" s="9" t="n"/>
      <c r="I142" s="9" t="n">
        <v>6</v>
      </c>
      <c r="J142" s="9" t="inlineStr">
        <is>
          <t>No</t>
        </is>
      </c>
      <c r="K142" s="9" t="inlineStr">
        <is>
          <t>PL 50 x 4</t>
        </is>
      </c>
      <c r="L142" s="9" t="n">
        <v>109013983</v>
      </c>
      <c r="M142" s="9" t="inlineStr">
        <is>
          <t>Sí</t>
        </is>
      </c>
    </row>
    <row r="143">
      <c r="A143" s="9" t="inlineStr">
        <is>
          <t>PLANA 50X5MM 6M A270ES (N)</t>
        </is>
      </c>
      <c r="B143" s="9" t="inlineStr">
        <is>
          <t>Plana</t>
        </is>
      </c>
      <c r="C143" s="9" t="inlineStr">
        <is>
          <t>50×5 mm · 6 m</t>
        </is>
      </c>
      <c r="D143" s="9" t="n"/>
      <c r="E143" s="9" t="n">
        <v>50</v>
      </c>
      <c r="F143" s="9" t="n">
        <v>5</v>
      </c>
      <c r="G143" s="9" t="n"/>
      <c r="H143" s="9" t="n"/>
      <c r="I143" s="9" t="n">
        <v>6</v>
      </c>
      <c r="J143" s="9" t="inlineStr">
        <is>
          <t>No</t>
        </is>
      </c>
      <c r="K143" s="9" t="inlineStr">
        <is>
          <t>PL 50 x 5</t>
        </is>
      </c>
      <c r="L143" s="9" t="n">
        <v>109013902</v>
      </c>
      <c r="M143" s="9" t="inlineStr">
        <is>
          <t>Sí</t>
        </is>
      </c>
    </row>
    <row r="144">
      <c r="A144" s="9" t="inlineStr">
        <is>
          <t>PLANA 50X6MM 6M A270ES (N)</t>
        </is>
      </c>
      <c r="B144" s="9" t="inlineStr">
        <is>
          <t>Plana</t>
        </is>
      </c>
      <c r="C144" s="9" t="inlineStr">
        <is>
          <t>50×6 mm · 6 m</t>
        </is>
      </c>
      <c r="D144" s="9" t="n"/>
      <c r="E144" s="9" t="n">
        <v>50</v>
      </c>
      <c r="F144" s="9" t="n">
        <v>6</v>
      </c>
      <c r="G144" s="9" t="n"/>
      <c r="H144" s="9" t="n"/>
      <c r="I144" s="9" t="n">
        <v>6</v>
      </c>
      <c r="J144" s="9" t="inlineStr">
        <is>
          <t>No</t>
        </is>
      </c>
      <c r="K144" s="9" t="inlineStr">
        <is>
          <t>PL 50 x 6</t>
        </is>
      </c>
      <c r="L144" s="9" t="n">
        <v>109013901</v>
      </c>
      <c r="M144" s="9" t="inlineStr">
        <is>
          <t>Sí</t>
        </is>
      </c>
    </row>
    <row r="145">
      <c r="A145" s="9" t="inlineStr">
        <is>
          <t>PLANA 50X8MM 6M A270ES (N)</t>
        </is>
      </c>
      <c r="B145" s="9" t="inlineStr">
        <is>
          <t>Plana</t>
        </is>
      </c>
      <c r="C145" s="9" t="inlineStr">
        <is>
          <t>50×8 mm · 6 m</t>
        </is>
      </c>
      <c r="D145" s="9" t="n"/>
      <c r="E145" s="9" t="n">
        <v>50</v>
      </c>
      <c r="F145" s="9" t="n">
        <v>8</v>
      </c>
      <c r="G145" s="9" t="n"/>
      <c r="H145" s="9" t="n"/>
      <c r="I145" s="9" t="n">
        <v>6</v>
      </c>
      <c r="J145" s="9" t="inlineStr">
        <is>
          <t>No</t>
        </is>
      </c>
      <c r="K145" s="9" t="inlineStr">
        <is>
          <t>PL 50 x 8</t>
        </is>
      </c>
      <c r="L145" s="9" t="n">
        <v>109013900</v>
      </c>
      <c r="M145" s="9" t="inlineStr">
        <is>
          <t>Sí</t>
        </is>
      </c>
    </row>
    <row r="146">
      <c r="A146" s="9" t="inlineStr">
        <is>
          <t>PLANA 63X10MM 6M A270 (N)</t>
        </is>
      </c>
      <c r="B146" s="9" t="inlineStr">
        <is>
          <t>Plana</t>
        </is>
      </c>
      <c r="C146" s="9" t="inlineStr">
        <is>
          <t>63×10 mm · 6 m</t>
        </is>
      </c>
      <c r="D146" s="9" t="n"/>
      <c r="E146" s="9" t="n">
        <v>63</v>
      </c>
      <c r="F146" s="9" t="n">
        <v>10</v>
      </c>
      <c r="G146" s="9" t="n"/>
      <c r="H146" s="9" t="n"/>
      <c r="I146" s="9" t="n">
        <v>6</v>
      </c>
      <c r="J146" s="9" t="inlineStr">
        <is>
          <t>No</t>
        </is>
      </c>
      <c r="K146" s="9" t="inlineStr">
        <is>
          <t>PL 63 x 10</t>
        </is>
      </c>
      <c r="L146" s="9" t="n">
        <v>109013910</v>
      </c>
      <c r="M146" s="9" t="inlineStr">
        <is>
          <t>Sí</t>
        </is>
      </c>
    </row>
    <row r="147">
      <c r="A147" s="9" t="inlineStr">
        <is>
          <t>PLANA 63X12MM 6M A270ES</t>
        </is>
      </c>
      <c r="B147" s="9" t="inlineStr">
        <is>
          <t>Plana</t>
        </is>
      </c>
      <c r="C147" s="9" t="inlineStr">
        <is>
          <t>63×12 mm · 6 m</t>
        </is>
      </c>
      <c r="D147" s="9" t="n"/>
      <c r="E147" s="9" t="n">
        <v>63</v>
      </c>
      <c r="F147" s="9" t="n">
        <v>12</v>
      </c>
      <c r="G147" s="9" t="n"/>
      <c r="H147" s="9" t="n"/>
      <c r="I147" s="9" t="n">
        <v>6</v>
      </c>
      <c r="J147" s="9" t="inlineStr">
        <is>
          <t>No</t>
        </is>
      </c>
      <c r="K147" s="9" t="inlineStr">
        <is>
          <t>PL 63 x 12</t>
        </is>
      </c>
      <c r="L147" s="9" t="n">
        <v>109014932</v>
      </c>
      <c r="M147" s="9" t="inlineStr">
        <is>
          <t>Sí</t>
        </is>
      </c>
    </row>
    <row r="148">
      <c r="A148" s="9" t="inlineStr">
        <is>
          <t>PLANA 63X5MM 6M A270ES (N)</t>
        </is>
      </c>
      <c r="B148" s="9" t="inlineStr">
        <is>
          <t>Plana</t>
        </is>
      </c>
      <c r="C148" s="9" t="inlineStr">
        <is>
          <t>63×5 mm · 6 m</t>
        </is>
      </c>
      <c r="D148" s="9" t="n"/>
      <c r="E148" s="9" t="n">
        <v>63</v>
      </c>
      <c r="F148" s="9" t="n">
        <v>5</v>
      </c>
      <c r="G148" s="9" t="n"/>
      <c r="H148" s="9" t="n"/>
      <c r="I148" s="9" t="n">
        <v>6</v>
      </c>
      <c r="J148" s="9" t="inlineStr">
        <is>
          <t>No</t>
        </is>
      </c>
      <c r="K148" s="9" t="inlineStr">
        <is>
          <t>PL 63 x 5</t>
        </is>
      </c>
      <c r="L148" s="9" t="n">
        <v>109013899</v>
      </c>
      <c r="M148" s="9" t="inlineStr">
        <is>
          <t>Sí</t>
        </is>
      </c>
    </row>
    <row r="149">
      <c r="A149" s="9" t="inlineStr">
        <is>
          <t>PLANA 63X6MM 6M A270ES (N)</t>
        </is>
      </c>
      <c r="B149" s="9" t="inlineStr">
        <is>
          <t>Plana</t>
        </is>
      </c>
      <c r="C149" s="9" t="inlineStr">
        <is>
          <t>63×6 mm · 6 m</t>
        </is>
      </c>
      <c r="D149" s="9" t="n"/>
      <c r="E149" s="9" t="n">
        <v>63</v>
      </c>
      <c r="F149" s="9" t="n">
        <v>6</v>
      </c>
      <c r="G149" s="9" t="n"/>
      <c r="H149" s="9" t="n"/>
      <c r="I149" s="9" t="n">
        <v>6</v>
      </c>
      <c r="J149" s="9" t="inlineStr">
        <is>
          <t>No</t>
        </is>
      </c>
      <c r="K149" s="9" t="inlineStr">
        <is>
          <t>PL 63 x 6</t>
        </is>
      </c>
      <c r="L149" s="9" t="n">
        <v>109013906</v>
      </c>
      <c r="M149" s="9" t="inlineStr">
        <is>
          <t>Sí</t>
        </is>
      </c>
    </row>
    <row r="150">
      <c r="A150" s="9" t="inlineStr">
        <is>
          <t>PLANA 63X8MM 6M A270ES (N)</t>
        </is>
      </c>
      <c r="B150" s="9" t="inlineStr">
        <is>
          <t>Plana</t>
        </is>
      </c>
      <c r="C150" s="9" t="inlineStr">
        <is>
          <t>63×8 mm · 6 m</t>
        </is>
      </c>
      <c r="D150" s="9" t="n"/>
      <c r="E150" s="9" t="n">
        <v>63</v>
      </c>
      <c r="F150" s="9" t="n">
        <v>8</v>
      </c>
      <c r="G150" s="9" t="n"/>
      <c r="H150" s="9" t="n"/>
      <c r="I150" s="9" t="n">
        <v>6</v>
      </c>
      <c r="J150" s="9" t="inlineStr">
        <is>
          <t>No</t>
        </is>
      </c>
      <c r="K150" s="9" t="inlineStr">
        <is>
          <t>PL 63 x 8</t>
        </is>
      </c>
      <c r="L150" s="9" t="n">
        <v>109013944</v>
      </c>
      <c r="M150" s="9" t="inlineStr">
        <is>
          <t>Sí</t>
        </is>
      </c>
    </row>
    <row r="151">
      <c r="A151" s="9" t="inlineStr">
        <is>
          <t>PLANA 75X10MM 6M A270ES (N)</t>
        </is>
      </c>
      <c r="B151" s="9" t="inlineStr">
        <is>
          <t>Plana</t>
        </is>
      </c>
      <c r="C151" s="9" t="inlineStr">
        <is>
          <t>75×10 mm · 6 m</t>
        </is>
      </c>
      <c r="D151" s="9" t="n"/>
      <c r="E151" s="9" t="n">
        <v>75</v>
      </c>
      <c r="F151" s="9" t="n">
        <v>10</v>
      </c>
      <c r="G151" s="9" t="n"/>
      <c r="H151" s="9" t="n"/>
      <c r="I151" s="9" t="n">
        <v>6</v>
      </c>
      <c r="J151" s="9" t="inlineStr">
        <is>
          <t>No</t>
        </is>
      </c>
      <c r="K151" s="9" t="inlineStr">
        <is>
          <t>PL 75 x 10</t>
        </is>
      </c>
      <c r="L151" s="9" t="n">
        <v>109013907</v>
      </c>
      <c r="M151" s="9" t="inlineStr">
        <is>
          <t>Sí</t>
        </is>
      </c>
    </row>
    <row r="152">
      <c r="A152" s="9" t="inlineStr">
        <is>
          <t>PLANA 75X12MM 6M A270ES</t>
        </is>
      </c>
      <c r="B152" s="9" t="inlineStr">
        <is>
          <t>Plana</t>
        </is>
      </c>
      <c r="C152" s="9" t="inlineStr">
        <is>
          <t>75×12 mm · 6 m</t>
        </is>
      </c>
      <c r="D152" s="9" t="n"/>
      <c r="E152" s="9" t="n">
        <v>75</v>
      </c>
      <c r="F152" s="9" t="n">
        <v>12</v>
      </c>
      <c r="G152" s="9" t="n"/>
      <c r="H152" s="9" t="n"/>
      <c r="I152" s="9" t="n">
        <v>6</v>
      </c>
      <c r="J152" s="9" t="inlineStr">
        <is>
          <t>No</t>
        </is>
      </c>
      <c r="K152" s="9" t="n"/>
      <c r="L152" s="9" t="n"/>
      <c r="M152" s="9" t="inlineStr">
        <is>
          <t>No</t>
        </is>
      </c>
    </row>
    <row r="153">
      <c r="A153" s="9" t="inlineStr">
        <is>
          <t>PLANA 75X5MM 6M A270ES (N)</t>
        </is>
      </c>
      <c r="B153" s="9" t="inlineStr">
        <is>
          <t>Plana</t>
        </is>
      </c>
      <c r="C153" s="9" t="inlineStr">
        <is>
          <t>75×5 mm · 6 m</t>
        </is>
      </c>
      <c r="D153" s="9" t="n"/>
      <c r="E153" s="9" t="n">
        <v>75</v>
      </c>
      <c r="F153" s="9" t="n">
        <v>5</v>
      </c>
      <c r="G153" s="9" t="n"/>
      <c r="H153" s="9" t="n"/>
      <c r="I153" s="9" t="n">
        <v>6</v>
      </c>
      <c r="J153" s="9" t="inlineStr">
        <is>
          <t>No</t>
        </is>
      </c>
      <c r="K153" s="9" t="inlineStr">
        <is>
          <t>PL 75 x 5</t>
        </is>
      </c>
      <c r="L153" s="9" t="n">
        <v>109013908</v>
      </c>
      <c r="M153" s="9" t="inlineStr">
        <is>
          <t>Sí</t>
        </is>
      </c>
    </row>
    <row r="154">
      <c r="A154" s="9" t="inlineStr">
        <is>
          <t>PLANA 75X6MM 6M A270ES (N)</t>
        </is>
      </c>
      <c r="B154" s="9" t="inlineStr">
        <is>
          <t>Plana</t>
        </is>
      </c>
      <c r="C154" s="9" t="inlineStr">
        <is>
          <t>75×6 mm · 6 m</t>
        </is>
      </c>
      <c r="D154" s="9" t="n"/>
      <c r="E154" s="9" t="n">
        <v>75</v>
      </c>
      <c r="F154" s="9" t="n">
        <v>6</v>
      </c>
      <c r="G154" s="9" t="n"/>
      <c r="H154" s="9" t="n"/>
      <c r="I154" s="9" t="n">
        <v>6</v>
      </c>
      <c r="J154" s="9" t="inlineStr">
        <is>
          <t>No</t>
        </is>
      </c>
      <c r="K154" s="9" t="inlineStr">
        <is>
          <t>PL 75 x 6</t>
        </is>
      </c>
      <c r="L154" s="9" t="n">
        <v>109013911</v>
      </c>
      <c r="M154" s="9" t="inlineStr">
        <is>
          <t>Sí</t>
        </is>
      </c>
    </row>
    <row r="155">
      <c r="A155" s="9" t="inlineStr">
        <is>
          <t>PLANA 75X8MM 6M A270ES (N)</t>
        </is>
      </c>
      <c r="B155" s="9" t="inlineStr">
        <is>
          <t>Plana</t>
        </is>
      </c>
      <c r="C155" s="9" t="inlineStr">
        <is>
          <t>75×8 mm · 6 m</t>
        </is>
      </c>
      <c r="D155" s="9" t="n"/>
      <c r="E155" s="9" t="n">
        <v>75</v>
      </c>
      <c r="F155" s="9" t="n">
        <v>8</v>
      </c>
      <c r="G155" s="9" t="n"/>
      <c r="H155" s="9" t="n"/>
      <c r="I155" s="9" t="n">
        <v>6</v>
      </c>
      <c r="J155" s="9" t="inlineStr">
        <is>
          <t>No</t>
        </is>
      </c>
      <c r="K155" s="9" t="inlineStr">
        <is>
          <t>PL 75 x 8</t>
        </is>
      </c>
      <c r="L155" s="9" t="n">
        <v>109013909</v>
      </c>
      <c r="M155" s="9" t="inlineStr">
        <is>
          <t>Sí</t>
        </is>
      </c>
    </row>
    <row r="156">
      <c r="A156" s="9" t="inlineStr">
        <is>
          <t>PLANA ASERRADA 25X4,85MM 6M A270ES (N)</t>
        </is>
      </c>
      <c r="B156" s="9" t="inlineStr">
        <is>
          <t>Plana</t>
        </is>
      </c>
      <c r="C156" s="9" t="inlineStr">
        <is>
          <t>25×4,85 mm · 6 m</t>
        </is>
      </c>
      <c r="D156" s="9" t="n"/>
      <c r="E156" s="9" t="n">
        <v>25</v>
      </c>
      <c r="F156" s="9" t="n">
        <v>4.85</v>
      </c>
      <c r="G156" s="9" t="n"/>
      <c r="H156" s="9" t="n"/>
      <c r="I156" s="9" t="n">
        <v>6</v>
      </c>
      <c r="J156" s="9" t="inlineStr">
        <is>
          <t>No</t>
        </is>
      </c>
      <c r="K156" s="9" t="inlineStr">
        <is>
          <t>PL 25 x 4,85</t>
        </is>
      </c>
      <c r="L156" s="9" t="n">
        <v>109016010</v>
      </c>
      <c r="M156" s="9" t="inlineStr">
        <is>
          <t>Sí</t>
        </is>
      </c>
    </row>
    <row r="157">
      <c r="A157" s="9" t="inlineStr">
        <is>
          <t>PLANA ASERRADA 32X4,85MM 6M A270ES (N)</t>
        </is>
      </c>
      <c r="B157" s="9" t="inlineStr">
        <is>
          <t>Plana</t>
        </is>
      </c>
      <c r="C157" s="9" t="inlineStr">
        <is>
          <t>32×4,85 mm · 6 m</t>
        </is>
      </c>
      <c r="D157" s="9" t="n"/>
      <c r="E157" s="9" t="n">
        <v>32</v>
      </c>
      <c r="F157" s="9" t="n">
        <v>4.85</v>
      </c>
      <c r="G157" s="9" t="n"/>
      <c r="H157" s="9" t="n"/>
      <c r="I157" s="9" t="n">
        <v>6</v>
      </c>
      <c r="J157" s="9" t="inlineStr">
        <is>
          <t>No</t>
        </is>
      </c>
      <c r="K157" s="9" t="inlineStr">
        <is>
          <t>PL 32 x 4,85</t>
        </is>
      </c>
      <c r="L157" s="9" t="n">
        <v>109016011</v>
      </c>
      <c r="M157" s="9" t="inlineStr">
        <is>
          <t>Sí</t>
        </is>
      </c>
    </row>
    <row r="158">
      <c r="A158" s="9" t="inlineStr">
        <is>
          <t>PLANA RESALTE 50X4 MM 11M A345 ES (N)</t>
        </is>
      </c>
      <c r="B158" s="9" t="inlineStr">
        <is>
          <t>Plana</t>
        </is>
      </c>
      <c r="C158" s="9" t="inlineStr">
        <is>
          <t>50×4 mm · 11 m</t>
        </is>
      </c>
      <c r="D158" s="9" t="n"/>
      <c r="E158" s="9" t="n">
        <v>50</v>
      </c>
      <c r="F158" s="9" t="n">
        <v>4</v>
      </c>
      <c r="G158" s="9" t="n"/>
      <c r="H158" s="9" t="n"/>
      <c r="I158" s="9" t="n">
        <v>11</v>
      </c>
      <c r="J158" s="9" t="inlineStr">
        <is>
          <t>No</t>
        </is>
      </c>
      <c r="K158" s="9" t="inlineStr">
        <is>
          <t>PL CR 50 x 4</t>
        </is>
      </c>
      <c r="L158" s="9" t="n">
        <v>119507263</v>
      </c>
      <c r="M158" s="9" t="inlineStr">
        <is>
          <t>Sí</t>
        </is>
      </c>
    </row>
    <row r="159">
      <c r="A159" s="9" t="inlineStr">
        <is>
          <t>ANG 45X45X4MM 12M ASTM A572 T2 (N)</t>
        </is>
      </c>
      <c r="B159" s="9" t="inlineStr">
        <is>
          <t>Ángulo</t>
        </is>
      </c>
      <c r="C159" s="9" t="inlineStr">
        <is>
          <t>45×45×4 mm · 12 m</t>
        </is>
      </c>
      <c r="D159" s="9" t="n"/>
      <c r="E159" s="9" t="n">
        <v>45</v>
      </c>
      <c r="F159" s="9" t="n">
        <v>4</v>
      </c>
      <c r="G159" s="9" t="n"/>
      <c r="H159" s="9" t="n"/>
      <c r="I159" s="9" t="n">
        <v>12</v>
      </c>
      <c r="J159" s="9" t="inlineStr">
        <is>
          <t>No</t>
        </is>
      </c>
      <c r="K159" s="9" t="inlineStr">
        <is>
          <t>ANG 45 x 5</t>
        </is>
      </c>
      <c r="L159" s="9" t="n">
        <v>119502813</v>
      </c>
      <c r="M159" s="9" t="inlineStr">
        <is>
          <t>Sí</t>
        </is>
      </c>
    </row>
    <row r="160">
      <c r="A160" s="9" t="inlineStr">
        <is>
          <t>ANG 50X50X4MM 12M ASTM A572 T2 (N)</t>
        </is>
      </c>
      <c r="B160" s="9" t="inlineStr">
        <is>
          <t>Ángulo</t>
        </is>
      </c>
      <c r="C160" s="9" t="inlineStr">
        <is>
          <t>50×50×4 mm · 12 m</t>
        </is>
      </c>
      <c r="D160" s="9" t="n"/>
      <c r="E160" s="9" t="n">
        <v>50</v>
      </c>
      <c r="F160" s="9" t="n">
        <v>4</v>
      </c>
      <c r="G160" s="9" t="n"/>
      <c r="H160" s="9" t="n"/>
      <c r="I160" s="9" t="n">
        <v>12</v>
      </c>
      <c r="J160" s="9" t="inlineStr">
        <is>
          <t>No</t>
        </is>
      </c>
      <c r="K160" s="9" t="inlineStr">
        <is>
          <t>ANG 50 x 4</t>
        </is>
      </c>
      <c r="L160" s="9" t="n">
        <v>119502814</v>
      </c>
      <c r="M160" s="9" t="inlineStr">
        <is>
          <t>Sí</t>
        </is>
      </c>
    </row>
    <row r="161">
      <c r="A161" s="9" t="inlineStr">
        <is>
          <t>ANG 50X50X5MM 12M ASTM A572 T2 (N)</t>
        </is>
      </c>
      <c r="B161" s="9" t="inlineStr">
        <is>
          <t>Ángulo</t>
        </is>
      </c>
      <c r="C161" s="9" t="inlineStr">
        <is>
          <t>50×50×5 mm · 12 m</t>
        </is>
      </c>
      <c r="D161" s="9" t="n"/>
      <c r="E161" s="9" t="n">
        <v>50</v>
      </c>
      <c r="F161" s="9" t="n">
        <v>5</v>
      </c>
      <c r="G161" s="9" t="n"/>
      <c r="H161" s="9" t="n"/>
      <c r="I161" s="9" t="n">
        <v>12</v>
      </c>
      <c r="J161" s="9" t="inlineStr">
        <is>
          <t>No</t>
        </is>
      </c>
      <c r="K161" s="9" t="inlineStr">
        <is>
          <t>ANG 50 x 5</t>
        </is>
      </c>
      <c r="L161" s="9" t="n">
        <v>119502815</v>
      </c>
      <c r="M161" s="9" t="inlineStr">
        <is>
          <t>Sí</t>
        </is>
      </c>
    </row>
    <row r="162">
      <c r="A162" s="9" t="inlineStr">
        <is>
          <t>ANG 60X60X5MM 12M ASTM A572 T2 (N)</t>
        </is>
      </c>
      <c r="B162" s="9" t="inlineStr">
        <is>
          <t>Ángulo</t>
        </is>
      </c>
      <c r="C162" s="9" t="inlineStr">
        <is>
          <t>60×60×5 mm · 12 m</t>
        </is>
      </c>
      <c r="D162" s="9" t="n"/>
      <c r="E162" s="9" t="n">
        <v>60</v>
      </c>
      <c r="F162" s="9" t="n">
        <v>5</v>
      </c>
      <c r="G162" s="9" t="n"/>
      <c r="H162" s="9" t="n"/>
      <c r="I162" s="9" t="n">
        <v>12</v>
      </c>
      <c r="J162" s="9" t="inlineStr">
        <is>
          <t>No</t>
        </is>
      </c>
      <c r="K162" s="9" t="inlineStr">
        <is>
          <t>ANG 60 x 5</t>
        </is>
      </c>
      <c r="L162" s="9" t="n">
        <v>119502816</v>
      </c>
      <c r="M162" s="9" t="inlineStr">
        <is>
          <t>Sí</t>
        </is>
      </c>
    </row>
    <row r="163">
      <c r="A163" s="9" t="inlineStr">
        <is>
          <t>ANG 60X60X6MM 12M ASTM A572 T2 (N)</t>
        </is>
      </c>
      <c r="B163" s="9" t="inlineStr">
        <is>
          <t>Ángulo</t>
        </is>
      </c>
      <c r="C163" s="9" t="inlineStr">
        <is>
          <t>60×60×6 mm · 12 m</t>
        </is>
      </c>
      <c r="D163" s="9" t="n"/>
      <c r="E163" s="9" t="n">
        <v>60</v>
      </c>
      <c r="F163" s="9" t="n">
        <v>6</v>
      </c>
      <c r="G163" s="9" t="n"/>
      <c r="H163" s="9" t="n"/>
      <c r="I163" s="9" t="n">
        <v>12</v>
      </c>
      <c r="J163" s="9" t="inlineStr">
        <is>
          <t>No</t>
        </is>
      </c>
      <c r="K163" s="9" t="inlineStr">
        <is>
          <t>ANG 60 x 6</t>
        </is>
      </c>
      <c r="L163" s="9" t="n">
        <v>119502944</v>
      </c>
      <c r="M163" s="9" t="inlineStr">
        <is>
          <t>Sí</t>
        </is>
      </c>
    </row>
    <row r="164">
      <c r="A164" s="9" t="inlineStr">
        <is>
          <t>ANG 65X65X5MM 12M ASTM A572 T2 (N)</t>
        </is>
      </c>
      <c r="B164" s="9" t="inlineStr">
        <is>
          <t>Ángulo</t>
        </is>
      </c>
      <c r="C164" s="9" t="inlineStr">
        <is>
          <t>65×65×5 mm · 12 m</t>
        </is>
      </c>
      <c r="D164" s="9" t="n"/>
      <c r="E164" s="9" t="n">
        <v>65</v>
      </c>
      <c r="F164" s="9" t="n">
        <v>5</v>
      </c>
      <c r="G164" s="9" t="n"/>
      <c r="H164" s="9" t="n"/>
      <c r="I164" s="9" t="n">
        <v>12</v>
      </c>
      <c r="J164" s="9" t="inlineStr">
        <is>
          <t>No</t>
        </is>
      </c>
      <c r="K164" s="9" t="inlineStr">
        <is>
          <t>ANG 65 x 5</t>
        </is>
      </c>
      <c r="L164" s="9" t="n">
        <v>119502817</v>
      </c>
      <c r="M164" s="9" t="inlineStr">
        <is>
          <t>Sí</t>
        </is>
      </c>
    </row>
    <row r="165">
      <c r="A165" s="9" t="inlineStr">
        <is>
          <t>ANG 75X75X6MM 12M ASTM A572 T2 (N)</t>
        </is>
      </c>
      <c r="B165" s="9" t="inlineStr">
        <is>
          <t>Ángulo</t>
        </is>
      </c>
      <c r="C165" s="9" t="inlineStr">
        <is>
          <t>75×75×6 mm · 12 m</t>
        </is>
      </c>
      <c r="D165" s="9" t="n"/>
      <c r="E165" s="9" t="n">
        <v>75</v>
      </c>
      <c r="F165" s="9" t="n">
        <v>6</v>
      </c>
      <c r="G165" s="9" t="n"/>
      <c r="H165" s="9" t="n"/>
      <c r="I165" s="9" t="n">
        <v>12</v>
      </c>
      <c r="J165" s="9" t="inlineStr">
        <is>
          <t>No</t>
        </is>
      </c>
      <c r="K165" s="9" t="inlineStr">
        <is>
          <t>ANG 75 x 6</t>
        </is>
      </c>
      <c r="L165" s="9" t="n">
        <v>119502820</v>
      </c>
      <c r="M165" s="9" t="inlineStr">
        <is>
          <t>Sí</t>
        </is>
      </c>
    </row>
    <row r="166">
      <c r="A166" s="9" t="inlineStr">
        <is>
          <t>ANG 80X80X6MM 12M ASTM A572 T2 (N)</t>
        </is>
      </c>
      <c r="B166" s="9" t="inlineStr">
        <is>
          <t>Ángulo</t>
        </is>
      </c>
      <c r="C166" s="9" t="inlineStr">
        <is>
          <t>80×80×6 mm · 12 m</t>
        </is>
      </c>
      <c r="D166" s="9" t="n"/>
      <c r="E166" s="9" t="n">
        <v>80</v>
      </c>
      <c r="F166" s="9" t="n">
        <v>6</v>
      </c>
      <c r="G166" s="9" t="n"/>
      <c r="H166" s="9" t="n"/>
      <c r="I166" s="9" t="n">
        <v>12</v>
      </c>
      <c r="J166" s="9" t="inlineStr">
        <is>
          <t>No</t>
        </is>
      </c>
      <c r="K166" s="9" t="inlineStr">
        <is>
          <t>ANG 80 x 6</t>
        </is>
      </c>
      <c r="L166" s="9" t="n">
        <v>119502821</v>
      </c>
      <c r="M166" s="9" t="inlineStr">
        <is>
          <t>Sí</t>
        </is>
      </c>
    </row>
    <row r="167">
      <c r="A167" s="9" t="inlineStr">
        <is>
          <t>ANGULO 20X20X3MM A270ES</t>
        </is>
      </c>
      <c r="B167" s="9" t="inlineStr">
        <is>
          <t>Ángulo</t>
        </is>
      </c>
      <c r="C167" s="9" t="inlineStr">
        <is>
          <t>20×20×3 mm · 12 m</t>
        </is>
      </c>
      <c r="D167" s="9" t="n"/>
      <c r="E167" s="9" t="n">
        <v>20</v>
      </c>
      <c r="F167" s="9" t="n">
        <v>3</v>
      </c>
      <c r="G167" s="9" t="n"/>
      <c r="H167" s="9" t="n"/>
      <c r="I167" s="9" t="n">
        <v>12</v>
      </c>
      <c r="J167" s="9" t="inlineStr">
        <is>
          <t>No</t>
        </is>
      </c>
      <c r="K167" s="9" t="inlineStr">
        <is>
          <t>ANG 20 x 3</t>
        </is>
      </c>
      <c r="L167" s="9" t="n">
        <v>106501016</v>
      </c>
      <c r="M167" s="9" t="inlineStr">
        <is>
          <t>Sí</t>
        </is>
      </c>
    </row>
    <row r="168">
      <c r="A168" s="9" t="inlineStr">
        <is>
          <t>ANGULO 25X25X3MM A270ES</t>
        </is>
      </c>
      <c r="B168" s="9" t="inlineStr">
        <is>
          <t>Ángulo</t>
        </is>
      </c>
      <c r="C168" s="9" t="inlineStr">
        <is>
          <t>25×25×3 mm · 12 m</t>
        </is>
      </c>
      <c r="D168" s="9" t="n"/>
      <c r="E168" s="9" t="n">
        <v>25</v>
      </c>
      <c r="F168" s="9" t="n">
        <v>3</v>
      </c>
      <c r="G168" s="9" t="n"/>
      <c r="H168" s="9" t="n"/>
      <c r="I168" s="9" t="n">
        <v>12</v>
      </c>
      <c r="J168" s="9" t="inlineStr">
        <is>
          <t>No</t>
        </is>
      </c>
      <c r="K168" s="9" t="inlineStr">
        <is>
          <t>ANG 25 x 3</t>
        </is>
      </c>
      <c r="L168" s="9" t="n">
        <v>106501017</v>
      </c>
      <c r="M168" s="9" t="inlineStr">
        <is>
          <t>Sí</t>
        </is>
      </c>
    </row>
    <row r="169">
      <c r="A169" s="9" t="inlineStr">
        <is>
          <t>ANGULO 25X25X5MM A270ES</t>
        </is>
      </c>
      <c r="B169" s="9" t="inlineStr">
        <is>
          <t>Ángulo</t>
        </is>
      </c>
      <c r="C169" s="9" t="inlineStr">
        <is>
          <t>25×25×5 mm · 12 m</t>
        </is>
      </c>
      <c r="D169" s="9" t="n"/>
      <c r="E169" s="9" t="n">
        <v>25</v>
      </c>
      <c r="F169" s="9" t="n">
        <v>5</v>
      </c>
      <c r="G169" s="9" t="n"/>
      <c r="H169" s="9" t="n"/>
      <c r="I169" s="9" t="n">
        <v>12</v>
      </c>
      <c r="J169" s="9" t="inlineStr">
        <is>
          <t>No</t>
        </is>
      </c>
      <c r="K169" s="9" t="inlineStr">
        <is>
          <t>ANG 25 x 5</t>
        </is>
      </c>
      <c r="L169" s="9" t="n">
        <v>106501812</v>
      </c>
      <c r="M169" s="9" t="inlineStr">
        <is>
          <t>Sí</t>
        </is>
      </c>
    </row>
    <row r="170">
      <c r="A170" s="9" t="inlineStr">
        <is>
          <t>ANGULO 30X30X3MM A270ES</t>
        </is>
      </c>
      <c r="B170" s="9" t="inlineStr">
        <is>
          <t>Ángulo</t>
        </is>
      </c>
      <c r="C170" s="9" t="inlineStr">
        <is>
          <t>30×30×3 mm · 6 m</t>
        </is>
      </c>
      <c r="D170" s="9" t="n"/>
      <c r="E170" s="9" t="n">
        <v>30</v>
      </c>
      <c r="F170" s="9" t="n">
        <v>3</v>
      </c>
      <c r="G170" s="9" t="n"/>
      <c r="H170" s="9" t="n"/>
      <c r="I170" s="9" t="n">
        <v>6</v>
      </c>
      <c r="J170" s="9" t="inlineStr">
        <is>
          <t>No</t>
        </is>
      </c>
      <c r="K170" s="9" t="inlineStr">
        <is>
          <t>ANG 30 x 3</t>
        </is>
      </c>
      <c r="L170" s="9" t="n">
        <v>106501029</v>
      </c>
      <c r="M170" s="9" t="inlineStr">
        <is>
          <t>Sí</t>
        </is>
      </c>
    </row>
    <row r="171">
      <c r="A171" s="9" t="inlineStr">
        <is>
          <t>ANGULO 30X30X5MM A270ES</t>
        </is>
      </c>
      <c r="B171" s="9" t="inlineStr">
        <is>
          <t>Ángulo</t>
        </is>
      </c>
      <c r="C171" s="9" t="inlineStr">
        <is>
          <t>30×30×5 mm · 6 m</t>
        </is>
      </c>
      <c r="D171" s="9" t="n"/>
      <c r="E171" s="9" t="n">
        <v>30</v>
      </c>
      <c r="F171" s="9" t="n">
        <v>5</v>
      </c>
      <c r="G171" s="9" t="n"/>
      <c r="H171" s="9" t="n"/>
      <c r="I171" s="9" t="n">
        <v>6</v>
      </c>
      <c r="J171" s="9" t="inlineStr">
        <is>
          <t>No</t>
        </is>
      </c>
      <c r="K171" s="9" t="inlineStr">
        <is>
          <t>ANG 30 x 5</t>
        </is>
      </c>
      <c r="L171" s="9" t="n">
        <v>106501813</v>
      </c>
      <c r="M171" s="9" t="inlineStr">
        <is>
          <t>Sí</t>
        </is>
      </c>
    </row>
    <row r="172">
      <c r="A172" s="9" t="inlineStr">
        <is>
          <t>ANGULO 40X40X3MM 6M A36 (AL)</t>
        </is>
      </c>
      <c r="B172" s="9" t="inlineStr">
        <is>
          <t>Ángulo</t>
        </is>
      </c>
      <c r="C172" s="9" t="inlineStr">
        <is>
          <t>40×40×3 mm · 6 m</t>
        </is>
      </c>
      <c r="D172" s="9" t="n"/>
      <c r="E172" s="9" t="n">
        <v>40</v>
      </c>
      <c r="F172" s="9" t="n">
        <v>3</v>
      </c>
      <c r="G172" s="9" t="n"/>
      <c r="H172" s="9" t="n"/>
      <c r="I172" s="9" t="n">
        <v>6</v>
      </c>
      <c r="J172" s="9" t="inlineStr">
        <is>
          <t>No</t>
        </is>
      </c>
      <c r="K172" s="9" t="inlineStr">
        <is>
          <t>ANG 40 X 3</t>
        </is>
      </c>
      <c r="L172" s="9" t="n">
        <v>119502602</v>
      </c>
      <c r="M172" s="9" t="inlineStr">
        <is>
          <t>Sí</t>
        </is>
      </c>
    </row>
    <row r="173">
      <c r="A173" s="9" t="inlineStr">
        <is>
          <t>ANGULO 40X40X3MM A270ES</t>
        </is>
      </c>
      <c r="B173" s="9" t="inlineStr">
        <is>
          <t>Ángulo</t>
        </is>
      </c>
      <c r="C173" s="9" t="inlineStr">
        <is>
          <t>40×40×3 mm · 6 m</t>
        </is>
      </c>
      <c r="D173" s="9" t="n"/>
      <c r="E173" s="9" t="n">
        <v>40</v>
      </c>
      <c r="F173" s="9" t="n">
        <v>3</v>
      </c>
      <c r="G173" s="9" t="n"/>
      <c r="H173" s="9" t="n"/>
      <c r="I173" s="9" t="n">
        <v>6</v>
      </c>
      <c r="J173" s="9" t="inlineStr">
        <is>
          <t>No</t>
        </is>
      </c>
      <c r="K173" s="9" t="inlineStr">
        <is>
          <t>ANG 40 x 3</t>
        </is>
      </c>
      <c r="L173" s="9" t="n">
        <v>106501033</v>
      </c>
      <c r="M173" s="9" t="inlineStr">
        <is>
          <t>Sí</t>
        </is>
      </c>
    </row>
    <row r="174">
      <c r="A174" s="9" t="inlineStr">
        <is>
          <t>ANGULO 40X40X4MM A270ES</t>
        </is>
      </c>
      <c r="B174" s="9" t="inlineStr">
        <is>
          <t>Ángulo</t>
        </is>
      </c>
      <c r="C174" s="9" t="inlineStr">
        <is>
          <t>40×40×4 mm · 6 m</t>
        </is>
      </c>
      <c r="D174" s="9" t="n"/>
      <c r="E174" s="9" t="n">
        <v>40</v>
      </c>
      <c r="F174" s="9" t="n">
        <v>4</v>
      </c>
      <c r="G174" s="9" t="n"/>
      <c r="H174" s="9" t="n"/>
      <c r="I174" s="9" t="n">
        <v>6</v>
      </c>
      <c r="J174" s="9" t="inlineStr">
        <is>
          <t>No</t>
        </is>
      </c>
      <c r="K174" s="9" t="inlineStr">
        <is>
          <t>ANG 40 x 4</t>
        </is>
      </c>
      <c r="L174" s="9" t="n">
        <v>106501034</v>
      </c>
      <c r="M174" s="9" t="inlineStr">
        <is>
          <t>Sí</t>
        </is>
      </c>
    </row>
    <row r="175">
      <c r="A175" s="9" t="inlineStr">
        <is>
          <t>ANGULO 40X40X5MM A270ES</t>
        </is>
      </c>
      <c r="B175" s="9" t="inlineStr">
        <is>
          <t>Ángulo</t>
        </is>
      </c>
      <c r="C175" s="9" t="inlineStr">
        <is>
          <t>40×40×5 mm · 6 m</t>
        </is>
      </c>
      <c r="D175" s="9" t="n"/>
      <c r="E175" s="9" t="n">
        <v>40</v>
      </c>
      <c r="F175" s="9" t="n">
        <v>5</v>
      </c>
      <c r="G175" s="9" t="n"/>
      <c r="H175" s="9" t="n"/>
      <c r="I175" s="9" t="n">
        <v>6</v>
      </c>
      <c r="J175" s="9" t="inlineStr">
        <is>
          <t>No</t>
        </is>
      </c>
      <c r="K175" s="9" t="inlineStr">
        <is>
          <t>ANG 40 x 5</t>
        </is>
      </c>
      <c r="L175" s="9" t="n">
        <v>106501035</v>
      </c>
      <c r="M175" s="9" t="inlineStr">
        <is>
          <t>Sí</t>
        </is>
      </c>
    </row>
    <row r="176">
      <c r="A176" s="9" t="inlineStr">
        <is>
          <t>ANGULO 50X50X3MM A270ES</t>
        </is>
      </c>
      <c r="B176" s="9" t="inlineStr">
        <is>
          <t>Ángulo</t>
        </is>
      </c>
      <c r="C176" s="9" t="inlineStr">
        <is>
          <t>50×50×3 mm · 6 m</t>
        </is>
      </c>
      <c r="D176" s="9" t="n"/>
      <c r="E176" s="9" t="n">
        <v>50</v>
      </c>
      <c r="F176" s="9" t="n">
        <v>3</v>
      </c>
      <c r="G176" s="9" t="n"/>
      <c r="H176" s="9" t="n"/>
      <c r="I176" s="9" t="n">
        <v>6</v>
      </c>
      <c r="J176" s="9" t="inlineStr">
        <is>
          <t>No</t>
        </is>
      </c>
      <c r="K176" s="9" t="inlineStr">
        <is>
          <t>ANG 50 x 3</t>
        </is>
      </c>
      <c r="L176" s="9" t="n">
        <v>106501038</v>
      </c>
      <c r="M176" s="9" t="inlineStr">
        <is>
          <t>Sí</t>
        </is>
      </c>
    </row>
    <row r="177">
      <c r="A177" s="9" t="inlineStr">
        <is>
          <t>ANGULO 50X50X4MM A270ES</t>
        </is>
      </c>
      <c r="B177" s="9" t="inlineStr">
        <is>
          <t>Ángulo</t>
        </is>
      </c>
      <c r="C177" s="9" t="inlineStr">
        <is>
          <t>50×50×4 mm · 6 m</t>
        </is>
      </c>
      <c r="D177" s="9" t="n"/>
      <c r="E177" s="9" t="n">
        <v>50</v>
      </c>
      <c r="F177" s="9" t="n">
        <v>4</v>
      </c>
      <c r="G177" s="9" t="n"/>
      <c r="H177" s="9" t="n"/>
      <c r="I177" s="9" t="n">
        <v>6</v>
      </c>
      <c r="J177" s="9" t="inlineStr">
        <is>
          <t>No</t>
        </is>
      </c>
      <c r="K177" s="9" t="inlineStr">
        <is>
          <t>ANG 50 x 4</t>
        </is>
      </c>
      <c r="L177" s="9" t="n">
        <v>106501036</v>
      </c>
      <c r="M177" s="9" t="inlineStr">
        <is>
          <t>Sí</t>
        </is>
      </c>
    </row>
    <row r="178">
      <c r="A178" s="9" t="inlineStr">
        <is>
          <t>ANGULO 50X50X5MM A270ES</t>
        </is>
      </c>
      <c r="B178" s="9" t="inlineStr">
        <is>
          <t>Ángulo</t>
        </is>
      </c>
      <c r="C178" s="9" t="inlineStr">
        <is>
          <t>50×50×5 mm · 6 m</t>
        </is>
      </c>
      <c r="D178" s="9" t="n"/>
      <c r="E178" s="9" t="n">
        <v>50</v>
      </c>
      <c r="F178" s="9" t="n">
        <v>5</v>
      </c>
      <c r="G178" s="9" t="n"/>
      <c r="H178" s="9" t="n"/>
      <c r="I178" s="9" t="n">
        <v>6</v>
      </c>
      <c r="J178" s="9" t="inlineStr">
        <is>
          <t>No</t>
        </is>
      </c>
      <c r="K178" s="9" t="inlineStr">
        <is>
          <t>ANG 50 x 5</t>
        </is>
      </c>
      <c r="L178" s="9" t="n">
        <v>106501037</v>
      </c>
      <c r="M178" s="9" t="inlineStr">
        <is>
          <t>Sí</t>
        </is>
      </c>
    </row>
    <row r="179">
      <c r="A179" s="9" t="inlineStr">
        <is>
          <t>ANGULO 50X50X6MM A270ES</t>
        </is>
      </c>
      <c r="B179" s="9" t="inlineStr">
        <is>
          <t>Ángulo</t>
        </is>
      </c>
      <c r="C179" s="9" t="inlineStr">
        <is>
          <t>50×50×6 mm · 6 m</t>
        </is>
      </c>
      <c r="D179" s="9" t="n"/>
      <c r="E179" s="9" t="n">
        <v>50</v>
      </c>
      <c r="F179" s="9" t="n">
        <v>6</v>
      </c>
      <c r="G179" s="9" t="n"/>
      <c r="H179" s="9" t="n"/>
      <c r="I179" s="9" t="n">
        <v>6</v>
      </c>
      <c r="J179" s="9" t="inlineStr">
        <is>
          <t>No</t>
        </is>
      </c>
      <c r="K179" s="9" t="inlineStr">
        <is>
          <t>ANG 50 x 6</t>
        </is>
      </c>
      <c r="L179" s="9" t="n">
        <v>106501044</v>
      </c>
      <c r="M179" s="9" t="inlineStr">
        <is>
          <t>Sí</t>
        </is>
      </c>
    </row>
    <row r="180">
      <c r="A180" s="9" t="inlineStr">
        <is>
          <t>ANGULO 65X65X10MM A270ES</t>
        </is>
      </c>
      <c r="B180" s="9" t="inlineStr">
        <is>
          <t>Ángulo</t>
        </is>
      </c>
      <c r="C180" s="9" t="inlineStr">
        <is>
          <t>65×65×10 mm · 6 m</t>
        </is>
      </c>
      <c r="D180" s="9" t="n"/>
      <c r="E180" s="9" t="n">
        <v>65</v>
      </c>
      <c r="F180" s="9" t="n">
        <v>10</v>
      </c>
      <c r="G180" s="9" t="n"/>
      <c r="H180" s="9" t="n"/>
      <c r="I180" s="9" t="n">
        <v>6</v>
      </c>
      <c r="J180" s="9" t="inlineStr">
        <is>
          <t>No</t>
        </is>
      </c>
      <c r="K180" s="9" t="inlineStr">
        <is>
          <t>ANG 65 x 10</t>
        </is>
      </c>
      <c r="L180" s="9" t="n">
        <v>106501052</v>
      </c>
      <c r="M180" s="9" t="inlineStr">
        <is>
          <t>Sí</t>
        </is>
      </c>
    </row>
    <row r="181">
      <c r="A181" s="9" t="inlineStr">
        <is>
          <t>ANGULO 65X65X5MM A270ES</t>
        </is>
      </c>
      <c r="B181" s="9" t="inlineStr">
        <is>
          <t>Ángulo</t>
        </is>
      </c>
      <c r="C181" s="9" t="inlineStr">
        <is>
          <t>65×65×5 mm · 6 m</t>
        </is>
      </c>
      <c r="D181" s="9" t="n"/>
      <c r="E181" s="9" t="n">
        <v>65</v>
      </c>
      <c r="F181" s="9" t="n">
        <v>5</v>
      </c>
      <c r="G181" s="9" t="n"/>
      <c r="H181" s="9" t="n"/>
      <c r="I181" s="9" t="n">
        <v>6</v>
      </c>
      <c r="J181" s="9" t="inlineStr">
        <is>
          <t>No</t>
        </is>
      </c>
      <c r="K181" s="9" t="inlineStr">
        <is>
          <t>ANG 65 x 5</t>
        </is>
      </c>
      <c r="L181" s="9" t="n">
        <v>106501053</v>
      </c>
      <c r="M181" s="9" t="inlineStr">
        <is>
          <t>Sí</t>
        </is>
      </c>
    </row>
    <row r="182">
      <c r="A182" s="9" t="inlineStr">
        <is>
          <t>ANGULO 65X65X6MM A270ES</t>
        </is>
      </c>
      <c r="B182" s="9" t="inlineStr">
        <is>
          <t>Ángulo</t>
        </is>
      </c>
      <c r="C182" s="9" t="inlineStr">
        <is>
          <t>65×65×6 mm · 6 m</t>
        </is>
      </c>
      <c r="D182" s="9" t="n"/>
      <c r="E182" s="9" t="n">
        <v>65</v>
      </c>
      <c r="F182" s="9" t="n">
        <v>6</v>
      </c>
      <c r="G182" s="9" t="n"/>
      <c r="H182" s="9" t="n"/>
      <c r="I182" s="9" t="n">
        <v>6</v>
      </c>
      <c r="J182" s="9" t="inlineStr">
        <is>
          <t>No</t>
        </is>
      </c>
      <c r="K182" s="9" t="inlineStr">
        <is>
          <t>ANG 65 x 6</t>
        </is>
      </c>
      <c r="L182" s="9" t="n">
        <v>106501057</v>
      </c>
      <c r="M182" s="9" t="inlineStr">
        <is>
          <t>Sí</t>
        </is>
      </c>
    </row>
    <row r="183">
      <c r="A183" s="9" t="inlineStr">
        <is>
          <t>ANGULO 65X65X8MM A270ES</t>
        </is>
      </c>
      <c r="B183" s="9" t="inlineStr">
        <is>
          <t>Ángulo</t>
        </is>
      </c>
      <c r="C183" s="9" t="inlineStr">
        <is>
          <t>65×65×8 mm · 6 m</t>
        </is>
      </c>
      <c r="D183" s="9" t="n"/>
      <c r="E183" s="9" t="n">
        <v>65</v>
      </c>
      <c r="F183" s="9" t="n">
        <v>8</v>
      </c>
      <c r="G183" s="9" t="n"/>
      <c r="H183" s="9" t="n"/>
      <c r="I183" s="9" t="n">
        <v>6</v>
      </c>
      <c r="J183" s="9" t="inlineStr">
        <is>
          <t>No</t>
        </is>
      </c>
      <c r="K183" s="9" t="inlineStr">
        <is>
          <t>ANG 65 x 8</t>
        </is>
      </c>
      <c r="L183" s="9" t="n">
        <v>106501051</v>
      </c>
      <c r="M183" s="9" t="inlineStr">
        <is>
          <t>Sí</t>
        </is>
      </c>
    </row>
    <row r="184">
      <c r="A184" s="9" t="inlineStr">
        <is>
          <t>ANGULO 80X80X10MM A270ES</t>
        </is>
      </c>
      <c r="B184" s="9" t="inlineStr">
        <is>
          <t>Ángulo</t>
        </is>
      </c>
      <c r="C184" s="9" t="inlineStr">
        <is>
          <t>80×80×10 mm · 6 m</t>
        </is>
      </c>
      <c r="D184" s="9" t="n"/>
      <c r="E184" s="9" t="n">
        <v>80</v>
      </c>
      <c r="F184" s="9" t="n">
        <v>10</v>
      </c>
      <c r="G184" s="9" t="n"/>
      <c r="H184" s="9" t="n"/>
      <c r="I184" s="9" t="n">
        <v>6</v>
      </c>
      <c r="J184" s="9" t="inlineStr">
        <is>
          <t>No</t>
        </is>
      </c>
      <c r="K184" s="9" t="inlineStr">
        <is>
          <t>ANG 80 x 10</t>
        </is>
      </c>
      <c r="L184" s="9" t="n">
        <v>106501048</v>
      </c>
      <c r="M184" s="9" t="inlineStr">
        <is>
          <t>Sí</t>
        </is>
      </c>
    </row>
    <row r="185">
      <c r="A185" s="9" t="inlineStr">
        <is>
          <t>ANGULO 80X80X12MM A270ES</t>
        </is>
      </c>
      <c r="B185" s="9" t="inlineStr">
        <is>
          <t>Ángulo</t>
        </is>
      </c>
      <c r="C185" s="9" t="inlineStr">
        <is>
          <t>80×80×12 mm · 6 m</t>
        </is>
      </c>
      <c r="D185" s="9" t="n"/>
      <c r="E185" s="9" t="n">
        <v>80</v>
      </c>
      <c r="F185" s="9" t="n">
        <v>12</v>
      </c>
      <c r="G185" s="9" t="n"/>
      <c r="H185" s="9" t="n"/>
      <c r="I185" s="9" t="n">
        <v>6</v>
      </c>
      <c r="J185" s="9" t="inlineStr">
        <is>
          <t>No</t>
        </is>
      </c>
      <c r="K185" s="9" t="inlineStr">
        <is>
          <t>ANG 80 x 12</t>
        </is>
      </c>
      <c r="L185" s="9" t="n">
        <v>106501046</v>
      </c>
      <c r="M185" s="9" t="inlineStr">
        <is>
          <t>Sí</t>
        </is>
      </c>
    </row>
    <row r="186">
      <c r="A186" s="9" t="inlineStr">
        <is>
          <t>ANGULO 80X80X6MM A270ES</t>
        </is>
      </c>
      <c r="B186" s="9" t="inlineStr">
        <is>
          <t>Ángulo</t>
        </is>
      </c>
      <c r="C186" s="9" t="inlineStr">
        <is>
          <t>80×80×6 mm · 6 m</t>
        </is>
      </c>
      <c r="D186" s="9" t="n"/>
      <c r="E186" s="9" t="n">
        <v>80</v>
      </c>
      <c r="F186" s="9" t="n">
        <v>6</v>
      </c>
      <c r="G186" s="9" t="n"/>
      <c r="H186" s="9" t="n"/>
      <c r="I186" s="9" t="n">
        <v>6</v>
      </c>
      <c r="J186" s="9" t="inlineStr">
        <is>
          <t>No</t>
        </is>
      </c>
      <c r="K186" s="9" t="inlineStr">
        <is>
          <t>ANG 80 x 6</t>
        </is>
      </c>
      <c r="L186" s="9" t="n">
        <v>106501050</v>
      </c>
      <c r="M186" s="9" t="inlineStr">
        <is>
          <t>Sí</t>
        </is>
      </c>
    </row>
    <row r="187">
      <c r="A187" s="9" t="inlineStr">
        <is>
          <t>ANGULO 80X80X8MM 12m A270ES</t>
        </is>
      </c>
      <c r="B187" s="9" t="inlineStr">
        <is>
          <t>Ángulo</t>
        </is>
      </c>
      <c r="C187" s="9" t="inlineStr">
        <is>
          <t>80×80×8 mm · 6 m</t>
        </is>
      </c>
      <c r="D187" s="9" t="n"/>
      <c r="E187" s="9" t="n">
        <v>80</v>
      </c>
      <c r="F187" s="9" t="n">
        <v>8</v>
      </c>
      <c r="G187" s="9" t="n"/>
      <c r="H187" s="9" t="n"/>
      <c r="I187" s="9" t="n">
        <v>6</v>
      </c>
      <c r="J187" s="9" t="inlineStr">
        <is>
          <t>No</t>
        </is>
      </c>
      <c r="K187" s="9" t="inlineStr">
        <is>
          <t>ANG 80 x 8</t>
        </is>
      </c>
      <c r="L187" s="9" t="n">
        <v>119502262</v>
      </c>
      <c r="M187" s="9" t="inlineStr">
        <is>
          <t>Sí</t>
        </is>
      </c>
    </row>
    <row r="188">
      <c r="A188" s="9" t="inlineStr">
        <is>
          <t>ANGULO 80X80X8MM A270ES</t>
        </is>
      </c>
      <c r="B188" s="9" t="inlineStr">
        <is>
          <t>Ángulo</t>
        </is>
      </c>
      <c r="C188" s="9" t="inlineStr">
        <is>
          <t>80×80×8 mm · 6 m</t>
        </is>
      </c>
      <c r="D188" s="9" t="n"/>
      <c r="E188" s="9" t="n">
        <v>80</v>
      </c>
      <c r="F188" s="9" t="n">
        <v>8</v>
      </c>
      <c r="G188" s="9" t="n"/>
      <c r="H188" s="9" t="n"/>
      <c r="I188" s="9" t="n">
        <v>6</v>
      </c>
      <c r="J188" s="9" t="inlineStr">
        <is>
          <t>No</t>
        </is>
      </c>
      <c r="K188" s="9" t="inlineStr">
        <is>
          <t>ANG 80 x 8</t>
        </is>
      </c>
      <c r="L188" s="9" t="n">
        <v>106501049</v>
      </c>
      <c r="M188" s="9" t="inlineStr">
        <is>
          <t>Sí</t>
        </is>
      </c>
    </row>
    <row r="189">
      <c r="A189" s="9" t="inlineStr">
        <is>
          <t>CUADRADO 10MM 6M COMERCIAL (N)</t>
        </is>
      </c>
      <c r="B189" s="9" t="inlineStr">
        <is>
          <t>Cuadrado</t>
        </is>
      </c>
      <c r="C189" s="9" t="inlineStr">
        <is>
          <t>10 mm · 6 m</t>
        </is>
      </c>
      <c r="D189" s="9" t="n"/>
      <c r="E189" s="9" t="n"/>
      <c r="F189" s="9" t="n"/>
      <c r="G189" s="9" t="n">
        <v>10</v>
      </c>
      <c r="H189" s="9" t="n"/>
      <c r="I189" s="9" t="n">
        <v>6</v>
      </c>
      <c r="J189" s="9" t="inlineStr">
        <is>
          <t>No</t>
        </is>
      </c>
      <c r="K189" s="9" t="inlineStr">
        <is>
          <t>CUAD 10</t>
        </is>
      </c>
      <c r="L189" s="9" t="n">
        <v>109007066</v>
      </c>
      <c r="M189" s="9" t="inlineStr">
        <is>
          <t>Sí</t>
        </is>
      </c>
    </row>
    <row r="190">
      <c r="A190" s="9" t="inlineStr">
        <is>
          <t>CUADRADO 12MM 6M COMERCIAL (N)</t>
        </is>
      </c>
      <c r="B190" s="9" t="inlineStr">
        <is>
          <t>Cuadrado</t>
        </is>
      </c>
      <c r="C190" s="9" t="inlineStr">
        <is>
          <t>12 mm · 6 m</t>
        </is>
      </c>
      <c r="D190" s="9" t="n"/>
      <c r="E190" s="9" t="n"/>
      <c r="F190" s="9" t="n"/>
      <c r="G190" s="9" t="n">
        <v>12</v>
      </c>
      <c r="H190" s="9" t="n"/>
      <c r="I190" s="9" t="n">
        <v>6</v>
      </c>
      <c r="J190" s="9" t="inlineStr">
        <is>
          <t>No</t>
        </is>
      </c>
      <c r="K190" s="9" t="inlineStr">
        <is>
          <t>CUAD 12</t>
        </is>
      </c>
      <c r="L190" s="9" t="n">
        <v>109007065</v>
      </c>
      <c r="M190" s="9" t="inlineStr">
        <is>
          <t>Sí</t>
        </is>
      </c>
    </row>
    <row r="191">
      <c r="A191" s="9" t="inlineStr">
        <is>
          <t>CUADRADO 14MM 6M COMERCIAL (N)</t>
        </is>
      </c>
      <c r="B191" s="9" t="inlineStr">
        <is>
          <t>Cuadrado</t>
        </is>
      </c>
      <c r="C191" s="9" t="inlineStr">
        <is>
          <t>14 mm · 6 m</t>
        </is>
      </c>
      <c r="D191" s="9" t="n"/>
      <c r="E191" s="9" t="n"/>
      <c r="F191" s="9" t="n"/>
      <c r="G191" s="9" t="n">
        <v>14</v>
      </c>
      <c r="H191" s="9" t="n"/>
      <c r="I191" s="9" t="n">
        <v>6</v>
      </c>
      <c r="J191" s="9" t="inlineStr">
        <is>
          <t>No</t>
        </is>
      </c>
      <c r="K191" s="9" t="inlineStr">
        <is>
          <t>CUAD 14</t>
        </is>
      </c>
      <c r="L191" s="9" t="n">
        <v>109007064</v>
      </c>
      <c r="M191" s="9" t="inlineStr">
        <is>
          <t>Sí</t>
        </is>
      </c>
    </row>
    <row r="192">
      <c r="A192" s="9" t="inlineStr">
        <is>
          <t>CUADRADO 16MM 6M COMERCIAL (N)</t>
        </is>
      </c>
      <c r="B192" s="9" t="inlineStr">
        <is>
          <t>Cuadrado</t>
        </is>
      </c>
      <c r="C192" s="9" t="inlineStr">
        <is>
          <t>16 mm · 6 m</t>
        </is>
      </c>
      <c r="D192" s="9" t="n"/>
      <c r="E192" s="9" t="n"/>
      <c r="F192" s="9" t="n"/>
      <c r="G192" s="9" t="n">
        <v>16</v>
      </c>
      <c r="H192" s="9" t="n"/>
      <c r="I192" s="9" t="n">
        <v>6</v>
      </c>
      <c r="J192" s="9" t="inlineStr">
        <is>
          <t>No</t>
        </is>
      </c>
      <c r="K192" s="9" t="inlineStr">
        <is>
          <t>CUAD 16</t>
        </is>
      </c>
      <c r="L192" s="9" t="n">
        <v>109007062</v>
      </c>
      <c r="M192" s="9" t="inlineStr">
        <is>
          <t>Sí</t>
        </is>
      </c>
    </row>
    <row r="193">
      <c r="A193" s="9" t="inlineStr">
        <is>
          <t>CUADRADO 18MM 6M COMERCIAL (N)</t>
        </is>
      </c>
      <c r="B193" s="9" t="inlineStr">
        <is>
          <t>Cuadrado</t>
        </is>
      </c>
      <c r="C193" s="9" t="inlineStr">
        <is>
          <t>18 mm · 6 m</t>
        </is>
      </c>
      <c r="D193" s="9" t="n"/>
      <c r="E193" s="9" t="n"/>
      <c r="F193" s="9" t="n"/>
      <c r="G193" s="9" t="n">
        <v>18</v>
      </c>
      <c r="H193" s="9" t="n"/>
      <c r="I193" s="9" t="n">
        <v>6</v>
      </c>
      <c r="J193" s="9" t="inlineStr">
        <is>
          <t>No</t>
        </is>
      </c>
      <c r="K193" s="9" t="inlineStr">
        <is>
          <t>CUAD 18</t>
        </is>
      </c>
      <c r="L193" s="9" t="n">
        <v>109007068</v>
      </c>
      <c r="M193" s="9" t="inlineStr">
        <is>
          <t>Sí</t>
        </is>
      </c>
    </row>
    <row r="194">
      <c r="A194" s="9" t="inlineStr">
        <is>
          <t>CUADRADO 25MM 6M COMERCIAL (N)</t>
        </is>
      </c>
      <c r="B194" s="9" t="inlineStr">
        <is>
          <t>Cuadrado</t>
        </is>
      </c>
      <c r="C194" s="9" t="inlineStr">
        <is>
          <t>25 mm · 6 m</t>
        </is>
      </c>
      <c r="D194" s="9" t="n"/>
      <c r="E194" s="9" t="n"/>
      <c r="F194" s="9" t="n"/>
      <c r="G194" s="9" t="n">
        <v>25</v>
      </c>
      <c r="H194" s="9" t="n"/>
      <c r="I194" s="9" t="n">
        <v>6</v>
      </c>
      <c r="J194" s="9" t="inlineStr">
        <is>
          <t>No</t>
        </is>
      </c>
      <c r="K194" s="9" t="inlineStr">
        <is>
          <t>CUAD 25</t>
        </is>
      </c>
      <c r="L194" s="9" t="n">
        <v>109007061</v>
      </c>
      <c r="M194" s="9" t="inlineStr">
        <is>
          <t>Sí</t>
        </is>
      </c>
    </row>
    <row r="195">
      <c r="A195" s="9" t="inlineStr">
        <is>
          <t>SAFEROCK 19MM 10,5M A520</t>
        </is>
      </c>
      <c r="B195" s="9" t="inlineStr">
        <is>
          <t>Saferock</t>
        </is>
      </c>
      <c r="C195" s="9" t="inlineStr">
        <is>
          <t>Ø19 mm · 10,5 m</t>
        </is>
      </c>
      <c r="D195" s="9" t="n">
        <v>19</v>
      </c>
      <c r="E195" s="9" t="n"/>
      <c r="F195" s="9" t="n"/>
      <c r="G195" s="9" t="n"/>
      <c r="H195" s="9" t="n"/>
      <c r="I195" s="9" t="n">
        <v>10.5</v>
      </c>
      <c r="J195" s="9" t="inlineStr">
        <is>
          <t>No</t>
        </is>
      </c>
      <c r="K195" s="9" t="inlineStr">
        <is>
          <t>SFRCK 19</t>
        </is>
      </c>
      <c r="L195" s="9" t="n">
        <v>119505900</v>
      </c>
      <c r="M195" s="9" t="inlineStr">
        <is>
          <t>Sí</t>
        </is>
      </c>
    </row>
    <row r="196">
      <c r="A196" s="9" t="inlineStr">
        <is>
          <t>SAFEROCK 19MM 11,96M A520</t>
        </is>
      </c>
      <c r="B196" s="9" t="inlineStr">
        <is>
          <t>Saferock</t>
        </is>
      </c>
      <c r="C196" s="9" t="inlineStr">
        <is>
          <t>Ø19 mm · 6 m</t>
        </is>
      </c>
      <c r="D196" s="9" t="n">
        <v>19</v>
      </c>
      <c r="E196" s="9" t="n"/>
      <c r="F196" s="9" t="n"/>
      <c r="G196" s="9" t="n"/>
      <c r="H196" s="9" t="n"/>
      <c r="I196" s="9" t="n">
        <v>6</v>
      </c>
      <c r="J196" s="9" t="inlineStr">
        <is>
          <t>No</t>
        </is>
      </c>
      <c r="K196" s="9" t="inlineStr">
        <is>
          <t>SFRCK 19</t>
        </is>
      </c>
      <c r="L196" s="9" t="n">
        <v>119505901</v>
      </c>
      <c r="M196" s="9" t="inlineStr">
        <is>
          <t>Sí</t>
        </is>
      </c>
    </row>
    <row r="197">
      <c r="A197" s="9" t="inlineStr">
        <is>
          <t>SAFEROCK 22MM 10,5M A280</t>
        </is>
      </c>
      <c r="B197" s="9" t="inlineStr">
        <is>
          <t>Saferock</t>
        </is>
      </c>
      <c r="C197" s="9" t="inlineStr">
        <is>
          <t>Ø22 mm · 10,5 m</t>
        </is>
      </c>
      <c r="D197" s="9" t="n">
        <v>22</v>
      </c>
      <c r="E197" s="9" t="n"/>
      <c r="F197" s="9" t="n"/>
      <c r="G197" s="9" t="n"/>
      <c r="H197" s="9" t="n"/>
      <c r="I197" s="9" t="n">
        <v>10.5</v>
      </c>
      <c r="J197" s="9" t="inlineStr">
        <is>
          <t>No</t>
        </is>
      </c>
      <c r="K197" s="9" t="inlineStr">
        <is>
          <t>SFRCK 22</t>
        </is>
      </c>
      <c r="L197" s="9" t="n">
        <v>106501802</v>
      </c>
      <c r="M197" s="9" t="inlineStr">
        <is>
          <t>Sí</t>
        </is>
      </c>
    </row>
    <row r="198">
      <c r="A198" s="9" t="inlineStr">
        <is>
          <t>SAFEROCK 22MM 10,5M A280D</t>
        </is>
      </c>
      <c r="B198" s="9" t="inlineStr">
        <is>
          <t>Saferock</t>
        </is>
      </c>
      <c r="C198" s="9" t="inlineStr">
        <is>
          <t>Ø22 mm · 10,5 m</t>
        </is>
      </c>
      <c r="D198" s="9" t="n">
        <v>22</v>
      </c>
      <c r="E198" s="9" t="n"/>
      <c r="F198" s="9" t="n"/>
      <c r="G198" s="9" t="n"/>
      <c r="H198" s="9" t="n"/>
      <c r="I198" s="9" t="n">
        <v>10.5</v>
      </c>
      <c r="J198" s="9" t="inlineStr">
        <is>
          <t>No</t>
        </is>
      </c>
      <c r="K198" s="9" t="inlineStr">
        <is>
          <t>SFRCK 22</t>
        </is>
      </c>
      <c r="L198" s="9" t="n">
        <v>119506836</v>
      </c>
      <c r="M198" s="9" t="inlineStr">
        <is>
          <t>Sí</t>
        </is>
      </c>
    </row>
    <row r="199">
      <c r="A199" s="9" t="inlineStr">
        <is>
          <t>SAFEROCK 22MM 10,5M A520</t>
        </is>
      </c>
      <c r="B199" s="9" t="inlineStr">
        <is>
          <t>Saferock</t>
        </is>
      </c>
      <c r="C199" s="9" t="inlineStr">
        <is>
          <t>Ø22 mm · 10,5 m</t>
        </is>
      </c>
      <c r="D199" s="9" t="n">
        <v>22</v>
      </c>
      <c r="E199" s="9" t="n"/>
      <c r="F199" s="9" t="n"/>
      <c r="G199" s="9" t="n"/>
      <c r="H199" s="9" t="n"/>
      <c r="I199" s="9" t="n">
        <v>10.5</v>
      </c>
      <c r="J199" s="9" t="inlineStr">
        <is>
          <t>No</t>
        </is>
      </c>
      <c r="K199" s="9" t="inlineStr">
        <is>
          <t>SFRCK 22</t>
        </is>
      </c>
      <c r="L199" s="9" t="n">
        <v>119506835</v>
      </c>
      <c r="M199" s="9" t="inlineStr">
        <is>
          <t>Sí</t>
        </is>
      </c>
    </row>
    <row r="200">
      <c r="A200" s="9" t="inlineStr">
        <is>
          <t>SAFEROCK 22MM 10,8M A280</t>
        </is>
      </c>
      <c r="B200" s="9" t="inlineStr">
        <is>
          <t>Saferock</t>
        </is>
      </c>
      <c r="C200" s="9" t="inlineStr">
        <is>
          <t>Ø22 mm · 10,8 m</t>
        </is>
      </c>
      <c r="D200" s="9" t="n">
        <v>22</v>
      </c>
      <c r="E200" s="9" t="n"/>
      <c r="F200" s="9" t="n"/>
      <c r="G200" s="9" t="n"/>
      <c r="H200" s="9" t="n"/>
      <c r="I200" s="9" t="n">
        <v>10.8</v>
      </c>
      <c r="J200" s="9" t="inlineStr">
        <is>
          <t>No</t>
        </is>
      </c>
      <c r="K200" s="9" t="inlineStr">
        <is>
          <t>SFRCK 22</t>
        </is>
      </c>
      <c r="L200" s="9" t="n">
        <v>119502095</v>
      </c>
      <c r="M200" s="9" t="inlineStr">
        <is>
          <t>Sí</t>
        </is>
      </c>
    </row>
    <row r="201">
      <c r="A201" s="9" t="inlineStr">
        <is>
          <t>SAFEROCK 22MM 10.5M A280</t>
        </is>
      </c>
      <c r="B201" s="9" t="inlineStr">
        <is>
          <t>Saferock</t>
        </is>
      </c>
      <c r="C201" s="9" t="inlineStr">
        <is>
          <t>Ø22 mm · 10,5 m</t>
        </is>
      </c>
      <c r="D201" s="9" t="n">
        <v>22</v>
      </c>
      <c r="E201" s="9" t="n"/>
      <c r="F201" s="9" t="n"/>
      <c r="G201" s="9" t="n"/>
      <c r="H201" s="9" t="n"/>
      <c r="I201" s="9" t="n">
        <v>10.5</v>
      </c>
      <c r="J201" s="9" t="inlineStr">
        <is>
          <t>No</t>
        </is>
      </c>
      <c r="K201" s="9" t="inlineStr">
        <is>
          <t>SFRCK 22</t>
        </is>
      </c>
      <c r="L201" s="9" t="n">
        <v>106043321</v>
      </c>
      <c r="M201" s="9" t="inlineStr">
        <is>
          <t>Sí</t>
        </is>
      </c>
    </row>
    <row r="202">
      <c r="A202" s="9" t="inlineStr">
        <is>
          <t>SAFEROCK 22MM 10M A280</t>
        </is>
      </c>
      <c r="B202" s="9" t="inlineStr">
        <is>
          <t>Saferock</t>
        </is>
      </c>
      <c r="C202" s="9" t="inlineStr">
        <is>
          <t>Ø22 mm · 10 m</t>
        </is>
      </c>
      <c r="D202" s="9" t="n">
        <v>22</v>
      </c>
      <c r="E202" s="9" t="n"/>
      <c r="F202" s="9" t="n"/>
      <c r="G202" s="9" t="n"/>
      <c r="H202" s="9" t="n"/>
      <c r="I202" s="9" t="n">
        <v>10</v>
      </c>
      <c r="J202" s="9" t="inlineStr">
        <is>
          <t>No</t>
        </is>
      </c>
      <c r="K202" s="9" t="inlineStr">
        <is>
          <t>SFRCK 22</t>
        </is>
      </c>
      <c r="L202" s="9" t="n">
        <v>106043322</v>
      </c>
      <c r="M202" s="9" t="inlineStr">
        <is>
          <t>Sí</t>
        </is>
      </c>
    </row>
    <row r="203">
      <c r="A203" s="9" t="inlineStr">
        <is>
          <t>SAFEROCK 22MM 10M A420</t>
        </is>
      </c>
      <c r="B203" s="9" t="inlineStr">
        <is>
          <t>Saferock</t>
        </is>
      </c>
      <c r="C203" s="9" t="inlineStr">
        <is>
          <t>Ø22 mm · 10 m</t>
        </is>
      </c>
      <c r="D203" s="9" t="n">
        <v>22</v>
      </c>
      <c r="E203" s="9" t="n"/>
      <c r="F203" s="9" t="n"/>
      <c r="G203" s="9" t="n"/>
      <c r="H203" s="9" t="n"/>
      <c r="I203" s="9" t="n">
        <v>10</v>
      </c>
      <c r="J203" s="9" t="inlineStr">
        <is>
          <t>No</t>
        </is>
      </c>
      <c r="K203" s="9" t="inlineStr">
        <is>
          <t>SFRCK 22</t>
        </is>
      </c>
      <c r="L203" s="9" t="n">
        <v>106047305</v>
      </c>
      <c r="M203" s="9" t="inlineStr">
        <is>
          <t>Sí</t>
        </is>
      </c>
    </row>
    <row r="204">
      <c r="A204" s="9" t="inlineStr">
        <is>
          <t>SAFEROCK 22MM 11,96M A520</t>
        </is>
      </c>
      <c r="B204" s="9" t="inlineStr">
        <is>
          <t>Saferock</t>
        </is>
      </c>
      <c r="C204" s="9" t="inlineStr">
        <is>
          <t>Ø22 mm · 6 m</t>
        </is>
      </c>
      <c r="D204" s="9" t="n">
        <v>22</v>
      </c>
      <c r="E204" s="9" t="n"/>
      <c r="F204" s="9" t="n"/>
      <c r="G204" s="9" t="n"/>
      <c r="H204" s="9" t="n"/>
      <c r="I204" s="9" t="n">
        <v>6</v>
      </c>
      <c r="J204" s="9" t="inlineStr">
        <is>
          <t>No</t>
        </is>
      </c>
      <c r="K204" s="9" t="inlineStr">
        <is>
          <t>SFRCK 22</t>
        </is>
      </c>
      <c r="L204" s="9" t="n">
        <v>119506375</v>
      </c>
      <c r="M204" s="9" t="inlineStr">
        <is>
          <t>Sí</t>
        </is>
      </c>
    </row>
    <row r="205">
      <c r="A205" s="9" t="inlineStr">
        <is>
          <t>SAFEROCK 22MM 12M A280</t>
        </is>
      </c>
      <c r="B205" s="9" t="inlineStr">
        <is>
          <t>Saferock</t>
        </is>
      </c>
      <c r="C205" s="9" t="inlineStr">
        <is>
          <t>Ø22 mm · 12 m</t>
        </is>
      </c>
      <c r="D205" s="9" t="n">
        <v>22</v>
      </c>
      <c r="E205" s="9" t="n"/>
      <c r="F205" s="9" t="n"/>
      <c r="G205" s="9" t="n"/>
      <c r="H205" s="9" t="n"/>
      <c r="I205" s="9" t="n">
        <v>12</v>
      </c>
      <c r="J205" s="9" t="inlineStr">
        <is>
          <t>No</t>
        </is>
      </c>
      <c r="K205" s="9" t="inlineStr">
        <is>
          <t>SFRCK 22</t>
        </is>
      </c>
      <c r="L205" s="9" t="n">
        <v>106025569</v>
      </c>
      <c r="M205" s="9" t="inlineStr">
        <is>
          <t>Sí</t>
        </is>
      </c>
    </row>
    <row r="206">
      <c r="A206" s="9" t="inlineStr">
        <is>
          <t>SAFEROCK 22MM 12M A280D</t>
        </is>
      </c>
      <c r="B206" s="9" t="inlineStr">
        <is>
          <t>Saferock</t>
        </is>
      </c>
      <c r="C206" s="9" t="inlineStr">
        <is>
          <t>Ø22 mm · 12 m</t>
        </is>
      </c>
      <c r="D206" s="9" t="n">
        <v>22</v>
      </c>
      <c r="E206" s="9" t="n"/>
      <c r="F206" s="9" t="n"/>
      <c r="G206" s="9" t="n"/>
      <c r="H206" s="9" t="n"/>
      <c r="I206" s="9" t="n">
        <v>12</v>
      </c>
      <c r="J206" s="9" t="inlineStr">
        <is>
          <t>No</t>
        </is>
      </c>
      <c r="K206" s="9" t="inlineStr">
        <is>
          <t>SFRCK 22</t>
        </is>
      </c>
      <c r="L206" s="9" t="n">
        <v>119506901</v>
      </c>
      <c r="M206" s="9" t="inlineStr">
        <is>
          <t>Sí</t>
        </is>
      </c>
    </row>
    <row r="207">
      <c r="A207" s="9" t="inlineStr">
        <is>
          <t>SAFEROCK 22MM 12M A420</t>
        </is>
      </c>
      <c r="B207" s="9" t="inlineStr">
        <is>
          <t>Saferock</t>
        </is>
      </c>
      <c r="C207" s="9" t="inlineStr">
        <is>
          <t>Ø22 mm · 12 m</t>
        </is>
      </c>
      <c r="D207" s="9" t="n">
        <v>22</v>
      </c>
      <c r="E207" s="9" t="n"/>
      <c r="F207" s="9" t="n"/>
      <c r="G207" s="9" t="n"/>
      <c r="H207" s="9" t="n"/>
      <c r="I207" s="9" t="n">
        <v>12</v>
      </c>
      <c r="J207" s="9" t="inlineStr">
        <is>
          <t>No</t>
        </is>
      </c>
      <c r="K207" s="9" t="inlineStr">
        <is>
          <t>SFRCK 22</t>
        </is>
      </c>
      <c r="L207" s="9" t="n">
        <v>106025567</v>
      </c>
      <c r="M207" s="9" t="inlineStr">
        <is>
          <t>Sí</t>
        </is>
      </c>
    </row>
    <row r="208">
      <c r="A208" s="9" t="inlineStr">
        <is>
          <t>SAFEROCK 22MM 12M A520</t>
        </is>
      </c>
      <c r="B208" s="9" t="inlineStr">
        <is>
          <t>Saferock</t>
        </is>
      </c>
      <c r="C208" s="9" t="inlineStr">
        <is>
          <t>Ø22 mm · 12 m</t>
        </is>
      </c>
      <c r="D208" s="9" t="n">
        <v>22</v>
      </c>
      <c r="E208" s="9" t="n"/>
      <c r="F208" s="9" t="n"/>
      <c r="G208" s="9" t="n"/>
      <c r="H208" s="9" t="n"/>
      <c r="I208" s="9" t="n">
        <v>12</v>
      </c>
      <c r="J208" s="9" t="inlineStr">
        <is>
          <t>No</t>
        </is>
      </c>
      <c r="K208" s="9" t="inlineStr">
        <is>
          <t>SFRCK 22</t>
        </is>
      </c>
      <c r="L208" s="9" t="n">
        <v>119506376</v>
      </c>
      <c r="M208" s="9" t="inlineStr">
        <is>
          <t>Sí</t>
        </is>
      </c>
    </row>
    <row r="209">
      <c r="A209" s="9" t="inlineStr">
        <is>
          <t>SAFEROCK 22MM 6M A280</t>
        </is>
      </c>
      <c r="B209" s="9" t="inlineStr">
        <is>
          <t>Saferock</t>
        </is>
      </c>
      <c r="C209" s="9" t="inlineStr">
        <is>
          <t>Ø22 mm · 6 m</t>
        </is>
      </c>
      <c r="D209" s="9" t="n">
        <v>22</v>
      </c>
      <c r="E209" s="9" t="n"/>
      <c r="F209" s="9" t="n"/>
      <c r="G209" s="9" t="n"/>
      <c r="H209" s="9" t="n"/>
      <c r="I209" s="9" t="n">
        <v>6</v>
      </c>
      <c r="J209" s="9" t="inlineStr">
        <is>
          <t>No</t>
        </is>
      </c>
      <c r="K209" s="9" t="inlineStr">
        <is>
          <t>SFRCK 22</t>
        </is>
      </c>
      <c r="L209" s="9" t="n">
        <v>106025587</v>
      </c>
      <c r="M209" s="9" t="inlineStr">
        <is>
          <t>Sí</t>
        </is>
      </c>
    </row>
    <row r="210">
      <c r="A210" s="9" t="inlineStr">
        <is>
          <t>SAFEROCK 22MM 9,6M A280</t>
        </is>
      </c>
      <c r="B210" s="9" t="inlineStr">
        <is>
          <t>Saferock</t>
        </is>
      </c>
      <c r="C210" s="9" t="inlineStr">
        <is>
          <t>Ø22 mm · 9,6 m</t>
        </is>
      </c>
      <c r="D210" s="9" t="n">
        <v>22</v>
      </c>
      <c r="E210" s="9" t="n"/>
      <c r="F210" s="9" t="n"/>
      <c r="G210" s="9" t="n"/>
      <c r="H210" s="9" t="n"/>
      <c r="I210" s="9" t="n">
        <v>9.6</v>
      </c>
      <c r="J210" s="9" t="inlineStr">
        <is>
          <t>No</t>
        </is>
      </c>
      <c r="K210" s="9" t="inlineStr">
        <is>
          <t>SFRCK 22</t>
        </is>
      </c>
      <c r="L210" s="9" t="n">
        <v>106503248</v>
      </c>
      <c r="M210" s="9" t="inlineStr">
        <is>
          <t>Sí</t>
        </is>
      </c>
    </row>
    <row r="211">
      <c r="A211" s="9" t="inlineStr">
        <is>
          <t>SAFEROCK 22MM 9,6M A420</t>
        </is>
      </c>
      <c r="B211" s="9" t="inlineStr">
        <is>
          <t>Saferock</t>
        </is>
      </c>
      <c r="C211" s="9" t="inlineStr">
        <is>
          <t>Ø22 mm · 9,6 m</t>
        </is>
      </c>
      <c r="D211" s="9" t="n">
        <v>22</v>
      </c>
      <c r="E211" s="9" t="n"/>
      <c r="F211" s="9" t="n"/>
      <c r="G211" s="9" t="n"/>
      <c r="H211" s="9" t="n"/>
      <c r="I211" s="9" t="n">
        <v>9.6</v>
      </c>
      <c r="J211" s="9" t="inlineStr">
        <is>
          <t>No</t>
        </is>
      </c>
      <c r="K211" s="9" t="inlineStr">
        <is>
          <t>SFRCK 22</t>
        </is>
      </c>
      <c r="L211" s="9" t="n">
        <v>106025529</v>
      </c>
      <c r="M211" s="9" t="inlineStr">
        <is>
          <t>Sí</t>
        </is>
      </c>
    </row>
    <row r="212">
      <c r="A212" s="9" t="inlineStr">
        <is>
          <t>SAFEROCK 25MM 10,5M A280</t>
        </is>
      </c>
      <c r="B212" s="9" t="inlineStr">
        <is>
          <t>Saferock</t>
        </is>
      </c>
      <c r="C212" s="9" t="inlineStr">
        <is>
          <t>Ø25 mm · 10,5 m</t>
        </is>
      </c>
      <c r="D212" s="9" t="n">
        <v>25</v>
      </c>
      <c r="E212" s="9" t="n"/>
      <c r="F212" s="9" t="n"/>
      <c r="G212" s="9" t="n"/>
      <c r="H212" s="9" t="n"/>
      <c r="I212" s="9" t="n">
        <v>10.5</v>
      </c>
      <c r="J212" s="9" t="inlineStr">
        <is>
          <t>No</t>
        </is>
      </c>
      <c r="K212" s="9" t="inlineStr">
        <is>
          <t>SFR 25</t>
        </is>
      </c>
      <c r="L212" s="9" t="n">
        <v>106503215</v>
      </c>
      <c r="M212" s="9" t="inlineStr">
        <is>
          <t>Sí</t>
        </is>
      </c>
    </row>
    <row r="213">
      <c r="A213" s="9" t="inlineStr">
        <is>
          <t>SAFEROCK 25MM 10,5M A420</t>
        </is>
      </c>
      <c r="B213" s="9" t="inlineStr">
        <is>
          <t>Saferock</t>
        </is>
      </c>
      <c r="C213" s="9" t="inlineStr">
        <is>
          <t>Ø25 mm · 10,5 m</t>
        </is>
      </c>
      <c r="D213" s="9" t="n">
        <v>25</v>
      </c>
      <c r="E213" s="9" t="n"/>
      <c r="F213" s="9" t="n"/>
      <c r="G213" s="9" t="n"/>
      <c r="H213" s="9" t="n"/>
      <c r="I213" s="9" t="n">
        <v>10.5</v>
      </c>
      <c r="J213" s="9" t="inlineStr">
        <is>
          <t>No</t>
        </is>
      </c>
      <c r="K213" s="9" t="inlineStr">
        <is>
          <t>SFR 25</t>
        </is>
      </c>
      <c r="L213" s="9" t="n">
        <v>106503243</v>
      </c>
      <c r="M213" s="9" t="inlineStr">
        <is>
          <t>Sí</t>
        </is>
      </c>
    </row>
    <row r="214">
      <c r="A214" s="9" t="inlineStr">
        <is>
          <t>SAFEROCK 25MM 10,8M A280</t>
        </is>
      </c>
      <c r="B214" s="9" t="inlineStr">
        <is>
          <t>Saferock</t>
        </is>
      </c>
      <c r="C214" s="9" t="inlineStr">
        <is>
          <t>Ø25 mm · 10,8 m</t>
        </is>
      </c>
      <c r="D214" s="9" t="n">
        <v>25</v>
      </c>
      <c r="E214" s="9" t="n"/>
      <c r="F214" s="9" t="n"/>
      <c r="G214" s="9" t="n"/>
      <c r="H214" s="9" t="n"/>
      <c r="I214" s="9" t="n">
        <v>10.8</v>
      </c>
      <c r="J214" s="9" t="inlineStr">
        <is>
          <t>No</t>
        </is>
      </c>
      <c r="K214" s="9" t="inlineStr">
        <is>
          <t>SFR 25</t>
        </is>
      </c>
      <c r="L214" s="9" t="n">
        <v>106503217</v>
      </c>
      <c r="M214" s="9" t="inlineStr">
        <is>
          <t>Sí</t>
        </is>
      </c>
    </row>
    <row r="215">
      <c r="A215" s="9" t="inlineStr">
        <is>
          <t>SAFEROCK 25MM 10,8M A420</t>
        </is>
      </c>
      <c r="B215" s="9" t="inlineStr">
        <is>
          <t>Saferock</t>
        </is>
      </c>
      <c r="C215" s="9" t="inlineStr">
        <is>
          <t>Ø25 mm · 10,8 m</t>
        </is>
      </c>
      <c r="D215" s="9" t="n">
        <v>25</v>
      </c>
      <c r="E215" s="9" t="n"/>
      <c r="F215" s="9" t="n"/>
      <c r="G215" s="9" t="n"/>
      <c r="H215" s="9" t="n"/>
      <c r="I215" s="9" t="n">
        <v>10.8</v>
      </c>
      <c r="J215" s="9" t="inlineStr">
        <is>
          <t>No</t>
        </is>
      </c>
      <c r="K215" s="9" t="inlineStr">
        <is>
          <t>SFR 25</t>
        </is>
      </c>
      <c r="L215" s="9" t="n">
        <v>106047303</v>
      </c>
      <c r="M215" s="9" t="inlineStr">
        <is>
          <t>Sí</t>
        </is>
      </c>
    </row>
    <row r="216">
      <c r="A216" s="9" t="inlineStr">
        <is>
          <t>SAFEROCK 25MM 10M A420</t>
        </is>
      </c>
      <c r="B216" s="9" t="inlineStr">
        <is>
          <t>Saferock</t>
        </is>
      </c>
      <c r="C216" s="9" t="inlineStr">
        <is>
          <t>Ø25 mm · 10 m</t>
        </is>
      </c>
      <c r="D216" s="9" t="n">
        <v>25</v>
      </c>
      <c r="E216" s="9" t="n"/>
      <c r="F216" s="9" t="n"/>
      <c r="G216" s="9" t="n"/>
      <c r="H216" s="9" t="n"/>
      <c r="I216" s="9" t="n">
        <v>10</v>
      </c>
      <c r="J216" s="9" t="inlineStr">
        <is>
          <t>No</t>
        </is>
      </c>
      <c r="K216" s="9" t="inlineStr">
        <is>
          <t>SFR 25</t>
        </is>
      </c>
      <c r="L216" s="9" t="n">
        <v>106043671</v>
      </c>
      <c r="M216" s="9" t="inlineStr">
        <is>
          <t>Sí</t>
        </is>
      </c>
    </row>
    <row r="217">
      <c r="A217" s="9" t="inlineStr">
        <is>
          <t>SAFEROCK 25MM 11,6M A420</t>
        </is>
      </c>
      <c r="B217" s="9" t="inlineStr">
        <is>
          <t>Saferock</t>
        </is>
      </c>
      <c r="C217" s="9" t="inlineStr">
        <is>
          <t>Ø25 mm · 11,6 m</t>
        </is>
      </c>
      <c r="D217" s="9" t="n">
        <v>25</v>
      </c>
      <c r="E217" s="9" t="n"/>
      <c r="F217" s="9" t="n"/>
      <c r="G217" s="9" t="n"/>
      <c r="H217" s="9" t="n"/>
      <c r="I217" s="9" t="n">
        <v>11.6</v>
      </c>
      <c r="J217" s="9" t="inlineStr">
        <is>
          <t>No</t>
        </is>
      </c>
      <c r="K217" s="9" t="inlineStr">
        <is>
          <t>SFR 25</t>
        </is>
      </c>
      <c r="L217" s="9" t="n">
        <v>106047304</v>
      </c>
      <c r="M217" s="9" t="inlineStr">
        <is>
          <t>Sí</t>
        </is>
      </c>
    </row>
    <row r="218">
      <c r="A218" s="9" t="inlineStr">
        <is>
          <t>SAFEROCK 25MM 11,96M A520</t>
        </is>
      </c>
      <c r="B218" s="9" t="inlineStr">
        <is>
          <t>Saferock</t>
        </is>
      </c>
      <c r="C218" s="9" t="inlineStr">
        <is>
          <t>Ø25 mm · 6 m</t>
        </is>
      </c>
      <c r="D218" s="9" t="n">
        <v>25</v>
      </c>
      <c r="E218" s="9" t="n"/>
      <c r="F218" s="9" t="n"/>
      <c r="G218" s="9" t="n"/>
      <c r="H218" s="9" t="n"/>
      <c r="I218" s="9" t="n">
        <v>6</v>
      </c>
      <c r="J218" s="9" t="inlineStr">
        <is>
          <t>No</t>
        </is>
      </c>
      <c r="K218" s="9" t="inlineStr">
        <is>
          <t>SFR 25</t>
        </is>
      </c>
      <c r="L218" s="9" t="n">
        <v>119505903</v>
      </c>
      <c r="M218" s="9" t="inlineStr">
        <is>
          <t>Sí</t>
        </is>
      </c>
    </row>
    <row r="219">
      <c r="A219" s="9" t="inlineStr">
        <is>
          <t>SAFEROCK 25MM 12M A280</t>
        </is>
      </c>
      <c r="B219" s="9" t="inlineStr">
        <is>
          <t>Saferock</t>
        </is>
      </c>
      <c r="C219" s="9" t="inlineStr">
        <is>
          <t>Ø25 mm · 12 m</t>
        </is>
      </c>
      <c r="D219" s="9" t="n">
        <v>25</v>
      </c>
      <c r="E219" s="9" t="n"/>
      <c r="F219" s="9" t="n"/>
      <c r="G219" s="9" t="n"/>
      <c r="H219" s="9" t="n"/>
      <c r="I219" s="9" t="n">
        <v>12</v>
      </c>
      <c r="J219" s="9" t="inlineStr">
        <is>
          <t>No</t>
        </is>
      </c>
      <c r="K219" s="9" t="inlineStr">
        <is>
          <t>SFR 25</t>
        </is>
      </c>
      <c r="L219" s="9" t="n">
        <v>106025585</v>
      </c>
      <c r="M219" s="9" t="inlineStr">
        <is>
          <t>Sí</t>
        </is>
      </c>
    </row>
    <row r="220">
      <c r="A220" s="9" t="inlineStr">
        <is>
          <t>SAFEROCK 25MM 12M A420</t>
        </is>
      </c>
      <c r="B220" s="9" t="inlineStr">
        <is>
          <t>Saferock</t>
        </is>
      </c>
      <c r="C220" s="9" t="inlineStr">
        <is>
          <t>Ø25 mm · 12 m</t>
        </is>
      </c>
      <c r="D220" s="9" t="n">
        <v>25</v>
      </c>
      <c r="E220" s="9" t="n"/>
      <c r="F220" s="9" t="n"/>
      <c r="G220" s="9" t="n"/>
      <c r="H220" s="9" t="n"/>
      <c r="I220" s="9" t="n">
        <v>12</v>
      </c>
      <c r="J220" s="9" t="inlineStr">
        <is>
          <t>No</t>
        </is>
      </c>
      <c r="K220" s="9" t="inlineStr">
        <is>
          <t>SFR 25</t>
        </is>
      </c>
      <c r="L220" s="9" t="n">
        <v>106025583</v>
      </c>
      <c r="M220" s="9" t="inlineStr">
        <is>
          <t>Sí</t>
        </is>
      </c>
    </row>
    <row r="221">
      <c r="A221" s="9" t="inlineStr">
        <is>
          <t>SAFEROCK 25MM 12M A520D</t>
        </is>
      </c>
      <c r="B221" s="9" t="inlineStr">
        <is>
          <t>Saferock</t>
        </is>
      </c>
      <c r="C221" s="9" t="inlineStr">
        <is>
          <t>Ø25 mm · 12 m</t>
        </is>
      </c>
      <c r="D221" s="9" t="n">
        <v>25</v>
      </c>
      <c r="E221" s="9" t="n"/>
      <c r="F221" s="9" t="n"/>
      <c r="G221" s="9" t="n"/>
      <c r="H221" s="9" t="n"/>
      <c r="I221" s="9" t="n">
        <v>12</v>
      </c>
      <c r="J221" s="9" t="inlineStr">
        <is>
          <t>No</t>
        </is>
      </c>
      <c r="K221" s="9" t="inlineStr">
        <is>
          <t>SFR 25</t>
        </is>
      </c>
      <c r="L221" s="9" t="n">
        <v>119506719</v>
      </c>
      <c r="M221" s="9" t="inlineStr">
        <is>
          <t>Sí</t>
        </is>
      </c>
    </row>
    <row r="222">
      <c r="A222" s="9" t="inlineStr">
        <is>
          <t>SAFEROCK 25MM 8,4M A520</t>
        </is>
      </c>
      <c r="B222" s="9" t="inlineStr">
        <is>
          <t>Saferock</t>
        </is>
      </c>
      <c r="C222" s="9" t="inlineStr">
        <is>
          <t>Ø25 mm · 10,8 m</t>
        </is>
      </c>
      <c r="D222" s="9" t="n">
        <v>25</v>
      </c>
      <c r="E222" s="9" t="n"/>
      <c r="F222" s="9" t="n"/>
      <c r="G222" s="9" t="n"/>
      <c r="H222" s="9" t="n"/>
      <c r="I222" s="9" t="n">
        <v>10.8</v>
      </c>
      <c r="J222" s="9" t="inlineStr">
        <is>
          <t>No</t>
        </is>
      </c>
      <c r="K222" s="9" t="inlineStr">
        <is>
          <t>SFR 25</t>
        </is>
      </c>
      <c r="L222" s="9" t="n">
        <v>119505906</v>
      </c>
      <c r="M222" s="9" t="inlineStr">
        <is>
          <t>Sí</t>
        </is>
      </c>
    </row>
    <row r="223">
      <c r="A223" s="9" t="inlineStr">
        <is>
          <t>HEXAGONO 1 1/8' 8MM SAE 1045 (N)</t>
        </is>
      </c>
      <c r="B223" s="9" t="inlineStr">
        <is>
          <t>Hexágono</t>
        </is>
      </c>
      <c r="C223" s="9" t="inlineStr">
        <is>
          <t>28,6 mm e/c · 8 m</t>
        </is>
      </c>
      <c r="D223" s="9" t="n">
        <v>28.6</v>
      </c>
      <c r="E223" s="9" t="n"/>
      <c r="F223" s="9" t="n"/>
      <c r="G223" s="9" t="n"/>
      <c r="H223" s="9" t="inlineStr">
        <is>
          <t>1 1/8"</t>
        </is>
      </c>
      <c r="I223" s="9" t="n">
        <v>8</v>
      </c>
      <c r="J223" s="9" t="inlineStr">
        <is>
          <t>No</t>
        </is>
      </c>
      <c r="K223" s="9" t="n"/>
      <c r="L223" s="9" t="n"/>
      <c r="M223" s="9" t="inlineStr">
        <is>
          <t>No</t>
        </is>
      </c>
    </row>
    <row r="224">
      <c r="A224" s="9" t="inlineStr">
        <is>
          <t>HEXAGONO 1' 8M SAE 1045 (N)</t>
        </is>
      </c>
      <c r="B224" s="9" t="inlineStr">
        <is>
          <t>Hexágono</t>
        </is>
      </c>
      <c r="C224" s="9" t="inlineStr">
        <is>
          <t>25,4 mm e/c · 8 m</t>
        </is>
      </c>
      <c r="D224" s="9" t="n">
        <v>25.4</v>
      </c>
      <c r="E224" s="9" t="n"/>
      <c r="F224" s="9" t="n"/>
      <c r="G224" s="9" t="n"/>
      <c r="H224" s="9" t="inlineStr">
        <is>
          <t>1"</t>
        </is>
      </c>
      <c r="I224" s="9" t="n">
        <v>8</v>
      </c>
      <c r="J224" s="9" t="inlineStr">
        <is>
          <t>No</t>
        </is>
      </c>
      <c r="K224" s="9" t="inlineStr">
        <is>
          <t>HEX 1</t>
        </is>
      </c>
      <c r="L224" s="9" t="n">
        <v>109006943</v>
      </c>
      <c r="M224" s="9" t="inlineStr">
        <is>
          <t>Sí</t>
        </is>
      </c>
    </row>
  </sheetData>
  <conditionalFormatting sqref="M5:M224">
    <cfRule type="cellIs" priority="1" operator="equal" dxfId="0">
      <formula>"No"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2026-09-24T12:17:48Z</dcterms:created>
  <dcterms:modified xsi:type="dcterms:W3CDTF">2026-09-24T12:17:48Z</dcterms:modified>
</cp:coreProperties>
</file>